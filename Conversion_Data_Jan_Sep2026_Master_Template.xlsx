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Data Entry" sheetId="1" state="visible" r:id="rId1"/>
    <sheet xmlns:r="http://schemas.openxmlformats.org/officeDocument/2006/relationships" name="Lookup 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1E3A8A"/>
      <sz val="10"/>
    </font>
    <font>
      <name val="Calibri"/>
      <color rgb="00312E81"/>
      <sz val="10"/>
    </font>
    <font>
      <name val="Calibri"/>
      <color rgb="00475569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064E3B"/>
        <bgColor rgb="00064E3B"/>
      </patternFill>
    </fill>
    <fill>
      <patternFill patternType="solid">
        <fgColor rgb="001E3A8A"/>
        <bgColor rgb="001E3A8A"/>
      </patternFill>
    </fill>
    <fill>
      <patternFill patternType="solid">
        <fgColor rgb="00312E81"/>
        <bgColor rgb="00312E81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8" customWidth="1" min="4" max="4"/>
    <col width="20" customWidth="1" min="5" max="5"/>
    <col width="22" customWidth="1" min="6" max="6"/>
    <col width="36" customWidth="1" min="7" max="7"/>
    <col width="16" customWidth="1" min="8" max="8"/>
    <col width="34" customWidth="1" min="9" max="9"/>
    <col width="12" customWidth="1" min="10" max="10"/>
    <col width="16" customWidth="1" min="11" max="11"/>
    <col width="18" customWidth="1" min="12" max="12"/>
    <col width="22" customWidth="1" min="13" max="13"/>
    <col width="24" customWidth="1" min="14" max="14"/>
    <col width="18" customWidth="1" min="15" max="15"/>
    <col width="16" customWidth="1" min="16" max="16"/>
  </cols>
  <sheetData>
    <row r="1">
      <c r="A1" s="1" t="inlineStr">
        <is>
          <t>FY</t>
        </is>
      </c>
      <c r="B1" s="1" t="inlineStr">
        <is>
          <t>Month</t>
        </is>
      </c>
      <c r="C1" s="1" t="inlineStr">
        <is>
          <t>State</t>
        </is>
      </c>
      <c r="D1" s="1" t="inlineStr">
        <is>
          <t>Vehicle Number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Seller Name</t>
        </is>
      </c>
      <c r="H1" s="1" t="inlineStr">
        <is>
          <t>Seller Segment</t>
        </is>
      </c>
      <c r="I1" s="1" t="inlineStr">
        <is>
          <t>Buyer Name</t>
        </is>
      </c>
      <c r="J1" s="1" t="inlineStr">
        <is>
          <t>Year</t>
        </is>
      </c>
      <c r="K1" s="1" t="inlineStr">
        <is>
          <t>Odometer</t>
        </is>
      </c>
      <c r="L1" s="1" t="inlineStr">
        <is>
          <t>Final Bid Value</t>
        </is>
      </c>
      <c r="M1" s="2" t="inlineStr">
        <is>
          <t>Total Income (Ex GST)</t>
        </is>
      </c>
      <c r="N1" s="3" t="inlineStr">
        <is>
          <t>Total Income (Inc GST)</t>
        </is>
      </c>
      <c r="O1" s="4" t="inlineStr">
        <is>
          <t>GST (18%)</t>
        </is>
      </c>
      <c r="P1" s="5" t="inlineStr">
        <is>
          <t>Period</t>
        </is>
      </c>
    </row>
    <row r="2">
      <c r="A2" s="6" t="inlineStr">
        <is>
          <t>FY26</t>
        </is>
      </c>
      <c r="B2" s="6" t="inlineStr">
        <is>
          <t>Jan</t>
        </is>
      </c>
      <c r="C2" s="6" t="inlineStr">
        <is>
          <t>AP/TS</t>
        </is>
      </c>
      <c r="D2" s="7" t="inlineStr">
        <is>
          <t>AP07BR3348</t>
        </is>
      </c>
      <c r="E2" s="7" t="inlineStr">
        <is>
          <t>CHEVROLET</t>
        </is>
      </c>
      <c r="F2" s="7" t="inlineStr">
        <is>
          <t>Sail</t>
        </is>
      </c>
      <c r="G2" s="7" t="inlineStr">
        <is>
          <t>T SRINIVAS</t>
        </is>
      </c>
      <c r="H2" s="7" t="inlineStr">
        <is>
          <t>Non-Captive</t>
        </is>
      </c>
      <c r="I2" s="7" t="inlineStr">
        <is>
          <t>Gopi Nagaraju</t>
        </is>
      </c>
      <c r="J2" s="8" t="n">
        <v>2013</v>
      </c>
      <c r="K2" s="9" t="n">
        <v>126802</v>
      </c>
      <c r="L2" s="10" t="n">
        <v>50000</v>
      </c>
      <c r="M2" s="10" t="n">
        <v>4237.29</v>
      </c>
      <c r="N2" s="11">
        <f>IF(M2="","",ROUND(M2*1.18,2))</f>
        <v/>
      </c>
      <c r="O2" s="12">
        <f>IF(M2="","",ROUND(N2-M2,2))</f>
        <v/>
      </c>
      <c r="P2" s="13">
        <f>IF(AND(A2&lt;&gt;"",B2&lt;&gt;""), A2&amp;" · "&amp;B2, "")</f>
        <v/>
      </c>
    </row>
    <row r="3">
      <c r="A3" s="6" t="inlineStr">
        <is>
          <t>FY26</t>
        </is>
      </c>
      <c r="B3" s="6" t="inlineStr">
        <is>
          <t>Jan</t>
        </is>
      </c>
      <c r="C3" s="6" t="inlineStr">
        <is>
          <t>AP/TS</t>
        </is>
      </c>
      <c r="D3" s="7" t="inlineStr">
        <is>
          <t>AP07DD7494</t>
        </is>
      </c>
      <c r="E3" s="7" t="inlineStr">
        <is>
          <t>HONDA</t>
        </is>
      </c>
      <c r="F3" s="7" t="inlineStr">
        <is>
          <t>Mobilio</t>
        </is>
      </c>
      <c r="G3" s="7" t="inlineStr">
        <is>
          <t>EXCHANGE VIJAYAWADA</t>
        </is>
      </c>
      <c r="H3" s="7" t="inlineStr">
        <is>
          <t>Captive</t>
        </is>
      </c>
      <c r="I3" s="7" t="inlineStr">
        <is>
          <t>Mohammed Gouse Basha</t>
        </is>
      </c>
      <c r="J3" s="8" t="n">
        <v>2016</v>
      </c>
      <c r="K3" s="9" t="n">
        <v>199205</v>
      </c>
      <c r="L3" s="10" t="n">
        <v>245000</v>
      </c>
      <c r="M3" s="10" t="n">
        <v>12711.86</v>
      </c>
      <c r="N3" s="11">
        <f>IF(M3="","",ROUND(M3*1.18,2))</f>
        <v/>
      </c>
      <c r="O3" s="12">
        <f>IF(M3="","",ROUND(N3-M3,2))</f>
        <v/>
      </c>
      <c r="P3" s="13">
        <f>IF(AND(A3&lt;&gt;"",B3&lt;&gt;""), A3&amp;" · "&amp;B3, "")</f>
        <v/>
      </c>
    </row>
    <row r="4">
      <c r="A4" s="6" t="inlineStr">
        <is>
          <t>FY26</t>
        </is>
      </c>
      <c r="B4" s="6" t="inlineStr">
        <is>
          <t>Jan</t>
        </is>
      </c>
      <c r="C4" s="6" t="inlineStr">
        <is>
          <t>AP/TS</t>
        </is>
      </c>
      <c r="D4" s="7" t="inlineStr">
        <is>
          <t>AP09BT2344</t>
        </is>
      </c>
      <c r="E4" s="7" t="inlineStr">
        <is>
          <t>SKODA</t>
        </is>
      </c>
      <c r="F4" s="7" t="inlineStr">
        <is>
          <t>Octavia</t>
        </is>
      </c>
      <c r="G4" s="7" t="inlineStr">
        <is>
          <t>T SRINIVAS</t>
        </is>
      </c>
      <c r="H4" s="7" t="inlineStr">
        <is>
          <t>Non-Captive</t>
        </is>
      </c>
      <c r="I4" s="7" t="inlineStr">
        <is>
          <t>B Tirumala Rao</t>
        </is>
      </c>
      <c r="J4" s="8" t="n">
        <v>2008</v>
      </c>
      <c r="K4" s="9" t="n">
        <v>194525</v>
      </c>
      <c r="L4" s="10" t="n">
        <v>35000</v>
      </c>
      <c r="M4" s="10" t="n">
        <v>4237.29</v>
      </c>
      <c r="N4" s="11">
        <f>IF(M4="","",ROUND(M4*1.18,2))</f>
        <v/>
      </c>
      <c r="O4" s="12">
        <f>IF(M4="","",ROUND(N4-M4,2))</f>
        <v/>
      </c>
      <c r="P4" s="13">
        <f>IF(AND(A4&lt;&gt;"",B4&lt;&gt;""), A4&amp;" · "&amp;B4, "")</f>
        <v/>
      </c>
    </row>
    <row r="5">
      <c r="A5" s="6" t="inlineStr">
        <is>
          <t>FY26</t>
        </is>
      </c>
      <c r="B5" s="6" t="inlineStr">
        <is>
          <t>Jan</t>
        </is>
      </c>
      <c r="C5" s="6" t="inlineStr">
        <is>
          <t>AP/TS</t>
        </is>
      </c>
      <c r="D5" s="7" t="inlineStr">
        <is>
          <t>AP09BZ0630</t>
        </is>
      </c>
      <c r="E5" s="7" t="inlineStr">
        <is>
          <t>MARUTI SUZUKI</t>
        </is>
      </c>
      <c r="F5" s="7" t="inlineStr">
        <is>
          <t>Alto</t>
        </is>
      </c>
      <c r="G5" s="7" t="inlineStr">
        <is>
          <t>PUNEET GUPTA</t>
        </is>
      </c>
      <c r="H5" s="7" t="inlineStr">
        <is>
          <t>Non-Captive</t>
        </is>
      </c>
      <c r="I5" s="7" t="inlineStr">
        <is>
          <t>Uppari Sandeep Kumar</t>
        </is>
      </c>
      <c r="J5" s="8" t="n">
        <v>2010</v>
      </c>
      <c r="K5" s="9" t="n">
        <v>159810</v>
      </c>
      <c r="L5" s="10" t="n">
        <v>50000</v>
      </c>
      <c r="M5" s="10" t="n">
        <v>4237.29</v>
      </c>
      <c r="N5" s="11">
        <f>IF(M5="","",ROUND(M5*1.18,2))</f>
        <v/>
      </c>
      <c r="O5" s="12">
        <f>IF(M5="","",ROUND(N5-M5,2))</f>
        <v/>
      </c>
      <c r="P5" s="13">
        <f>IF(AND(A5&lt;&gt;"",B5&lt;&gt;""), A5&amp;" · "&amp;B5, "")</f>
        <v/>
      </c>
    </row>
    <row r="6">
      <c r="A6" s="6" t="inlineStr">
        <is>
          <t>FY26</t>
        </is>
      </c>
      <c r="B6" s="6" t="inlineStr">
        <is>
          <t>Jan</t>
        </is>
      </c>
      <c r="C6" s="6" t="inlineStr">
        <is>
          <t>AP/TS</t>
        </is>
      </c>
      <c r="D6" s="7" t="inlineStr">
        <is>
          <t>AP09CE0212</t>
        </is>
      </c>
      <c r="E6" s="7" t="inlineStr">
        <is>
          <t>HONDA</t>
        </is>
      </c>
      <c r="F6" s="7" t="inlineStr">
        <is>
          <t>CR-V</t>
        </is>
      </c>
      <c r="G6" s="7" t="inlineStr">
        <is>
          <t>EXCHANGE VIJAYAWADA</t>
        </is>
      </c>
      <c r="H6" s="7" t="inlineStr">
        <is>
          <t>Captive</t>
        </is>
      </c>
      <c r="I6" s="7" t="inlineStr">
        <is>
          <t>Guthi Ravi Krishna</t>
        </is>
      </c>
      <c r="J6" s="8" t="n">
        <v>2011</v>
      </c>
      <c r="K6" s="9" t="n">
        <v>130600</v>
      </c>
      <c r="L6" s="10" t="n">
        <v>140000</v>
      </c>
      <c r="M6" s="10" t="n">
        <v>8474.58</v>
      </c>
      <c r="N6" s="11">
        <f>IF(M6="","",ROUND(M6*1.18,2))</f>
        <v/>
      </c>
      <c r="O6" s="12">
        <f>IF(M6="","",ROUND(N6-M6,2))</f>
        <v/>
      </c>
      <c r="P6" s="13">
        <f>IF(AND(A6&lt;&gt;"",B6&lt;&gt;""), A6&amp;" · "&amp;B6, "")</f>
        <v/>
      </c>
    </row>
    <row r="7">
      <c r="A7" s="6" t="inlineStr">
        <is>
          <t>FY26</t>
        </is>
      </c>
      <c r="B7" s="6" t="inlineStr">
        <is>
          <t>Jan</t>
        </is>
      </c>
      <c r="C7" s="6" t="inlineStr">
        <is>
          <t>AP/TS</t>
        </is>
      </c>
      <c r="D7" s="7" t="inlineStr">
        <is>
          <t>AP10AL9385</t>
        </is>
      </c>
      <c r="E7" s="7" t="inlineStr">
        <is>
          <t>HONDA</t>
        </is>
      </c>
      <c r="F7" s="7" t="inlineStr">
        <is>
          <t>City</t>
        </is>
      </c>
      <c r="G7" s="7" t="inlineStr">
        <is>
          <t>EXCHANGE HYDERABAD</t>
        </is>
      </c>
      <c r="H7" s="7" t="inlineStr">
        <is>
          <t>Captive</t>
        </is>
      </c>
      <c r="I7" s="7" t="inlineStr">
        <is>
          <t>Bukya Santhosh Naik</t>
        </is>
      </c>
      <c r="J7" s="8" t="n">
        <v>2007</v>
      </c>
      <c r="K7" s="9" t="n">
        <v>88432</v>
      </c>
      <c r="L7" s="10" t="n">
        <v>85000</v>
      </c>
      <c r="M7" s="10" t="n">
        <v>4237.29</v>
      </c>
      <c r="N7" s="11">
        <f>IF(M7="","",ROUND(M7*1.18,2))</f>
        <v/>
      </c>
      <c r="O7" s="12">
        <f>IF(M7="","",ROUND(N7-M7,2))</f>
        <v/>
      </c>
      <c r="P7" s="13">
        <f>IF(AND(A7&lt;&gt;"",B7&lt;&gt;""), A7&amp;" · "&amp;B7, "")</f>
        <v/>
      </c>
    </row>
    <row r="8">
      <c r="A8" s="6" t="inlineStr">
        <is>
          <t>FY26</t>
        </is>
      </c>
      <c r="B8" s="6" t="inlineStr">
        <is>
          <t>Jan</t>
        </is>
      </c>
      <c r="C8" s="6" t="inlineStr">
        <is>
          <t>AP/TS</t>
        </is>
      </c>
      <c r="D8" s="7" t="inlineStr">
        <is>
          <t>AP10AX2989</t>
        </is>
      </c>
      <c r="E8" s="7" t="inlineStr">
        <is>
          <t>HONDA</t>
        </is>
      </c>
      <c r="F8" s="7" t="inlineStr">
        <is>
          <t>City</t>
        </is>
      </c>
      <c r="G8" s="7" t="inlineStr">
        <is>
          <t>EXCHANGE HYDERABAD</t>
        </is>
      </c>
      <c r="H8" s="7" t="inlineStr">
        <is>
          <t>Captive</t>
        </is>
      </c>
      <c r="I8" s="7" t="inlineStr">
        <is>
          <t>Uppari Sandeep Kumar</t>
        </is>
      </c>
      <c r="J8" s="8" t="n">
        <v>2011</v>
      </c>
      <c r="K8" s="9" t="n">
        <v>180034</v>
      </c>
      <c r="L8" s="10" t="n">
        <v>160000</v>
      </c>
      <c r="M8" s="10" t="n">
        <v>8474.58</v>
      </c>
      <c r="N8" s="11">
        <f>IF(M8="","",ROUND(M8*1.18,2))</f>
        <v/>
      </c>
      <c r="O8" s="12">
        <f>IF(M8="","",ROUND(N8-M8,2))</f>
        <v/>
      </c>
      <c r="P8" s="13">
        <f>IF(AND(A8&lt;&gt;"",B8&lt;&gt;""), A8&amp;" · "&amp;B8, "")</f>
        <v/>
      </c>
    </row>
    <row r="9">
      <c r="A9" s="6" t="inlineStr">
        <is>
          <t>FY26</t>
        </is>
      </c>
      <c r="B9" s="6" t="inlineStr">
        <is>
          <t>Jan</t>
        </is>
      </c>
      <c r="C9" s="6" t="inlineStr">
        <is>
          <t>AP/TS</t>
        </is>
      </c>
      <c r="D9" s="7" t="inlineStr">
        <is>
          <t>AP10BD2268</t>
        </is>
      </c>
      <c r="E9" s="7" t="inlineStr">
        <is>
          <t>NISSAN</t>
        </is>
      </c>
      <c r="F9" s="7" t="inlineStr">
        <is>
          <t>Sunny</t>
        </is>
      </c>
      <c r="G9" s="7" t="inlineStr">
        <is>
          <t>EXCHANGE HYDERABAD</t>
        </is>
      </c>
      <c r="H9" s="7" t="inlineStr">
        <is>
          <t>Captive</t>
        </is>
      </c>
      <c r="I9" s="7" t="inlineStr">
        <is>
          <t>Odapally Sandeep</t>
        </is>
      </c>
      <c r="J9" s="8" t="n">
        <v>2013</v>
      </c>
      <c r="K9" s="9" t="n">
        <v>117555</v>
      </c>
      <c r="L9" s="10" t="n">
        <v>155000</v>
      </c>
      <c r="M9" s="10" t="n">
        <v>4237.29</v>
      </c>
      <c r="N9" s="11">
        <f>IF(M9="","",ROUND(M9*1.18,2))</f>
        <v/>
      </c>
      <c r="O9" s="12">
        <f>IF(M9="","",ROUND(N9-M9,2))</f>
        <v/>
      </c>
      <c r="P9" s="13">
        <f>IF(AND(A9&lt;&gt;"",B9&lt;&gt;""), A9&amp;" · "&amp;B9, "")</f>
        <v/>
      </c>
    </row>
    <row r="10">
      <c r="A10" s="6" t="inlineStr">
        <is>
          <t>FY26</t>
        </is>
      </c>
      <c r="B10" s="6" t="inlineStr">
        <is>
          <t>Jan</t>
        </is>
      </c>
      <c r="C10" s="6" t="inlineStr">
        <is>
          <t>AP/TS</t>
        </is>
      </c>
      <c r="D10" s="7" t="inlineStr">
        <is>
          <t>AP16BM6678</t>
        </is>
      </c>
      <c r="E10" s="7" t="inlineStr">
        <is>
          <t>HONDA</t>
        </is>
      </c>
      <c r="F10" s="7" t="inlineStr">
        <is>
          <t>Jazz</t>
        </is>
      </c>
      <c r="G10" s="7" t="inlineStr">
        <is>
          <t>CHEGUDI MANOJ KUMAR</t>
        </is>
      </c>
      <c r="H10" s="7" t="inlineStr">
        <is>
          <t>Non-Captive</t>
        </is>
      </c>
      <c r="I10" s="7" t="inlineStr">
        <is>
          <t>Shakeela Shaik</t>
        </is>
      </c>
      <c r="J10" s="8" t="n">
        <v>2009</v>
      </c>
      <c r="K10" s="9" t="n">
        <v>197521</v>
      </c>
      <c r="L10" s="10" t="n">
        <v>85000</v>
      </c>
      <c r="M10" s="10" t="n">
        <v>4237.29</v>
      </c>
      <c r="N10" s="11">
        <f>IF(M10="","",ROUND(M10*1.18,2))</f>
        <v/>
      </c>
      <c r="O10" s="12">
        <f>IF(M10="","",ROUND(N10-M10,2))</f>
        <v/>
      </c>
      <c r="P10" s="13">
        <f>IF(AND(A10&lt;&gt;"",B10&lt;&gt;""), A10&amp;" · "&amp;B10, "")</f>
        <v/>
      </c>
    </row>
    <row r="11">
      <c r="A11" s="6" t="inlineStr">
        <is>
          <t>FY26</t>
        </is>
      </c>
      <c r="B11" s="6" t="inlineStr">
        <is>
          <t>Jan</t>
        </is>
      </c>
      <c r="C11" s="6" t="inlineStr">
        <is>
          <t>AP/TS</t>
        </is>
      </c>
      <c r="D11" s="7" t="inlineStr">
        <is>
          <t>AP16BV0162</t>
        </is>
      </c>
      <c r="E11" s="7" t="inlineStr">
        <is>
          <t>MARUTI SUZUKI</t>
        </is>
      </c>
      <c r="F11" s="7" t="inlineStr">
        <is>
          <t>Alto</t>
        </is>
      </c>
      <c r="G11" s="7" t="inlineStr">
        <is>
          <t>GUTHI RAVI KRISHNA</t>
        </is>
      </c>
      <c r="H11" s="7" t="inlineStr">
        <is>
          <t>Non-Captive</t>
        </is>
      </c>
      <c r="I11" s="7" t="inlineStr">
        <is>
          <t>Chegudi Manoj Kumar</t>
        </is>
      </c>
      <c r="J11" s="8" t="n">
        <v>2011</v>
      </c>
      <c r="K11" s="9" t="n">
        <v>165112</v>
      </c>
      <c r="L11" s="10" t="n">
        <v>30000</v>
      </c>
      <c r="M11" s="10" t="n">
        <v>4237.29</v>
      </c>
      <c r="N11" s="11">
        <f>IF(M11="","",ROUND(M11*1.18,2))</f>
        <v/>
      </c>
      <c r="O11" s="12">
        <f>IF(M11="","",ROUND(N11-M11,2))</f>
        <v/>
      </c>
      <c r="P11" s="13">
        <f>IF(AND(A11&lt;&gt;"",B11&lt;&gt;""), A11&amp;" · "&amp;B11, "")</f>
        <v/>
      </c>
    </row>
    <row r="12">
      <c r="A12" s="6" t="inlineStr">
        <is>
          <t>FY26</t>
        </is>
      </c>
      <c r="B12" s="6" t="inlineStr">
        <is>
          <t>Jan</t>
        </is>
      </c>
      <c r="C12" s="6" t="inlineStr">
        <is>
          <t>AP/TS</t>
        </is>
      </c>
      <c r="D12" s="7" t="inlineStr">
        <is>
          <t>AP16CP8889</t>
        </is>
      </c>
      <c r="E12" s="7" t="inlineStr">
        <is>
          <t>CHEVROLET</t>
        </is>
      </c>
      <c r="F12" s="7" t="inlineStr">
        <is>
          <t>Beat</t>
        </is>
      </c>
      <c r="G12" s="7" t="inlineStr">
        <is>
          <t>T SRINIVAS</t>
        </is>
      </c>
      <c r="H12" s="7" t="inlineStr">
        <is>
          <t>Non-Captive</t>
        </is>
      </c>
      <c r="I12" s="7" t="inlineStr">
        <is>
          <t>Guthi Ravi Krishna</t>
        </is>
      </c>
      <c r="J12" s="8" t="n">
        <v>2014</v>
      </c>
      <c r="K12" s="9" t="n">
        <v>135304</v>
      </c>
      <c r="L12" s="10" t="n">
        <v>80000</v>
      </c>
      <c r="M12" s="10" t="n">
        <v>4237.29</v>
      </c>
      <c r="N12" s="11">
        <f>IF(M12="","",ROUND(M12*1.18,2))</f>
        <v/>
      </c>
      <c r="O12" s="12">
        <f>IF(M12="","",ROUND(N12-M12,2))</f>
        <v/>
      </c>
      <c r="P12" s="13">
        <f>IF(AND(A12&lt;&gt;"",B12&lt;&gt;""), A12&amp;" · "&amp;B12, "")</f>
        <v/>
      </c>
    </row>
    <row r="13">
      <c r="A13" s="6" t="inlineStr">
        <is>
          <t>FY26</t>
        </is>
      </c>
      <c r="B13" s="6" t="inlineStr">
        <is>
          <t>Jan</t>
        </is>
      </c>
      <c r="C13" s="6" t="inlineStr">
        <is>
          <t>AP/TS</t>
        </is>
      </c>
      <c r="D13" s="7" t="inlineStr">
        <is>
          <t>AP27AS0036</t>
        </is>
      </c>
      <c r="E13" s="7" t="inlineStr">
        <is>
          <t>FORD</t>
        </is>
      </c>
      <c r="F13" s="7" t="inlineStr">
        <is>
          <t>Figo</t>
        </is>
      </c>
      <c r="G13" s="7" t="inlineStr">
        <is>
          <t>EXCHANGE VIJAYAWADA</t>
        </is>
      </c>
      <c r="H13" s="7" t="inlineStr">
        <is>
          <t>Captive</t>
        </is>
      </c>
      <c r="I13" s="7" t="inlineStr">
        <is>
          <t>Shakeela Shaik</t>
        </is>
      </c>
      <c r="J13" s="8" t="n">
        <v>2013</v>
      </c>
      <c r="K13" s="9" t="n">
        <v>137253</v>
      </c>
      <c r="L13" s="10" t="n">
        <v>45000</v>
      </c>
      <c r="M13" s="10" t="n">
        <v>4237.29</v>
      </c>
      <c r="N13" s="11">
        <f>IF(M13="","",ROUND(M13*1.18,2))</f>
        <v/>
      </c>
      <c r="O13" s="12">
        <f>IF(M13="","",ROUND(N13-M13,2))</f>
        <v/>
      </c>
      <c r="P13" s="13">
        <f>IF(AND(A13&lt;&gt;"",B13&lt;&gt;""), A13&amp;" · "&amp;B13, "")</f>
        <v/>
      </c>
    </row>
    <row r="14">
      <c r="A14" s="6" t="inlineStr">
        <is>
          <t>FY26</t>
        </is>
      </c>
      <c r="B14" s="6" t="inlineStr">
        <is>
          <t>Jan</t>
        </is>
      </c>
      <c r="C14" s="6" t="inlineStr">
        <is>
          <t>AP/TS</t>
        </is>
      </c>
      <c r="D14" s="7" t="inlineStr">
        <is>
          <t>AP28AW2416</t>
        </is>
      </c>
      <c r="E14" s="7" t="inlineStr">
        <is>
          <t>HONDA</t>
        </is>
      </c>
      <c r="F14" s="7" t="inlineStr">
        <is>
          <t>City</t>
        </is>
      </c>
      <c r="G14" s="7" t="inlineStr">
        <is>
          <t>T SRINIVAS</t>
        </is>
      </c>
      <c r="H14" s="7" t="inlineStr">
        <is>
          <t>Non-Captive</t>
        </is>
      </c>
      <c r="I14" s="7" t="inlineStr">
        <is>
          <t>Polukonda Naga Suresh</t>
        </is>
      </c>
      <c r="J14" s="8" t="n">
        <v>2007</v>
      </c>
      <c r="K14" s="9" t="n">
        <v>183256</v>
      </c>
      <c r="L14" s="10" t="n">
        <v>55000</v>
      </c>
      <c r="M14" s="10" t="n">
        <v>4237.29</v>
      </c>
      <c r="N14" s="11">
        <f>IF(M14="","",ROUND(M14*1.18,2))</f>
        <v/>
      </c>
      <c r="O14" s="12">
        <f>IF(M14="","",ROUND(N14-M14,2))</f>
        <v/>
      </c>
      <c r="P14" s="13">
        <f>IF(AND(A14&lt;&gt;"",B14&lt;&gt;""), A14&amp;" · "&amp;B14, "")</f>
        <v/>
      </c>
    </row>
    <row r="15">
      <c r="A15" s="6" t="inlineStr">
        <is>
          <t>FY26</t>
        </is>
      </c>
      <c r="B15" s="6" t="inlineStr">
        <is>
          <t>Jan</t>
        </is>
      </c>
      <c r="C15" s="6" t="inlineStr">
        <is>
          <t>AP/TS</t>
        </is>
      </c>
      <c r="D15" s="7" t="inlineStr">
        <is>
          <t>AP28AX1997</t>
        </is>
      </c>
      <c r="E15" s="7" t="inlineStr">
        <is>
          <t>HONDA</t>
        </is>
      </c>
      <c r="F15" s="7" t="inlineStr">
        <is>
          <t>City</t>
        </is>
      </c>
      <c r="G15" s="7" t="inlineStr">
        <is>
          <t>EXCHANGE HYDERABAD</t>
        </is>
      </c>
      <c r="H15" s="7" t="inlineStr">
        <is>
          <t>Captive</t>
        </is>
      </c>
      <c r="I15" s="7" t="inlineStr">
        <is>
          <t>MD Shakeeluddin</t>
        </is>
      </c>
      <c r="J15" s="8" t="n">
        <v>2007</v>
      </c>
      <c r="K15" s="9" t="n">
        <v>77768</v>
      </c>
      <c r="L15" s="10" t="n">
        <v>100000</v>
      </c>
      <c r="M15" s="10" t="n">
        <v>8474.58</v>
      </c>
      <c r="N15" s="11">
        <f>IF(M15="","",ROUND(M15*1.18,2))</f>
        <v/>
      </c>
      <c r="O15" s="12">
        <f>IF(M15="","",ROUND(N15-M15,2))</f>
        <v/>
      </c>
      <c r="P15" s="13">
        <f>IF(AND(A15&lt;&gt;"",B15&lt;&gt;""), A15&amp;" · "&amp;B15, "")</f>
        <v/>
      </c>
    </row>
    <row r="16">
      <c r="A16" s="6" t="inlineStr">
        <is>
          <t>FY26</t>
        </is>
      </c>
      <c r="B16" s="6" t="inlineStr">
        <is>
          <t>Jan</t>
        </is>
      </c>
      <c r="C16" s="6" t="inlineStr">
        <is>
          <t>AP/TS</t>
        </is>
      </c>
      <c r="D16" s="7" t="inlineStr">
        <is>
          <t>AP29AA8034</t>
        </is>
      </c>
      <c r="E16" s="7" t="inlineStr">
        <is>
          <t>HYUNDAI</t>
        </is>
      </c>
      <c r="F16" s="7" t="inlineStr">
        <is>
          <t>Santro</t>
        </is>
      </c>
      <c r="G16" s="7" t="inlineStr">
        <is>
          <t>EXCHANGE HYDERABAD</t>
        </is>
      </c>
      <c r="H16" s="7" t="inlineStr">
        <is>
          <t>Captive</t>
        </is>
      </c>
      <c r="I16" s="7" t="inlineStr">
        <is>
          <t>Odapally Sandeep</t>
        </is>
      </c>
      <c r="J16" s="8" t="n">
        <v>2007</v>
      </c>
      <c r="K16" s="9" t="n">
        <v>89932</v>
      </c>
      <c r="L16" s="10" t="n">
        <v>85000</v>
      </c>
      <c r="M16" s="10" t="n">
        <v>4237.29</v>
      </c>
      <c r="N16" s="11">
        <f>IF(M16="","",ROUND(M16*1.18,2))</f>
        <v/>
      </c>
      <c r="O16" s="12">
        <f>IF(M16="","",ROUND(N16-M16,2))</f>
        <v/>
      </c>
      <c r="P16" s="13">
        <f>IF(AND(A16&lt;&gt;"",B16&lt;&gt;""), A16&amp;" · "&amp;B16, "")</f>
        <v/>
      </c>
    </row>
    <row r="17">
      <c r="A17" s="6" t="inlineStr">
        <is>
          <t>FY26</t>
        </is>
      </c>
      <c r="B17" s="6" t="inlineStr">
        <is>
          <t>Jan</t>
        </is>
      </c>
      <c r="C17" s="6" t="inlineStr">
        <is>
          <t>AP/TS</t>
        </is>
      </c>
      <c r="D17" s="7" t="inlineStr">
        <is>
          <t>AP29AB6696</t>
        </is>
      </c>
      <c r="E17" s="7" t="inlineStr">
        <is>
          <t>HONDA</t>
        </is>
      </c>
      <c r="F17" s="7" t="inlineStr">
        <is>
          <t>City</t>
        </is>
      </c>
      <c r="G17" s="7" t="inlineStr">
        <is>
          <t>PUNEET GUPTA</t>
        </is>
      </c>
      <c r="H17" s="7" t="inlineStr">
        <is>
          <t>Non-Captive</t>
        </is>
      </c>
      <c r="I17" s="7" t="inlineStr">
        <is>
          <t>Uppari Sandeep Kumar</t>
        </is>
      </c>
      <c r="J17" s="8" t="n">
        <v>2007</v>
      </c>
      <c r="K17" s="9" t="n">
        <v>168257</v>
      </c>
      <c r="L17" s="10" t="n">
        <v>55000</v>
      </c>
      <c r="M17" s="10" t="n">
        <v>4237.29</v>
      </c>
      <c r="N17" s="11">
        <f>IF(M17="","",ROUND(M17*1.18,2))</f>
        <v/>
      </c>
      <c r="O17" s="12">
        <f>IF(M17="","",ROUND(N17-M17,2))</f>
        <v/>
      </c>
      <c r="P17" s="13">
        <f>IF(AND(A17&lt;&gt;"",B17&lt;&gt;""), A17&amp;" · "&amp;B17, "")</f>
        <v/>
      </c>
    </row>
    <row r="18">
      <c r="A18" s="6" t="inlineStr">
        <is>
          <t>FY26</t>
        </is>
      </c>
      <c r="B18" s="6" t="inlineStr">
        <is>
          <t>Jan</t>
        </is>
      </c>
      <c r="C18" s="6" t="inlineStr">
        <is>
          <t>AP/TS</t>
        </is>
      </c>
      <c r="D18" s="7" t="inlineStr">
        <is>
          <t>AP29AE8713</t>
        </is>
      </c>
      <c r="E18" s="7" t="inlineStr">
        <is>
          <t>CHEVROLET</t>
        </is>
      </c>
      <c r="F18" s="7" t="inlineStr">
        <is>
          <t>Aveo</t>
        </is>
      </c>
      <c r="G18" s="7" t="inlineStr">
        <is>
          <t>PUNEET GUPTA</t>
        </is>
      </c>
      <c r="H18" s="7" t="inlineStr">
        <is>
          <t>Non-Captive</t>
        </is>
      </c>
      <c r="I18" s="7" t="inlineStr">
        <is>
          <t>Bukya Santhosh Naik</t>
        </is>
      </c>
      <c r="J18" s="8" t="n">
        <v>2008</v>
      </c>
      <c r="K18" s="9" t="n">
        <v>186084</v>
      </c>
      <c r="L18" s="10" t="n">
        <v>25000</v>
      </c>
      <c r="M18" s="10" t="n">
        <v>4237.29</v>
      </c>
      <c r="N18" s="11">
        <f>IF(M18="","",ROUND(M18*1.18,2))</f>
        <v/>
      </c>
      <c r="O18" s="12">
        <f>IF(M18="","",ROUND(N18-M18,2))</f>
        <v/>
      </c>
      <c r="P18" s="13">
        <f>IF(AND(A18&lt;&gt;"",B18&lt;&gt;""), A18&amp;" · "&amp;B18, "")</f>
        <v/>
      </c>
    </row>
    <row r="19">
      <c r="A19" s="6" t="inlineStr">
        <is>
          <t>FY26</t>
        </is>
      </c>
      <c r="B19" s="6" t="inlineStr">
        <is>
          <t>Jan</t>
        </is>
      </c>
      <c r="C19" s="6" t="inlineStr">
        <is>
          <t>AP/TS</t>
        </is>
      </c>
      <c r="D19" s="7" t="inlineStr">
        <is>
          <t>AP29AK2760</t>
        </is>
      </c>
      <c r="E19" s="7" t="inlineStr">
        <is>
          <t>MARUTI SUZUKI</t>
        </is>
      </c>
      <c r="F19" s="7" t="inlineStr">
        <is>
          <t>Wagon R</t>
        </is>
      </c>
      <c r="G19" s="7" t="inlineStr">
        <is>
          <t>PUNEET GUPTA</t>
        </is>
      </c>
      <c r="H19" s="7" t="inlineStr">
        <is>
          <t>Non-Captive</t>
        </is>
      </c>
      <c r="I19" s="7" t="inlineStr">
        <is>
          <t>Uppari Sandeep Kumar</t>
        </is>
      </c>
      <c r="J19" s="8" t="n">
        <v>2009</v>
      </c>
      <c r="K19" s="9" t="n">
        <v>126463</v>
      </c>
      <c r="L19" s="10" t="n">
        <v>65000</v>
      </c>
      <c r="M19" s="10" t="n">
        <v>4237.29</v>
      </c>
      <c r="N19" s="11">
        <f>IF(M19="","",ROUND(M19*1.18,2))</f>
        <v/>
      </c>
      <c r="O19" s="12">
        <f>IF(M19="","",ROUND(N19-M19,2))</f>
        <v/>
      </c>
      <c r="P19" s="13">
        <f>IF(AND(A19&lt;&gt;"",B19&lt;&gt;""), A19&amp;" · "&amp;B19, "")</f>
        <v/>
      </c>
    </row>
    <row r="20">
      <c r="A20" s="6" t="inlineStr">
        <is>
          <t>FY26</t>
        </is>
      </c>
      <c r="B20" s="6" t="inlineStr">
        <is>
          <t>Jan</t>
        </is>
      </c>
      <c r="C20" s="6" t="inlineStr">
        <is>
          <t>AP/TS</t>
        </is>
      </c>
      <c r="D20" s="7" t="inlineStr">
        <is>
          <t>AP31AS1112</t>
        </is>
      </c>
      <c r="E20" s="7" t="inlineStr">
        <is>
          <t>HYUNDAI</t>
        </is>
      </c>
      <c r="F20" s="7" t="inlineStr">
        <is>
          <t>Getz</t>
        </is>
      </c>
      <c r="G20" s="7" t="inlineStr">
        <is>
          <t>EXCHANGE VIZAG</t>
        </is>
      </c>
      <c r="H20" s="7" t="inlineStr">
        <is>
          <t>Captive</t>
        </is>
      </c>
      <c r="I20" s="7" t="inlineStr">
        <is>
          <t>Gadi Sri Bharathi</t>
        </is>
      </c>
      <c r="J20" s="8" t="n">
        <v>2007</v>
      </c>
      <c r="K20" s="9" t="n">
        <v>77543</v>
      </c>
      <c r="L20" s="10" t="n">
        <v>55000</v>
      </c>
      <c r="M20" s="10" t="n">
        <v>4237.29</v>
      </c>
      <c r="N20" s="11">
        <f>IF(M20="","",ROUND(M20*1.18,2))</f>
        <v/>
      </c>
      <c r="O20" s="12">
        <f>IF(M20="","",ROUND(N20-M20,2))</f>
        <v/>
      </c>
      <c r="P20" s="13">
        <f>IF(AND(A20&lt;&gt;"",B20&lt;&gt;""), A20&amp;" · "&amp;B20, "")</f>
        <v/>
      </c>
    </row>
    <row r="21">
      <c r="A21" s="6" t="inlineStr">
        <is>
          <t>FY26</t>
        </is>
      </c>
      <c r="B21" s="6" t="inlineStr">
        <is>
          <t>Jan</t>
        </is>
      </c>
      <c r="C21" s="6" t="inlineStr">
        <is>
          <t>AP/TS</t>
        </is>
      </c>
      <c r="D21" s="7" t="inlineStr">
        <is>
          <t>AP31AZ0333</t>
        </is>
      </c>
      <c r="E21" s="7" t="inlineStr">
        <is>
          <t>HYUNDAI</t>
        </is>
      </c>
      <c r="F21" s="7" t="inlineStr">
        <is>
          <t>Verna</t>
        </is>
      </c>
      <c r="G21" s="7" t="inlineStr">
        <is>
          <t>EXCHANGE VIZAG</t>
        </is>
      </c>
      <c r="H21" s="7" t="inlineStr">
        <is>
          <t>Captive</t>
        </is>
      </c>
      <c r="I21" s="7" t="inlineStr">
        <is>
          <t>Ravikanth Pentakota</t>
        </is>
      </c>
      <c r="J21" s="8" t="n">
        <v>2010</v>
      </c>
      <c r="K21" s="9" t="n">
        <v>178976</v>
      </c>
      <c r="L21" s="10" t="n">
        <v>75000</v>
      </c>
      <c r="M21" s="10" t="n">
        <v>4237.29</v>
      </c>
      <c r="N21" s="11">
        <f>IF(M21="","",ROUND(M21*1.18,2))</f>
        <v/>
      </c>
      <c r="O21" s="12">
        <f>IF(M21="","",ROUND(N21-M21,2))</f>
        <v/>
      </c>
      <c r="P21" s="13">
        <f>IF(AND(A21&lt;&gt;"",B21&lt;&gt;""), A21&amp;" · "&amp;B21, "")</f>
        <v/>
      </c>
    </row>
    <row r="22">
      <c r="A22" s="6" t="inlineStr">
        <is>
          <t>FY26</t>
        </is>
      </c>
      <c r="B22" s="6" t="inlineStr">
        <is>
          <t>Jan</t>
        </is>
      </c>
      <c r="C22" s="6" t="inlineStr">
        <is>
          <t>AP/TS</t>
        </is>
      </c>
      <c r="D22" s="7" t="inlineStr">
        <is>
          <t>AP31BM4257</t>
        </is>
      </c>
      <c r="E22" s="7" t="inlineStr">
        <is>
          <t>CHEVROLET</t>
        </is>
      </c>
      <c r="F22" s="7" t="inlineStr">
        <is>
          <t>Spark</t>
        </is>
      </c>
      <c r="G22" s="7" t="inlineStr">
        <is>
          <t>KESIREDDI SAIKIRAN</t>
        </is>
      </c>
      <c r="H22" s="7" t="inlineStr">
        <is>
          <t>Non-Captive</t>
        </is>
      </c>
      <c r="I22" s="7" t="inlineStr">
        <is>
          <t>Siva Reddy Gudla</t>
        </is>
      </c>
      <c r="J22" s="8" t="n">
        <v>2015</v>
      </c>
      <c r="K22" s="9" t="n">
        <v>141008</v>
      </c>
      <c r="L22" s="10" t="n">
        <v>50000</v>
      </c>
      <c r="M22" s="10" t="n">
        <v>4237.29</v>
      </c>
      <c r="N22" s="11">
        <f>IF(M22="","",ROUND(M22*1.18,2))</f>
        <v/>
      </c>
      <c r="O22" s="12">
        <f>IF(M22="","",ROUND(N22-M22,2))</f>
        <v/>
      </c>
      <c r="P22" s="13">
        <f>IF(AND(A22&lt;&gt;"",B22&lt;&gt;""), A22&amp;" · "&amp;B22, "")</f>
        <v/>
      </c>
    </row>
    <row r="23">
      <c r="A23" s="6" t="inlineStr">
        <is>
          <t>FY26</t>
        </is>
      </c>
      <c r="B23" s="6" t="inlineStr">
        <is>
          <t>Jan</t>
        </is>
      </c>
      <c r="C23" s="6" t="inlineStr">
        <is>
          <t>AP/TS</t>
        </is>
      </c>
      <c r="D23" s="7" t="inlineStr">
        <is>
          <t>AP31CE7777</t>
        </is>
      </c>
      <c r="E23" s="7" t="inlineStr">
        <is>
          <t>RENAULT</t>
        </is>
      </c>
      <c r="F23" s="7" t="inlineStr">
        <is>
          <t>Scala</t>
        </is>
      </c>
      <c r="G23" s="7" t="inlineStr">
        <is>
          <t>EXCHANGE VIZAG</t>
        </is>
      </c>
      <c r="H23" s="7" t="inlineStr">
        <is>
          <t>Captive</t>
        </is>
      </c>
      <c r="I23" s="7" t="inlineStr">
        <is>
          <t>Kaki Dinesh Kumar</t>
        </is>
      </c>
      <c r="J23" s="8" t="n">
        <v>2012</v>
      </c>
      <c r="K23" s="9" t="n">
        <v>255641</v>
      </c>
      <c r="L23" s="10" t="n">
        <v>97000</v>
      </c>
      <c r="M23" s="10" t="n">
        <v>5932.2</v>
      </c>
      <c r="N23" s="11">
        <f>IF(M23="","",ROUND(M23*1.18,2))</f>
        <v/>
      </c>
      <c r="O23" s="12">
        <f>IF(M23="","",ROUND(N23-M23,2))</f>
        <v/>
      </c>
      <c r="P23" s="13">
        <f>IF(AND(A23&lt;&gt;"",B23&lt;&gt;""), A23&amp;" · "&amp;B23, "")</f>
        <v/>
      </c>
    </row>
    <row r="24">
      <c r="A24" s="6" t="inlineStr">
        <is>
          <t>FY26</t>
        </is>
      </c>
      <c r="B24" s="6" t="inlineStr">
        <is>
          <t>Jan</t>
        </is>
      </c>
      <c r="C24" s="6" t="inlineStr">
        <is>
          <t>AP/TS</t>
        </is>
      </c>
      <c r="D24" s="7" t="inlineStr">
        <is>
          <t>AP31CS7594</t>
        </is>
      </c>
      <c r="E24" s="7" t="inlineStr">
        <is>
          <t>HONDA</t>
        </is>
      </c>
      <c r="F24" s="7" t="inlineStr">
        <is>
          <t>Mobilio</t>
        </is>
      </c>
      <c r="G24" s="7" t="inlineStr">
        <is>
          <t>EXCHANGE VIZAG</t>
        </is>
      </c>
      <c r="H24" s="7" t="inlineStr">
        <is>
          <t>Captive</t>
        </is>
      </c>
      <c r="I24" s="7" t="inlineStr">
        <is>
          <t>Siva Reddy Gudla</t>
        </is>
      </c>
      <c r="J24" s="8" t="n">
        <v>2014</v>
      </c>
      <c r="K24" s="9" t="n">
        <v>98056</v>
      </c>
      <c r="L24" s="10" t="n">
        <v>265000</v>
      </c>
      <c r="M24" s="10" t="n">
        <v>12711.86</v>
      </c>
      <c r="N24" s="11">
        <f>IF(M24="","",ROUND(M24*1.18,2))</f>
        <v/>
      </c>
      <c r="O24" s="12">
        <f>IF(M24="","",ROUND(N24-M24,2))</f>
        <v/>
      </c>
      <c r="P24" s="13">
        <f>IF(AND(A24&lt;&gt;"",B24&lt;&gt;""), A24&amp;" · "&amp;B24, "")</f>
        <v/>
      </c>
    </row>
    <row r="25">
      <c r="A25" s="6" t="inlineStr">
        <is>
          <t>FY26</t>
        </is>
      </c>
      <c r="B25" s="6" t="inlineStr">
        <is>
          <t>Jan</t>
        </is>
      </c>
      <c r="C25" s="6" t="inlineStr">
        <is>
          <t>AP/TS</t>
        </is>
      </c>
      <c r="D25" s="7" t="inlineStr">
        <is>
          <t>AP31CW1910</t>
        </is>
      </c>
      <c r="E25" s="7" t="inlineStr">
        <is>
          <t>HYUNDAI</t>
        </is>
      </c>
      <c r="F25" s="7" t="inlineStr">
        <is>
          <t>i10</t>
        </is>
      </c>
      <c r="G25" s="7" t="inlineStr">
        <is>
          <t>EXCHANGE VIZAG</t>
        </is>
      </c>
      <c r="H25" s="7" t="inlineStr">
        <is>
          <t>Captive</t>
        </is>
      </c>
      <c r="I25" s="7" t="inlineStr">
        <is>
          <t>Avaala Raju</t>
        </is>
      </c>
      <c r="J25" s="8" t="n">
        <v>2015</v>
      </c>
      <c r="K25" s="9" t="n">
        <v>34140</v>
      </c>
      <c r="L25" s="10" t="n">
        <v>225000</v>
      </c>
      <c r="M25" s="10" t="n">
        <v>4237.29</v>
      </c>
      <c r="N25" s="11">
        <f>IF(M25="","",ROUND(M25*1.18,2))</f>
        <v/>
      </c>
      <c r="O25" s="12">
        <f>IF(M25="","",ROUND(N25-M25,2))</f>
        <v/>
      </c>
      <c r="P25" s="13">
        <f>IF(AND(A25&lt;&gt;"",B25&lt;&gt;""), A25&amp;" · "&amp;B25, "")</f>
        <v/>
      </c>
    </row>
    <row r="26">
      <c r="A26" s="6" t="inlineStr">
        <is>
          <t>FY26</t>
        </is>
      </c>
      <c r="B26" s="6" t="inlineStr">
        <is>
          <t>Jan</t>
        </is>
      </c>
      <c r="C26" s="6" t="inlineStr">
        <is>
          <t>AP/TS</t>
        </is>
      </c>
      <c r="D26" s="7" t="inlineStr">
        <is>
          <t>AP31CW6624</t>
        </is>
      </c>
      <c r="E26" s="7" t="inlineStr">
        <is>
          <t>MARUTI SUZUKI</t>
        </is>
      </c>
      <c r="F26" s="7" t="inlineStr">
        <is>
          <t>Swift</t>
        </is>
      </c>
      <c r="G26" s="7" t="inlineStr">
        <is>
          <t>EXCHANGE VIZAG</t>
        </is>
      </c>
      <c r="H26" s="7" t="inlineStr">
        <is>
          <t>Captive</t>
        </is>
      </c>
      <c r="I26" s="7" t="inlineStr">
        <is>
          <t>Arnipalli Dhananjay Naidu</t>
        </is>
      </c>
      <c r="J26" s="8" t="n">
        <v>2015</v>
      </c>
      <c r="K26" s="9" t="n">
        <v>87102</v>
      </c>
      <c r="L26" s="10" t="n">
        <v>245000</v>
      </c>
      <c r="M26" s="10" t="n">
        <v>4237.29</v>
      </c>
      <c r="N26" s="11">
        <f>IF(M26="","",ROUND(M26*1.18,2))</f>
        <v/>
      </c>
      <c r="O26" s="12">
        <f>IF(M26="","",ROUND(N26-M26,2))</f>
        <v/>
      </c>
      <c r="P26" s="13">
        <f>IF(AND(A26&lt;&gt;"",B26&lt;&gt;""), A26&amp;" · "&amp;B26, "")</f>
        <v/>
      </c>
    </row>
    <row r="27">
      <c r="A27" s="6" t="inlineStr">
        <is>
          <t>FY26</t>
        </is>
      </c>
      <c r="B27" s="6" t="inlineStr">
        <is>
          <t>Jan</t>
        </is>
      </c>
      <c r="C27" s="6" t="inlineStr">
        <is>
          <t>AP/TS</t>
        </is>
      </c>
      <c r="D27" s="7" t="inlineStr">
        <is>
          <t>AP31DD1661</t>
        </is>
      </c>
      <c r="E27" s="7" t="inlineStr">
        <is>
          <t>HONDA</t>
        </is>
      </c>
      <c r="F27" s="7" t="inlineStr">
        <is>
          <t>Jazz</t>
        </is>
      </c>
      <c r="G27" s="7" t="inlineStr">
        <is>
          <t>EXCHANGE VIZAG</t>
        </is>
      </c>
      <c r="H27" s="7" t="inlineStr">
        <is>
          <t>Captive</t>
        </is>
      </c>
      <c r="I27" s="7" t="inlineStr">
        <is>
          <t>Raju Avaala</t>
        </is>
      </c>
      <c r="J27" s="8" t="n">
        <v>2015</v>
      </c>
      <c r="K27" s="9" t="n">
        <v>132923</v>
      </c>
      <c r="L27" s="10" t="n">
        <v>240000</v>
      </c>
      <c r="M27" s="10" t="n">
        <v>8474.58</v>
      </c>
      <c r="N27" s="11">
        <f>IF(M27="","",ROUND(M27*1.18,2))</f>
        <v/>
      </c>
      <c r="O27" s="12">
        <f>IF(M27="","",ROUND(N27-M27,2))</f>
        <v/>
      </c>
      <c r="P27" s="13">
        <f>IF(AND(A27&lt;&gt;"",B27&lt;&gt;""), A27&amp;" · "&amp;B27, "")</f>
        <v/>
      </c>
    </row>
    <row r="28">
      <c r="A28" s="6" t="inlineStr">
        <is>
          <t>FY26</t>
        </is>
      </c>
      <c r="B28" s="6" t="inlineStr">
        <is>
          <t>Jan</t>
        </is>
      </c>
      <c r="C28" s="6" t="inlineStr">
        <is>
          <t>AP/TS</t>
        </is>
      </c>
      <c r="D28" s="7" t="inlineStr">
        <is>
          <t>AP31DF2198</t>
        </is>
      </c>
      <c r="E28" s="7" t="inlineStr">
        <is>
          <t>HONDA</t>
        </is>
      </c>
      <c r="F28" s="7" t="inlineStr">
        <is>
          <t>Jazz</t>
        </is>
      </c>
      <c r="G28" s="7" t="inlineStr">
        <is>
          <t>EXCHANGE VIZAG</t>
        </is>
      </c>
      <c r="H28" s="7" t="inlineStr">
        <is>
          <t>Captive</t>
        </is>
      </c>
      <c r="I28" s="7" t="inlineStr">
        <is>
          <t>Chukka Satish</t>
        </is>
      </c>
      <c r="J28" s="8" t="n">
        <v>2016</v>
      </c>
      <c r="K28" s="9" t="n">
        <v>41567</v>
      </c>
      <c r="L28" s="10" t="n">
        <v>327500</v>
      </c>
      <c r="M28" s="10" t="n">
        <v>10593.22</v>
      </c>
      <c r="N28" s="11">
        <f>IF(M28="","",ROUND(M28*1.18,2))</f>
        <v/>
      </c>
      <c r="O28" s="12">
        <f>IF(M28="","",ROUND(N28-M28,2))</f>
        <v/>
      </c>
      <c r="P28" s="13">
        <f>IF(AND(A28&lt;&gt;"",B28&lt;&gt;""), A28&amp;" · "&amp;B28, "")</f>
        <v/>
      </c>
    </row>
    <row r="29">
      <c r="A29" s="6" t="inlineStr">
        <is>
          <t>FY26</t>
        </is>
      </c>
      <c r="B29" s="6" t="inlineStr">
        <is>
          <t>Jan</t>
        </is>
      </c>
      <c r="C29" s="6" t="inlineStr">
        <is>
          <t>AP/TS</t>
        </is>
      </c>
      <c r="D29" s="7" t="inlineStr">
        <is>
          <t>AP31EP0888</t>
        </is>
      </c>
      <c r="E29" s="7" t="inlineStr">
        <is>
          <t>HONDA</t>
        </is>
      </c>
      <c r="F29" s="7" t="inlineStr">
        <is>
          <t>Amaze</t>
        </is>
      </c>
      <c r="G29" s="7" t="inlineStr">
        <is>
          <t>EXCHANGE VIZAG</t>
        </is>
      </c>
      <c r="H29" s="7" t="inlineStr">
        <is>
          <t>Captive</t>
        </is>
      </c>
      <c r="I29" s="7" t="inlineStr">
        <is>
          <t>Kaki Dinesh Kumar</t>
        </is>
      </c>
      <c r="J29" s="8" t="n">
        <v>2018</v>
      </c>
      <c r="K29" s="9" t="n">
        <v>85923</v>
      </c>
      <c r="L29" s="10" t="n">
        <v>400000</v>
      </c>
      <c r="M29" s="10" t="n">
        <v>12711.86</v>
      </c>
      <c r="N29" s="11">
        <f>IF(M29="","",ROUND(M29*1.18,2))</f>
        <v/>
      </c>
      <c r="O29" s="12">
        <f>IF(M29="","",ROUND(N29-M29,2))</f>
        <v/>
      </c>
      <c r="P29" s="13">
        <f>IF(AND(A29&lt;&gt;"",B29&lt;&gt;""), A29&amp;" · "&amp;B29, "")</f>
        <v/>
      </c>
    </row>
    <row r="30">
      <c r="A30" s="6" t="inlineStr">
        <is>
          <t>FY26</t>
        </is>
      </c>
      <c r="B30" s="6" t="inlineStr">
        <is>
          <t>Jan</t>
        </is>
      </c>
      <c r="C30" s="6" t="inlineStr">
        <is>
          <t>AP/TS</t>
        </is>
      </c>
      <c r="D30" s="7" t="inlineStr">
        <is>
          <t>AP31GG1370</t>
        </is>
      </c>
      <c r="E30" s="7" t="inlineStr">
        <is>
          <t>MARUTI SUZUKI</t>
        </is>
      </c>
      <c r="F30" s="7" t="inlineStr">
        <is>
          <t>Alto</t>
        </is>
      </c>
      <c r="G30" s="7" t="inlineStr">
        <is>
          <t>EXCHANGE VIZAG</t>
        </is>
      </c>
      <c r="H30" s="7" t="inlineStr">
        <is>
          <t>Captive</t>
        </is>
      </c>
      <c r="I30" s="7" t="inlineStr">
        <is>
          <t>K Sankar Rao</t>
        </is>
      </c>
      <c r="J30" s="8" t="n">
        <v>2013</v>
      </c>
      <c r="K30" s="9" t="n">
        <v>121072</v>
      </c>
      <c r="L30" s="10" t="n">
        <v>77000</v>
      </c>
      <c r="M30" s="10" t="n">
        <v>5932.2</v>
      </c>
      <c r="N30" s="11">
        <f>IF(M30="","",ROUND(M30*1.18,2))</f>
        <v/>
      </c>
      <c r="O30" s="12">
        <f>IF(M30="","",ROUND(N30-M30,2))</f>
        <v/>
      </c>
      <c r="P30" s="13">
        <f>IF(AND(A30&lt;&gt;"",B30&lt;&gt;""), A30&amp;" · "&amp;B30, "")</f>
        <v/>
      </c>
    </row>
    <row r="31">
      <c r="A31" s="6" t="inlineStr">
        <is>
          <t>FY26</t>
        </is>
      </c>
      <c r="B31" s="6" t="inlineStr">
        <is>
          <t>Jan</t>
        </is>
      </c>
      <c r="C31" s="6" t="inlineStr">
        <is>
          <t>AP/TS</t>
        </is>
      </c>
      <c r="D31" s="7" t="inlineStr">
        <is>
          <t>AP37AQ9009</t>
        </is>
      </c>
      <c r="E31" s="7" t="inlineStr">
        <is>
          <t>SKODA</t>
        </is>
      </c>
      <c r="F31" s="7" t="inlineStr">
        <is>
          <t>Laura</t>
        </is>
      </c>
      <c r="G31" s="7" t="inlineStr">
        <is>
          <t>T SRINIVAS</t>
        </is>
      </c>
      <c r="H31" s="7" t="inlineStr">
        <is>
          <t>Non-Captive</t>
        </is>
      </c>
      <c r="I31" s="7" t="inlineStr">
        <is>
          <t>Bhanu Chandar Singaraju</t>
        </is>
      </c>
      <c r="J31" s="8" t="n">
        <v>2007</v>
      </c>
      <c r="K31" s="9" t="n">
        <v>195828</v>
      </c>
      <c r="L31" s="10" t="n">
        <v>35000</v>
      </c>
      <c r="M31" s="10" t="n">
        <v>4237.29</v>
      </c>
      <c r="N31" s="11">
        <f>IF(M31="","",ROUND(M31*1.18,2))</f>
        <v/>
      </c>
      <c r="O31" s="12">
        <f>IF(M31="","",ROUND(N31-M31,2))</f>
        <v/>
      </c>
      <c r="P31" s="13">
        <f>IF(AND(A31&lt;&gt;"",B31&lt;&gt;""), A31&amp;" · "&amp;B31, "")</f>
        <v/>
      </c>
    </row>
    <row r="32">
      <c r="A32" s="6" t="inlineStr">
        <is>
          <t>FY26</t>
        </is>
      </c>
      <c r="B32" s="6" t="inlineStr">
        <is>
          <t>Jan</t>
        </is>
      </c>
      <c r="C32" s="6" t="inlineStr">
        <is>
          <t>AP/TS</t>
        </is>
      </c>
      <c r="D32" s="7" t="inlineStr">
        <is>
          <t>AP39HD1137</t>
        </is>
      </c>
      <c r="E32" s="7" t="inlineStr">
        <is>
          <t>MARUTI SUZUKI</t>
        </is>
      </c>
      <c r="F32" s="7" t="inlineStr">
        <is>
          <t>Swift</t>
        </is>
      </c>
      <c r="G32" s="7" t="inlineStr">
        <is>
          <t>EXCHANGE VIJAYAWADA</t>
        </is>
      </c>
      <c r="H32" s="7" t="inlineStr">
        <is>
          <t>Captive</t>
        </is>
      </c>
      <c r="I32" s="7" t="inlineStr">
        <is>
          <t>Chegudi Manoj Kumar</t>
        </is>
      </c>
      <c r="J32" s="8" t="n">
        <v>2020</v>
      </c>
      <c r="K32" s="9" t="n">
        <v>74111</v>
      </c>
      <c r="L32" s="10" t="n">
        <v>470000</v>
      </c>
      <c r="M32" s="10" t="n">
        <v>8474.58</v>
      </c>
      <c r="N32" s="11">
        <f>IF(M32="","",ROUND(M32*1.18,2))</f>
        <v/>
      </c>
      <c r="O32" s="12">
        <f>IF(M32="","",ROUND(N32-M32,2))</f>
        <v/>
      </c>
      <c r="P32" s="13">
        <f>IF(AND(A32&lt;&gt;"",B32&lt;&gt;""), A32&amp;" · "&amp;B32, "")</f>
        <v/>
      </c>
    </row>
    <row r="33">
      <c r="A33" s="6" t="inlineStr">
        <is>
          <t>FY26</t>
        </is>
      </c>
      <c r="B33" s="6" t="inlineStr">
        <is>
          <t>Jan</t>
        </is>
      </c>
      <c r="C33" s="6" t="inlineStr">
        <is>
          <t>AP/TS</t>
        </is>
      </c>
      <c r="D33" s="7" t="inlineStr">
        <is>
          <t>AP39JV0286</t>
        </is>
      </c>
      <c r="E33" s="7" t="inlineStr">
        <is>
          <t>TATA</t>
        </is>
      </c>
      <c r="F33" s="7" t="inlineStr">
        <is>
          <t>Tiago</t>
        </is>
      </c>
      <c r="G33" s="7" t="inlineStr">
        <is>
          <t>EXCHANGE VIJAYAWADA</t>
        </is>
      </c>
      <c r="H33" s="7" t="inlineStr">
        <is>
          <t>Captive</t>
        </is>
      </c>
      <c r="I33" s="7" t="inlineStr">
        <is>
          <t>Naga Suresh Polukonda</t>
        </is>
      </c>
      <c r="J33" s="8" t="n">
        <v>2021</v>
      </c>
      <c r="K33" s="9" t="n">
        <v>58833</v>
      </c>
      <c r="L33" s="10" t="n">
        <v>335000</v>
      </c>
      <c r="M33" s="10" t="n">
        <v>8474.58</v>
      </c>
      <c r="N33" s="11">
        <f>IF(M33="","",ROUND(M33*1.18,2))</f>
        <v/>
      </c>
      <c r="O33" s="12">
        <f>IF(M33="","",ROUND(N33-M33,2))</f>
        <v/>
      </c>
      <c r="P33" s="13">
        <f>IF(AND(A33&lt;&gt;"",B33&lt;&gt;""), A33&amp;" · "&amp;B33, "")</f>
        <v/>
      </c>
    </row>
    <row r="34">
      <c r="A34" s="6" t="inlineStr">
        <is>
          <t>FY26</t>
        </is>
      </c>
      <c r="B34" s="6" t="inlineStr">
        <is>
          <t>Jan</t>
        </is>
      </c>
      <c r="C34" s="6" t="inlineStr">
        <is>
          <t>AP/TS</t>
        </is>
      </c>
      <c r="D34" s="7" t="inlineStr">
        <is>
          <t>AP39MQ7824</t>
        </is>
      </c>
      <c r="E34" s="7" t="inlineStr">
        <is>
          <t>TATA</t>
        </is>
      </c>
      <c r="F34" s="7" t="inlineStr">
        <is>
          <t>Tiago</t>
        </is>
      </c>
      <c r="G34" s="7" t="inlineStr">
        <is>
          <t>EXCHANGE VIJAYAWADA</t>
        </is>
      </c>
      <c r="H34" s="7" t="inlineStr">
        <is>
          <t>Captive</t>
        </is>
      </c>
      <c r="I34" s="7" t="inlineStr">
        <is>
          <t>Suresh Ginjupalli</t>
        </is>
      </c>
      <c r="J34" s="8" t="n">
        <v>2022</v>
      </c>
      <c r="K34" s="9" t="n">
        <v>34768</v>
      </c>
      <c r="L34" s="10" t="n">
        <v>365000</v>
      </c>
      <c r="M34" s="10" t="n">
        <v>8474.58</v>
      </c>
      <c r="N34" s="11">
        <f>IF(M34="","",ROUND(M34*1.18,2))</f>
        <v/>
      </c>
      <c r="O34" s="12">
        <f>IF(M34="","",ROUND(N34-M34,2))</f>
        <v/>
      </c>
      <c r="P34" s="13">
        <f>IF(AND(A34&lt;&gt;"",B34&lt;&gt;""), A34&amp;" · "&amp;B34, "")</f>
        <v/>
      </c>
    </row>
    <row r="35">
      <c r="A35" s="6" t="inlineStr">
        <is>
          <t>FY26</t>
        </is>
      </c>
      <c r="B35" s="6" t="inlineStr">
        <is>
          <t>Jan</t>
        </is>
      </c>
      <c r="C35" s="6" t="inlineStr">
        <is>
          <t>AP/TS</t>
        </is>
      </c>
      <c r="D35" s="7" t="inlineStr">
        <is>
          <t>AP39QR1645</t>
        </is>
      </c>
      <c r="E35" s="7" t="inlineStr">
        <is>
          <t>HONDA</t>
        </is>
      </c>
      <c r="F35" s="7" t="inlineStr">
        <is>
          <t>WR-V</t>
        </is>
      </c>
      <c r="G35" s="7" t="inlineStr">
        <is>
          <t>EXCHANGE VIJAYAWADA</t>
        </is>
      </c>
      <c r="H35" s="7" t="inlineStr">
        <is>
          <t>Captive</t>
        </is>
      </c>
      <c r="I35" s="7" t="inlineStr">
        <is>
          <t>D Avinash</t>
        </is>
      </c>
      <c r="J35" s="8" t="n">
        <v>2022</v>
      </c>
      <c r="K35" s="9" t="n">
        <v>32037</v>
      </c>
      <c r="L35" s="10" t="n">
        <v>510000</v>
      </c>
      <c r="M35" s="10" t="n">
        <v>8474.58</v>
      </c>
      <c r="N35" s="11">
        <f>IF(M35="","",ROUND(M35*1.18,2))</f>
        <v/>
      </c>
      <c r="O35" s="12">
        <f>IF(M35="","",ROUND(N35-M35,2))</f>
        <v/>
      </c>
      <c r="P35" s="13">
        <f>IF(AND(A35&lt;&gt;"",B35&lt;&gt;""), A35&amp;" · "&amp;B35, "")</f>
        <v/>
      </c>
    </row>
    <row r="36">
      <c r="A36" s="6" t="inlineStr">
        <is>
          <t>FY26</t>
        </is>
      </c>
      <c r="B36" s="6" t="inlineStr">
        <is>
          <t>Jan</t>
        </is>
      </c>
      <c r="C36" s="6" t="inlineStr">
        <is>
          <t>AP/TS</t>
        </is>
      </c>
      <c r="D36" s="7" t="inlineStr">
        <is>
          <t>TS07FP7214</t>
        </is>
      </c>
      <c r="E36" s="7" t="inlineStr">
        <is>
          <t>RENAULT</t>
        </is>
      </c>
      <c r="F36" s="7" t="inlineStr">
        <is>
          <t>Kwid</t>
        </is>
      </c>
      <c r="G36" s="7" t="inlineStr">
        <is>
          <t>EXCHANGE HYDERABAD</t>
        </is>
      </c>
      <c r="H36" s="7" t="inlineStr">
        <is>
          <t>Captive</t>
        </is>
      </c>
      <c r="I36" s="7" t="inlineStr">
        <is>
          <t>Abdul Mugees</t>
        </is>
      </c>
      <c r="J36" s="8" t="n">
        <v>2017</v>
      </c>
      <c r="K36" s="9" t="n">
        <v>58144</v>
      </c>
      <c r="L36" s="10" t="n">
        <v>182500</v>
      </c>
      <c r="M36" s="10" t="n">
        <v>4237.29</v>
      </c>
      <c r="N36" s="11">
        <f>IF(M36="","",ROUND(M36*1.18,2))</f>
        <v/>
      </c>
      <c r="O36" s="12">
        <f>IF(M36="","",ROUND(N36-M36,2))</f>
        <v/>
      </c>
      <c r="P36" s="13">
        <f>IF(AND(A36&lt;&gt;"",B36&lt;&gt;""), A36&amp;" · "&amp;B36, "")</f>
        <v/>
      </c>
    </row>
    <row r="37">
      <c r="A37" s="6" t="inlineStr">
        <is>
          <t>FY26</t>
        </is>
      </c>
      <c r="B37" s="6" t="inlineStr">
        <is>
          <t>Jan</t>
        </is>
      </c>
      <c r="C37" s="6" t="inlineStr">
        <is>
          <t>AP/TS</t>
        </is>
      </c>
      <c r="D37" s="7" t="inlineStr">
        <is>
          <t>TS08GV4028</t>
        </is>
      </c>
      <c r="E37" s="7" t="inlineStr">
        <is>
          <t>HONDA</t>
        </is>
      </c>
      <c r="F37" s="7" t="inlineStr">
        <is>
          <t>Amaze</t>
        </is>
      </c>
      <c r="G37" s="7" t="inlineStr">
        <is>
          <t>EXCHANGE HYDERABAD</t>
        </is>
      </c>
      <c r="H37" s="7" t="inlineStr">
        <is>
          <t>Captive</t>
        </is>
      </c>
      <c r="I37" s="7" t="inlineStr">
        <is>
          <t>Ganothula Brahma Reddy</t>
        </is>
      </c>
      <c r="J37" s="8" t="n">
        <v>2019</v>
      </c>
      <c r="K37" s="9" t="n">
        <v>74555</v>
      </c>
      <c r="L37" s="10" t="n">
        <v>380000</v>
      </c>
      <c r="M37" s="10" t="n">
        <v>8474.58</v>
      </c>
      <c r="N37" s="11">
        <f>IF(M37="","",ROUND(M37*1.18,2))</f>
        <v/>
      </c>
      <c r="O37" s="12">
        <f>IF(M37="","",ROUND(N37-M37,2))</f>
        <v/>
      </c>
      <c r="P37" s="13">
        <f>IF(AND(A37&lt;&gt;"",B37&lt;&gt;""), A37&amp;" · "&amp;B37, "")</f>
        <v/>
      </c>
    </row>
    <row r="38">
      <c r="A38" s="6" t="inlineStr">
        <is>
          <t>FY26</t>
        </is>
      </c>
      <c r="B38" s="6" t="inlineStr">
        <is>
          <t>Jan</t>
        </is>
      </c>
      <c r="C38" s="6" t="inlineStr">
        <is>
          <t>AP/TS</t>
        </is>
      </c>
      <c r="D38" s="7" t="inlineStr">
        <is>
          <t>TS09EB2697</t>
        </is>
      </c>
      <c r="E38" s="7" t="inlineStr">
        <is>
          <t>HONDA</t>
        </is>
      </c>
      <c r="F38" s="7" t="inlineStr">
        <is>
          <t>City</t>
        </is>
      </c>
      <c r="G38" s="7" t="inlineStr">
        <is>
          <t>EXCHANGE HYDERABAD</t>
        </is>
      </c>
      <c r="H38" s="7" t="inlineStr">
        <is>
          <t>Captive</t>
        </is>
      </c>
      <c r="I38" s="7" t="inlineStr">
        <is>
          <t>Uppari Sandeep Kumar</t>
        </is>
      </c>
      <c r="J38" s="8" t="n">
        <v>2014</v>
      </c>
      <c r="K38" s="9" t="n">
        <v>158986</v>
      </c>
      <c r="L38" s="10" t="n">
        <v>265000</v>
      </c>
      <c r="M38" s="10" t="n">
        <v>8474.58</v>
      </c>
      <c r="N38" s="11">
        <f>IF(M38="","",ROUND(M38*1.18,2))</f>
        <v/>
      </c>
      <c r="O38" s="12">
        <f>IF(M38="","",ROUND(N38-M38,2))</f>
        <v/>
      </c>
      <c r="P38" s="13">
        <f>IF(AND(A38&lt;&gt;"",B38&lt;&gt;""), A38&amp;" · "&amp;B38, "")</f>
        <v/>
      </c>
    </row>
    <row r="39">
      <c r="A39" s="6" t="inlineStr">
        <is>
          <t>FY26</t>
        </is>
      </c>
      <c r="B39" s="6" t="inlineStr">
        <is>
          <t>Jan</t>
        </is>
      </c>
      <c r="C39" s="6" t="inlineStr">
        <is>
          <t>AP/TS</t>
        </is>
      </c>
      <c r="D39" s="7" t="inlineStr">
        <is>
          <t>TS09EY7211</t>
        </is>
      </c>
      <c r="E39" s="7" t="inlineStr">
        <is>
          <t>NISSAN</t>
        </is>
      </c>
      <c r="F39" s="7" t="inlineStr">
        <is>
          <t>Micra</t>
        </is>
      </c>
      <c r="G39" s="7" t="inlineStr">
        <is>
          <t>EXCHANGE HYDERABAD</t>
        </is>
      </c>
      <c r="H39" s="7" t="inlineStr">
        <is>
          <t>Captive</t>
        </is>
      </c>
      <c r="I39" s="7" t="inlineStr">
        <is>
          <t>Viswanadhapalli Aravind</t>
        </is>
      </c>
      <c r="J39" s="8" t="n">
        <v>2017</v>
      </c>
      <c r="K39" s="9" t="n">
        <v>113473</v>
      </c>
      <c r="L39" s="10" t="n">
        <v>190000</v>
      </c>
      <c r="M39" s="10" t="n">
        <v>8474.58</v>
      </c>
      <c r="N39" s="11">
        <f>IF(M39="","",ROUND(M39*1.18,2))</f>
        <v/>
      </c>
      <c r="O39" s="12">
        <f>IF(M39="","",ROUND(N39-M39,2))</f>
        <v/>
      </c>
      <c r="P39" s="13">
        <f>IF(AND(A39&lt;&gt;"",B39&lt;&gt;""), A39&amp;" · "&amp;B39, "")</f>
        <v/>
      </c>
    </row>
    <row r="40">
      <c r="A40" s="6" t="inlineStr">
        <is>
          <t>FY26</t>
        </is>
      </c>
      <c r="B40" s="6" t="inlineStr">
        <is>
          <t>Jan</t>
        </is>
      </c>
      <c r="C40" s="6" t="inlineStr">
        <is>
          <t>AP/TS</t>
        </is>
      </c>
      <c r="D40" s="7" t="inlineStr">
        <is>
          <t>TS11EC4656</t>
        </is>
      </c>
      <c r="E40" s="7" t="inlineStr">
        <is>
          <t>HONDA</t>
        </is>
      </c>
      <c r="F40" s="7" t="inlineStr">
        <is>
          <t>Amaze</t>
        </is>
      </c>
      <c r="G40" s="7" t="inlineStr">
        <is>
          <t>EXCHANGE HYDERABAD</t>
        </is>
      </c>
      <c r="H40" s="7" t="inlineStr">
        <is>
          <t>Captive</t>
        </is>
      </c>
      <c r="I40" s="7" t="inlineStr">
        <is>
          <t>Puneet Gupta</t>
        </is>
      </c>
      <c r="J40" s="8" t="n">
        <v>2015</v>
      </c>
      <c r="K40" s="9" t="n">
        <v>178445</v>
      </c>
      <c r="L40" s="10" t="n">
        <v>215000</v>
      </c>
      <c r="M40" s="10" t="n">
        <v>8474.58</v>
      </c>
      <c r="N40" s="11">
        <f>IF(M40="","",ROUND(M40*1.18,2))</f>
        <v/>
      </c>
      <c r="O40" s="12">
        <f>IF(M40="","",ROUND(N40-M40,2))</f>
        <v/>
      </c>
      <c r="P40" s="13">
        <f>IF(AND(A40&lt;&gt;"",B40&lt;&gt;""), A40&amp;" · "&amp;B40, "")</f>
        <v/>
      </c>
    </row>
    <row r="41">
      <c r="A41" s="6" t="inlineStr">
        <is>
          <t>FY26</t>
        </is>
      </c>
      <c r="B41" s="6" t="inlineStr">
        <is>
          <t>Jan</t>
        </is>
      </c>
      <c r="C41" s="6" t="inlineStr">
        <is>
          <t>AP/TS</t>
        </is>
      </c>
      <c r="D41" s="7" t="inlineStr">
        <is>
          <t>TS11EW5291</t>
        </is>
      </c>
      <c r="E41" s="7" t="inlineStr">
        <is>
          <t>RENAULT</t>
        </is>
      </c>
      <c r="F41" s="7" t="inlineStr">
        <is>
          <t>Kiger</t>
        </is>
      </c>
      <c r="G41" s="7" t="inlineStr">
        <is>
          <t>EXCHANGE HYDERABAD</t>
        </is>
      </c>
      <c r="H41" s="7" t="inlineStr">
        <is>
          <t>Captive</t>
        </is>
      </c>
      <c r="I41" s="7" t="inlineStr">
        <is>
          <t>Odapally Sandeep</t>
        </is>
      </c>
      <c r="J41" s="8" t="n">
        <v>2021</v>
      </c>
      <c r="K41" s="9" t="n">
        <v>40558</v>
      </c>
      <c r="L41" s="10" t="n">
        <v>425000</v>
      </c>
      <c r="M41" s="10" t="n">
        <v>4237.29</v>
      </c>
      <c r="N41" s="11">
        <f>IF(M41="","",ROUND(M41*1.18,2))</f>
        <v/>
      </c>
      <c r="O41" s="12">
        <f>IF(M41="","",ROUND(N41-M41,2))</f>
        <v/>
      </c>
      <c r="P41" s="13">
        <f>IF(AND(A41&lt;&gt;"",B41&lt;&gt;""), A41&amp;" · "&amp;B41, "")</f>
        <v/>
      </c>
    </row>
    <row r="42">
      <c r="A42" s="6" t="inlineStr">
        <is>
          <t>FY26</t>
        </is>
      </c>
      <c r="B42" s="6" t="inlineStr">
        <is>
          <t>Jan</t>
        </is>
      </c>
      <c r="C42" s="6" t="inlineStr">
        <is>
          <t>Kerala</t>
        </is>
      </c>
      <c r="D42" s="7" t="inlineStr">
        <is>
          <t>KL01AX2527</t>
        </is>
      </c>
      <c r="E42" s="7" t="inlineStr">
        <is>
          <t>HYUNDAI</t>
        </is>
      </c>
      <c r="F42" s="7" t="inlineStr">
        <is>
          <t>i20</t>
        </is>
      </c>
      <c r="G42" s="7" t="inlineStr">
        <is>
          <t>EVM SKODA</t>
        </is>
      </c>
      <c r="H42" s="7" t="inlineStr">
        <is>
          <t>Non-Captive</t>
        </is>
      </c>
      <c r="I42" s="7" t="inlineStr">
        <is>
          <t>G M MOTORS</t>
        </is>
      </c>
      <c r="J42" s="8" t="n"/>
      <c r="K42" s="9" t="n">
        <v>128000</v>
      </c>
      <c r="L42" s="10" t="n">
        <v>90000</v>
      </c>
      <c r="M42" s="10" t="n">
        <v>8474.58</v>
      </c>
      <c r="N42" s="11">
        <f>IF(M42="","",ROUND(M42*1.18,2))</f>
        <v/>
      </c>
      <c r="O42" s="12">
        <f>IF(M42="","",ROUND(N42-M42,2))</f>
        <v/>
      </c>
      <c r="P42" s="13">
        <f>IF(AND(A42&lt;&gt;"",B42&lt;&gt;""), A42&amp;" · "&amp;B42, "")</f>
        <v/>
      </c>
    </row>
    <row r="43">
      <c r="A43" s="6" t="inlineStr">
        <is>
          <t>FY26</t>
        </is>
      </c>
      <c r="B43" s="6" t="inlineStr">
        <is>
          <t>Jan</t>
        </is>
      </c>
      <c r="C43" s="6" t="inlineStr">
        <is>
          <t>Kerala</t>
        </is>
      </c>
      <c r="D43" s="7" t="inlineStr">
        <is>
          <t>KL01BB4909</t>
        </is>
      </c>
      <c r="E43" s="7" t="inlineStr">
        <is>
          <t>MARUTI SUZUKI</t>
        </is>
      </c>
      <c r="F43" s="7" t="inlineStr">
        <is>
          <t>Alto</t>
        </is>
      </c>
      <c r="G43" s="7" t="inlineStr">
        <is>
          <t>POPULAR MARUTI</t>
        </is>
      </c>
      <c r="H43" s="7" t="inlineStr">
        <is>
          <t>Non-Captive</t>
        </is>
      </c>
      <c r="I43" s="7" t="inlineStr">
        <is>
          <t>ARAVIND</t>
        </is>
      </c>
      <c r="J43" s="8" t="n"/>
      <c r="K43" s="9" t="n">
        <v>85000</v>
      </c>
      <c r="L43" s="10" t="n">
        <v>70000</v>
      </c>
      <c r="M43" s="10" t="n">
        <v>6779.66</v>
      </c>
      <c r="N43" s="11">
        <f>IF(M43="","",ROUND(M43*1.18,2))</f>
        <v/>
      </c>
      <c r="O43" s="12">
        <f>IF(M43="","",ROUND(N43-M43,2))</f>
        <v/>
      </c>
      <c r="P43" s="13">
        <f>IF(AND(A43&lt;&gt;"",B43&lt;&gt;""), A43&amp;" · "&amp;B43, "")</f>
        <v/>
      </c>
    </row>
    <row r="44">
      <c r="A44" s="6" t="inlineStr">
        <is>
          <t>FY26</t>
        </is>
      </c>
      <c r="B44" s="6" t="inlineStr">
        <is>
          <t>Jan</t>
        </is>
      </c>
      <c r="C44" s="6" t="inlineStr">
        <is>
          <t>Kerala</t>
        </is>
      </c>
      <c r="D44" s="7" t="inlineStr">
        <is>
          <t>KL01BB7667</t>
        </is>
      </c>
      <c r="E44" s="7" t="inlineStr">
        <is>
          <t>HYUNDAI</t>
        </is>
      </c>
      <c r="F44" s="7" t="inlineStr">
        <is>
          <t>i10</t>
        </is>
      </c>
      <c r="G44" s="7" t="inlineStr">
        <is>
          <t>POPULAR HYUNDAI</t>
        </is>
      </c>
      <c r="H44" s="7" t="inlineStr">
        <is>
          <t>Non-Captive</t>
        </is>
      </c>
      <c r="I44" s="7" t="inlineStr">
        <is>
          <t>DINESH P S</t>
        </is>
      </c>
      <c r="J44" s="8" t="n"/>
      <c r="K44" s="9" t="n">
        <v>109471</v>
      </c>
      <c r="L44" s="10" t="n">
        <v>82000</v>
      </c>
      <c r="M44" s="10" t="n">
        <v>6779.66</v>
      </c>
      <c r="N44" s="11">
        <f>IF(M44="","",ROUND(M44*1.18,2))</f>
        <v/>
      </c>
      <c r="O44" s="12">
        <f>IF(M44="","",ROUND(N44-M44,2))</f>
        <v/>
      </c>
      <c r="P44" s="13">
        <f>IF(AND(A44&lt;&gt;"",B44&lt;&gt;""), A44&amp;" · "&amp;B44, "")</f>
        <v/>
      </c>
    </row>
    <row r="45">
      <c r="A45" s="6" t="inlineStr">
        <is>
          <t>FY26</t>
        </is>
      </c>
      <c r="B45" s="6" t="inlineStr">
        <is>
          <t>Jan</t>
        </is>
      </c>
      <c r="C45" s="6" t="inlineStr">
        <is>
          <t>Kerala</t>
        </is>
      </c>
      <c r="D45" s="7" t="inlineStr">
        <is>
          <t>KL01BE2793</t>
        </is>
      </c>
      <c r="E45" s="7" t="inlineStr">
        <is>
          <t>MARUTI SUZUKI</t>
        </is>
      </c>
      <c r="F45" s="7" t="inlineStr">
        <is>
          <t>Omni</t>
        </is>
      </c>
      <c r="G45" s="7" t="inlineStr">
        <is>
          <t>POPULAR MARUTI</t>
        </is>
      </c>
      <c r="H45" s="7" t="inlineStr">
        <is>
          <t>Non-Captive</t>
        </is>
      </c>
      <c r="I45" s="7" t="inlineStr">
        <is>
          <t>SATHOSH</t>
        </is>
      </c>
      <c r="J45" s="8" t="n"/>
      <c r="K45" s="9" t="n">
        <v>75000</v>
      </c>
      <c r="L45" s="10" t="n">
        <v>55000</v>
      </c>
      <c r="M45" s="10" t="n">
        <v>5932.2</v>
      </c>
      <c r="N45" s="11">
        <f>IF(M45="","",ROUND(M45*1.18,2))</f>
        <v/>
      </c>
      <c r="O45" s="12">
        <f>IF(M45="","",ROUND(N45-M45,2))</f>
        <v/>
      </c>
      <c r="P45" s="13">
        <f>IF(AND(A45&lt;&gt;"",B45&lt;&gt;""), A45&amp;" · "&amp;B45, "")</f>
        <v/>
      </c>
    </row>
    <row r="46">
      <c r="A46" s="6" t="inlineStr">
        <is>
          <t>FY26</t>
        </is>
      </c>
      <c r="B46" s="6" t="inlineStr">
        <is>
          <t>Jan</t>
        </is>
      </c>
      <c r="C46" s="6" t="inlineStr">
        <is>
          <t>Kerala</t>
        </is>
      </c>
      <c r="D46" s="7" t="inlineStr">
        <is>
          <t>KL01BG0667</t>
        </is>
      </c>
      <c r="E46" s="7" t="inlineStr">
        <is>
          <t>MARUTI SUZUKI</t>
        </is>
      </c>
      <c r="F46" s="7" t="inlineStr">
        <is>
          <t>Alto</t>
        </is>
      </c>
      <c r="G46" s="7" t="inlineStr">
        <is>
          <t>POPULAR MARUTI</t>
        </is>
      </c>
      <c r="H46" s="7" t="inlineStr">
        <is>
          <t>Non-Captive</t>
        </is>
      </c>
      <c r="I46" s="7" t="inlineStr">
        <is>
          <t>RATHEESH</t>
        </is>
      </c>
      <c r="J46" s="8" t="n"/>
      <c r="K46" s="9" t="n">
        <v>46540</v>
      </c>
      <c r="L46" s="10" t="n">
        <v>90000</v>
      </c>
      <c r="M46" s="10" t="n">
        <v>4661.02</v>
      </c>
      <c r="N46" s="11">
        <f>IF(M46="","",ROUND(M46*1.18,2))</f>
        <v/>
      </c>
      <c r="O46" s="12">
        <f>IF(M46="","",ROUND(N46-M46,2))</f>
        <v/>
      </c>
      <c r="P46" s="13">
        <f>IF(AND(A46&lt;&gt;"",B46&lt;&gt;""), A46&amp;" · "&amp;B46, "")</f>
        <v/>
      </c>
    </row>
    <row r="47">
      <c r="A47" s="6" t="inlineStr">
        <is>
          <t>FY26</t>
        </is>
      </c>
      <c r="B47" s="6" t="inlineStr">
        <is>
          <t>Jan</t>
        </is>
      </c>
      <c r="C47" s="6" t="inlineStr">
        <is>
          <t>Kerala</t>
        </is>
      </c>
      <c r="D47" s="7" t="inlineStr">
        <is>
          <t>KL01BN8919</t>
        </is>
      </c>
      <c r="E47" s="7" t="inlineStr">
        <is>
          <t>HYUNDAI</t>
        </is>
      </c>
      <c r="F47" s="7" t="inlineStr">
        <is>
          <t>Eon</t>
        </is>
      </c>
      <c r="G47" s="7" t="inlineStr">
        <is>
          <t>FORTUNE MG</t>
        </is>
      </c>
      <c r="H47" s="7" t="inlineStr">
        <is>
          <t>Non-Captive</t>
        </is>
      </c>
      <c r="I47" s="7" t="inlineStr">
        <is>
          <t>RAHUL</t>
        </is>
      </c>
      <c r="J47" s="8" t="n"/>
      <c r="K47" s="9" t="n">
        <v>28400</v>
      </c>
      <c r="L47" s="10" t="n">
        <v>95000</v>
      </c>
      <c r="M47" s="10" t="n">
        <v>6779.66</v>
      </c>
      <c r="N47" s="11">
        <f>IF(M47="","",ROUND(M47*1.18,2))</f>
        <v/>
      </c>
      <c r="O47" s="12">
        <f>IF(M47="","",ROUND(N47-M47,2))</f>
        <v/>
      </c>
      <c r="P47" s="13">
        <f>IF(AND(A47&lt;&gt;"",B47&lt;&gt;""), A47&amp;" · "&amp;B47, "")</f>
        <v/>
      </c>
    </row>
    <row r="48">
      <c r="A48" s="6" t="inlineStr">
        <is>
          <t>FY26</t>
        </is>
      </c>
      <c r="B48" s="6" t="inlineStr">
        <is>
          <t>Jan</t>
        </is>
      </c>
      <c r="C48" s="6" t="inlineStr">
        <is>
          <t>Kerala</t>
        </is>
      </c>
      <c r="D48" s="7" t="inlineStr">
        <is>
          <t>KL01BU1819</t>
        </is>
      </c>
      <c r="E48" s="7" t="inlineStr">
        <is>
          <t>MAHINDRA</t>
        </is>
      </c>
      <c r="F48" s="7" t="inlineStr">
        <is>
          <t>XUV300</t>
        </is>
      </c>
      <c r="G48" s="7" t="inlineStr">
        <is>
          <t>SANTHOSH</t>
        </is>
      </c>
      <c r="H48" s="7" t="inlineStr">
        <is>
          <t>Non-Captive</t>
        </is>
      </c>
      <c r="I48" s="7" t="inlineStr">
        <is>
          <t>POPULAR MARUTI</t>
        </is>
      </c>
      <c r="J48" s="8" t="n"/>
      <c r="K48" s="9" t="n">
        <v>135000</v>
      </c>
      <c r="L48" s="10" t="n">
        <v>460000</v>
      </c>
      <c r="M48" s="10" t="n">
        <v>6779.66</v>
      </c>
      <c r="N48" s="11">
        <f>IF(M48="","",ROUND(M48*1.18,2))</f>
        <v/>
      </c>
      <c r="O48" s="12">
        <f>IF(M48="","",ROUND(N48-M48,2))</f>
        <v/>
      </c>
      <c r="P48" s="13">
        <f>IF(AND(A48&lt;&gt;"",B48&lt;&gt;""), A48&amp;" · "&amp;B48, "")</f>
        <v/>
      </c>
    </row>
    <row r="49">
      <c r="A49" s="6" t="inlineStr">
        <is>
          <t>FY26</t>
        </is>
      </c>
      <c r="B49" s="6" t="inlineStr">
        <is>
          <t>Jan</t>
        </is>
      </c>
      <c r="C49" s="6" t="inlineStr">
        <is>
          <t>Kerala</t>
        </is>
      </c>
      <c r="D49" s="7" t="inlineStr">
        <is>
          <t>KL01BZ0870</t>
        </is>
      </c>
      <c r="E49" s="7" t="inlineStr">
        <is>
          <t>RENAULT</t>
        </is>
      </c>
      <c r="F49" s="7" t="inlineStr">
        <is>
          <t>Kwid</t>
        </is>
      </c>
      <c r="G49" s="7" t="inlineStr">
        <is>
          <t>ARAVIND</t>
        </is>
      </c>
      <c r="H49" s="7" t="inlineStr">
        <is>
          <t>Non-Captive</t>
        </is>
      </c>
      <c r="I49" s="7" t="inlineStr">
        <is>
          <t>REFERENCE</t>
        </is>
      </c>
      <c r="J49" s="8" t="n"/>
      <c r="K49" s="9" t="n">
        <v>28990</v>
      </c>
      <c r="L49" s="10" t="n">
        <v>160000</v>
      </c>
      <c r="M49" s="10" t="n">
        <v>5084.75</v>
      </c>
      <c r="N49" s="11">
        <f>IF(M49="","",ROUND(M49*1.18,2))</f>
        <v/>
      </c>
      <c r="O49" s="12">
        <f>IF(M49="","",ROUND(N49-M49,2))</f>
        <v/>
      </c>
      <c r="P49" s="13">
        <f>IF(AND(A49&lt;&gt;"",B49&lt;&gt;""), A49&amp;" · "&amp;B49, "")</f>
        <v/>
      </c>
    </row>
    <row r="50">
      <c r="A50" s="6" t="inlineStr">
        <is>
          <t>FY26</t>
        </is>
      </c>
      <c r="B50" s="6" t="inlineStr">
        <is>
          <t>Jan</t>
        </is>
      </c>
      <c r="C50" s="6" t="inlineStr">
        <is>
          <t>Kerala</t>
        </is>
      </c>
      <c r="D50" s="7" t="inlineStr">
        <is>
          <t>KL01CQ4731</t>
        </is>
      </c>
      <c r="E50" s="7" t="inlineStr">
        <is>
          <t>MARUTI SUZUKI</t>
        </is>
      </c>
      <c r="F50" s="7" t="inlineStr">
        <is>
          <t>Dzire</t>
        </is>
      </c>
      <c r="G50" s="7" t="inlineStr">
        <is>
          <t>ATHEN MARUTI</t>
        </is>
      </c>
      <c r="H50" s="7" t="inlineStr">
        <is>
          <t>Non-Captive</t>
        </is>
      </c>
      <c r="I50" s="7" t="inlineStr">
        <is>
          <t>ROSHAN</t>
        </is>
      </c>
      <c r="J50" s="8" t="n"/>
      <c r="K50" s="9" t="n">
        <v>77840</v>
      </c>
      <c r="L50" s="10" t="n">
        <v>450000</v>
      </c>
      <c r="M50" s="10" t="n">
        <v>8474.58</v>
      </c>
      <c r="N50" s="11">
        <f>IF(M50="","",ROUND(M50*1.18,2))</f>
        <v/>
      </c>
      <c r="O50" s="12">
        <f>IF(M50="","",ROUND(N50-M50,2))</f>
        <v/>
      </c>
      <c r="P50" s="13">
        <f>IF(AND(A50&lt;&gt;"",B50&lt;&gt;""), A50&amp;" · "&amp;B50, "")</f>
        <v/>
      </c>
    </row>
    <row r="51">
      <c r="A51" s="6" t="inlineStr">
        <is>
          <t>FY26</t>
        </is>
      </c>
      <c r="B51" s="6" t="inlineStr">
        <is>
          <t>Jan</t>
        </is>
      </c>
      <c r="C51" s="6" t="inlineStr">
        <is>
          <t>Kerala</t>
        </is>
      </c>
      <c r="D51" s="7" t="inlineStr">
        <is>
          <t>KL01CQ9988</t>
        </is>
      </c>
      <c r="E51" s="7" t="inlineStr">
        <is>
          <t>MARUTI SUZUKI</t>
        </is>
      </c>
      <c r="F51" s="7" t="inlineStr">
        <is>
          <t>Dzire</t>
        </is>
      </c>
      <c r="G51" s="7" t="inlineStr">
        <is>
          <t>KAIRALI TOYOTA</t>
        </is>
      </c>
      <c r="H51" s="7" t="inlineStr">
        <is>
          <t>Non-Captive</t>
        </is>
      </c>
      <c r="I51" s="7" t="inlineStr">
        <is>
          <t>BINIL</t>
        </is>
      </c>
      <c r="J51" s="8" t="n"/>
      <c r="K51" s="9" t="n">
        <v>37700</v>
      </c>
      <c r="L51" s="10" t="n">
        <v>525000</v>
      </c>
      <c r="M51" s="10" t="n">
        <v>6779.66</v>
      </c>
      <c r="N51" s="11">
        <f>IF(M51="","",ROUND(M51*1.18,2))</f>
        <v/>
      </c>
      <c r="O51" s="12">
        <f>IF(M51="","",ROUND(N51-M51,2))</f>
        <v/>
      </c>
      <c r="P51" s="13">
        <f>IF(AND(A51&lt;&gt;"",B51&lt;&gt;""), A51&amp;" · "&amp;B51, "")</f>
        <v/>
      </c>
    </row>
    <row r="52">
      <c r="A52" s="6" t="inlineStr">
        <is>
          <t>FY26</t>
        </is>
      </c>
      <c r="B52" s="6" t="inlineStr">
        <is>
          <t>Jan</t>
        </is>
      </c>
      <c r="C52" s="6" t="inlineStr">
        <is>
          <t>Kerala</t>
        </is>
      </c>
      <c r="D52" s="7" t="inlineStr">
        <is>
          <t>KL01CT1901</t>
        </is>
      </c>
      <c r="E52" s="7" t="inlineStr">
        <is>
          <t>VOLKSWAGEN</t>
        </is>
      </c>
      <c r="F52" s="7" t="inlineStr">
        <is>
          <t>Taigun</t>
        </is>
      </c>
      <c r="G52" s="7" t="inlineStr">
        <is>
          <t>PHOENIX VOLKSWAGEN</t>
        </is>
      </c>
      <c r="H52" s="7" t="inlineStr">
        <is>
          <t>Non-Captive</t>
        </is>
      </c>
      <c r="I52" s="7" t="inlineStr">
        <is>
          <t>KAPS CARS</t>
        </is>
      </c>
      <c r="J52" s="8" t="n"/>
      <c r="K52" s="9" t="n">
        <v>15300</v>
      </c>
      <c r="L52" s="10" t="n">
        <v>1040000</v>
      </c>
      <c r="M52" s="10" t="n">
        <v>8474.58</v>
      </c>
      <c r="N52" s="11">
        <f>IF(M52="","",ROUND(M52*1.18,2))</f>
        <v/>
      </c>
      <c r="O52" s="12">
        <f>IF(M52="","",ROUND(N52-M52,2))</f>
        <v/>
      </c>
      <c r="P52" s="13">
        <f>IF(AND(A52&lt;&gt;"",B52&lt;&gt;""), A52&amp;" · "&amp;B52, "")</f>
        <v/>
      </c>
    </row>
    <row r="53">
      <c r="A53" s="6" t="inlineStr">
        <is>
          <t>FY26</t>
        </is>
      </c>
      <c r="B53" s="6" t="inlineStr">
        <is>
          <t>Jan</t>
        </is>
      </c>
      <c r="C53" s="6" t="inlineStr">
        <is>
          <t>Kerala</t>
        </is>
      </c>
      <c r="D53" s="7" t="inlineStr">
        <is>
          <t>KL02AF0369</t>
        </is>
      </c>
      <c r="E53" s="7" t="inlineStr">
        <is>
          <t>HYUNDAI</t>
        </is>
      </c>
      <c r="F53" s="7" t="inlineStr">
        <is>
          <t>i10</t>
        </is>
      </c>
      <c r="G53" s="7" t="inlineStr">
        <is>
          <t>LUXON TATA</t>
        </is>
      </c>
      <c r="H53" s="7" t="inlineStr">
        <is>
          <t>Non-Captive</t>
        </is>
      </c>
      <c r="I53" s="7" t="inlineStr">
        <is>
          <t>BINIL</t>
        </is>
      </c>
      <c r="J53" s="8" t="n"/>
      <c r="K53" s="9" t="n">
        <v>55000</v>
      </c>
      <c r="L53" s="10" t="n">
        <v>150000</v>
      </c>
      <c r="M53" s="10" t="n">
        <v>5932.2</v>
      </c>
      <c r="N53" s="11">
        <f>IF(M53="","",ROUND(M53*1.18,2))</f>
        <v/>
      </c>
      <c r="O53" s="12">
        <f>IF(M53="","",ROUND(N53-M53,2))</f>
        <v/>
      </c>
      <c r="P53" s="13">
        <f>IF(AND(A53&lt;&gt;"",B53&lt;&gt;""), A53&amp;" · "&amp;B53, "")</f>
        <v/>
      </c>
    </row>
    <row r="54">
      <c r="A54" s="6" t="inlineStr">
        <is>
          <t>FY26</t>
        </is>
      </c>
      <c r="B54" s="6" t="inlineStr">
        <is>
          <t>Jan</t>
        </is>
      </c>
      <c r="C54" s="6" t="inlineStr">
        <is>
          <t>Kerala</t>
        </is>
      </c>
      <c r="D54" s="7" t="inlineStr">
        <is>
          <t>KL02AT5056</t>
        </is>
      </c>
      <c r="E54" s="7" t="inlineStr">
        <is>
          <t>HYUNDAI</t>
        </is>
      </c>
      <c r="F54" s="7" t="inlineStr">
        <is>
          <t>i20</t>
        </is>
      </c>
      <c r="G54" s="7" t="inlineStr">
        <is>
          <t>REFERENCE</t>
        </is>
      </c>
      <c r="H54" s="7" t="inlineStr">
        <is>
          <t>Non-Captive</t>
        </is>
      </c>
      <c r="I54" s="7" t="inlineStr">
        <is>
          <t>SHIBU</t>
        </is>
      </c>
      <c r="J54" s="8" t="n"/>
      <c r="K54" s="9" t="n">
        <v>51665</v>
      </c>
      <c r="L54" s="10" t="n">
        <v>343000</v>
      </c>
      <c r="M54" s="10" t="n">
        <v>5932.2</v>
      </c>
      <c r="N54" s="11">
        <f>IF(M54="","",ROUND(M54*1.18,2))</f>
        <v/>
      </c>
      <c r="O54" s="12">
        <f>IF(M54="","",ROUND(N54-M54,2))</f>
        <v/>
      </c>
      <c r="P54" s="13">
        <f>IF(AND(A54&lt;&gt;"",B54&lt;&gt;""), A54&amp;" · "&amp;B54, "")</f>
        <v/>
      </c>
    </row>
    <row r="55">
      <c r="A55" s="6" t="inlineStr">
        <is>
          <t>FY26</t>
        </is>
      </c>
      <c r="B55" s="6" t="inlineStr">
        <is>
          <t>Jan</t>
        </is>
      </c>
      <c r="C55" s="6" t="inlineStr">
        <is>
          <t>Kerala</t>
        </is>
      </c>
      <c r="D55" s="7" t="inlineStr">
        <is>
          <t>KL02AW2215</t>
        </is>
      </c>
      <c r="E55" s="7" t="inlineStr">
        <is>
          <t>MARUTI SUZUKI</t>
        </is>
      </c>
      <c r="F55" s="7" t="inlineStr">
        <is>
          <t>Alto</t>
        </is>
      </c>
      <c r="G55" s="7" t="inlineStr">
        <is>
          <t>REFERENCE</t>
        </is>
      </c>
      <c r="H55" s="7" t="inlineStr">
        <is>
          <t>Non-Captive</t>
        </is>
      </c>
      <c r="I55" s="7" t="inlineStr">
        <is>
          <t>VIJIL</t>
        </is>
      </c>
      <c r="J55" s="8" t="n"/>
      <c r="K55" s="9" t="n">
        <v>82234</v>
      </c>
      <c r="L55" s="10" t="n">
        <v>183000</v>
      </c>
      <c r="M55" s="10" t="n">
        <v>5932.2</v>
      </c>
      <c r="N55" s="11">
        <f>IF(M55="","",ROUND(M55*1.18,2))</f>
        <v/>
      </c>
      <c r="O55" s="12">
        <f>IF(M55="","",ROUND(N55-M55,2))</f>
        <v/>
      </c>
      <c r="P55" s="13">
        <f>IF(AND(A55&lt;&gt;"",B55&lt;&gt;""), A55&amp;" · "&amp;B55, "")</f>
        <v/>
      </c>
    </row>
    <row r="56">
      <c r="A56" s="6" t="inlineStr">
        <is>
          <t>FY26</t>
        </is>
      </c>
      <c r="B56" s="6" t="inlineStr">
        <is>
          <t>Jan</t>
        </is>
      </c>
      <c r="C56" s="6" t="inlineStr">
        <is>
          <t>Kerala</t>
        </is>
      </c>
      <c r="D56" s="7" t="inlineStr">
        <is>
          <t>KL02BP1047</t>
        </is>
      </c>
      <c r="E56" s="7" t="inlineStr">
        <is>
          <t>TATA</t>
        </is>
      </c>
      <c r="F56" s="7" t="inlineStr">
        <is>
          <t>Tiago</t>
        </is>
      </c>
      <c r="G56" s="7" t="inlineStr">
        <is>
          <t>PINNACLE NISSAN</t>
        </is>
      </c>
      <c r="H56" s="7" t="inlineStr">
        <is>
          <t>Non-Captive</t>
        </is>
      </c>
      <c r="I56" s="7" t="inlineStr">
        <is>
          <t>SHAHAR</t>
        </is>
      </c>
      <c r="J56" s="8" t="n"/>
      <c r="K56" s="9" t="n">
        <v>44534</v>
      </c>
      <c r="L56" s="10" t="n">
        <v>390000</v>
      </c>
      <c r="M56" s="10" t="n">
        <v>6355.93</v>
      </c>
      <c r="N56" s="11">
        <f>IF(M56="","",ROUND(M56*1.18,2))</f>
        <v/>
      </c>
      <c r="O56" s="12">
        <f>IF(M56="","",ROUND(N56-M56,2))</f>
        <v/>
      </c>
      <c r="P56" s="13">
        <f>IF(AND(A56&lt;&gt;"",B56&lt;&gt;""), A56&amp;" · "&amp;B56, "")</f>
        <v/>
      </c>
    </row>
    <row r="57">
      <c r="A57" s="6" t="inlineStr">
        <is>
          <t>FY26</t>
        </is>
      </c>
      <c r="B57" s="6" t="inlineStr">
        <is>
          <t>Jan</t>
        </is>
      </c>
      <c r="C57" s="6" t="inlineStr">
        <is>
          <t>Kerala</t>
        </is>
      </c>
      <c r="D57" s="7" t="inlineStr">
        <is>
          <t>KL03AC9958</t>
        </is>
      </c>
      <c r="E57" s="7" t="inlineStr">
        <is>
          <t>FORD</t>
        </is>
      </c>
      <c r="F57" s="7" t="inlineStr">
        <is>
          <t>Freestyle</t>
        </is>
      </c>
      <c r="G57" s="7" t="inlineStr">
        <is>
          <t>LUXON TATA</t>
        </is>
      </c>
      <c r="H57" s="7" t="inlineStr">
        <is>
          <t>Non-Captive</t>
        </is>
      </c>
      <c r="I57" s="7" t="inlineStr">
        <is>
          <t>PRAMOD</t>
        </is>
      </c>
      <c r="J57" s="8" t="n"/>
      <c r="K57" s="9" t="n">
        <v>46000</v>
      </c>
      <c r="L57" s="10" t="n">
        <v>320000</v>
      </c>
      <c r="M57" s="10" t="n">
        <v>6779.66</v>
      </c>
      <c r="N57" s="11">
        <f>IF(M57="","",ROUND(M57*1.18,2))</f>
        <v/>
      </c>
      <c r="O57" s="12">
        <f>IF(M57="","",ROUND(N57-M57,2))</f>
        <v/>
      </c>
      <c r="P57" s="13">
        <f>IF(AND(A57&lt;&gt;"",B57&lt;&gt;""), A57&amp;" · "&amp;B57, "")</f>
        <v/>
      </c>
    </row>
    <row r="58">
      <c r="A58" s="6" t="inlineStr">
        <is>
          <t>FY26</t>
        </is>
      </c>
      <c r="B58" s="6" t="inlineStr">
        <is>
          <t>Jan</t>
        </is>
      </c>
      <c r="C58" s="6" t="inlineStr">
        <is>
          <t>Kerala</t>
        </is>
      </c>
      <c r="D58" s="7" t="inlineStr">
        <is>
          <t>KL03U3578</t>
        </is>
      </c>
      <c r="E58" s="7" t="inlineStr">
        <is>
          <t>MARUTI SUZUKI</t>
        </is>
      </c>
      <c r="F58" s="7" t="inlineStr">
        <is>
          <t>Alto</t>
        </is>
      </c>
      <c r="G58" s="7" t="inlineStr">
        <is>
          <t>ANAS HAMEED</t>
        </is>
      </c>
      <c r="H58" s="7" t="inlineStr">
        <is>
          <t>Non-Captive</t>
        </is>
      </c>
      <c r="I58" s="7" t="inlineStr">
        <is>
          <t>MUHAMMAD SHAJI</t>
        </is>
      </c>
      <c r="J58" s="8" t="n"/>
      <c r="K58" s="9" t="n">
        <v>114548</v>
      </c>
      <c r="L58" s="10" t="n">
        <v>84000</v>
      </c>
      <c r="M58" s="10" t="n">
        <v>5084.75</v>
      </c>
      <c r="N58" s="11">
        <f>IF(M58="","",ROUND(M58*1.18,2))</f>
        <v/>
      </c>
      <c r="O58" s="12">
        <f>IF(M58="","",ROUND(N58-M58,2))</f>
        <v/>
      </c>
      <c r="P58" s="13">
        <f>IF(AND(A58&lt;&gt;"",B58&lt;&gt;""), A58&amp;" · "&amp;B58, "")</f>
        <v/>
      </c>
    </row>
    <row r="59">
      <c r="A59" s="6" t="inlineStr">
        <is>
          <t>FY26</t>
        </is>
      </c>
      <c r="B59" s="6" t="inlineStr">
        <is>
          <t>Jan</t>
        </is>
      </c>
      <c r="C59" s="6" t="inlineStr">
        <is>
          <t>Kerala</t>
        </is>
      </c>
      <c r="D59" s="7" t="inlineStr">
        <is>
          <t>KL03U6063</t>
        </is>
      </c>
      <c r="E59" s="7" t="inlineStr">
        <is>
          <t>MARUTI SUZUKI</t>
        </is>
      </c>
      <c r="F59" s="7" t="inlineStr">
        <is>
          <t>Swift</t>
        </is>
      </c>
      <c r="G59" s="7" t="inlineStr">
        <is>
          <t>UNAISE</t>
        </is>
      </c>
      <c r="H59" s="7" t="inlineStr">
        <is>
          <t>Non-Captive</t>
        </is>
      </c>
      <c r="I59" s="7" t="inlineStr">
        <is>
          <t>BIMAL</t>
        </is>
      </c>
      <c r="J59" s="8" t="n"/>
      <c r="K59" s="9" t="n">
        <v>78000</v>
      </c>
      <c r="L59" s="10" t="n">
        <v>115000</v>
      </c>
      <c r="M59" s="10" t="n">
        <v>4237.29</v>
      </c>
      <c r="N59" s="11">
        <f>IF(M59="","",ROUND(M59*1.18,2))</f>
        <v/>
      </c>
      <c r="O59" s="12">
        <f>IF(M59="","",ROUND(N59-M59,2))</f>
        <v/>
      </c>
      <c r="P59" s="13">
        <f>IF(AND(A59&lt;&gt;"",B59&lt;&gt;""), A59&amp;" · "&amp;B59, "")</f>
        <v/>
      </c>
    </row>
    <row r="60">
      <c r="A60" s="6" t="inlineStr">
        <is>
          <t>FY26</t>
        </is>
      </c>
      <c r="B60" s="6" t="inlineStr">
        <is>
          <t>Jan</t>
        </is>
      </c>
      <c r="C60" s="6" t="inlineStr">
        <is>
          <t>Kerala</t>
        </is>
      </c>
      <c r="D60" s="7" t="inlineStr">
        <is>
          <t>KL04AM3848</t>
        </is>
      </c>
      <c r="E60" s="7" t="inlineStr">
        <is>
          <t>MARUTI SUZUKI</t>
        </is>
      </c>
      <c r="F60" s="7" t="inlineStr">
        <is>
          <t>Wagon R</t>
        </is>
      </c>
      <c r="G60" s="7" t="inlineStr">
        <is>
          <t>POPULAR HYUNDAI</t>
        </is>
      </c>
      <c r="H60" s="7" t="inlineStr">
        <is>
          <t>Non-Captive</t>
        </is>
      </c>
      <c r="I60" s="7" t="inlineStr">
        <is>
          <t>NIZAR A U</t>
        </is>
      </c>
      <c r="J60" s="8" t="n"/>
      <c r="K60" s="9" t="n">
        <v>24166</v>
      </c>
      <c r="L60" s="10" t="n">
        <v>345000</v>
      </c>
      <c r="M60" s="10" t="n">
        <v>8474.58</v>
      </c>
      <c r="N60" s="11">
        <f>IF(M60="","",ROUND(M60*1.18,2))</f>
        <v/>
      </c>
      <c r="O60" s="12">
        <f>IF(M60="","",ROUND(N60-M60,2))</f>
        <v/>
      </c>
      <c r="P60" s="13">
        <f>IF(AND(A60&lt;&gt;"",B60&lt;&gt;""), A60&amp;" · "&amp;B60, "")</f>
        <v/>
      </c>
    </row>
    <row r="61">
      <c r="A61" s="6" t="inlineStr">
        <is>
          <t>FY26</t>
        </is>
      </c>
      <c r="B61" s="6" t="inlineStr">
        <is>
          <t>Jan</t>
        </is>
      </c>
      <c r="C61" s="6" t="inlineStr">
        <is>
          <t>Kerala</t>
        </is>
      </c>
      <c r="D61" s="7" t="inlineStr">
        <is>
          <t>KL05AA4166</t>
        </is>
      </c>
      <c r="E61" s="7" t="inlineStr">
        <is>
          <t>MARUTI SUZUKI</t>
        </is>
      </c>
      <c r="F61" s="7" t="inlineStr">
        <is>
          <t>Alto</t>
        </is>
      </c>
      <c r="G61" s="7" t="inlineStr">
        <is>
          <t>POPULAR MARUTI</t>
        </is>
      </c>
      <c r="H61" s="7" t="inlineStr">
        <is>
          <t>Non-Captive</t>
        </is>
      </c>
      <c r="I61" s="7" t="inlineStr">
        <is>
          <t>TINU P SOMAN</t>
        </is>
      </c>
      <c r="J61" s="8" t="n"/>
      <c r="K61" s="9" t="n">
        <v>44566</v>
      </c>
      <c r="L61" s="10" t="n">
        <v>89000</v>
      </c>
      <c r="M61" s="10" t="n">
        <v>5084.75</v>
      </c>
      <c r="N61" s="11">
        <f>IF(M61="","",ROUND(M61*1.18,2))</f>
        <v/>
      </c>
      <c r="O61" s="12">
        <f>IF(M61="","",ROUND(N61-M61,2))</f>
        <v/>
      </c>
      <c r="P61" s="13">
        <f>IF(AND(A61&lt;&gt;"",B61&lt;&gt;""), A61&amp;" · "&amp;B61, "")</f>
        <v/>
      </c>
    </row>
    <row r="62">
      <c r="A62" s="6" t="inlineStr">
        <is>
          <t>FY26</t>
        </is>
      </c>
      <c r="B62" s="6" t="inlineStr">
        <is>
          <t>Jan</t>
        </is>
      </c>
      <c r="C62" s="6" t="inlineStr">
        <is>
          <t>Kerala</t>
        </is>
      </c>
      <c r="D62" s="7" t="inlineStr">
        <is>
          <t>KL05AK6352</t>
        </is>
      </c>
      <c r="E62" s="7" t="inlineStr">
        <is>
          <t>CHEVROLET</t>
        </is>
      </c>
      <c r="F62" s="7" t="inlineStr">
        <is>
          <t>Sail</t>
        </is>
      </c>
      <c r="G62" s="7" t="inlineStr">
        <is>
          <t>ANAS</t>
        </is>
      </c>
      <c r="H62" s="7" t="inlineStr">
        <is>
          <t>Non-Captive</t>
        </is>
      </c>
      <c r="I62" s="7" t="inlineStr">
        <is>
          <t>VTJ</t>
        </is>
      </c>
      <c r="J62" s="8" t="n"/>
      <c r="K62" s="9" t="n">
        <v>41629</v>
      </c>
      <c r="L62" s="10" t="n">
        <v>80000</v>
      </c>
      <c r="M62" s="10" t="n">
        <v>6779.66</v>
      </c>
      <c r="N62" s="11">
        <f>IF(M62="","",ROUND(M62*1.18,2))</f>
        <v/>
      </c>
      <c r="O62" s="12">
        <f>IF(M62="","",ROUND(N62-M62,2))</f>
        <v/>
      </c>
      <c r="P62" s="13">
        <f>IF(AND(A62&lt;&gt;"",B62&lt;&gt;""), A62&amp;" · "&amp;B62, "")</f>
        <v/>
      </c>
    </row>
    <row r="63">
      <c r="A63" s="6" t="inlineStr">
        <is>
          <t>FY26</t>
        </is>
      </c>
      <c r="B63" s="6" t="inlineStr">
        <is>
          <t>Jan</t>
        </is>
      </c>
      <c r="C63" s="6" t="inlineStr">
        <is>
          <t>Kerala</t>
        </is>
      </c>
      <c r="D63" s="7" t="inlineStr">
        <is>
          <t>KL05AP7196</t>
        </is>
      </c>
      <c r="E63" s="7" t="inlineStr">
        <is>
          <t>CHEVROLET</t>
        </is>
      </c>
      <c r="F63" s="7" t="inlineStr">
        <is>
          <t>Enjoy</t>
        </is>
      </c>
      <c r="G63" s="7" t="inlineStr">
        <is>
          <t>LUXON TATA</t>
        </is>
      </c>
      <c r="H63" s="7" t="inlineStr">
        <is>
          <t>Non-Captive</t>
        </is>
      </c>
      <c r="I63" s="7" t="inlineStr">
        <is>
          <t>TINU P SOMAN</t>
        </is>
      </c>
      <c r="J63" s="8" t="n"/>
      <c r="K63" s="9" t="n">
        <v>117688</v>
      </c>
      <c r="L63" s="10" t="n">
        <v>150000</v>
      </c>
      <c r="M63" s="10" t="n">
        <v>5932.2</v>
      </c>
      <c r="N63" s="11">
        <f>IF(M63="","",ROUND(M63*1.18,2))</f>
        <v/>
      </c>
      <c r="O63" s="12">
        <f>IF(M63="","",ROUND(N63-M63,2))</f>
        <v/>
      </c>
      <c r="P63" s="13">
        <f>IF(AND(A63&lt;&gt;"",B63&lt;&gt;""), A63&amp;" · "&amp;B63, "")</f>
        <v/>
      </c>
    </row>
    <row r="64">
      <c r="A64" s="6" t="inlineStr">
        <is>
          <t>FY26</t>
        </is>
      </c>
      <c r="B64" s="6" t="inlineStr">
        <is>
          <t>Jan</t>
        </is>
      </c>
      <c r="C64" s="6" t="inlineStr">
        <is>
          <t>Kerala</t>
        </is>
      </c>
      <c r="D64" s="7" t="inlineStr">
        <is>
          <t>KL05F5765</t>
        </is>
      </c>
      <c r="E64" s="7" t="inlineStr">
        <is>
          <t>MARUTI SUZUKI</t>
        </is>
      </c>
      <c r="F64" s="7" t="inlineStr">
        <is>
          <t>Alto</t>
        </is>
      </c>
      <c r="G64" s="7" t="inlineStr">
        <is>
          <t>MUHAMMED SHAJI</t>
        </is>
      </c>
      <c r="H64" s="7" t="inlineStr">
        <is>
          <t>Non-Captive</t>
        </is>
      </c>
      <c r="I64" s="7" t="inlineStr">
        <is>
          <t>DREAM DRIVE</t>
        </is>
      </c>
      <c r="J64" s="8" t="n"/>
      <c r="K64" s="9" t="n">
        <v>97480</v>
      </c>
      <c r="L64" s="10" t="n">
        <v>15000</v>
      </c>
      <c r="M64" s="10" t="n">
        <v>4237.29</v>
      </c>
      <c r="N64" s="11">
        <f>IF(M64="","",ROUND(M64*1.18,2))</f>
        <v/>
      </c>
      <c r="O64" s="12">
        <f>IF(M64="","",ROUND(N64-M64,2))</f>
        <v/>
      </c>
      <c r="P64" s="13">
        <f>IF(AND(A64&lt;&gt;"",B64&lt;&gt;""), A64&amp;" · "&amp;B64, "")</f>
        <v/>
      </c>
    </row>
    <row r="65">
      <c r="A65" s="6" t="inlineStr">
        <is>
          <t>FY26</t>
        </is>
      </c>
      <c r="B65" s="6" t="inlineStr">
        <is>
          <t>Jan</t>
        </is>
      </c>
      <c r="C65" s="6" t="inlineStr">
        <is>
          <t>Kerala</t>
        </is>
      </c>
      <c r="D65" s="7" t="inlineStr">
        <is>
          <t>KL05Y7060</t>
        </is>
      </c>
      <c r="E65" s="7" t="inlineStr">
        <is>
          <t>HYUNDAI</t>
        </is>
      </c>
      <c r="F65" s="7" t="inlineStr">
        <is>
          <t>Santro</t>
        </is>
      </c>
      <c r="G65" s="7" t="inlineStr">
        <is>
          <t>MUHAMMAD SHAJI</t>
        </is>
      </c>
      <c r="H65" s="7" t="inlineStr">
        <is>
          <t>Non-Captive</t>
        </is>
      </c>
      <c r="I65" s="7" t="inlineStr">
        <is>
          <t>TINU P SOMAN</t>
        </is>
      </c>
      <c r="J65" s="8" t="n"/>
      <c r="K65" s="9" t="n">
        <v>48768</v>
      </c>
      <c r="L65" s="10" t="n">
        <v>53000</v>
      </c>
      <c r="M65" s="10" t="n">
        <v>5932.2</v>
      </c>
      <c r="N65" s="11">
        <f>IF(M65="","",ROUND(M65*1.18,2))</f>
        <v/>
      </c>
      <c r="O65" s="12">
        <f>IF(M65="","",ROUND(N65-M65,2))</f>
        <v/>
      </c>
      <c r="P65" s="13">
        <f>IF(AND(A65&lt;&gt;"",B65&lt;&gt;""), A65&amp;" · "&amp;B65, "")</f>
        <v/>
      </c>
    </row>
    <row r="66">
      <c r="A66" s="6" t="inlineStr">
        <is>
          <t>FY26</t>
        </is>
      </c>
      <c r="B66" s="6" t="inlineStr">
        <is>
          <t>Jan</t>
        </is>
      </c>
      <c r="C66" s="6" t="inlineStr">
        <is>
          <t>Kerala</t>
        </is>
      </c>
      <c r="D66" s="7" t="inlineStr">
        <is>
          <t>KL06J3493</t>
        </is>
      </c>
      <c r="E66" s="7" t="inlineStr">
        <is>
          <t>FORD</t>
        </is>
      </c>
      <c r="F66" s="7" t="inlineStr">
        <is>
          <t>EcoSport</t>
        </is>
      </c>
      <c r="G66" s="7" t="inlineStr">
        <is>
          <t>JANVIS MOTO CONNECT</t>
        </is>
      </c>
      <c r="H66" s="7" t="inlineStr">
        <is>
          <t>Non-Captive</t>
        </is>
      </c>
      <c r="I66" s="7" t="inlineStr">
        <is>
          <t>HAVEN MOTORS</t>
        </is>
      </c>
      <c r="J66" s="8" t="n"/>
      <c r="K66" s="9" t="n">
        <v>66300</v>
      </c>
      <c r="L66" s="10" t="n">
        <v>475000</v>
      </c>
      <c r="M66" s="10" t="n">
        <v>12711.86</v>
      </c>
      <c r="N66" s="11">
        <f>IF(M66="","",ROUND(M66*1.18,2))</f>
        <v/>
      </c>
      <c r="O66" s="12">
        <f>IF(M66="","",ROUND(N66-M66,2))</f>
        <v/>
      </c>
      <c r="P66" s="13">
        <f>IF(AND(A66&lt;&gt;"",B66&lt;&gt;""), A66&amp;" · "&amp;B66, "")</f>
        <v/>
      </c>
    </row>
    <row r="67">
      <c r="A67" s="6" t="inlineStr">
        <is>
          <t>FY26</t>
        </is>
      </c>
      <c r="B67" s="6" t="inlineStr">
        <is>
          <t>Jan</t>
        </is>
      </c>
      <c r="C67" s="6" t="inlineStr">
        <is>
          <t>Kerala</t>
        </is>
      </c>
      <c r="D67" s="7" t="inlineStr">
        <is>
          <t>KL07BM5510</t>
        </is>
      </c>
      <c r="E67" s="7" t="inlineStr">
        <is>
          <t>HYUNDAI</t>
        </is>
      </c>
      <c r="F67" s="7" t="inlineStr">
        <is>
          <t>Santro</t>
        </is>
      </c>
      <c r="G67" s="7" t="inlineStr">
        <is>
          <t>EVM CITROEN</t>
        </is>
      </c>
      <c r="H67" s="7" t="inlineStr">
        <is>
          <t>Non-Captive</t>
        </is>
      </c>
      <c r="I67" s="7" t="inlineStr">
        <is>
          <t>MANOJ</t>
        </is>
      </c>
      <c r="J67" s="8" t="n"/>
      <c r="K67" s="9" t="n">
        <v>64825</v>
      </c>
      <c r="L67" s="10" t="n">
        <v>70000</v>
      </c>
      <c r="M67" s="10" t="n">
        <v>6355.93</v>
      </c>
      <c r="N67" s="11">
        <f>IF(M67="","",ROUND(M67*1.18,2))</f>
        <v/>
      </c>
      <c r="O67" s="12">
        <f>IF(M67="","",ROUND(N67-M67,2))</f>
        <v/>
      </c>
      <c r="P67" s="13">
        <f>IF(AND(A67&lt;&gt;"",B67&lt;&gt;""), A67&amp;" · "&amp;B67, "")</f>
        <v/>
      </c>
    </row>
    <row r="68">
      <c r="A68" s="6" t="inlineStr">
        <is>
          <t>FY26</t>
        </is>
      </c>
      <c r="B68" s="6" t="inlineStr">
        <is>
          <t>Jan</t>
        </is>
      </c>
      <c r="C68" s="6" t="inlineStr">
        <is>
          <t>Kerala</t>
        </is>
      </c>
      <c r="D68" s="7" t="inlineStr">
        <is>
          <t>KL07BT7908</t>
        </is>
      </c>
      <c r="E68" s="7" t="inlineStr">
        <is>
          <t>TATA</t>
        </is>
      </c>
      <c r="F68" s="7" t="inlineStr">
        <is>
          <t>Indica</t>
        </is>
      </c>
      <c r="G68" s="7" t="inlineStr">
        <is>
          <t>GOKULAM TATA</t>
        </is>
      </c>
      <c r="H68" s="7" t="inlineStr">
        <is>
          <t>Non-Captive</t>
        </is>
      </c>
      <c r="I68" s="7" t="inlineStr">
        <is>
          <t>RAFEEK T A</t>
        </is>
      </c>
      <c r="J68" s="8" t="n"/>
      <c r="K68" s="9" t="n">
        <v>46000</v>
      </c>
      <c r="L68" s="10" t="n">
        <v>61000</v>
      </c>
      <c r="M68" s="10" t="n">
        <v>8474.58</v>
      </c>
      <c r="N68" s="11">
        <f>IF(M68="","",ROUND(M68*1.18,2))</f>
        <v/>
      </c>
      <c r="O68" s="12">
        <f>IF(M68="","",ROUND(N68-M68,2))</f>
        <v/>
      </c>
      <c r="P68" s="13">
        <f>IF(AND(A68&lt;&gt;"",B68&lt;&gt;""), A68&amp;" · "&amp;B68, "")</f>
        <v/>
      </c>
    </row>
    <row r="69">
      <c r="A69" s="6" t="inlineStr">
        <is>
          <t>FY26</t>
        </is>
      </c>
      <c r="B69" s="6" t="inlineStr">
        <is>
          <t>Jan</t>
        </is>
      </c>
      <c r="C69" s="6" t="inlineStr">
        <is>
          <t>Kerala</t>
        </is>
      </c>
      <c r="D69" s="7" t="inlineStr">
        <is>
          <t>KL07CB8857</t>
        </is>
      </c>
      <c r="E69" s="7" t="inlineStr">
        <is>
          <t>MARUTI SUZUKI</t>
        </is>
      </c>
      <c r="F69" s="7" t="inlineStr">
        <is>
          <t>Ciaz</t>
        </is>
      </c>
      <c r="G69" s="7" t="inlineStr">
        <is>
          <t>POPULAR MARUTI</t>
        </is>
      </c>
      <c r="H69" s="7" t="inlineStr">
        <is>
          <t>Non-Captive</t>
        </is>
      </c>
      <c r="I69" s="7" t="inlineStr">
        <is>
          <t>VTJ</t>
        </is>
      </c>
      <c r="J69" s="8" t="n"/>
      <c r="K69" s="9" t="n">
        <v>76983</v>
      </c>
      <c r="L69" s="10" t="n">
        <v>340000</v>
      </c>
      <c r="M69" s="10" t="n">
        <v>8474.58</v>
      </c>
      <c r="N69" s="11">
        <f>IF(M69="","",ROUND(M69*1.18,2))</f>
        <v/>
      </c>
      <c r="O69" s="12">
        <f>IF(M69="","",ROUND(N69-M69,2))</f>
        <v/>
      </c>
      <c r="P69" s="13">
        <f>IF(AND(A69&lt;&gt;"",B69&lt;&gt;""), A69&amp;" · "&amp;B69, "")</f>
        <v/>
      </c>
    </row>
    <row r="70">
      <c r="A70" s="6" t="inlineStr">
        <is>
          <t>FY26</t>
        </is>
      </c>
      <c r="B70" s="6" t="inlineStr">
        <is>
          <t>Jan</t>
        </is>
      </c>
      <c r="C70" s="6" t="inlineStr">
        <is>
          <t>Kerala</t>
        </is>
      </c>
      <c r="D70" s="7" t="inlineStr">
        <is>
          <t>KL07CD1015</t>
        </is>
      </c>
      <c r="E70" s="7" t="inlineStr">
        <is>
          <t>FORD</t>
        </is>
      </c>
      <c r="F70" s="7" t="inlineStr">
        <is>
          <t>EcoSport</t>
        </is>
      </c>
      <c r="G70" s="7" t="inlineStr">
        <is>
          <t>POPULAR MARUTI</t>
        </is>
      </c>
      <c r="H70" s="7" t="inlineStr">
        <is>
          <t>Non-Captive</t>
        </is>
      </c>
      <c r="I70" s="7" t="inlineStr">
        <is>
          <t>RAFEEK T A</t>
        </is>
      </c>
      <c r="J70" s="8" t="n"/>
      <c r="K70" s="9" t="n">
        <v>143000</v>
      </c>
      <c r="L70" s="10" t="n">
        <v>310000</v>
      </c>
      <c r="M70" s="10" t="n">
        <v>8474.58</v>
      </c>
      <c r="N70" s="11">
        <f>IF(M70="","",ROUND(M70*1.18,2))</f>
        <v/>
      </c>
      <c r="O70" s="12">
        <f>IF(M70="","",ROUND(N70-M70,2))</f>
        <v/>
      </c>
      <c r="P70" s="13">
        <f>IF(AND(A70&lt;&gt;"",B70&lt;&gt;""), A70&amp;" · "&amp;B70, "")</f>
        <v/>
      </c>
    </row>
    <row r="71">
      <c r="A71" s="6" t="inlineStr">
        <is>
          <t>FY26</t>
        </is>
      </c>
      <c r="B71" s="6" t="inlineStr">
        <is>
          <t>Jan</t>
        </is>
      </c>
      <c r="C71" s="6" t="inlineStr">
        <is>
          <t>Kerala</t>
        </is>
      </c>
      <c r="D71" s="7" t="inlineStr">
        <is>
          <t>KL07CF7206</t>
        </is>
      </c>
      <c r="E71" s="7" t="inlineStr">
        <is>
          <t>MARUTI SUZUKI</t>
        </is>
      </c>
      <c r="F71" s="7" t="inlineStr">
        <is>
          <t>Baleno</t>
        </is>
      </c>
      <c r="G71" s="7" t="inlineStr">
        <is>
          <t>CARS24</t>
        </is>
      </c>
      <c r="H71" s="7" t="inlineStr">
        <is>
          <t>Non-Captive</t>
        </is>
      </c>
      <c r="I71" s="7" t="inlineStr">
        <is>
          <t>HUSSAIN O E</t>
        </is>
      </c>
      <c r="J71" s="8" t="n"/>
      <c r="K71" s="9" t="n">
        <v>69245</v>
      </c>
      <c r="L71" s="10" t="n">
        <v>400000</v>
      </c>
      <c r="M71" s="10" t="n">
        <v>10169.49</v>
      </c>
      <c r="N71" s="11">
        <f>IF(M71="","",ROUND(M71*1.18,2))</f>
        <v/>
      </c>
      <c r="O71" s="12">
        <f>IF(M71="","",ROUND(N71-M71,2))</f>
        <v/>
      </c>
      <c r="P71" s="13">
        <f>IF(AND(A71&lt;&gt;"",B71&lt;&gt;""), A71&amp;" · "&amp;B71, "")</f>
        <v/>
      </c>
    </row>
    <row r="72">
      <c r="A72" s="6" t="inlineStr">
        <is>
          <t>FY26</t>
        </is>
      </c>
      <c r="B72" s="6" t="inlineStr">
        <is>
          <t>Jan</t>
        </is>
      </c>
      <c r="C72" s="6" t="inlineStr">
        <is>
          <t>Kerala</t>
        </is>
      </c>
      <c r="D72" s="7" t="inlineStr">
        <is>
          <t>KL07CW9773</t>
        </is>
      </c>
      <c r="E72" s="7" t="inlineStr">
        <is>
          <t>TATA</t>
        </is>
      </c>
      <c r="F72" s="7" t="inlineStr">
        <is>
          <t>Harrier</t>
        </is>
      </c>
      <c r="G72" s="7" t="inlineStr">
        <is>
          <t>POPULAR HYUNDAI</t>
        </is>
      </c>
      <c r="H72" s="7" t="inlineStr">
        <is>
          <t>Non-Captive</t>
        </is>
      </c>
      <c r="I72" s="7" t="inlineStr">
        <is>
          <t>Aitos Cars</t>
        </is>
      </c>
      <c r="J72" s="8" t="n"/>
      <c r="K72" s="9" t="n">
        <v>72000</v>
      </c>
      <c r="L72" s="10" t="n">
        <v>890000</v>
      </c>
      <c r="M72" s="10" t="n">
        <v>8474.58</v>
      </c>
      <c r="N72" s="11">
        <f>IF(M72="","",ROUND(M72*1.18,2))</f>
        <v/>
      </c>
      <c r="O72" s="12">
        <f>IF(M72="","",ROUND(N72-M72,2))</f>
        <v/>
      </c>
      <c r="P72" s="13">
        <f>IF(AND(A72&lt;&gt;"",B72&lt;&gt;""), A72&amp;" · "&amp;B72, "")</f>
        <v/>
      </c>
    </row>
    <row r="73">
      <c r="A73" s="6" t="inlineStr">
        <is>
          <t>FY26</t>
        </is>
      </c>
      <c r="B73" s="6" t="inlineStr">
        <is>
          <t>Jan</t>
        </is>
      </c>
      <c r="C73" s="6" t="inlineStr">
        <is>
          <t>Kerala</t>
        </is>
      </c>
      <c r="D73" s="7" t="inlineStr">
        <is>
          <t>KL07CX7656</t>
        </is>
      </c>
      <c r="E73" s="7" t="inlineStr">
        <is>
          <t>TATA</t>
        </is>
      </c>
      <c r="F73" s="7" t="inlineStr">
        <is>
          <t>Nexon</t>
        </is>
      </c>
      <c r="G73" s="7" t="inlineStr">
        <is>
          <t>GOKULAM TATA</t>
        </is>
      </c>
      <c r="H73" s="7" t="inlineStr">
        <is>
          <t>Non-Captive</t>
        </is>
      </c>
      <c r="I73" s="7" t="inlineStr">
        <is>
          <t>Umesh Kumar T U</t>
        </is>
      </c>
      <c r="J73" s="8" t="n"/>
      <c r="K73" s="9" t="n">
        <v>30972</v>
      </c>
      <c r="L73" s="10" t="n">
        <v>585000</v>
      </c>
      <c r="M73" s="10" t="n">
        <v>8474.58</v>
      </c>
      <c r="N73" s="11">
        <f>IF(M73="","",ROUND(M73*1.18,2))</f>
        <v/>
      </c>
      <c r="O73" s="12">
        <f>IF(M73="","",ROUND(N73-M73,2))</f>
        <v/>
      </c>
      <c r="P73" s="13">
        <f>IF(AND(A73&lt;&gt;"",B73&lt;&gt;""), A73&amp;" · "&amp;B73, "")</f>
        <v/>
      </c>
    </row>
    <row r="74">
      <c r="A74" s="6" t="inlineStr">
        <is>
          <t>FY26</t>
        </is>
      </c>
      <c r="B74" s="6" t="inlineStr">
        <is>
          <t>Jan</t>
        </is>
      </c>
      <c r="C74" s="6" t="inlineStr">
        <is>
          <t>Kerala</t>
        </is>
      </c>
      <c r="D74" s="7" t="inlineStr">
        <is>
          <t>KL07CY8549</t>
        </is>
      </c>
      <c r="E74" s="7" t="inlineStr">
        <is>
          <t>HYUNDAI</t>
        </is>
      </c>
      <c r="F74" s="7" t="inlineStr">
        <is>
          <t>Alcazar</t>
        </is>
      </c>
      <c r="G74" s="7" t="inlineStr">
        <is>
          <t>POPULAR HYUNDAI</t>
        </is>
      </c>
      <c r="H74" s="7" t="inlineStr">
        <is>
          <t>Non-Captive</t>
        </is>
      </c>
      <c r="I74" s="7" t="inlineStr">
        <is>
          <t>SHAMSUDEEN C E</t>
        </is>
      </c>
      <c r="J74" s="8" t="n"/>
      <c r="K74" s="9" t="n">
        <v>89900</v>
      </c>
      <c r="L74" s="10" t="n">
        <v>1300000</v>
      </c>
      <c r="M74" s="10" t="n">
        <v>8474.58</v>
      </c>
      <c r="N74" s="11">
        <f>IF(M74="","",ROUND(M74*1.18,2))</f>
        <v/>
      </c>
      <c r="O74" s="12">
        <f>IF(M74="","",ROUND(N74-M74,2))</f>
        <v/>
      </c>
      <c r="P74" s="13">
        <f>IF(AND(A74&lt;&gt;"",B74&lt;&gt;""), A74&amp;" · "&amp;B74, "")</f>
        <v/>
      </c>
    </row>
    <row r="75">
      <c r="A75" s="6" t="inlineStr">
        <is>
          <t>FY26</t>
        </is>
      </c>
      <c r="B75" s="6" t="inlineStr">
        <is>
          <t>Jan</t>
        </is>
      </c>
      <c r="C75" s="6" t="inlineStr">
        <is>
          <t>Kerala</t>
        </is>
      </c>
      <c r="D75" s="7" t="inlineStr">
        <is>
          <t>KL08BU5434</t>
        </is>
      </c>
      <c r="E75" s="7" t="inlineStr">
        <is>
          <t>JEEP</t>
        </is>
      </c>
      <c r="F75" s="7" t="inlineStr">
        <is>
          <t>Compass</t>
        </is>
      </c>
      <c r="G75" s="7" t="inlineStr">
        <is>
          <t>PHOENIX VOLKSWAGEN</t>
        </is>
      </c>
      <c r="H75" s="7" t="inlineStr">
        <is>
          <t>Non-Captive</t>
        </is>
      </c>
      <c r="I75" s="7" t="inlineStr">
        <is>
          <t>Umesh Kumar T U</t>
        </is>
      </c>
      <c r="J75" s="8" t="n"/>
      <c r="K75" s="9" t="n">
        <v>53655</v>
      </c>
      <c r="L75" s="10" t="n">
        <v>1100000</v>
      </c>
      <c r="M75" s="10" t="n">
        <v>8474.58</v>
      </c>
      <c r="N75" s="11">
        <f>IF(M75="","",ROUND(M75*1.18,2))</f>
        <v/>
      </c>
      <c r="O75" s="12">
        <f>IF(M75="","",ROUND(N75-M75,2))</f>
        <v/>
      </c>
      <c r="P75" s="13">
        <f>IF(AND(A75&lt;&gt;"",B75&lt;&gt;""), A75&amp;" · "&amp;B75, "")</f>
        <v/>
      </c>
    </row>
    <row r="76">
      <c r="A76" s="6" t="inlineStr">
        <is>
          <t>FY26</t>
        </is>
      </c>
      <c r="B76" s="6" t="inlineStr">
        <is>
          <t>Jan</t>
        </is>
      </c>
      <c r="C76" s="6" t="inlineStr">
        <is>
          <t>Kerala</t>
        </is>
      </c>
      <c r="D76" s="7" t="inlineStr">
        <is>
          <t>KL08BW5977</t>
        </is>
      </c>
      <c r="E76" s="7" t="inlineStr">
        <is>
          <t>DATSUN</t>
        </is>
      </c>
      <c r="F76" s="7" t="inlineStr">
        <is>
          <t>Redi-GO</t>
        </is>
      </c>
      <c r="G76" s="7" t="inlineStr">
        <is>
          <t>CARS24</t>
        </is>
      </c>
      <c r="H76" s="7" t="inlineStr">
        <is>
          <t>Non-Captive</t>
        </is>
      </c>
      <c r="I76" s="7" t="inlineStr">
        <is>
          <t>VTJ</t>
        </is>
      </c>
      <c r="J76" s="8" t="n"/>
      <c r="K76" s="9" t="n">
        <v>30672</v>
      </c>
      <c r="L76" s="10" t="n">
        <v>195000</v>
      </c>
      <c r="M76" s="10" t="n">
        <v>10169.49</v>
      </c>
      <c r="N76" s="11">
        <f>IF(M76="","",ROUND(M76*1.18,2))</f>
        <v/>
      </c>
      <c r="O76" s="12">
        <f>IF(M76="","",ROUND(N76-M76,2))</f>
        <v/>
      </c>
      <c r="P76" s="13">
        <f>IF(AND(A76&lt;&gt;"",B76&lt;&gt;""), A76&amp;" · "&amp;B76, "")</f>
        <v/>
      </c>
    </row>
    <row r="77">
      <c r="A77" s="6" t="inlineStr">
        <is>
          <t>FY26</t>
        </is>
      </c>
      <c r="B77" s="6" t="inlineStr">
        <is>
          <t>Jan</t>
        </is>
      </c>
      <c r="C77" s="6" t="inlineStr">
        <is>
          <t>Kerala</t>
        </is>
      </c>
      <c r="D77" s="7" t="inlineStr">
        <is>
          <t>KL08BY3673</t>
        </is>
      </c>
      <c r="E77" s="7" t="inlineStr">
        <is>
          <t>TATA</t>
        </is>
      </c>
      <c r="F77" s="7" t="inlineStr">
        <is>
          <t>Tiago</t>
        </is>
      </c>
      <c r="G77" s="7" t="inlineStr">
        <is>
          <t>POPULAR HYUNDAI</t>
        </is>
      </c>
      <c r="H77" s="7" t="inlineStr">
        <is>
          <t>Non-Captive</t>
        </is>
      </c>
      <c r="I77" s="7" t="inlineStr">
        <is>
          <t>Aitos Cars</t>
        </is>
      </c>
      <c r="J77" s="8" t="n"/>
      <c r="K77" s="9" t="n">
        <v>13634</v>
      </c>
      <c r="L77" s="10" t="n">
        <v>315000</v>
      </c>
      <c r="M77" s="10" t="n">
        <v>8474.58</v>
      </c>
      <c r="N77" s="11">
        <f>IF(M77="","",ROUND(M77*1.18,2))</f>
        <v/>
      </c>
      <c r="O77" s="12">
        <f>IF(M77="","",ROUND(N77-M77,2))</f>
        <v/>
      </c>
      <c r="P77" s="13">
        <f>IF(AND(A77&lt;&gt;"",B77&lt;&gt;""), A77&amp;" · "&amp;B77, "")</f>
        <v/>
      </c>
    </row>
    <row r="78">
      <c r="A78" s="6" t="inlineStr">
        <is>
          <t>FY26</t>
        </is>
      </c>
      <c r="B78" s="6" t="inlineStr">
        <is>
          <t>Jan</t>
        </is>
      </c>
      <c r="C78" s="6" t="inlineStr">
        <is>
          <t>Kerala</t>
        </is>
      </c>
      <c r="D78" s="7" t="inlineStr">
        <is>
          <t>KL10AZ1203</t>
        </is>
      </c>
      <c r="E78" s="7" t="inlineStr">
        <is>
          <t>MARUTI SUZUKI</t>
        </is>
      </c>
      <c r="F78" s="7" t="inlineStr">
        <is>
          <t>Alto</t>
        </is>
      </c>
      <c r="G78" s="7" t="inlineStr">
        <is>
          <t>UNAISE</t>
        </is>
      </c>
      <c r="H78" s="7" t="inlineStr">
        <is>
          <t>Non-Captive</t>
        </is>
      </c>
      <c r="I78" s="7" t="inlineStr">
        <is>
          <t>BIMAL</t>
        </is>
      </c>
      <c r="J78" s="8" t="n"/>
      <c r="K78" s="9" t="n">
        <v>68000</v>
      </c>
      <c r="L78" s="10" t="n">
        <v>223000</v>
      </c>
      <c r="M78" s="10" t="n">
        <v>5932.2</v>
      </c>
      <c r="N78" s="11">
        <f>IF(M78="","",ROUND(M78*1.18,2))</f>
        <v/>
      </c>
      <c r="O78" s="12">
        <f>IF(M78="","",ROUND(N78-M78,2))</f>
        <v/>
      </c>
      <c r="P78" s="13">
        <f>IF(AND(A78&lt;&gt;"",B78&lt;&gt;""), A78&amp;" · "&amp;B78, "")</f>
        <v/>
      </c>
    </row>
    <row r="79">
      <c r="A79" s="6" t="inlineStr">
        <is>
          <t>FY26</t>
        </is>
      </c>
      <c r="B79" s="6" t="inlineStr">
        <is>
          <t>Jan</t>
        </is>
      </c>
      <c r="C79" s="6" t="inlineStr">
        <is>
          <t>Kerala</t>
        </is>
      </c>
      <c r="D79" s="7" t="inlineStr">
        <is>
          <t>KL11AV9909</t>
        </is>
      </c>
      <c r="E79" s="7" t="inlineStr">
        <is>
          <t>RENAULT</t>
        </is>
      </c>
      <c r="F79" s="7" t="inlineStr">
        <is>
          <t>Duster</t>
        </is>
      </c>
      <c r="G79" s="7" t="inlineStr">
        <is>
          <t>PHOENIX VOLKSWAGEN</t>
        </is>
      </c>
      <c r="H79" s="7" t="inlineStr">
        <is>
          <t>Non-Captive</t>
        </is>
      </c>
      <c r="I79" s="7" t="inlineStr">
        <is>
          <t>Aitos Cars</t>
        </is>
      </c>
      <c r="J79" s="8" t="n"/>
      <c r="K79" s="9" t="n">
        <v>59854</v>
      </c>
      <c r="L79" s="10" t="n">
        <v>300000</v>
      </c>
      <c r="M79" s="10" t="n">
        <v>5508.47</v>
      </c>
      <c r="N79" s="11">
        <f>IF(M79="","",ROUND(M79*1.18,2))</f>
        <v/>
      </c>
      <c r="O79" s="12">
        <f>IF(M79="","",ROUND(N79-M79,2))</f>
        <v/>
      </c>
      <c r="P79" s="13">
        <f>IF(AND(A79&lt;&gt;"",B79&lt;&gt;""), A79&amp;" · "&amp;B79, "")</f>
        <v/>
      </c>
    </row>
    <row r="80">
      <c r="A80" s="6" t="inlineStr">
        <is>
          <t>FY26</t>
        </is>
      </c>
      <c r="B80" s="6" t="inlineStr">
        <is>
          <t>Jan</t>
        </is>
      </c>
      <c r="C80" s="6" t="inlineStr">
        <is>
          <t>Kerala</t>
        </is>
      </c>
      <c r="D80" s="7" t="inlineStr">
        <is>
          <t>KL11BE7740</t>
        </is>
      </c>
      <c r="E80" s="7" t="inlineStr">
        <is>
          <t>RENAULT</t>
        </is>
      </c>
      <c r="F80" s="7" t="inlineStr">
        <is>
          <t>Kwid</t>
        </is>
      </c>
      <c r="G80" s="7" t="inlineStr">
        <is>
          <t>SAI MARUTI</t>
        </is>
      </c>
      <c r="H80" s="7" t="inlineStr">
        <is>
          <t>Non-Captive</t>
        </is>
      </c>
      <c r="I80" s="7" t="inlineStr">
        <is>
          <t>ALTHAF</t>
        </is>
      </c>
      <c r="J80" s="8" t="n"/>
      <c r="K80" s="9" t="n">
        <v>47969</v>
      </c>
      <c r="L80" s="10" t="n">
        <v>150000</v>
      </c>
      <c r="M80" s="10" t="n">
        <v>5932.2</v>
      </c>
      <c r="N80" s="11">
        <f>IF(M80="","",ROUND(M80*1.18,2))</f>
        <v/>
      </c>
      <c r="O80" s="12">
        <f>IF(M80="","",ROUND(N80-M80,2))</f>
        <v/>
      </c>
      <c r="P80" s="13">
        <f>IF(AND(A80&lt;&gt;"",B80&lt;&gt;""), A80&amp;" · "&amp;B80, "")</f>
        <v/>
      </c>
    </row>
    <row r="81">
      <c r="A81" s="6" t="inlineStr">
        <is>
          <t>FY26</t>
        </is>
      </c>
      <c r="B81" s="6" t="inlineStr">
        <is>
          <t>Jan</t>
        </is>
      </c>
      <c r="C81" s="6" t="inlineStr">
        <is>
          <t>Kerala</t>
        </is>
      </c>
      <c r="D81" s="7" t="inlineStr">
        <is>
          <t>KL11BF4251</t>
        </is>
      </c>
      <c r="E81" s="7" t="inlineStr">
        <is>
          <t>DATSUN</t>
        </is>
      </c>
      <c r="F81" s="7" t="inlineStr">
        <is>
          <t>Redi-GO</t>
        </is>
      </c>
      <c r="G81" s="7" t="inlineStr">
        <is>
          <t>NIDHI S K</t>
        </is>
      </c>
      <c r="H81" s="7" t="inlineStr">
        <is>
          <t>Non-Captive</t>
        </is>
      </c>
      <c r="I81" s="7" t="inlineStr">
        <is>
          <t>BIMAL</t>
        </is>
      </c>
      <c r="J81" s="8" t="n"/>
      <c r="K81" s="9" t="n">
        <v>97000</v>
      </c>
      <c r="L81" s="10" t="n">
        <v>110000</v>
      </c>
      <c r="M81" s="10" t="n">
        <v>8474.58</v>
      </c>
      <c r="N81" s="11">
        <f>IF(M81="","",ROUND(M81*1.18,2))</f>
        <v/>
      </c>
      <c r="O81" s="12">
        <f>IF(M81="","",ROUND(N81-M81,2))</f>
        <v/>
      </c>
      <c r="P81" s="13">
        <f>IF(AND(A81&lt;&gt;"",B81&lt;&gt;""), A81&amp;" · "&amp;B81, "")</f>
        <v/>
      </c>
    </row>
    <row r="82">
      <c r="A82" s="6" t="inlineStr">
        <is>
          <t>FY26</t>
        </is>
      </c>
      <c r="B82" s="6" t="inlineStr">
        <is>
          <t>Jan</t>
        </is>
      </c>
      <c r="C82" s="6" t="inlineStr">
        <is>
          <t>Kerala</t>
        </is>
      </c>
      <c r="D82" s="7" t="inlineStr">
        <is>
          <t>KL11BF9835</t>
        </is>
      </c>
      <c r="E82" s="7" t="inlineStr">
        <is>
          <t>MARUTI SUZUKI</t>
        </is>
      </c>
      <c r="F82" s="7" t="inlineStr">
        <is>
          <t>Baleno</t>
        </is>
      </c>
      <c r="G82" s="7" t="inlineStr">
        <is>
          <t>ARJUN KK</t>
        </is>
      </c>
      <c r="H82" s="7" t="inlineStr">
        <is>
          <t>Non-Captive</t>
        </is>
      </c>
      <c r="I82" s="7" t="inlineStr">
        <is>
          <t>BIMAL</t>
        </is>
      </c>
      <c r="J82" s="8" t="n"/>
      <c r="K82" s="9" t="n">
        <v>68000</v>
      </c>
      <c r="L82" s="10" t="n">
        <v>435000</v>
      </c>
      <c r="M82" s="10" t="n">
        <v>4237.29</v>
      </c>
      <c r="N82" s="11">
        <f>IF(M82="","",ROUND(M82*1.18,2))</f>
        <v/>
      </c>
      <c r="O82" s="12">
        <f>IF(M82="","",ROUND(N82-M82,2))</f>
        <v/>
      </c>
      <c r="P82" s="13">
        <f>IF(AND(A82&lt;&gt;"",B82&lt;&gt;""), A82&amp;" · "&amp;B82, "")</f>
        <v/>
      </c>
    </row>
    <row r="83">
      <c r="A83" s="6" t="inlineStr">
        <is>
          <t>FY26</t>
        </is>
      </c>
      <c r="B83" s="6" t="inlineStr">
        <is>
          <t>Jan</t>
        </is>
      </c>
      <c r="C83" s="6" t="inlineStr">
        <is>
          <t>Kerala</t>
        </is>
      </c>
      <c r="D83" s="7" t="inlineStr">
        <is>
          <t>KL11BK6305</t>
        </is>
      </c>
      <c r="E83" s="7" t="inlineStr">
        <is>
          <t>MARUTI SUZUKI</t>
        </is>
      </c>
      <c r="F83" s="7" t="inlineStr">
        <is>
          <t>Baleno</t>
        </is>
      </c>
      <c r="G83" s="7" t="inlineStr">
        <is>
          <t>VASIL</t>
        </is>
      </c>
      <c r="H83" s="7" t="inlineStr">
        <is>
          <t>Non-Captive</t>
        </is>
      </c>
      <c r="I83" s="7" t="inlineStr">
        <is>
          <t>MARVEL</t>
        </is>
      </c>
      <c r="J83" s="8" t="n"/>
      <c r="K83" s="9" t="n">
        <v>61000</v>
      </c>
      <c r="L83" s="10" t="n">
        <v>550000</v>
      </c>
      <c r="M83" s="10" t="n">
        <v>6779.66</v>
      </c>
      <c r="N83" s="11">
        <f>IF(M83="","",ROUND(M83*1.18,2))</f>
        <v/>
      </c>
      <c r="O83" s="12">
        <f>IF(M83="","",ROUND(N83-M83,2))</f>
        <v/>
      </c>
      <c r="P83" s="13">
        <f>IF(AND(A83&lt;&gt;"",B83&lt;&gt;""), A83&amp;" · "&amp;B83, "")</f>
        <v/>
      </c>
    </row>
    <row r="84">
      <c r="A84" s="6" t="inlineStr">
        <is>
          <t>FY26</t>
        </is>
      </c>
      <c r="B84" s="6" t="inlineStr">
        <is>
          <t>Jan</t>
        </is>
      </c>
      <c r="C84" s="6" t="inlineStr">
        <is>
          <t>Kerala</t>
        </is>
      </c>
      <c r="D84" s="7" t="inlineStr">
        <is>
          <t>KL11BN2752</t>
        </is>
      </c>
      <c r="E84" s="7" t="inlineStr">
        <is>
          <t>MARUTI SUZUKI</t>
        </is>
      </c>
      <c r="F84" s="7" t="inlineStr">
        <is>
          <t>Swift</t>
        </is>
      </c>
      <c r="G84" s="7" t="inlineStr">
        <is>
          <t>SANOOP KM</t>
        </is>
      </c>
      <c r="H84" s="7" t="inlineStr">
        <is>
          <t>Non-Captive</t>
        </is>
      </c>
      <c r="I84" s="7" t="inlineStr">
        <is>
          <t>BIMAL</t>
        </is>
      </c>
      <c r="J84" s="8" t="n"/>
      <c r="K84" s="9" t="n">
        <v>56000</v>
      </c>
      <c r="L84" s="10" t="n">
        <v>510000</v>
      </c>
      <c r="M84" s="10" t="n">
        <v>5084.75</v>
      </c>
      <c r="N84" s="11">
        <f>IF(M84="","",ROUND(M84*1.18,2))</f>
        <v/>
      </c>
      <c r="O84" s="12">
        <f>IF(M84="","",ROUND(N84-M84,2))</f>
        <v/>
      </c>
      <c r="P84" s="13">
        <f>IF(AND(A84&lt;&gt;"",B84&lt;&gt;""), A84&amp;" · "&amp;B84, "")</f>
        <v/>
      </c>
    </row>
    <row r="85">
      <c r="A85" s="6" t="inlineStr">
        <is>
          <t>FY26</t>
        </is>
      </c>
      <c r="B85" s="6" t="inlineStr">
        <is>
          <t>Jan</t>
        </is>
      </c>
      <c r="C85" s="6" t="inlineStr">
        <is>
          <t>Kerala</t>
        </is>
      </c>
      <c r="D85" s="7" t="inlineStr">
        <is>
          <t>KL11BU1546</t>
        </is>
      </c>
      <c r="E85" s="7" t="inlineStr">
        <is>
          <t>MARUTI SUZUKI</t>
        </is>
      </c>
      <c r="F85" s="7" t="inlineStr">
        <is>
          <t>Vitara Brezza</t>
        </is>
      </c>
      <c r="G85" s="7" t="inlineStr">
        <is>
          <t>MARK 4</t>
        </is>
      </c>
      <c r="H85" s="7" t="inlineStr">
        <is>
          <t>Non-Captive</t>
        </is>
      </c>
      <c r="I85" s="7" t="inlineStr">
        <is>
          <t>BIMAL MARUTI</t>
        </is>
      </c>
      <c r="J85" s="8" t="n"/>
      <c r="K85" s="9" t="n">
        <v>86000</v>
      </c>
      <c r="L85" s="10" t="n">
        <v>625000</v>
      </c>
      <c r="M85" s="10" t="n">
        <v>4237.29</v>
      </c>
      <c r="N85" s="11">
        <f>IF(M85="","",ROUND(M85*1.18,2))</f>
        <v/>
      </c>
      <c r="O85" s="12">
        <f>IF(M85="","",ROUND(N85-M85,2))</f>
        <v/>
      </c>
      <c r="P85" s="13">
        <f>IF(AND(A85&lt;&gt;"",B85&lt;&gt;""), A85&amp;" · "&amp;B85, "")</f>
        <v/>
      </c>
    </row>
    <row r="86">
      <c r="A86" s="6" t="inlineStr">
        <is>
          <t>FY26</t>
        </is>
      </c>
      <c r="B86" s="6" t="inlineStr">
        <is>
          <t>Jan</t>
        </is>
      </c>
      <c r="C86" s="6" t="inlineStr">
        <is>
          <t>Kerala</t>
        </is>
      </c>
      <c r="D86" s="7" t="inlineStr">
        <is>
          <t>KL11BX0343</t>
        </is>
      </c>
      <c r="E86" s="7" t="inlineStr">
        <is>
          <t>MARUTI SUZUKI</t>
        </is>
      </c>
      <c r="F86" s="7" t="inlineStr">
        <is>
          <t>Wagon R</t>
        </is>
      </c>
      <c r="G86" s="7" t="inlineStr">
        <is>
          <t>ABBAS</t>
        </is>
      </c>
      <c r="H86" s="7" t="inlineStr">
        <is>
          <t>Non-Captive</t>
        </is>
      </c>
      <c r="I86" s="7" t="inlineStr">
        <is>
          <t>DKH KIA</t>
        </is>
      </c>
      <c r="J86" s="8" t="n"/>
      <c r="K86" s="9" t="n">
        <v>67000</v>
      </c>
      <c r="L86" s="10" t="n">
        <v>505000</v>
      </c>
      <c r="M86" s="10" t="n">
        <v>5932.2</v>
      </c>
      <c r="N86" s="11">
        <f>IF(M86="","",ROUND(M86*1.18,2))</f>
        <v/>
      </c>
      <c r="O86" s="12">
        <f>IF(M86="","",ROUND(N86-M86,2))</f>
        <v/>
      </c>
      <c r="P86" s="13">
        <f>IF(AND(A86&lt;&gt;"",B86&lt;&gt;""), A86&amp;" · "&amp;B86, "")</f>
        <v/>
      </c>
    </row>
    <row r="87">
      <c r="A87" s="6" t="inlineStr">
        <is>
          <t>FY26</t>
        </is>
      </c>
      <c r="B87" s="6" t="inlineStr">
        <is>
          <t>Jan</t>
        </is>
      </c>
      <c r="C87" s="6" t="inlineStr">
        <is>
          <t>Kerala</t>
        </is>
      </c>
      <c r="D87" s="7" t="inlineStr">
        <is>
          <t>KL13AD909</t>
        </is>
      </c>
      <c r="E87" s="7" t="inlineStr">
        <is>
          <t>NISSAN</t>
        </is>
      </c>
      <c r="F87" s="7" t="inlineStr">
        <is>
          <t>Micra</t>
        </is>
      </c>
      <c r="G87" s="7" t="inlineStr">
        <is>
          <t>MARVEL VIJIL</t>
        </is>
      </c>
      <c r="H87" s="7" t="inlineStr">
        <is>
          <t>Non-Captive</t>
        </is>
      </c>
      <c r="I87" s="7" t="inlineStr">
        <is>
          <t>KVR TATA</t>
        </is>
      </c>
      <c r="J87" s="8" t="n"/>
      <c r="K87" s="9" t="n">
        <v>84000</v>
      </c>
      <c r="L87" s="10" t="n">
        <v>265000</v>
      </c>
      <c r="M87" s="10" t="n">
        <v>8474.58</v>
      </c>
      <c r="N87" s="11">
        <f>IF(M87="","",ROUND(M87*1.18,2))</f>
        <v/>
      </c>
      <c r="O87" s="12">
        <f>IF(M87="","",ROUND(N87-M87,2))</f>
        <v/>
      </c>
      <c r="P87" s="13">
        <f>IF(AND(A87&lt;&gt;"",B87&lt;&gt;""), A87&amp;" · "&amp;B87, "")</f>
        <v/>
      </c>
    </row>
    <row r="88">
      <c r="A88" s="6" t="inlineStr">
        <is>
          <t>FY26</t>
        </is>
      </c>
      <c r="B88" s="6" t="inlineStr">
        <is>
          <t>Jan</t>
        </is>
      </c>
      <c r="C88" s="6" t="inlineStr">
        <is>
          <t>Kerala</t>
        </is>
      </c>
      <c r="D88" s="7" t="inlineStr">
        <is>
          <t>KL13AQ6956</t>
        </is>
      </c>
      <c r="E88" s="7" t="inlineStr">
        <is>
          <t>HYUNDAI</t>
        </is>
      </c>
      <c r="F88" s="7" t="inlineStr">
        <is>
          <t>Venue</t>
        </is>
      </c>
      <c r="G88" s="7" t="inlineStr">
        <is>
          <t>PRAJOSH</t>
        </is>
      </c>
      <c r="H88" s="7" t="inlineStr">
        <is>
          <t>Non-Captive</t>
        </is>
      </c>
      <c r="I88" s="7" t="inlineStr">
        <is>
          <t>APCO HYUNDAI</t>
        </is>
      </c>
      <c r="J88" s="8" t="n"/>
      <c r="K88" s="9" t="n">
        <v>37000</v>
      </c>
      <c r="L88" s="10" t="n">
        <v>540000</v>
      </c>
      <c r="M88" s="10" t="n">
        <v>8474.58</v>
      </c>
      <c r="N88" s="11">
        <f>IF(M88="","",ROUND(M88*1.18,2))</f>
        <v/>
      </c>
      <c r="O88" s="12">
        <f>IF(M88="","",ROUND(N88-M88,2))</f>
        <v/>
      </c>
      <c r="P88" s="13">
        <f>IF(AND(A88&lt;&gt;"",B88&lt;&gt;""), A88&amp;" · "&amp;B88, "")</f>
        <v/>
      </c>
    </row>
    <row r="89">
      <c r="A89" s="6" t="inlineStr">
        <is>
          <t>FY26</t>
        </is>
      </c>
      <c r="B89" s="6" t="inlineStr">
        <is>
          <t>Jan</t>
        </is>
      </c>
      <c r="C89" s="6" t="inlineStr">
        <is>
          <t>Kerala</t>
        </is>
      </c>
      <c r="D89" s="7" t="inlineStr">
        <is>
          <t>KL13AT0019</t>
        </is>
      </c>
      <c r="E89" s="7" t="inlineStr">
        <is>
          <t>TATA</t>
        </is>
      </c>
      <c r="F89" s="7" t="inlineStr">
        <is>
          <t>Tiago</t>
        </is>
      </c>
      <c r="G89" s="7" t="inlineStr">
        <is>
          <t>KANNUR PLATINUM</t>
        </is>
      </c>
      <c r="H89" s="7" t="inlineStr">
        <is>
          <t>Non-Captive</t>
        </is>
      </c>
      <c r="I89" s="7" t="inlineStr">
        <is>
          <t>KVR TATA</t>
        </is>
      </c>
      <c r="J89" s="8" t="n"/>
      <c r="K89" s="9" t="n">
        <v>42000</v>
      </c>
      <c r="L89" s="10" t="n">
        <v>415000</v>
      </c>
      <c r="M89" s="10" t="n">
        <v>4237.29</v>
      </c>
      <c r="N89" s="11">
        <f>IF(M89="","",ROUND(M89*1.18,2))</f>
        <v/>
      </c>
      <c r="O89" s="12">
        <f>IF(M89="","",ROUND(N89-M89,2))</f>
        <v/>
      </c>
      <c r="P89" s="13">
        <f>IF(AND(A89&lt;&gt;"",B89&lt;&gt;""), A89&amp;" · "&amp;B89, "")</f>
        <v/>
      </c>
    </row>
    <row r="90">
      <c r="A90" s="6" t="inlineStr">
        <is>
          <t>FY26</t>
        </is>
      </c>
      <c r="B90" s="6" t="inlineStr">
        <is>
          <t>Jan</t>
        </is>
      </c>
      <c r="C90" s="6" t="inlineStr">
        <is>
          <t>Kerala</t>
        </is>
      </c>
      <c r="D90" s="7" t="inlineStr">
        <is>
          <t>KL14T0826</t>
        </is>
      </c>
      <c r="E90" s="7" t="inlineStr">
        <is>
          <t>MARUTI SUZUKI</t>
        </is>
      </c>
      <c r="F90" s="7" t="inlineStr">
        <is>
          <t>Swift</t>
        </is>
      </c>
      <c r="G90" s="7" t="inlineStr">
        <is>
          <t>PRAJOSH</t>
        </is>
      </c>
      <c r="H90" s="7" t="inlineStr">
        <is>
          <t>Non-Captive</t>
        </is>
      </c>
      <c r="I90" s="7" t="inlineStr">
        <is>
          <t>KVR TATA</t>
        </is>
      </c>
      <c r="J90" s="8" t="n"/>
      <c r="K90" s="9" t="n">
        <v>114000</v>
      </c>
      <c r="L90" s="10" t="n">
        <v>415000</v>
      </c>
      <c r="M90" s="10" t="n">
        <v>4237.29</v>
      </c>
      <c r="N90" s="11">
        <f>IF(M90="","",ROUND(M90*1.18,2))</f>
        <v/>
      </c>
      <c r="O90" s="12">
        <f>IF(M90="","",ROUND(N90-M90,2))</f>
        <v/>
      </c>
      <c r="P90" s="13">
        <f>IF(AND(A90&lt;&gt;"",B90&lt;&gt;""), A90&amp;" · "&amp;B90, "")</f>
        <v/>
      </c>
    </row>
    <row r="91">
      <c r="A91" s="6" t="inlineStr">
        <is>
          <t>FY26</t>
        </is>
      </c>
      <c r="B91" s="6" t="inlineStr">
        <is>
          <t>Jan</t>
        </is>
      </c>
      <c r="C91" s="6" t="inlineStr">
        <is>
          <t>Kerala</t>
        </is>
      </c>
      <c r="D91" s="7" t="inlineStr">
        <is>
          <t>KL16R9979</t>
        </is>
      </c>
      <c r="E91" s="7" t="inlineStr">
        <is>
          <t>MARUTI SUZUKI</t>
        </is>
      </c>
      <c r="F91" s="7" t="inlineStr">
        <is>
          <t>Alto</t>
        </is>
      </c>
      <c r="G91" s="7" t="inlineStr">
        <is>
          <t>LUXON TATA</t>
        </is>
      </c>
      <c r="H91" s="7" t="inlineStr">
        <is>
          <t>Non-Captive</t>
        </is>
      </c>
      <c r="I91" s="7" t="inlineStr">
        <is>
          <t>SHAMNAD</t>
        </is>
      </c>
      <c r="J91" s="8" t="n"/>
      <c r="K91" s="9" t="n">
        <v>65880</v>
      </c>
      <c r="L91" s="10" t="n">
        <v>170000</v>
      </c>
      <c r="M91" s="10" t="n">
        <v>5932.2</v>
      </c>
      <c r="N91" s="11">
        <f>IF(M91="","",ROUND(M91*1.18,2))</f>
        <v/>
      </c>
      <c r="O91" s="12">
        <f>IF(M91="","",ROUND(N91-M91,2))</f>
        <v/>
      </c>
      <c r="P91" s="13">
        <f>IF(AND(A91&lt;&gt;"",B91&lt;&gt;""), A91&amp;" · "&amp;B91, "")</f>
        <v/>
      </c>
    </row>
    <row r="92">
      <c r="A92" s="6" t="inlineStr">
        <is>
          <t>FY26</t>
        </is>
      </c>
      <c r="B92" s="6" t="inlineStr">
        <is>
          <t>Jan</t>
        </is>
      </c>
      <c r="C92" s="6" t="inlineStr">
        <is>
          <t>Kerala</t>
        </is>
      </c>
      <c r="D92" s="7" t="inlineStr">
        <is>
          <t>KL16Y3740</t>
        </is>
      </c>
      <c r="E92" s="7" t="inlineStr">
        <is>
          <t>FORD</t>
        </is>
      </c>
      <c r="F92" s="7" t="inlineStr">
        <is>
          <t>EcoSport</t>
        </is>
      </c>
      <c r="G92" s="7" t="inlineStr">
        <is>
          <t>FORTUNE MG</t>
        </is>
      </c>
      <c r="H92" s="7" t="inlineStr">
        <is>
          <t>Non-Captive</t>
        </is>
      </c>
      <c r="I92" s="7" t="inlineStr">
        <is>
          <t>RAHUL</t>
        </is>
      </c>
      <c r="J92" s="8" t="n"/>
      <c r="K92" s="9" t="n">
        <v>81200</v>
      </c>
      <c r="L92" s="10" t="n">
        <v>620000</v>
      </c>
      <c r="M92" s="10" t="n">
        <v>8474.58</v>
      </c>
      <c r="N92" s="11">
        <f>IF(M92="","",ROUND(M92*1.18,2))</f>
        <v/>
      </c>
      <c r="O92" s="12">
        <f>IF(M92="","",ROUND(N92-M92,2))</f>
        <v/>
      </c>
      <c r="P92" s="13">
        <f>IF(AND(A92&lt;&gt;"",B92&lt;&gt;""), A92&amp;" · "&amp;B92, "")</f>
        <v/>
      </c>
    </row>
    <row r="93">
      <c r="A93" s="6" t="inlineStr">
        <is>
          <t>FY26</t>
        </is>
      </c>
      <c r="B93" s="6" t="inlineStr">
        <is>
          <t>Jan</t>
        </is>
      </c>
      <c r="C93" s="6" t="inlineStr">
        <is>
          <t>Kerala</t>
        </is>
      </c>
      <c r="D93" s="7" t="inlineStr">
        <is>
          <t>KL17E7947</t>
        </is>
      </c>
      <c r="E93" s="7" t="inlineStr">
        <is>
          <t>HYUNDAI</t>
        </is>
      </c>
      <c r="F93" s="7" t="inlineStr">
        <is>
          <t>Santro</t>
        </is>
      </c>
      <c r="G93" s="7" t="inlineStr">
        <is>
          <t>POPULAR MARUTI</t>
        </is>
      </c>
      <c r="H93" s="7" t="inlineStr">
        <is>
          <t>Non-Captive</t>
        </is>
      </c>
      <c r="I93" s="7" t="inlineStr">
        <is>
          <t>HUSSAIN O E</t>
        </is>
      </c>
      <c r="J93" s="8" t="n"/>
      <c r="K93" s="9" t="n">
        <v>106742</v>
      </c>
      <c r="L93" s="10" t="n">
        <v>30000</v>
      </c>
      <c r="M93" s="10" t="n">
        <v>8474.58</v>
      </c>
      <c r="N93" s="11">
        <f>IF(M93="","",ROUND(M93*1.18,2))</f>
        <v/>
      </c>
      <c r="O93" s="12">
        <f>IF(M93="","",ROUND(N93-M93,2))</f>
        <v/>
      </c>
      <c r="P93" s="13">
        <f>IF(AND(A93&lt;&gt;"",B93&lt;&gt;""), A93&amp;" · "&amp;B93, "")</f>
        <v/>
      </c>
    </row>
    <row r="94">
      <c r="A94" s="6" t="inlineStr">
        <is>
          <t>FY26</t>
        </is>
      </c>
      <c r="B94" s="6" t="inlineStr">
        <is>
          <t>Jan</t>
        </is>
      </c>
      <c r="C94" s="6" t="inlineStr">
        <is>
          <t>Kerala</t>
        </is>
      </c>
      <c r="D94" s="7" t="inlineStr">
        <is>
          <t>KL17P5509</t>
        </is>
      </c>
      <c r="E94" s="7" t="inlineStr">
        <is>
          <t>FIAT</t>
        </is>
      </c>
      <c r="F94" s="7" t="inlineStr">
        <is>
          <t>Punto</t>
        </is>
      </c>
      <c r="G94" s="7" t="inlineStr">
        <is>
          <t>ABBAS</t>
        </is>
      </c>
      <c r="H94" s="7" t="inlineStr">
        <is>
          <t>Non-Captive</t>
        </is>
      </c>
      <c r="I94" s="7" t="inlineStr">
        <is>
          <t>KVR TATA</t>
        </is>
      </c>
      <c r="J94" s="8" t="n"/>
      <c r="K94" s="9" t="n">
        <v>61000</v>
      </c>
      <c r="L94" s="10" t="n">
        <v>130000</v>
      </c>
      <c r="M94" s="10" t="n">
        <v>4237.29</v>
      </c>
      <c r="N94" s="11">
        <f>IF(M94="","",ROUND(M94*1.18,2))</f>
        <v/>
      </c>
      <c r="O94" s="12">
        <f>IF(M94="","",ROUND(N94-M94,2))</f>
        <v/>
      </c>
      <c r="P94" s="13">
        <f>IF(AND(A94&lt;&gt;"",B94&lt;&gt;""), A94&amp;" · "&amp;B94, "")</f>
        <v/>
      </c>
    </row>
    <row r="95">
      <c r="A95" s="6" t="inlineStr">
        <is>
          <t>FY26</t>
        </is>
      </c>
      <c r="B95" s="6" t="inlineStr">
        <is>
          <t>Jan</t>
        </is>
      </c>
      <c r="C95" s="6" t="inlineStr">
        <is>
          <t>Kerala</t>
        </is>
      </c>
      <c r="D95" s="7" t="inlineStr">
        <is>
          <t>KL18AB5949</t>
        </is>
      </c>
      <c r="E95" s="7" t="inlineStr">
        <is>
          <t>MARUTI SUZUKI</t>
        </is>
      </c>
      <c r="F95" s="7" t="inlineStr">
        <is>
          <t>Eeco</t>
        </is>
      </c>
      <c r="G95" s="7" t="inlineStr">
        <is>
          <t>NIDEESH MOHAN</t>
        </is>
      </c>
      <c r="H95" s="7" t="inlineStr">
        <is>
          <t>Non-Captive</t>
        </is>
      </c>
      <c r="I95" s="7" t="inlineStr">
        <is>
          <t>APCO HYUNDAI</t>
        </is>
      </c>
      <c r="J95" s="8" t="n"/>
      <c r="K95" s="9" t="n">
        <v>80000</v>
      </c>
      <c r="L95" s="10" t="n">
        <v>330000</v>
      </c>
      <c r="M95" s="10" t="n">
        <v>8474.58</v>
      </c>
      <c r="N95" s="11">
        <f>IF(M95="","",ROUND(M95*1.18,2))</f>
        <v/>
      </c>
      <c r="O95" s="12">
        <f>IF(M95="","",ROUND(N95-M95,2))</f>
        <v/>
      </c>
      <c r="P95" s="13">
        <f>IF(AND(A95&lt;&gt;"",B95&lt;&gt;""), A95&amp;" · "&amp;B95, "")</f>
        <v/>
      </c>
    </row>
    <row r="96">
      <c r="A96" s="6" t="inlineStr">
        <is>
          <t>FY26</t>
        </is>
      </c>
      <c r="B96" s="6" t="inlineStr">
        <is>
          <t>Jan</t>
        </is>
      </c>
      <c r="C96" s="6" t="inlineStr">
        <is>
          <t>Kerala</t>
        </is>
      </c>
      <c r="D96" s="7" t="inlineStr">
        <is>
          <t>KL18G2110</t>
        </is>
      </c>
      <c r="E96" s="7" t="inlineStr">
        <is>
          <t>MARUTI SUZUKI</t>
        </is>
      </c>
      <c r="F96" s="7" t="inlineStr">
        <is>
          <t>Alto</t>
        </is>
      </c>
      <c r="G96" s="7" t="inlineStr">
        <is>
          <t>POPULAR MARUTI</t>
        </is>
      </c>
      <c r="H96" s="7" t="inlineStr">
        <is>
          <t>Non-Captive</t>
        </is>
      </c>
      <c r="I96" s="7" t="inlineStr">
        <is>
          <t>VTJ</t>
        </is>
      </c>
      <c r="J96" s="8" t="n"/>
      <c r="K96" s="9" t="n">
        <v>96081</v>
      </c>
      <c r="L96" s="10" t="n">
        <v>24000</v>
      </c>
      <c r="M96" s="10" t="n">
        <v>6779.66</v>
      </c>
      <c r="N96" s="11">
        <f>IF(M96="","",ROUND(M96*1.18,2))</f>
        <v/>
      </c>
      <c r="O96" s="12">
        <f>IF(M96="","",ROUND(N96-M96,2))</f>
        <v/>
      </c>
      <c r="P96" s="13">
        <f>IF(AND(A96&lt;&gt;"",B96&lt;&gt;""), A96&amp;" · "&amp;B96, "")</f>
        <v/>
      </c>
    </row>
    <row r="97">
      <c r="A97" s="6" t="inlineStr">
        <is>
          <t>FY26</t>
        </is>
      </c>
      <c r="B97" s="6" t="inlineStr">
        <is>
          <t>Jan</t>
        </is>
      </c>
      <c r="C97" s="6" t="inlineStr">
        <is>
          <t>Kerala</t>
        </is>
      </c>
      <c r="D97" s="7" t="inlineStr">
        <is>
          <t>KL18U2555</t>
        </is>
      </c>
      <c r="E97" s="7" t="inlineStr">
        <is>
          <t>MARUTI SUZUKI</t>
        </is>
      </c>
      <c r="F97" s="7" t="inlineStr">
        <is>
          <t>Vitara Brezza</t>
        </is>
      </c>
      <c r="G97" s="7" t="inlineStr">
        <is>
          <t>ABBAS</t>
        </is>
      </c>
      <c r="H97" s="7" t="inlineStr">
        <is>
          <t>Non-Captive</t>
        </is>
      </c>
      <c r="I97" s="7" t="inlineStr">
        <is>
          <t>MAYAN</t>
        </is>
      </c>
      <c r="J97" s="8" t="n"/>
      <c r="K97" s="9" t="n">
        <v>99000</v>
      </c>
      <c r="L97" s="10" t="n">
        <v>540000</v>
      </c>
      <c r="M97" s="10" t="n">
        <v>6779.66</v>
      </c>
      <c r="N97" s="11">
        <f>IF(M97="","",ROUND(M97*1.18,2))</f>
        <v/>
      </c>
      <c r="O97" s="12">
        <f>IF(M97="","",ROUND(N97-M97,2))</f>
        <v/>
      </c>
      <c r="P97" s="13">
        <f>IF(AND(A97&lt;&gt;"",B97&lt;&gt;""), A97&amp;" · "&amp;B97, "")</f>
        <v/>
      </c>
    </row>
    <row r="98">
      <c r="A98" s="6" t="inlineStr">
        <is>
          <t>FY26</t>
        </is>
      </c>
      <c r="B98" s="6" t="inlineStr">
        <is>
          <t>Jan</t>
        </is>
      </c>
      <c r="C98" s="6" t="inlineStr">
        <is>
          <t>Kerala</t>
        </is>
      </c>
      <c r="D98" s="7" t="inlineStr">
        <is>
          <t>KL18Z4651</t>
        </is>
      </c>
      <c r="E98" s="7" t="inlineStr">
        <is>
          <t>MARUTI SUZUKI</t>
        </is>
      </c>
      <c r="F98" s="7" t="inlineStr">
        <is>
          <t>Eeco</t>
        </is>
      </c>
      <c r="G98" s="7" t="inlineStr">
        <is>
          <t>SAMSHUD</t>
        </is>
      </c>
      <c r="H98" s="7" t="inlineStr">
        <is>
          <t>Non-Captive</t>
        </is>
      </c>
      <c r="I98" s="7" t="inlineStr">
        <is>
          <t>MARVEL</t>
        </is>
      </c>
      <c r="J98" s="8" t="n"/>
      <c r="K98" s="9" t="n">
        <v>24000</v>
      </c>
      <c r="L98" s="10" t="n">
        <v>350000</v>
      </c>
      <c r="M98" s="10" t="n">
        <v>8475.42</v>
      </c>
      <c r="N98" s="11">
        <f>IF(M98="","",ROUND(M98*1.18,2))</f>
        <v/>
      </c>
      <c r="O98" s="12">
        <f>IF(M98="","",ROUND(N98-M98,2))</f>
        <v/>
      </c>
      <c r="P98" s="13">
        <f>IF(AND(A98&lt;&gt;"",B98&lt;&gt;""), A98&amp;" · "&amp;B98, "")</f>
        <v/>
      </c>
    </row>
    <row r="99">
      <c r="A99" s="6" t="inlineStr">
        <is>
          <t>FY26</t>
        </is>
      </c>
      <c r="B99" s="6" t="inlineStr">
        <is>
          <t>Jan</t>
        </is>
      </c>
      <c r="C99" s="6" t="inlineStr">
        <is>
          <t>Kerala</t>
        </is>
      </c>
      <c r="D99" s="7" t="inlineStr">
        <is>
          <t>KL20B2394</t>
        </is>
      </c>
      <c r="E99" s="7" t="inlineStr">
        <is>
          <t>MARUTI SUZUKI</t>
        </is>
      </c>
      <c r="F99" s="7" t="inlineStr">
        <is>
          <t>Dzire</t>
        </is>
      </c>
      <c r="G99" s="7" t="inlineStr">
        <is>
          <t>TOYOTA FINANCE</t>
        </is>
      </c>
      <c r="H99" s="7" t="inlineStr">
        <is>
          <t>Non-Captive</t>
        </is>
      </c>
      <c r="I99" s="7" t="inlineStr">
        <is>
          <t>SUBRAMANIAN</t>
        </is>
      </c>
      <c r="J99" s="8" t="n"/>
      <c r="K99" s="9" t="n">
        <v>67500</v>
      </c>
      <c r="L99" s="10" t="n">
        <v>180000</v>
      </c>
      <c r="M99" s="10" t="n">
        <v>4237.29</v>
      </c>
      <c r="N99" s="11">
        <f>IF(M99="","",ROUND(M99*1.18,2))</f>
        <v/>
      </c>
      <c r="O99" s="12">
        <f>IF(M99="","",ROUND(N99-M99,2))</f>
        <v/>
      </c>
      <c r="P99" s="13">
        <f>IF(AND(A99&lt;&gt;"",B99&lt;&gt;""), A99&amp;" · "&amp;B99, "")</f>
        <v/>
      </c>
    </row>
    <row r="100">
      <c r="A100" s="6" t="inlineStr">
        <is>
          <t>FY26</t>
        </is>
      </c>
      <c r="B100" s="6" t="inlineStr">
        <is>
          <t>Jan</t>
        </is>
      </c>
      <c r="C100" s="6" t="inlineStr">
        <is>
          <t>Kerala</t>
        </is>
      </c>
      <c r="D100" s="7" t="inlineStr">
        <is>
          <t>KL21R4550</t>
        </is>
      </c>
      <c r="E100" s="7" t="inlineStr">
        <is>
          <t>FORD</t>
        </is>
      </c>
      <c r="F100" s="7" t="inlineStr">
        <is>
          <t>Figo</t>
        </is>
      </c>
      <c r="G100" s="7" t="inlineStr">
        <is>
          <t>TRIVANDRUM MOTORS</t>
        </is>
      </c>
      <c r="H100" s="7" t="inlineStr">
        <is>
          <t>Non-Captive</t>
        </is>
      </c>
      <c r="I100" s="7" t="inlineStr">
        <is>
          <t>SANTHOSH</t>
        </is>
      </c>
      <c r="J100" s="8" t="n"/>
      <c r="K100" s="9" t="n">
        <v>65550</v>
      </c>
      <c r="L100" s="10" t="n">
        <v>280000</v>
      </c>
      <c r="M100" s="10" t="n">
        <v>5932.2</v>
      </c>
      <c r="N100" s="11">
        <f>IF(M100="","",ROUND(M100*1.18,2))</f>
        <v/>
      </c>
      <c r="O100" s="12">
        <f>IF(M100="","",ROUND(N100-M100,2))</f>
        <v/>
      </c>
      <c r="P100" s="13">
        <f>IF(AND(A100&lt;&gt;"",B100&lt;&gt;""), A100&amp;" · "&amp;B100, "")</f>
        <v/>
      </c>
    </row>
    <row r="101">
      <c r="A101" s="6" t="inlineStr">
        <is>
          <t>FY26</t>
        </is>
      </c>
      <c r="B101" s="6" t="inlineStr">
        <is>
          <t>Jan</t>
        </is>
      </c>
      <c r="C101" s="6" t="inlineStr">
        <is>
          <t>Kerala</t>
        </is>
      </c>
      <c r="D101" s="7" t="inlineStr">
        <is>
          <t>KL22L9374</t>
        </is>
      </c>
      <c r="E101" s="7" t="inlineStr">
        <is>
          <t>FORD</t>
        </is>
      </c>
      <c r="F101" s="7" t="inlineStr">
        <is>
          <t>EcoSport</t>
        </is>
      </c>
      <c r="G101" s="7" t="inlineStr">
        <is>
          <t>SPRICE HYUNDAI</t>
        </is>
      </c>
      <c r="H101" s="7" t="inlineStr">
        <is>
          <t>Non-Captive</t>
        </is>
      </c>
      <c r="I101" s="7" t="inlineStr">
        <is>
          <t>PRAMOD</t>
        </is>
      </c>
      <c r="J101" s="8" t="n"/>
      <c r="K101" s="9" t="n">
        <v>106000</v>
      </c>
      <c r="L101" s="10" t="n">
        <v>532000</v>
      </c>
      <c r="M101" s="10" t="n">
        <v>6779.66</v>
      </c>
      <c r="N101" s="11">
        <f>IF(M101="","",ROUND(M101*1.18,2))</f>
        <v/>
      </c>
      <c r="O101" s="12">
        <f>IF(M101="","",ROUND(N101-M101,2))</f>
        <v/>
      </c>
      <c r="P101" s="13">
        <f>IF(AND(A101&lt;&gt;"",B101&lt;&gt;""), A101&amp;" · "&amp;B101, "")</f>
        <v/>
      </c>
    </row>
    <row r="102">
      <c r="A102" s="6" t="inlineStr">
        <is>
          <t>FY26</t>
        </is>
      </c>
      <c r="B102" s="6" t="inlineStr">
        <is>
          <t>Jan</t>
        </is>
      </c>
      <c r="C102" s="6" t="inlineStr">
        <is>
          <t>Kerala</t>
        </is>
      </c>
      <c r="D102" s="7" t="inlineStr">
        <is>
          <t>KL23B9827</t>
        </is>
      </c>
      <c r="E102" s="7" t="inlineStr">
        <is>
          <t>MARUTI SUZUKI</t>
        </is>
      </c>
      <c r="F102" s="7" t="inlineStr">
        <is>
          <t>Dzire</t>
        </is>
      </c>
      <c r="G102" s="7" t="inlineStr">
        <is>
          <t>REFERENCE</t>
        </is>
      </c>
      <c r="H102" s="7" t="inlineStr">
        <is>
          <t>Non-Captive</t>
        </is>
      </c>
      <c r="I102" s="7" t="inlineStr">
        <is>
          <t>RAMSHAD</t>
        </is>
      </c>
      <c r="J102" s="8" t="n"/>
      <c r="K102" s="9" t="n">
        <v>175000</v>
      </c>
      <c r="L102" s="10" t="n">
        <v>142000</v>
      </c>
      <c r="M102" s="10" t="n">
        <v>6779.66</v>
      </c>
      <c r="N102" s="11">
        <f>IF(M102="","",ROUND(M102*1.18,2))</f>
        <v/>
      </c>
      <c r="O102" s="12">
        <f>IF(M102="","",ROUND(N102-M102,2))</f>
        <v/>
      </c>
      <c r="P102" s="13">
        <f>IF(AND(A102&lt;&gt;"",B102&lt;&gt;""), A102&amp;" · "&amp;B102, "")</f>
        <v/>
      </c>
    </row>
    <row r="103">
      <c r="A103" s="6" t="inlineStr">
        <is>
          <t>FY26</t>
        </is>
      </c>
      <c r="B103" s="6" t="inlineStr">
        <is>
          <t>Jan</t>
        </is>
      </c>
      <c r="C103" s="6" t="inlineStr">
        <is>
          <t>Kerala</t>
        </is>
      </c>
      <c r="D103" s="7" t="inlineStr">
        <is>
          <t>KL23S2848</t>
        </is>
      </c>
      <c r="E103" s="7" t="inlineStr">
        <is>
          <t>DATSUN</t>
        </is>
      </c>
      <c r="F103" s="7" t="inlineStr">
        <is>
          <t>Redi-GO</t>
        </is>
      </c>
      <c r="G103" s="7" t="inlineStr">
        <is>
          <t>SS HYUNDAI</t>
        </is>
      </c>
      <c r="H103" s="7" t="inlineStr">
        <is>
          <t>Non-Captive</t>
        </is>
      </c>
      <c r="I103" s="7" t="inlineStr">
        <is>
          <t>AKHILNATH</t>
        </is>
      </c>
      <c r="J103" s="8" t="n"/>
      <c r="K103" s="9" t="n">
        <v>25244</v>
      </c>
      <c r="L103" s="10" t="n">
        <v>138000</v>
      </c>
      <c r="M103" s="10" t="n">
        <v>5932.2</v>
      </c>
      <c r="N103" s="11">
        <f>IF(M103="","",ROUND(M103*1.18,2))</f>
        <v/>
      </c>
      <c r="O103" s="12">
        <f>IF(M103="","",ROUND(N103-M103,2))</f>
        <v/>
      </c>
      <c r="P103" s="13">
        <f>IF(AND(A103&lt;&gt;"",B103&lt;&gt;""), A103&amp;" · "&amp;B103, "")</f>
        <v/>
      </c>
    </row>
    <row r="104">
      <c r="A104" s="6" t="inlineStr">
        <is>
          <t>FY26</t>
        </is>
      </c>
      <c r="B104" s="6" t="inlineStr">
        <is>
          <t>Jan</t>
        </is>
      </c>
      <c r="C104" s="6" t="inlineStr">
        <is>
          <t>Kerala</t>
        </is>
      </c>
      <c r="D104" s="7" t="inlineStr">
        <is>
          <t>KL25G3160</t>
        </is>
      </c>
      <c r="E104" s="7" t="inlineStr">
        <is>
          <t>FORD</t>
        </is>
      </c>
      <c r="F104" s="7" t="inlineStr">
        <is>
          <t>EcoSport</t>
        </is>
      </c>
      <c r="G104" s="7" t="inlineStr">
        <is>
          <t>EVM SKODA</t>
        </is>
      </c>
      <c r="H104" s="7" t="inlineStr">
        <is>
          <t>Non-Captive</t>
        </is>
      </c>
      <c r="I104" s="7" t="inlineStr">
        <is>
          <t>RAFEEK T A</t>
        </is>
      </c>
      <c r="J104" s="8" t="n"/>
      <c r="K104" s="9" t="n">
        <v>107596</v>
      </c>
      <c r="L104" s="10" t="n">
        <v>350000</v>
      </c>
      <c r="M104" s="10" t="n">
        <v>8474.58</v>
      </c>
      <c r="N104" s="11">
        <f>IF(M104="","",ROUND(M104*1.18,2))</f>
        <v/>
      </c>
      <c r="O104" s="12">
        <f>IF(M104="","",ROUND(N104-M104,2))</f>
        <v/>
      </c>
      <c r="P104" s="13">
        <f>IF(AND(A104&lt;&gt;"",B104&lt;&gt;""), A104&amp;" · "&amp;B104, "")</f>
        <v/>
      </c>
    </row>
    <row r="105">
      <c r="A105" s="6" t="inlineStr">
        <is>
          <t>FY26</t>
        </is>
      </c>
      <c r="B105" s="6" t="inlineStr">
        <is>
          <t>Jan</t>
        </is>
      </c>
      <c r="C105" s="6" t="inlineStr">
        <is>
          <t>Kerala</t>
        </is>
      </c>
      <c r="D105" s="7" t="inlineStr">
        <is>
          <t>KL25G6798</t>
        </is>
      </c>
      <c r="E105" s="7" t="inlineStr">
        <is>
          <t>MARUTI SUZUKI</t>
        </is>
      </c>
      <c r="F105" s="7" t="inlineStr">
        <is>
          <t>Wagon R</t>
        </is>
      </c>
      <c r="G105" s="7" t="inlineStr">
        <is>
          <t>POPULAR MARUTI</t>
        </is>
      </c>
      <c r="H105" s="7" t="inlineStr">
        <is>
          <t>Non-Captive</t>
        </is>
      </c>
      <c r="I105" s="7" t="inlineStr">
        <is>
          <t>ABHISHEK</t>
        </is>
      </c>
      <c r="J105" s="8" t="n"/>
      <c r="K105" s="9" t="n">
        <v>95000</v>
      </c>
      <c r="L105" s="10" t="n">
        <v>213000</v>
      </c>
      <c r="M105" s="10" t="n">
        <v>4237.29</v>
      </c>
      <c r="N105" s="11">
        <f>IF(M105="","",ROUND(M105*1.18,2))</f>
        <v/>
      </c>
      <c r="O105" s="12">
        <f>IF(M105="","",ROUND(N105-M105,2))</f>
        <v/>
      </c>
      <c r="P105" s="13">
        <f>IF(AND(A105&lt;&gt;"",B105&lt;&gt;""), A105&amp;" · "&amp;B105, "")</f>
        <v/>
      </c>
    </row>
    <row r="106">
      <c r="A106" s="6" t="inlineStr">
        <is>
          <t>FY26</t>
        </is>
      </c>
      <c r="B106" s="6" t="inlineStr">
        <is>
          <t>Jan</t>
        </is>
      </c>
      <c r="C106" s="6" t="inlineStr">
        <is>
          <t>Kerala</t>
        </is>
      </c>
      <c r="D106" s="7" t="inlineStr">
        <is>
          <t>KL25J4879</t>
        </is>
      </c>
      <c r="E106" s="7" t="inlineStr">
        <is>
          <t>RENAULT</t>
        </is>
      </c>
      <c r="F106" s="7" t="inlineStr">
        <is>
          <t>Kwid</t>
        </is>
      </c>
      <c r="G106" s="7" t="inlineStr">
        <is>
          <t>MUTHOOT HONDA</t>
        </is>
      </c>
      <c r="H106" s="7" t="inlineStr">
        <is>
          <t>Non-Captive</t>
        </is>
      </c>
      <c r="I106" s="7" t="inlineStr">
        <is>
          <t>AKHILNATH</t>
        </is>
      </c>
      <c r="J106" s="8" t="n"/>
      <c r="K106" s="9" t="n">
        <v>34000</v>
      </c>
      <c r="L106" s="10" t="n">
        <v>143000</v>
      </c>
      <c r="M106" s="10" t="n">
        <v>5932.2</v>
      </c>
      <c r="N106" s="11">
        <f>IF(M106="","",ROUND(M106*1.18,2))</f>
        <v/>
      </c>
      <c r="O106" s="12">
        <f>IF(M106="","",ROUND(N106-M106,2))</f>
        <v/>
      </c>
      <c r="P106" s="13">
        <f>IF(AND(A106&lt;&gt;"",B106&lt;&gt;""), A106&amp;" · "&amp;B106, "")</f>
        <v/>
      </c>
    </row>
    <row r="107">
      <c r="A107" s="6" t="inlineStr">
        <is>
          <t>FY26</t>
        </is>
      </c>
      <c r="B107" s="6" t="inlineStr">
        <is>
          <t>Jan</t>
        </is>
      </c>
      <c r="C107" s="6" t="inlineStr">
        <is>
          <t>Kerala</t>
        </is>
      </c>
      <c r="D107" s="7" t="inlineStr">
        <is>
          <t>KL26A2714</t>
        </is>
      </c>
      <c r="E107" s="7" t="inlineStr">
        <is>
          <t>MARUTI SUZUKI</t>
        </is>
      </c>
      <c r="F107" s="7" t="inlineStr">
        <is>
          <t>Wagon R</t>
        </is>
      </c>
      <c r="G107" s="7" t="inlineStr">
        <is>
          <t>POPULAR MARUTI</t>
        </is>
      </c>
      <c r="H107" s="7" t="inlineStr">
        <is>
          <t>Non-Captive</t>
        </is>
      </c>
      <c r="I107" s="7" t="inlineStr">
        <is>
          <t>VTJ</t>
        </is>
      </c>
      <c r="J107" s="8" t="n"/>
      <c r="K107" s="9" t="n">
        <v>121200</v>
      </c>
      <c r="L107" s="10" t="n">
        <v>65000</v>
      </c>
      <c r="M107" s="10" t="n">
        <v>6779.66</v>
      </c>
      <c r="N107" s="11">
        <f>IF(M107="","",ROUND(M107*1.18,2))</f>
        <v/>
      </c>
      <c r="O107" s="12">
        <f>IF(M107="","",ROUND(N107-M107,2))</f>
        <v/>
      </c>
      <c r="P107" s="13">
        <f>IF(AND(A107&lt;&gt;"",B107&lt;&gt;""), A107&amp;" · "&amp;B107, "")</f>
        <v/>
      </c>
    </row>
    <row r="108">
      <c r="A108" s="6" t="inlineStr">
        <is>
          <t>FY26</t>
        </is>
      </c>
      <c r="B108" s="6" t="inlineStr">
        <is>
          <t>Jan</t>
        </is>
      </c>
      <c r="C108" s="6" t="inlineStr">
        <is>
          <t>Kerala</t>
        </is>
      </c>
      <c r="D108" s="7" t="inlineStr">
        <is>
          <t>KL26B4947</t>
        </is>
      </c>
      <c r="E108" s="7" t="inlineStr">
        <is>
          <t>CHEVROLET</t>
        </is>
      </c>
      <c r="F108" s="7" t="inlineStr">
        <is>
          <t>Spark</t>
        </is>
      </c>
      <c r="G108" s="7" t="inlineStr">
        <is>
          <t>INDUS MARUTI</t>
        </is>
      </c>
      <c r="H108" s="7" t="inlineStr">
        <is>
          <t>Non-Captive</t>
        </is>
      </c>
      <c r="I108" s="7" t="inlineStr">
        <is>
          <t>VIJIL</t>
        </is>
      </c>
      <c r="J108" s="8" t="n"/>
      <c r="K108" s="9" t="n">
        <v>45000</v>
      </c>
      <c r="L108" s="10" t="n">
        <v>65000</v>
      </c>
      <c r="M108" s="10" t="n">
        <v>5084.75</v>
      </c>
      <c r="N108" s="11">
        <f>IF(M108="","",ROUND(M108*1.18,2))</f>
        <v/>
      </c>
      <c r="O108" s="12">
        <f>IF(M108="","",ROUND(N108-M108,2))</f>
        <v/>
      </c>
      <c r="P108" s="13">
        <f>IF(AND(A108&lt;&gt;"",B108&lt;&gt;""), A108&amp;" · "&amp;B108, "")</f>
        <v/>
      </c>
    </row>
    <row r="109">
      <c r="A109" s="6" t="inlineStr">
        <is>
          <t>FY26</t>
        </is>
      </c>
      <c r="B109" s="6" t="inlineStr">
        <is>
          <t>Jan</t>
        </is>
      </c>
      <c r="C109" s="6" t="inlineStr">
        <is>
          <t>Kerala</t>
        </is>
      </c>
      <c r="D109" s="7" t="inlineStr">
        <is>
          <t>KL27K7747</t>
        </is>
      </c>
      <c r="E109" s="7" t="inlineStr">
        <is>
          <t>RENAULT</t>
        </is>
      </c>
      <c r="F109" s="7" t="inlineStr">
        <is>
          <t>Kiger</t>
        </is>
      </c>
      <c r="G109" s="7" t="inlineStr">
        <is>
          <t>MUTHOOT HONDA</t>
        </is>
      </c>
      <c r="H109" s="7" t="inlineStr">
        <is>
          <t>Non-Captive</t>
        </is>
      </c>
      <c r="I109" s="7" t="inlineStr">
        <is>
          <t>MAXX MOTORS</t>
        </is>
      </c>
      <c r="J109" s="8" t="n"/>
      <c r="K109" s="9" t="n">
        <v>49500</v>
      </c>
      <c r="L109" s="10" t="n">
        <v>505000</v>
      </c>
      <c r="M109" s="10" t="n">
        <v>8474.58</v>
      </c>
      <c r="N109" s="11">
        <f>IF(M109="","",ROUND(M109*1.18,2))</f>
        <v/>
      </c>
      <c r="O109" s="12">
        <f>IF(M109="","",ROUND(N109-M109,2))</f>
        <v/>
      </c>
      <c r="P109" s="13">
        <f>IF(AND(A109&lt;&gt;"",B109&lt;&gt;""), A109&amp;" · "&amp;B109, "")</f>
        <v/>
      </c>
    </row>
    <row r="110">
      <c r="A110" s="6" t="inlineStr">
        <is>
          <t>FY26</t>
        </is>
      </c>
      <c r="B110" s="6" t="inlineStr">
        <is>
          <t>Jan</t>
        </is>
      </c>
      <c r="C110" s="6" t="inlineStr">
        <is>
          <t>Kerala</t>
        </is>
      </c>
      <c r="D110" s="7" t="inlineStr">
        <is>
          <t>KL29C3504</t>
        </is>
      </c>
      <c r="E110" s="7" t="inlineStr">
        <is>
          <t>HYUNDAI</t>
        </is>
      </c>
      <c r="F110" s="7" t="inlineStr">
        <is>
          <t>Santro</t>
        </is>
      </c>
      <c r="G110" s="7" t="inlineStr">
        <is>
          <t>LUXON TATA</t>
        </is>
      </c>
      <c r="H110" s="7" t="inlineStr">
        <is>
          <t>Non-Captive</t>
        </is>
      </c>
      <c r="I110" s="7" t="inlineStr">
        <is>
          <t>BIJIN</t>
        </is>
      </c>
      <c r="J110" s="8" t="n"/>
      <c r="K110" s="9" t="n">
        <v>140939</v>
      </c>
      <c r="L110" s="10" t="n">
        <v>52000</v>
      </c>
      <c r="M110" s="10" t="n">
        <v>6779.66</v>
      </c>
      <c r="N110" s="11">
        <f>IF(M110="","",ROUND(M110*1.18,2))</f>
        <v/>
      </c>
      <c r="O110" s="12">
        <f>IF(M110="","",ROUND(N110-M110,2))</f>
        <v/>
      </c>
      <c r="P110" s="13">
        <f>IF(AND(A110&lt;&gt;"",B110&lt;&gt;""), A110&amp;" · "&amp;B110, "")</f>
        <v/>
      </c>
    </row>
    <row r="111">
      <c r="A111" s="6" t="inlineStr">
        <is>
          <t>FY26</t>
        </is>
      </c>
      <c r="B111" s="6" t="inlineStr">
        <is>
          <t>Jan</t>
        </is>
      </c>
      <c r="C111" s="6" t="inlineStr">
        <is>
          <t>Kerala</t>
        </is>
      </c>
      <c r="D111" s="7" t="inlineStr">
        <is>
          <t>KL31A7020</t>
        </is>
      </c>
      <c r="E111" s="7" t="inlineStr">
        <is>
          <t>MARUTI SUZUKI</t>
        </is>
      </c>
      <c r="F111" s="7" t="inlineStr">
        <is>
          <t>Swift</t>
        </is>
      </c>
      <c r="G111" s="7" t="inlineStr">
        <is>
          <t>AMRUTH</t>
        </is>
      </c>
      <c r="H111" s="7" t="inlineStr">
        <is>
          <t>Non-Captive</t>
        </is>
      </c>
      <c r="I111" s="7" t="inlineStr">
        <is>
          <t>ANAS VH</t>
        </is>
      </c>
      <c r="J111" s="8" t="n"/>
      <c r="K111" s="9" t="n">
        <v>165789</v>
      </c>
      <c r="L111" s="10" t="n">
        <v>158000</v>
      </c>
      <c r="M111" s="10" t="n">
        <v>5932.2</v>
      </c>
      <c r="N111" s="11">
        <f>IF(M111="","",ROUND(M111*1.18,2))</f>
        <v/>
      </c>
      <c r="O111" s="12">
        <f>IF(M111="","",ROUND(N111-M111,2))</f>
        <v/>
      </c>
      <c r="P111" s="13">
        <f>IF(AND(A111&lt;&gt;"",B111&lt;&gt;""), A111&amp;" · "&amp;B111, "")</f>
        <v/>
      </c>
    </row>
    <row r="112">
      <c r="A112" s="6" t="inlineStr">
        <is>
          <t>FY26</t>
        </is>
      </c>
      <c r="B112" s="6" t="inlineStr">
        <is>
          <t>Jan</t>
        </is>
      </c>
      <c r="C112" s="6" t="inlineStr">
        <is>
          <t>Kerala</t>
        </is>
      </c>
      <c r="D112" s="7" t="inlineStr">
        <is>
          <t>KL321415</t>
        </is>
      </c>
      <c r="E112" s="7" t="inlineStr">
        <is>
          <t>MARUTI SUZUKI</t>
        </is>
      </c>
      <c r="F112" s="7" t="inlineStr">
        <is>
          <t>Alto</t>
        </is>
      </c>
      <c r="G112" s="7" t="inlineStr">
        <is>
          <t>EVM CITROEN</t>
        </is>
      </c>
      <c r="H112" s="7" t="inlineStr">
        <is>
          <t>Non-Captive</t>
        </is>
      </c>
      <c r="I112" s="7" t="inlineStr">
        <is>
          <t>ASHRAF T A</t>
        </is>
      </c>
      <c r="J112" s="8" t="n"/>
      <c r="K112" s="9" t="n">
        <v>73000</v>
      </c>
      <c r="L112" s="10" t="n">
        <v>23000</v>
      </c>
      <c r="M112" s="10" t="n">
        <v>6779.66</v>
      </c>
      <c r="N112" s="11">
        <f>IF(M112="","",ROUND(M112*1.18,2))</f>
        <v/>
      </c>
      <c r="O112" s="12">
        <f>IF(M112="","",ROUND(N112-M112,2))</f>
        <v/>
      </c>
      <c r="P112" s="13">
        <f>IF(AND(A112&lt;&gt;"",B112&lt;&gt;""), A112&amp;" · "&amp;B112, "")</f>
        <v/>
      </c>
    </row>
    <row r="113">
      <c r="A113" s="6" t="inlineStr">
        <is>
          <t>FY26</t>
        </is>
      </c>
      <c r="B113" s="6" t="inlineStr">
        <is>
          <t>Jan</t>
        </is>
      </c>
      <c r="C113" s="6" t="inlineStr">
        <is>
          <t>Kerala</t>
        </is>
      </c>
      <c r="D113" s="7" t="inlineStr">
        <is>
          <t>KL325619</t>
        </is>
      </c>
      <c r="E113" s="7" t="inlineStr">
        <is>
          <t>MARUTI SUZUKI</t>
        </is>
      </c>
      <c r="F113" s="7" t="inlineStr">
        <is>
          <t>Swift</t>
        </is>
      </c>
      <c r="G113" s="7" t="inlineStr">
        <is>
          <t>POPULAR MARUTI</t>
        </is>
      </c>
      <c r="H113" s="7" t="inlineStr">
        <is>
          <t>Non-Captive</t>
        </is>
      </c>
      <c r="I113" s="7" t="inlineStr">
        <is>
          <t>RAFEEK T A</t>
        </is>
      </c>
      <c r="J113" s="8" t="n"/>
      <c r="K113" s="9" t="n">
        <v>79524</v>
      </c>
      <c r="L113" s="10" t="n">
        <v>63000</v>
      </c>
      <c r="M113" s="10" t="n">
        <v>5932.2</v>
      </c>
      <c r="N113" s="11">
        <f>IF(M113="","",ROUND(M113*1.18,2))</f>
        <v/>
      </c>
      <c r="O113" s="12">
        <f>IF(M113="","",ROUND(N113-M113,2))</f>
        <v/>
      </c>
      <c r="P113" s="13">
        <f>IF(AND(A113&lt;&gt;"",B113&lt;&gt;""), A113&amp;" · "&amp;B113, "")</f>
        <v/>
      </c>
    </row>
    <row r="114">
      <c r="A114" s="6" t="inlineStr">
        <is>
          <t>FY26</t>
        </is>
      </c>
      <c r="B114" s="6" t="inlineStr">
        <is>
          <t>Jan</t>
        </is>
      </c>
      <c r="C114" s="6" t="inlineStr">
        <is>
          <t>Kerala</t>
        </is>
      </c>
      <c r="D114" s="7" t="inlineStr">
        <is>
          <t>KL32K6334</t>
        </is>
      </c>
      <c r="E114" s="7" t="inlineStr">
        <is>
          <t>RENAULT</t>
        </is>
      </c>
      <c r="F114" s="7" t="inlineStr">
        <is>
          <t>Kwid</t>
        </is>
      </c>
      <c r="G114" s="7" t="inlineStr">
        <is>
          <t>ANAS HAMEED</t>
        </is>
      </c>
      <c r="H114" s="7" t="inlineStr">
        <is>
          <t>Non-Captive</t>
        </is>
      </c>
      <c r="I114" s="7" t="inlineStr">
        <is>
          <t>ARUN NARAYANAN</t>
        </is>
      </c>
      <c r="J114" s="8" t="n"/>
      <c r="K114" s="9" t="n">
        <v>46677</v>
      </c>
      <c r="L114" s="10" t="n">
        <v>140000</v>
      </c>
      <c r="M114" s="10" t="n">
        <v>8474.58</v>
      </c>
      <c r="N114" s="11">
        <f>IF(M114="","",ROUND(M114*1.18,2))</f>
        <v/>
      </c>
      <c r="O114" s="12">
        <f>IF(M114="","",ROUND(N114-M114,2))</f>
        <v/>
      </c>
      <c r="P114" s="13">
        <f>IF(AND(A114&lt;&gt;"",B114&lt;&gt;""), A114&amp;" · "&amp;B114, "")</f>
        <v/>
      </c>
    </row>
    <row r="115">
      <c r="A115" s="6" t="inlineStr">
        <is>
          <t>FY26</t>
        </is>
      </c>
      <c r="B115" s="6" t="inlineStr">
        <is>
          <t>Jan</t>
        </is>
      </c>
      <c r="C115" s="6" t="inlineStr">
        <is>
          <t>Kerala</t>
        </is>
      </c>
      <c r="D115" s="7" t="inlineStr">
        <is>
          <t>KL32Q1115</t>
        </is>
      </c>
      <c r="E115" s="7" t="inlineStr">
        <is>
          <t>HYUNDAI</t>
        </is>
      </c>
      <c r="F115" s="7" t="inlineStr">
        <is>
          <t>Santro</t>
        </is>
      </c>
      <c r="G115" s="7" t="inlineStr">
        <is>
          <t>POPULAR MARUTI</t>
        </is>
      </c>
      <c r="H115" s="7" t="inlineStr">
        <is>
          <t>Non-Captive</t>
        </is>
      </c>
      <c r="I115" s="7" t="inlineStr">
        <is>
          <t>VAISAKH</t>
        </is>
      </c>
      <c r="J115" s="8" t="n"/>
      <c r="K115" s="9" t="n">
        <v>32454</v>
      </c>
      <c r="L115" s="10" t="n">
        <v>375000</v>
      </c>
      <c r="M115" s="10" t="n">
        <v>8474.58</v>
      </c>
      <c r="N115" s="11">
        <f>IF(M115="","",ROUND(M115*1.18,2))</f>
        <v/>
      </c>
      <c r="O115" s="12">
        <f>IF(M115="","",ROUND(N115-M115,2))</f>
        <v/>
      </c>
      <c r="P115" s="13">
        <f>IF(AND(A115&lt;&gt;"",B115&lt;&gt;""), A115&amp;" · "&amp;B115, "")</f>
        <v/>
      </c>
    </row>
    <row r="116">
      <c r="A116" s="6" t="inlineStr">
        <is>
          <t>FY26</t>
        </is>
      </c>
      <c r="B116" s="6" t="inlineStr">
        <is>
          <t>Jan</t>
        </is>
      </c>
      <c r="C116" s="6" t="inlineStr">
        <is>
          <t>Kerala</t>
        </is>
      </c>
      <c r="D116" s="7" t="inlineStr">
        <is>
          <t>KL35L5321</t>
        </is>
      </c>
      <c r="E116" s="7" t="inlineStr">
        <is>
          <t>HONDA</t>
        </is>
      </c>
      <c r="F116" s="7" t="inlineStr">
        <is>
          <t>City</t>
        </is>
      </c>
      <c r="G116" s="7" t="inlineStr">
        <is>
          <t>POPULAR MARUTI</t>
        </is>
      </c>
      <c r="H116" s="7" t="inlineStr">
        <is>
          <t>Non-Captive</t>
        </is>
      </c>
      <c r="I116" s="7" t="inlineStr">
        <is>
          <t>RAFEEK T A</t>
        </is>
      </c>
      <c r="J116" s="8" t="n"/>
      <c r="K116" s="9" t="n">
        <v>170734</v>
      </c>
      <c r="L116" s="10" t="n">
        <v>130000</v>
      </c>
      <c r="M116" s="10" t="n">
        <v>5932.2</v>
      </c>
      <c r="N116" s="11">
        <f>IF(M116="","",ROUND(M116*1.18,2))</f>
        <v/>
      </c>
      <c r="O116" s="12">
        <f>IF(M116="","",ROUND(N116-M116,2))</f>
        <v/>
      </c>
      <c r="P116" s="13">
        <f>IF(AND(A116&lt;&gt;"",B116&lt;&gt;""), A116&amp;" · "&amp;B116, "")</f>
        <v/>
      </c>
    </row>
    <row r="117">
      <c r="A117" s="6" t="inlineStr">
        <is>
          <t>FY26</t>
        </is>
      </c>
      <c r="B117" s="6" t="inlineStr">
        <is>
          <t>Jan</t>
        </is>
      </c>
      <c r="C117" s="6" t="inlineStr">
        <is>
          <t>Kerala</t>
        </is>
      </c>
      <c r="D117" s="7" t="inlineStr">
        <is>
          <t>KL368292</t>
        </is>
      </c>
      <c r="E117" s="7" t="inlineStr">
        <is>
          <t>HYUNDAI</t>
        </is>
      </c>
      <c r="F117" s="7" t="inlineStr">
        <is>
          <t>i10</t>
        </is>
      </c>
      <c r="G117" s="7" t="inlineStr">
        <is>
          <t>ANAS</t>
        </is>
      </c>
      <c r="H117" s="7" t="inlineStr">
        <is>
          <t>Non-Captive</t>
        </is>
      </c>
      <c r="I117" s="7" t="inlineStr">
        <is>
          <t>MUHAMMED SHAJI</t>
        </is>
      </c>
      <c r="J117" s="8" t="n"/>
      <c r="K117" s="9" t="n">
        <v>70482</v>
      </c>
      <c r="L117" s="10" t="n">
        <v>105000</v>
      </c>
      <c r="M117" s="10" t="n">
        <v>8474.58</v>
      </c>
      <c r="N117" s="11">
        <f>IF(M117="","",ROUND(M117*1.18,2))</f>
        <v/>
      </c>
      <c r="O117" s="12">
        <f>IF(M117="","",ROUND(N117-M117,2))</f>
        <v/>
      </c>
      <c r="P117" s="13">
        <f>IF(AND(A117&lt;&gt;"",B117&lt;&gt;""), A117&amp;" · "&amp;B117, "")</f>
        <v/>
      </c>
    </row>
    <row r="118">
      <c r="A118" s="6" t="inlineStr">
        <is>
          <t>FY26</t>
        </is>
      </c>
      <c r="B118" s="6" t="inlineStr">
        <is>
          <t>Jan</t>
        </is>
      </c>
      <c r="C118" s="6" t="inlineStr">
        <is>
          <t>Kerala</t>
        </is>
      </c>
      <c r="D118" s="7" t="inlineStr">
        <is>
          <t>KL36A3363</t>
        </is>
      </c>
      <c r="E118" s="7" t="inlineStr">
        <is>
          <t>MARUTI SUZUKI</t>
        </is>
      </c>
      <c r="F118" s="7" t="inlineStr">
        <is>
          <t>Alto</t>
        </is>
      </c>
      <c r="G118" s="7" t="inlineStr">
        <is>
          <t>CARS24</t>
        </is>
      </c>
      <c r="H118" s="7" t="inlineStr">
        <is>
          <t>Non-Captive</t>
        </is>
      </c>
      <c r="I118" s="7" t="inlineStr">
        <is>
          <t>SALAM</t>
        </is>
      </c>
      <c r="J118" s="8" t="n"/>
      <c r="K118" s="9" t="n">
        <v>84960</v>
      </c>
      <c r="L118" s="10" t="n">
        <v>77000</v>
      </c>
      <c r="M118" s="10" t="n">
        <v>8474.58</v>
      </c>
      <c r="N118" s="11">
        <f>IF(M118="","",ROUND(M118*1.18,2))</f>
        <v/>
      </c>
      <c r="O118" s="12">
        <f>IF(M118="","",ROUND(N118-M118,2))</f>
        <v/>
      </c>
      <c r="P118" s="13">
        <f>IF(AND(A118&lt;&gt;"",B118&lt;&gt;""), A118&amp;" · "&amp;B118, "")</f>
        <v/>
      </c>
    </row>
    <row r="119">
      <c r="A119" s="6" t="inlineStr">
        <is>
          <t>FY26</t>
        </is>
      </c>
      <c r="B119" s="6" t="inlineStr">
        <is>
          <t>Jan</t>
        </is>
      </c>
      <c r="C119" s="6" t="inlineStr">
        <is>
          <t>Kerala</t>
        </is>
      </c>
      <c r="D119" s="7" t="inlineStr">
        <is>
          <t>KL36A4427</t>
        </is>
      </c>
      <c r="E119" s="7" t="inlineStr">
        <is>
          <t>HYUNDAI</t>
        </is>
      </c>
      <c r="F119" s="7" t="inlineStr">
        <is>
          <t>i20</t>
        </is>
      </c>
      <c r="G119" s="7" t="inlineStr">
        <is>
          <t>POPULAR MARUTI</t>
        </is>
      </c>
      <c r="H119" s="7" t="inlineStr">
        <is>
          <t>Non-Captive</t>
        </is>
      </c>
      <c r="I119" s="7" t="inlineStr">
        <is>
          <t>VISHNU M S</t>
        </is>
      </c>
      <c r="J119" s="8" t="n"/>
      <c r="K119" s="9" t="n">
        <v>74657</v>
      </c>
      <c r="L119" s="10" t="n">
        <v>100000</v>
      </c>
      <c r="M119" s="10" t="n">
        <v>8474.58</v>
      </c>
      <c r="N119" s="11">
        <f>IF(M119="","",ROUND(M119*1.18,2))</f>
        <v/>
      </c>
      <c r="O119" s="12">
        <f>IF(M119="","",ROUND(N119-M119,2))</f>
        <v/>
      </c>
      <c r="P119" s="13">
        <f>IF(AND(A119&lt;&gt;"",B119&lt;&gt;""), A119&amp;" · "&amp;B119, "")</f>
        <v/>
      </c>
    </row>
    <row r="120">
      <c r="A120" s="6" t="inlineStr">
        <is>
          <t>FY26</t>
        </is>
      </c>
      <c r="B120" s="6" t="inlineStr">
        <is>
          <t>Jan</t>
        </is>
      </c>
      <c r="C120" s="6" t="inlineStr">
        <is>
          <t>Kerala</t>
        </is>
      </c>
      <c r="D120" s="7" t="inlineStr">
        <is>
          <t>KL38F7686</t>
        </is>
      </c>
      <c r="E120" s="7" t="inlineStr">
        <is>
          <t>HONDA</t>
        </is>
      </c>
      <c r="F120" s="7" t="inlineStr">
        <is>
          <t>WR-V</t>
        </is>
      </c>
      <c r="G120" s="7" t="inlineStr">
        <is>
          <t>ANAS</t>
        </is>
      </c>
      <c r="H120" s="7" t="inlineStr">
        <is>
          <t>Non-Captive</t>
        </is>
      </c>
      <c r="I120" s="7" t="inlineStr">
        <is>
          <t>MUHAMMAD SHAJI</t>
        </is>
      </c>
      <c r="J120" s="8" t="n"/>
      <c r="K120" s="9" t="n">
        <v>130800</v>
      </c>
      <c r="L120" s="10" t="n">
        <v>420000</v>
      </c>
      <c r="M120" s="10" t="n">
        <v>8474.58</v>
      </c>
      <c r="N120" s="11">
        <f>IF(M120="","",ROUND(M120*1.18,2))</f>
        <v/>
      </c>
      <c r="O120" s="12">
        <f>IF(M120="","",ROUND(N120-M120,2))</f>
        <v/>
      </c>
      <c r="P120" s="13">
        <f>IF(AND(A120&lt;&gt;"",B120&lt;&gt;""), A120&amp;" · "&amp;B120, "")</f>
        <v/>
      </c>
    </row>
    <row r="121">
      <c r="A121" s="6" t="inlineStr">
        <is>
          <t>FY26</t>
        </is>
      </c>
      <c r="B121" s="6" t="inlineStr">
        <is>
          <t>Jan</t>
        </is>
      </c>
      <c r="C121" s="6" t="inlineStr">
        <is>
          <t>Kerala</t>
        </is>
      </c>
      <c r="D121" s="7" t="inlineStr">
        <is>
          <t>KL39A0530</t>
        </is>
      </c>
      <c r="E121" s="7" t="inlineStr">
        <is>
          <t>CHEVROLET</t>
        </is>
      </c>
      <c r="F121" s="7" t="inlineStr">
        <is>
          <t>Spark</t>
        </is>
      </c>
      <c r="G121" s="7" t="inlineStr">
        <is>
          <t>POPULAR MARUTI</t>
        </is>
      </c>
      <c r="H121" s="7" t="inlineStr">
        <is>
          <t>Non-Captive</t>
        </is>
      </c>
      <c r="I121" s="7" t="inlineStr">
        <is>
          <t>RAFEEK T A</t>
        </is>
      </c>
      <c r="J121" s="8" t="n"/>
      <c r="K121" s="9" t="n">
        <v>93689</v>
      </c>
      <c r="L121" s="10" t="n">
        <v>22000</v>
      </c>
      <c r="M121" s="10" t="n">
        <v>6779.66</v>
      </c>
      <c r="N121" s="11">
        <f>IF(M121="","",ROUND(M121*1.18,2))</f>
        <v/>
      </c>
      <c r="O121" s="12">
        <f>IF(M121="","",ROUND(N121-M121,2))</f>
        <v/>
      </c>
      <c r="P121" s="13">
        <f>IF(AND(A121&lt;&gt;"",B121&lt;&gt;""), A121&amp;" · "&amp;B121, "")</f>
        <v/>
      </c>
    </row>
    <row r="122">
      <c r="A122" s="6" t="inlineStr">
        <is>
          <t>FY26</t>
        </is>
      </c>
      <c r="B122" s="6" t="inlineStr">
        <is>
          <t>Jan</t>
        </is>
      </c>
      <c r="C122" s="6" t="inlineStr">
        <is>
          <t>Kerala</t>
        </is>
      </c>
      <c r="D122" s="7" t="inlineStr">
        <is>
          <t>KL39C4264</t>
        </is>
      </c>
      <c r="E122" s="7" t="inlineStr">
        <is>
          <t>HYUNDAI</t>
        </is>
      </c>
      <c r="F122" s="7" t="inlineStr">
        <is>
          <t>i20</t>
        </is>
      </c>
      <c r="G122" s="7" t="inlineStr">
        <is>
          <t>POPULAR HYUNDAI</t>
        </is>
      </c>
      <c r="H122" s="7" t="inlineStr">
        <is>
          <t>Non-Captive</t>
        </is>
      </c>
      <c r="I122" s="7" t="inlineStr">
        <is>
          <t>Umesh Kumar T U</t>
        </is>
      </c>
      <c r="J122" s="8" t="n"/>
      <c r="K122" s="9" t="n">
        <v>90000</v>
      </c>
      <c r="L122" s="10" t="n">
        <v>130000</v>
      </c>
      <c r="M122" s="10" t="n">
        <v>8474.58</v>
      </c>
      <c r="N122" s="11">
        <f>IF(M122="","",ROUND(M122*1.18,2))</f>
        <v/>
      </c>
      <c r="O122" s="12">
        <f>IF(M122="","",ROUND(N122-M122,2))</f>
        <v/>
      </c>
      <c r="P122" s="13">
        <f>IF(AND(A122&lt;&gt;"",B122&lt;&gt;""), A122&amp;" · "&amp;B122, "")</f>
        <v/>
      </c>
    </row>
    <row r="123">
      <c r="A123" s="6" t="inlineStr">
        <is>
          <t>FY26</t>
        </is>
      </c>
      <c r="B123" s="6" t="inlineStr">
        <is>
          <t>Jan</t>
        </is>
      </c>
      <c r="C123" s="6" t="inlineStr">
        <is>
          <t>Kerala</t>
        </is>
      </c>
      <c r="D123" s="7" t="inlineStr">
        <is>
          <t>KL39D7746</t>
        </is>
      </c>
      <c r="E123" s="7" t="inlineStr">
        <is>
          <t>MARUTI SUZUKI</t>
        </is>
      </c>
      <c r="F123" s="7" t="inlineStr">
        <is>
          <t>A-Star</t>
        </is>
      </c>
      <c r="G123" s="7" t="inlineStr">
        <is>
          <t>INCHEON KIA</t>
        </is>
      </c>
      <c r="H123" s="7" t="inlineStr">
        <is>
          <t>Non-Captive</t>
        </is>
      </c>
      <c r="I123" s="7" t="inlineStr">
        <is>
          <t>DINESH P S</t>
        </is>
      </c>
      <c r="J123" s="8" t="n"/>
      <c r="K123" s="9" t="n">
        <v>67000</v>
      </c>
      <c r="L123" s="10" t="n">
        <v>85000</v>
      </c>
      <c r="M123" s="10" t="n">
        <v>10169.49</v>
      </c>
      <c r="N123" s="11">
        <f>IF(M123="","",ROUND(M123*1.18,2))</f>
        <v/>
      </c>
      <c r="O123" s="12">
        <f>IF(M123="","",ROUND(N123-M123,2))</f>
        <v/>
      </c>
      <c r="P123" s="13">
        <f>IF(AND(A123&lt;&gt;"",B123&lt;&gt;""), A123&amp;" · "&amp;B123, "")</f>
        <v/>
      </c>
    </row>
    <row r="124">
      <c r="A124" s="6" t="inlineStr">
        <is>
          <t>FY26</t>
        </is>
      </c>
      <c r="B124" s="6" t="inlineStr">
        <is>
          <t>Jan</t>
        </is>
      </c>
      <c r="C124" s="6" t="inlineStr">
        <is>
          <t>Kerala</t>
        </is>
      </c>
      <c r="D124" s="7" t="inlineStr">
        <is>
          <t>KL39L0601</t>
        </is>
      </c>
      <c r="E124" s="7" t="inlineStr">
        <is>
          <t>RENAULT</t>
        </is>
      </c>
      <c r="F124" s="7" t="inlineStr">
        <is>
          <t>Kwid</t>
        </is>
      </c>
      <c r="G124" s="7" t="inlineStr">
        <is>
          <t>CARS24</t>
        </is>
      </c>
      <c r="H124" s="7" t="inlineStr">
        <is>
          <t>Non-Captive</t>
        </is>
      </c>
      <c r="I124" s="7" t="inlineStr">
        <is>
          <t>VTJ</t>
        </is>
      </c>
      <c r="J124" s="8" t="n"/>
      <c r="K124" s="9" t="n">
        <v>25000</v>
      </c>
      <c r="L124" s="10" t="n">
        <v>140000</v>
      </c>
      <c r="M124" s="10" t="n">
        <v>8474.58</v>
      </c>
      <c r="N124" s="11">
        <f>IF(M124="","",ROUND(M124*1.18,2))</f>
        <v/>
      </c>
      <c r="O124" s="12">
        <f>IF(M124="","",ROUND(N124-M124,2))</f>
        <v/>
      </c>
      <c r="P124" s="13">
        <f>IF(AND(A124&lt;&gt;"",B124&lt;&gt;""), A124&amp;" · "&amp;B124, "")</f>
        <v/>
      </c>
    </row>
    <row r="125">
      <c r="A125" s="6" t="inlineStr">
        <is>
          <t>FY26</t>
        </is>
      </c>
      <c r="B125" s="6" t="inlineStr">
        <is>
          <t>Jan</t>
        </is>
      </c>
      <c r="C125" s="6" t="inlineStr">
        <is>
          <t>Kerala</t>
        </is>
      </c>
      <c r="D125" s="7" t="inlineStr">
        <is>
          <t>KL39R8584</t>
        </is>
      </c>
      <c r="E125" s="7" t="inlineStr">
        <is>
          <t>TATA</t>
        </is>
      </c>
      <c r="F125" s="7" t="inlineStr">
        <is>
          <t>Punch</t>
        </is>
      </c>
      <c r="G125" s="7" t="inlineStr">
        <is>
          <t>GOKULAM</t>
        </is>
      </c>
      <c r="H125" s="7" t="inlineStr">
        <is>
          <t>Non-Captive</t>
        </is>
      </c>
      <c r="I125" s="7" t="inlineStr">
        <is>
          <t>YAHIYA</t>
        </is>
      </c>
      <c r="J125" s="8" t="n"/>
      <c r="K125" s="9" t="n">
        <v>30830</v>
      </c>
      <c r="L125" s="10" t="n">
        <v>450000</v>
      </c>
      <c r="M125" s="10" t="n">
        <v>8474.58</v>
      </c>
      <c r="N125" s="11">
        <f>IF(M125="","",ROUND(M125*1.18,2))</f>
        <v/>
      </c>
      <c r="O125" s="12">
        <f>IF(M125="","",ROUND(N125-M125,2))</f>
        <v/>
      </c>
      <c r="P125" s="13">
        <f>IF(AND(A125&lt;&gt;"",B125&lt;&gt;""), A125&amp;" · "&amp;B125, "")</f>
        <v/>
      </c>
    </row>
    <row r="126">
      <c r="A126" s="6" t="inlineStr">
        <is>
          <t>FY26</t>
        </is>
      </c>
      <c r="B126" s="6" t="inlineStr">
        <is>
          <t>Jan</t>
        </is>
      </c>
      <c r="C126" s="6" t="inlineStr">
        <is>
          <t>Kerala</t>
        </is>
      </c>
      <c r="D126" s="7" t="inlineStr">
        <is>
          <t>KL40D3470</t>
        </is>
      </c>
      <c r="E126" s="7" t="inlineStr">
        <is>
          <t>MARUTI SUZUKI</t>
        </is>
      </c>
      <c r="F126" s="7" t="inlineStr">
        <is>
          <t>Zen Estilo</t>
        </is>
      </c>
      <c r="G126" s="7" t="inlineStr">
        <is>
          <t>AMRITH V CHANDY</t>
        </is>
      </c>
      <c r="H126" s="7" t="inlineStr">
        <is>
          <t>Non-Captive</t>
        </is>
      </c>
      <c r="I126" s="7" t="inlineStr">
        <is>
          <t>ANAS VH</t>
        </is>
      </c>
      <c r="J126" s="8" t="n"/>
      <c r="K126" s="9" t="n">
        <v>97867</v>
      </c>
      <c r="L126" s="10" t="n">
        <v>130000</v>
      </c>
      <c r="M126" s="10" t="n">
        <v>5932.2</v>
      </c>
      <c r="N126" s="11">
        <f>IF(M126="","",ROUND(M126*1.18,2))</f>
        <v/>
      </c>
      <c r="O126" s="12">
        <f>IF(M126="","",ROUND(N126-M126,2))</f>
        <v/>
      </c>
      <c r="P126" s="13">
        <f>IF(AND(A126&lt;&gt;"",B126&lt;&gt;""), A126&amp;" · "&amp;B126, "")</f>
        <v/>
      </c>
    </row>
    <row r="127">
      <c r="A127" s="6" t="inlineStr">
        <is>
          <t>FY26</t>
        </is>
      </c>
      <c r="B127" s="6" t="inlineStr">
        <is>
          <t>Jan</t>
        </is>
      </c>
      <c r="C127" s="6" t="inlineStr">
        <is>
          <t>Kerala</t>
        </is>
      </c>
      <c r="D127" s="7" t="inlineStr">
        <is>
          <t>KL42T9696</t>
        </is>
      </c>
      <c r="E127" s="7" t="inlineStr">
        <is>
          <t>RENAULT</t>
        </is>
      </c>
      <c r="F127" s="7" t="inlineStr">
        <is>
          <t>Kiger</t>
        </is>
      </c>
      <c r="G127" s="7" t="inlineStr">
        <is>
          <t>EVM SKODA</t>
        </is>
      </c>
      <c r="H127" s="7" t="inlineStr">
        <is>
          <t>Non-Captive</t>
        </is>
      </c>
      <c r="I127" s="7" t="inlineStr">
        <is>
          <t>VTJ</t>
        </is>
      </c>
      <c r="J127" s="8" t="n"/>
      <c r="K127" s="9" t="n">
        <v>32000</v>
      </c>
      <c r="L127" s="10" t="n">
        <v>515000</v>
      </c>
      <c r="M127" s="10" t="n">
        <v>8474.58</v>
      </c>
      <c r="N127" s="11">
        <f>IF(M127="","",ROUND(M127*1.18,2))</f>
        <v/>
      </c>
      <c r="O127" s="12">
        <f>IF(M127="","",ROUND(N127-M127,2))</f>
        <v/>
      </c>
      <c r="P127" s="13">
        <f>IF(AND(A127&lt;&gt;"",B127&lt;&gt;""), A127&amp;" · "&amp;B127, "")</f>
        <v/>
      </c>
    </row>
    <row r="128">
      <c r="A128" s="6" t="inlineStr">
        <is>
          <t>FY26</t>
        </is>
      </c>
      <c r="B128" s="6" t="inlineStr">
        <is>
          <t>Jan</t>
        </is>
      </c>
      <c r="C128" s="6" t="inlineStr">
        <is>
          <t>Kerala</t>
        </is>
      </c>
      <c r="D128" s="7" t="inlineStr">
        <is>
          <t>KL45P1396</t>
        </is>
      </c>
      <c r="E128" s="7" t="inlineStr">
        <is>
          <t>MARUTI SUZUKI</t>
        </is>
      </c>
      <c r="F128" s="7" t="inlineStr">
        <is>
          <t>Swift</t>
        </is>
      </c>
      <c r="G128" s="7" t="inlineStr">
        <is>
          <t>POPULAR HYUNDAI</t>
        </is>
      </c>
      <c r="H128" s="7" t="inlineStr">
        <is>
          <t>Non-Captive</t>
        </is>
      </c>
      <c r="I128" s="7" t="inlineStr">
        <is>
          <t>Aitos Cars</t>
        </is>
      </c>
      <c r="J128" s="8" t="n"/>
      <c r="K128" s="9" t="n">
        <v>23805</v>
      </c>
      <c r="L128" s="10" t="n">
        <v>375000</v>
      </c>
      <c r="M128" s="10" t="n">
        <v>8474.58</v>
      </c>
      <c r="N128" s="11">
        <f>IF(M128="","",ROUND(M128*1.18,2))</f>
        <v/>
      </c>
      <c r="O128" s="12">
        <f>IF(M128="","",ROUND(N128-M128,2))</f>
        <v/>
      </c>
      <c r="P128" s="13">
        <f>IF(AND(A128&lt;&gt;"",B128&lt;&gt;""), A128&amp;" · "&amp;B128, "")</f>
        <v/>
      </c>
    </row>
    <row r="129">
      <c r="A129" s="6" t="inlineStr">
        <is>
          <t>FY26</t>
        </is>
      </c>
      <c r="B129" s="6" t="inlineStr">
        <is>
          <t>Jan</t>
        </is>
      </c>
      <c r="C129" s="6" t="inlineStr">
        <is>
          <t>Kerala</t>
        </is>
      </c>
      <c r="D129" s="7" t="inlineStr">
        <is>
          <t>KL47G4309</t>
        </is>
      </c>
      <c r="E129" s="7" t="inlineStr">
        <is>
          <t>HYUNDAI</t>
        </is>
      </c>
      <c r="F129" s="7" t="inlineStr">
        <is>
          <t>Eon</t>
        </is>
      </c>
      <c r="G129" s="7" t="inlineStr">
        <is>
          <t>NIDEESH MOHAN</t>
        </is>
      </c>
      <c r="H129" s="7" t="inlineStr">
        <is>
          <t>Non-Captive</t>
        </is>
      </c>
      <c r="I129" s="7" t="inlineStr">
        <is>
          <t>DKH KIA</t>
        </is>
      </c>
      <c r="J129" s="8" t="n"/>
      <c r="K129" s="9" t="n">
        <v>34000</v>
      </c>
      <c r="L129" s="10" t="n">
        <v>190000</v>
      </c>
      <c r="M129" s="10" t="n">
        <v>8474.58</v>
      </c>
      <c r="N129" s="11">
        <f>IF(M129="","",ROUND(M129*1.18,2))</f>
        <v/>
      </c>
      <c r="O129" s="12">
        <f>IF(M129="","",ROUND(N129-M129,2))</f>
        <v/>
      </c>
      <c r="P129" s="13">
        <f>IF(AND(A129&lt;&gt;"",B129&lt;&gt;""), A129&amp;" · "&amp;B129, "")</f>
        <v/>
      </c>
    </row>
    <row r="130">
      <c r="A130" s="6" t="inlineStr">
        <is>
          <t>FY26</t>
        </is>
      </c>
      <c r="B130" s="6" t="inlineStr">
        <is>
          <t>Jan</t>
        </is>
      </c>
      <c r="C130" s="6" t="inlineStr">
        <is>
          <t>Kerala</t>
        </is>
      </c>
      <c r="D130" s="7" t="inlineStr">
        <is>
          <t>KL47M6441</t>
        </is>
      </c>
      <c r="E130" s="7" t="inlineStr">
        <is>
          <t>MARUTI SUZUKI</t>
        </is>
      </c>
      <c r="F130" s="7" t="inlineStr">
        <is>
          <t>Swift</t>
        </is>
      </c>
      <c r="G130" s="7" t="inlineStr">
        <is>
          <t>PHOENIX VOLKSWAGEN</t>
        </is>
      </c>
      <c r="H130" s="7" t="inlineStr">
        <is>
          <t>Non-Captive</t>
        </is>
      </c>
      <c r="I130" s="7" t="inlineStr">
        <is>
          <t>Umesh Kumar T U</t>
        </is>
      </c>
      <c r="J130" s="8" t="n"/>
      <c r="K130" s="9" t="n">
        <v>26875</v>
      </c>
      <c r="L130" s="10" t="n">
        <v>675000</v>
      </c>
      <c r="M130" s="10" t="n">
        <v>8474.58</v>
      </c>
      <c r="N130" s="11">
        <f>IF(M130="","",ROUND(M130*1.18,2))</f>
        <v/>
      </c>
      <c r="O130" s="12">
        <f>IF(M130="","",ROUND(N130-M130,2))</f>
        <v/>
      </c>
      <c r="P130" s="13">
        <f>IF(AND(A130&lt;&gt;"",B130&lt;&gt;""), A130&amp;" · "&amp;B130, "")</f>
        <v/>
      </c>
    </row>
    <row r="131">
      <c r="A131" s="6" t="inlineStr">
        <is>
          <t>FY26</t>
        </is>
      </c>
      <c r="B131" s="6" t="inlineStr">
        <is>
          <t>Jan</t>
        </is>
      </c>
      <c r="C131" s="6" t="inlineStr">
        <is>
          <t>Kerala</t>
        </is>
      </c>
      <c r="D131" s="7" t="inlineStr">
        <is>
          <t>KL48E7545</t>
        </is>
      </c>
      <c r="E131" s="7" t="inlineStr">
        <is>
          <t>MARUTI SUZUKI</t>
        </is>
      </c>
      <c r="F131" s="7" t="inlineStr">
        <is>
          <t>Alto</t>
        </is>
      </c>
      <c r="G131" s="7" t="inlineStr">
        <is>
          <t>RAYON</t>
        </is>
      </c>
      <c r="H131" s="7" t="inlineStr">
        <is>
          <t>Non-Captive</t>
        </is>
      </c>
      <c r="I131" s="7" t="inlineStr">
        <is>
          <t>KIA</t>
        </is>
      </c>
      <c r="J131" s="8" t="n"/>
      <c r="K131" s="9" t="n">
        <v>110000</v>
      </c>
      <c r="L131" s="10" t="n">
        <v>110000</v>
      </c>
      <c r="M131" s="10" t="n">
        <v>4237.29</v>
      </c>
      <c r="N131" s="11">
        <f>IF(M131="","",ROUND(M131*1.18,2))</f>
        <v/>
      </c>
      <c r="O131" s="12">
        <f>IF(M131="","",ROUND(N131-M131,2))</f>
        <v/>
      </c>
      <c r="P131" s="13">
        <f>IF(AND(A131&lt;&gt;"",B131&lt;&gt;""), A131&amp;" · "&amp;B131, "")</f>
        <v/>
      </c>
    </row>
    <row r="132">
      <c r="A132" s="6" t="inlineStr">
        <is>
          <t>FY26</t>
        </is>
      </c>
      <c r="B132" s="6" t="inlineStr">
        <is>
          <t>Jan</t>
        </is>
      </c>
      <c r="C132" s="6" t="inlineStr">
        <is>
          <t>Kerala</t>
        </is>
      </c>
      <c r="D132" s="7" t="inlineStr">
        <is>
          <t>KL51K4180</t>
        </is>
      </c>
      <c r="E132" s="7" t="inlineStr">
        <is>
          <t>HYUNDAI</t>
        </is>
      </c>
      <c r="F132" s="7" t="inlineStr">
        <is>
          <t>Eon</t>
        </is>
      </c>
      <c r="G132" s="7" t="inlineStr">
        <is>
          <t>ATHUL</t>
        </is>
      </c>
      <c r="H132" s="7" t="inlineStr">
        <is>
          <t>Non-Captive</t>
        </is>
      </c>
      <c r="I132" s="7" t="inlineStr">
        <is>
          <t>BIMAL</t>
        </is>
      </c>
      <c r="J132" s="8" t="n"/>
      <c r="K132" s="9" t="n">
        <v>42000</v>
      </c>
      <c r="L132" s="10" t="n">
        <v>165000</v>
      </c>
      <c r="M132" s="10" t="n">
        <v>5932.2</v>
      </c>
      <c r="N132" s="11">
        <f>IF(M132="","",ROUND(M132*1.18,2))</f>
        <v/>
      </c>
      <c r="O132" s="12">
        <f>IF(M132="","",ROUND(N132-M132,2))</f>
        <v/>
      </c>
      <c r="P132" s="13">
        <f>IF(AND(A132&lt;&gt;"",B132&lt;&gt;""), A132&amp;" · "&amp;B132, "")</f>
        <v/>
      </c>
    </row>
    <row r="133">
      <c r="A133" s="6" t="inlineStr">
        <is>
          <t>FY26</t>
        </is>
      </c>
      <c r="B133" s="6" t="inlineStr">
        <is>
          <t>Jan</t>
        </is>
      </c>
      <c r="C133" s="6" t="inlineStr">
        <is>
          <t>Kerala</t>
        </is>
      </c>
      <c r="D133" s="7" t="inlineStr">
        <is>
          <t>KL560052</t>
        </is>
      </c>
      <c r="E133" s="7" t="inlineStr">
        <is>
          <t>TATA</t>
        </is>
      </c>
      <c r="F133" s="7" t="inlineStr">
        <is>
          <t>Safari</t>
        </is>
      </c>
      <c r="G133" s="7" t="inlineStr">
        <is>
          <t>ABBAS</t>
        </is>
      </c>
      <c r="H133" s="7" t="inlineStr">
        <is>
          <t>Non-Captive</t>
        </is>
      </c>
      <c r="I133" s="7" t="inlineStr">
        <is>
          <t>KIA DKH</t>
        </is>
      </c>
      <c r="J133" s="8" t="n"/>
      <c r="K133" s="9" t="n">
        <v>190000</v>
      </c>
      <c r="L133" s="10" t="n">
        <v>90000</v>
      </c>
      <c r="M133" s="10" t="n">
        <v>4237.29</v>
      </c>
      <c r="N133" s="11">
        <f>IF(M133="","",ROUND(M133*1.18,2))</f>
        <v/>
      </c>
      <c r="O133" s="12">
        <f>IF(M133="","",ROUND(N133-M133,2))</f>
        <v/>
      </c>
      <c r="P133" s="13">
        <f>IF(AND(A133&lt;&gt;"",B133&lt;&gt;""), A133&amp;" · "&amp;B133, "")</f>
        <v/>
      </c>
    </row>
    <row r="134">
      <c r="A134" s="6" t="inlineStr">
        <is>
          <t>FY26</t>
        </is>
      </c>
      <c r="B134" s="6" t="inlineStr">
        <is>
          <t>Jan</t>
        </is>
      </c>
      <c r="C134" s="6" t="inlineStr">
        <is>
          <t>Kerala</t>
        </is>
      </c>
      <c r="D134" s="7" t="inlineStr">
        <is>
          <t>KL56A3515</t>
        </is>
      </c>
      <c r="E134" s="7" t="inlineStr">
        <is>
          <t>MARUTI SUZUKI</t>
        </is>
      </c>
      <c r="F134" s="7" t="inlineStr">
        <is>
          <t>Wagon R</t>
        </is>
      </c>
      <c r="G134" s="7" t="inlineStr">
        <is>
          <t>SAHARUN</t>
        </is>
      </c>
      <c r="H134" s="7" t="inlineStr">
        <is>
          <t>Non-Captive</t>
        </is>
      </c>
      <c r="I134" s="7" t="inlineStr">
        <is>
          <t>BIMAL</t>
        </is>
      </c>
      <c r="J134" s="8" t="n"/>
      <c r="K134" s="9" t="n">
        <v>122000</v>
      </c>
      <c r="L134" s="10" t="n">
        <v>70000</v>
      </c>
      <c r="M134" s="10" t="n">
        <v>5084.75</v>
      </c>
      <c r="N134" s="11">
        <f>IF(M134="","",ROUND(M134*1.18,2))</f>
        <v/>
      </c>
      <c r="O134" s="12">
        <f>IF(M134="","",ROUND(N134-M134,2))</f>
        <v/>
      </c>
      <c r="P134" s="13">
        <f>IF(AND(A134&lt;&gt;"",B134&lt;&gt;""), A134&amp;" · "&amp;B134, "")</f>
        <v/>
      </c>
    </row>
    <row r="135">
      <c r="A135" s="6" t="inlineStr">
        <is>
          <t>FY26</t>
        </is>
      </c>
      <c r="B135" s="6" t="inlineStr">
        <is>
          <t>Jan</t>
        </is>
      </c>
      <c r="C135" s="6" t="inlineStr">
        <is>
          <t>Kerala</t>
        </is>
      </c>
      <c r="D135" s="7" t="inlineStr">
        <is>
          <t>KL56K6673</t>
        </is>
      </c>
      <c r="E135" s="7" t="inlineStr">
        <is>
          <t>MARUTI SUZUKI</t>
        </is>
      </c>
      <c r="F135" s="7" t="inlineStr">
        <is>
          <t>Alto</t>
        </is>
      </c>
      <c r="G135" s="7" t="inlineStr">
        <is>
          <t>NIDEESH MOHAN</t>
        </is>
      </c>
      <c r="H135" s="7" t="inlineStr">
        <is>
          <t>Non-Captive</t>
        </is>
      </c>
      <c r="I135" s="7" t="inlineStr">
        <is>
          <t>BIMAL</t>
        </is>
      </c>
      <c r="J135" s="8" t="n"/>
      <c r="K135" s="9" t="n">
        <v>41000</v>
      </c>
      <c r="L135" s="10" t="n">
        <v>155000</v>
      </c>
      <c r="M135" s="10" t="n">
        <v>8474.58</v>
      </c>
      <c r="N135" s="11">
        <f>IF(M135="","",ROUND(M135*1.18,2))</f>
        <v/>
      </c>
      <c r="O135" s="12">
        <f>IF(M135="","",ROUND(N135-M135,2))</f>
        <v/>
      </c>
      <c r="P135" s="13">
        <f>IF(AND(A135&lt;&gt;"",B135&lt;&gt;""), A135&amp;" · "&amp;B135, "")</f>
        <v/>
      </c>
    </row>
    <row r="136">
      <c r="A136" s="6" t="inlineStr">
        <is>
          <t>FY26</t>
        </is>
      </c>
      <c r="B136" s="6" t="inlineStr">
        <is>
          <t>Jan</t>
        </is>
      </c>
      <c r="C136" s="6" t="inlineStr">
        <is>
          <t>Kerala</t>
        </is>
      </c>
      <c r="D136" s="7" t="inlineStr">
        <is>
          <t>KL56R5506</t>
        </is>
      </c>
      <c r="E136" s="7" t="inlineStr">
        <is>
          <t>MARUTI SUZUKI</t>
        </is>
      </c>
      <c r="F136" s="7" t="inlineStr">
        <is>
          <t>Alto</t>
        </is>
      </c>
      <c r="G136" s="7" t="inlineStr">
        <is>
          <t>UNAISE</t>
        </is>
      </c>
      <c r="H136" s="7" t="inlineStr">
        <is>
          <t>Non-Captive</t>
        </is>
      </c>
      <c r="I136" s="7" t="inlineStr">
        <is>
          <t>APCO HYUNDAI</t>
        </is>
      </c>
      <c r="J136" s="8" t="n"/>
      <c r="K136" s="9" t="n">
        <v>24000</v>
      </c>
      <c r="L136" s="10" t="n">
        <v>200000</v>
      </c>
      <c r="M136" s="10" t="n">
        <v>8474.58</v>
      </c>
      <c r="N136" s="11">
        <f>IF(M136="","",ROUND(M136*1.18,2))</f>
        <v/>
      </c>
      <c r="O136" s="12">
        <f>IF(M136="","",ROUND(N136-M136,2))</f>
        <v/>
      </c>
      <c r="P136" s="13">
        <f>IF(AND(A136&lt;&gt;"",B136&lt;&gt;""), A136&amp;" · "&amp;B136, "")</f>
        <v/>
      </c>
    </row>
    <row r="137">
      <c r="A137" s="6" t="inlineStr">
        <is>
          <t>FY26</t>
        </is>
      </c>
      <c r="B137" s="6" t="inlineStr">
        <is>
          <t>Jan</t>
        </is>
      </c>
      <c r="C137" s="6" t="inlineStr">
        <is>
          <t>Kerala</t>
        </is>
      </c>
      <c r="D137" s="7" t="inlineStr">
        <is>
          <t>KL56R9007</t>
        </is>
      </c>
      <c r="E137" s="7" t="inlineStr">
        <is>
          <t>MAHINDRA</t>
        </is>
      </c>
      <c r="F137" s="7" t="inlineStr">
        <is>
          <t>Bolero</t>
        </is>
      </c>
      <c r="G137" s="7" t="inlineStr">
        <is>
          <t>MARVEL MOTORS</t>
        </is>
      </c>
      <c r="H137" s="7" t="inlineStr">
        <is>
          <t>Non-Captive</t>
        </is>
      </c>
      <c r="I137" s="7" t="inlineStr">
        <is>
          <t>DKH KIA</t>
        </is>
      </c>
      <c r="J137" s="8" t="n"/>
      <c r="K137" s="9" t="n">
        <v>76000</v>
      </c>
      <c r="L137" s="10" t="n">
        <v>575000</v>
      </c>
      <c r="M137" s="10" t="n">
        <v>5084.75</v>
      </c>
      <c r="N137" s="11">
        <f>IF(M137="","",ROUND(M137*1.18,2))</f>
        <v/>
      </c>
      <c r="O137" s="12">
        <f>IF(M137="","",ROUND(N137-M137,2))</f>
        <v/>
      </c>
      <c r="P137" s="13">
        <f>IF(AND(A137&lt;&gt;"",B137&lt;&gt;""), A137&amp;" · "&amp;B137, "")</f>
        <v/>
      </c>
    </row>
    <row r="138">
      <c r="A138" s="6" t="inlineStr">
        <is>
          <t>FY26</t>
        </is>
      </c>
      <c r="B138" s="6" t="inlineStr">
        <is>
          <t>Jan</t>
        </is>
      </c>
      <c r="C138" s="6" t="inlineStr">
        <is>
          <t>Kerala</t>
        </is>
      </c>
      <c r="D138" s="7" t="inlineStr">
        <is>
          <t>KL58G4087</t>
        </is>
      </c>
      <c r="E138" s="7" t="inlineStr">
        <is>
          <t>HYUNDAI</t>
        </is>
      </c>
      <c r="F138" s="7" t="inlineStr">
        <is>
          <t>i20</t>
        </is>
      </c>
      <c r="G138" s="7" t="inlineStr">
        <is>
          <t>SANOOP KM</t>
        </is>
      </c>
      <c r="H138" s="7" t="inlineStr">
        <is>
          <t>Non-Captive</t>
        </is>
      </c>
      <c r="I138" s="7" t="inlineStr">
        <is>
          <t>KIA DKH</t>
        </is>
      </c>
      <c r="J138" s="8" t="n"/>
      <c r="K138" s="9" t="n">
        <v>85000</v>
      </c>
      <c r="L138" s="10" t="n">
        <v>125000</v>
      </c>
      <c r="M138" s="10" t="n">
        <v>4237.29</v>
      </c>
      <c r="N138" s="11">
        <f>IF(M138="","",ROUND(M138*1.18,2))</f>
        <v/>
      </c>
      <c r="O138" s="12">
        <f>IF(M138="","",ROUND(N138-M138,2))</f>
        <v/>
      </c>
      <c r="P138" s="13">
        <f>IF(AND(A138&lt;&gt;"",B138&lt;&gt;""), A138&amp;" · "&amp;B138, "")</f>
        <v/>
      </c>
    </row>
    <row r="139">
      <c r="A139" s="6" t="inlineStr">
        <is>
          <t>FY26</t>
        </is>
      </c>
      <c r="B139" s="6" t="inlineStr">
        <is>
          <t>Jan</t>
        </is>
      </c>
      <c r="C139" s="6" t="inlineStr">
        <is>
          <t>Kerala</t>
        </is>
      </c>
      <c r="D139" s="7" t="inlineStr">
        <is>
          <t>KL58R7284</t>
        </is>
      </c>
      <c r="E139" s="7" t="inlineStr">
        <is>
          <t>MARUTI SUZUKI</t>
        </is>
      </c>
      <c r="F139" s="7" t="inlineStr">
        <is>
          <t>Swift</t>
        </is>
      </c>
      <c r="G139" s="7" t="inlineStr">
        <is>
          <t>MARVEL MOTORS</t>
        </is>
      </c>
      <c r="H139" s="7" t="inlineStr">
        <is>
          <t>Non-Captive</t>
        </is>
      </c>
      <c r="I139" s="7" t="inlineStr">
        <is>
          <t>KVR TATA</t>
        </is>
      </c>
      <c r="J139" s="8" t="n"/>
      <c r="K139" s="9" t="n">
        <v>90000</v>
      </c>
      <c r="L139" s="10" t="n">
        <v>290000</v>
      </c>
      <c r="M139" s="10" t="n">
        <v>5084.75</v>
      </c>
      <c r="N139" s="11">
        <f>IF(M139="","",ROUND(M139*1.18,2))</f>
        <v/>
      </c>
      <c r="O139" s="12">
        <f>IF(M139="","",ROUND(N139-M139,2))</f>
        <v/>
      </c>
      <c r="P139" s="13">
        <f>IF(AND(A139&lt;&gt;"",B139&lt;&gt;""), A139&amp;" · "&amp;B139, "")</f>
        <v/>
      </c>
    </row>
    <row r="140">
      <c r="A140" s="6" t="inlineStr">
        <is>
          <t>FY26</t>
        </is>
      </c>
      <c r="B140" s="6" t="inlineStr">
        <is>
          <t>Jan</t>
        </is>
      </c>
      <c r="C140" s="6" t="inlineStr">
        <is>
          <t>Kerala</t>
        </is>
      </c>
      <c r="D140" s="7" t="inlineStr">
        <is>
          <t>KL58S4885</t>
        </is>
      </c>
      <c r="E140" s="7" t="inlineStr">
        <is>
          <t>MARUTI SUZUKI</t>
        </is>
      </c>
      <c r="F140" s="7" t="inlineStr">
        <is>
          <t>Swift</t>
        </is>
      </c>
      <c r="G140" s="7" t="inlineStr">
        <is>
          <t>SARITH</t>
        </is>
      </c>
      <c r="H140" s="7" t="inlineStr">
        <is>
          <t>Non-Captive</t>
        </is>
      </c>
      <c r="I140" s="7" t="inlineStr">
        <is>
          <t>AMANA TOYOTA</t>
        </is>
      </c>
      <c r="J140" s="8" t="n"/>
      <c r="K140" s="9" t="n">
        <v>42000</v>
      </c>
      <c r="L140" s="10" t="n">
        <v>390000</v>
      </c>
      <c r="M140" s="10" t="n">
        <v>8474.58</v>
      </c>
      <c r="N140" s="11">
        <f>IF(M140="","",ROUND(M140*1.18,2))</f>
        <v/>
      </c>
      <c r="O140" s="12">
        <f>IF(M140="","",ROUND(N140-M140,2))</f>
        <v/>
      </c>
      <c r="P140" s="13">
        <f>IF(AND(A140&lt;&gt;"",B140&lt;&gt;""), A140&amp;" · "&amp;B140, "")</f>
        <v/>
      </c>
    </row>
    <row r="141">
      <c r="A141" s="6" t="inlineStr">
        <is>
          <t>FY26</t>
        </is>
      </c>
      <c r="B141" s="6" t="inlineStr">
        <is>
          <t>Jan</t>
        </is>
      </c>
      <c r="C141" s="6" t="inlineStr">
        <is>
          <t>Kerala</t>
        </is>
      </c>
      <c r="D141" s="7" t="inlineStr">
        <is>
          <t>KL58T0066</t>
        </is>
      </c>
      <c r="E141" s="7" t="inlineStr">
        <is>
          <t>MARUTI SUZUKI</t>
        </is>
      </c>
      <c r="F141" s="7" t="inlineStr">
        <is>
          <t>Celerio</t>
        </is>
      </c>
      <c r="G141" s="7" t="inlineStr">
        <is>
          <t>ATHUL</t>
        </is>
      </c>
      <c r="H141" s="7" t="inlineStr">
        <is>
          <t>Non-Captive</t>
        </is>
      </c>
      <c r="I141" s="7" t="inlineStr">
        <is>
          <t>BIMAL</t>
        </is>
      </c>
      <c r="J141" s="8" t="n"/>
      <c r="K141" s="9" t="n">
        <v>83000</v>
      </c>
      <c r="L141" s="10" t="n">
        <v>265000</v>
      </c>
      <c r="M141" s="10" t="n">
        <v>4237.29</v>
      </c>
      <c r="N141" s="11">
        <f>IF(M141="","",ROUND(M141*1.18,2))</f>
        <v/>
      </c>
      <c r="O141" s="12">
        <f>IF(M141="","",ROUND(N141-M141,2))</f>
        <v/>
      </c>
      <c r="P141" s="13">
        <f>IF(AND(A141&lt;&gt;"",B141&lt;&gt;""), A141&amp;" · "&amp;B141, "")</f>
        <v/>
      </c>
    </row>
    <row r="142">
      <c r="A142" s="6" t="inlineStr">
        <is>
          <t>FY26</t>
        </is>
      </c>
      <c r="B142" s="6" t="inlineStr">
        <is>
          <t>Jan</t>
        </is>
      </c>
      <c r="C142" s="6" t="inlineStr">
        <is>
          <t>Kerala</t>
        </is>
      </c>
      <c r="D142" s="7" t="inlineStr">
        <is>
          <t>KL59U3388</t>
        </is>
      </c>
      <c r="E142" s="7" t="inlineStr">
        <is>
          <t>HYUNDAI</t>
        </is>
      </c>
      <c r="F142" s="7" t="inlineStr">
        <is>
          <t>Grand i10</t>
        </is>
      </c>
      <c r="G142" s="7" t="inlineStr">
        <is>
          <t>PRAJOSH</t>
        </is>
      </c>
      <c r="H142" s="7" t="inlineStr">
        <is>
          <t>Non-Captive</t>
        </is>
      </c>
      <c r="I142" s="7" t="inlineStr">
        <is>
          <t>ERAM MAHINDRA</t>
        </is>
      </c>
      <c r="J142" s="8" t="n"/>
      <c r="K142" s="9" t="n">
        <v>57000</v>
      </c>
      <c r="L142" s="10" t="n">
        <v>355000</v>
      </c>
      <c r="M142" s="10" t="n">
        <v>4237.29</v>
      </c>
      <c r="N142" s="11">
        <f>IF(M142="","",ROUND(M142*1.18,2))</f>
        <v/>
      </c>
      <c r="O142" s="12">
        <f>IF(M142="","",ROUND(N142-M142,2))</f>
        <v/>
      </c>
      <c r="P142" s="13">
        <f>IF(AND(A142&lt;&gt;"",B142&lt;&gt;""), A142&amp;" · "&amp;B142, "")</f>
        <v/>
      </c>
    </row>
    <row r="143">
      <c r="A143" s="6" t="inlineStr">
        <is>
          <t>FY26</t>
        </is>
      </c>
      <c r="B143" s="6" t="inlineStr">
        <is>
          <t>Jan</t>
        </is>
      </c>
      <c r="C143" s="6" t="inlineStr">
        <is>
          <t>Kerala</t>
        </is>
      </c>
      <c r="D143" s="7" t="inlineStr">
        <is>
          <t>KL59U5723</t>
        </is>
      </c>
      <c r="E143" s="7" t="inlineStr">
        <is>
          <t>HYUNDAI</t>
        </is>
      </c>
      <c r="F143" s="7" t="inlineStr">
        <is>
          <t>Venue</t>
        </is>
      </c>
      <c r="G143" s="7" t="inlineStr">
        <is>
          <t>SANOOP KM</t>
        </is>
      </c>
      <c r="H143" s="7" t="inlineStr">
        <is>
          <t>Non-Captive</t>
        </is>
      </c>
      <c r="I143" s="7" t="inlineStr">
        <is>
          <t>APCO HYUNDAI</t>
        </is>
      </c>
      <c r="J143" s="8" t="n"/>
      <c r="K143" s="9" t="n">
        <v>70000</v>
      </c>
      <c r="L143" s="10" t="n">
        <v>660000</v>
      </c>
      <c r="M143" s="10" t="n">
        <v>8474.58</v>
      </c>
      <c r="N143" s="11">
        <f>IF(M143="","",ROUND(M143*1.18,2))</f>
        <v/>
      </c>
      <c r="O143" s="12">
        <f>IF(M143="","",ROUND(N143-M143,2))</f>
        <v/>
      </c>
      <c r="P143" s="13">
        <f>IF(AND(A143&lt;&gt;"",B143&lt;&gt;""), A143&amp;" · "&amp;B143, "")</f>
        <v/>
      </c>
    </row>
    <row r="144">
      <c r="A144" s="6" t="inlineStr">
        <is>
          <t>FY26</t>
        </is>
      </c>
      <c r="B144" s="6" t="inlineStr">
        <is>
          <t>Jan</t>
        </is>
      </c>
      <c r="C144" s="6" t="inlineStr">
        <is>
          <t>Kerala</t>
        </is>
      </c>
      <c r="D144" s="7" t="inlineStr">
        <is>
          <t>KL59U6402</t>
        </is>
      </c>
      <c r="E144" s="7" t="inlineStr">
        <is>
          <t>RENAULT</t>
        </is>
      </c>
      <c r="F144" s="7" t="inlineStr">
        <is>
          <t>Duster</t>
        </is>
      </c>
      <c r="G144" s="7" t="inlineStr">
        <is>
          <t>PRAJOSH</t>
        </is>
      </c>
      <c r="H144" s="7" t="inlineStr">
        <is>
          <t>Non-Captive</t>
        </is>
      </c>
      <c r="I144" s="7" t="inlineStr">
        <is>
          <t>KVR MARUTHI</t>
        </is>
      </c>
      <c r="J144" s="8" t="n"/>
      <c r="K144" s="9" t="n">
        <v>139000</v>
      </c>
      <c r="L144" s="10" t="n">
        <v>520000</v>
      </c>
      <c r="M144" s="10" t="n">
        <v>8474.58</v>
      </c>
      <c r="N144" s="11">
        <f>IF(M144="","",ROUND(M144*1.18,2))</f>
        <v/>
      </c>
      <c r="O144" s="12">
        <f>IF(M144="","",ROUND(N144-M144,2))</f>
        <v/>
      </c>
      <c r="P144" s="13">
        <f>IF(AND(A144&lt;&gt;"",B144&lt;&gt;""), A144&amp;" · "&amp;B144, "")</f>
        <v/>
      </c>
    </row>
    <row r="145">
      <c r="A145" s="6" t="inlineStr">
        <is>
          <t>FY26</t>
        </is>
      </c>
      <c r="B145" s="6" t="inlineStr">
        <is>
          <t>Jan</t>
        </is>
      </c>
      <c r="C145" s="6" t="inlineStr">
        <is>
          <t>Kerala</t>
        </is>
      </c>
      <c r="D145" s="7" t="inlineStr">
        <is>
          <t>KL59W4351</t>
        </is>
      </c>
      <c r="E145" s="7" t="inlineStr">
        <is>
          <t>MARUTI SUZUKI</t>
        </is>
      </c>
      <c r="F145" s="7" t="inlineStr">
        <is>
          <t>Celerio</t>
        </is>
      </c>
      <c r="G145" s="7" t="inlineStr">
        <is>
          <t>NADIR K K</t>
        </is>
      </c>
      <c r="H145" s="7" t="inlineStr">
        <is>
          <t>Non-Captive</t>
        </is>
      </c>
      <c r="I145" s="7" t="inlineStr">
        <is>
          <t>KVR TATA</t>
        </is>
      </c>
      <c r="J145" s="8" t="n"/>
      <c r="K145" s="9" t="n">
        <v>76000</v>
      </c>
      <c r="L145" s="10" t="n">
        <v>415000</v>
      </c>
      <c r="M145" s="10" t="n">
        <v>6355.93</v>
      </c>
      <c r="N145" s="11">
        <f>IF(M145="","",ROUND(M145*1.18,2))</f>
        <v/>
      </c>
      <c r="O145" s="12">
        <f>IF(M145="","",ROUND(N145-M145,2))</f>
        <v/>
      </c>
      <c r="P145" s="13">
        <f>IF(AND(A145&lt;&gt;"",B145&lt;&gt;""), A145&amp;" · "&amp;B145, "")</f>
        <v/>
      </c>
    </row>
    <row r="146">
      <c r="A146" s="6" t="inlineStr">
        <is>
          <t>FY26</t>
        </is>
      </c>
      <c r="B146" s="6" t="inlineStr">
        <is>
          <t>Jan</t>
        </is>
      </c>
      <c r="C146" s="6" t="inlineStr">
        <is>
          <t>Kerala</t>
        </is>
      </c>
      <c r="D146" s="7" t="inlineStr">
        <is>
          <t>KL60U5273</t>
        </is>
      </c>
      <c r="E146" s="7" t="inlineStr">
        <is>
          <t>MARUTI SUZUKI</t>
        </is>
      </c>
      <c r="F146" s="7" t="inlineStr">
        <is>
          <t>Alto</t>
        </is>
      </c>
      <c r="G146" s="7" t="inlineStr">
        <is>
          <t>SHAJI</t>
        </is>
      </c>
      <c r="H146" s="7" t="inlineStr">
        <is>
          <t>Non-Captive</t>
        </is>
      </c>
      <c r="I146" s="7" t="inlineStr">
        <is>
          <t>KVR TATA</t>
        </is>
      </c>
      <c r="J146" s="8" t="n"/>
      <c r="K146" s="9" t="n">
        <v>59000</v>
      </c>
      <c r="L146" s="10" t="n">
        <v>302000</v>
      </c>
      <c r="M146" s="10" t="n">
        <v>6779.66</v>
      </c>
      <c r="N146" s="11">
        <f>IF(M146="","",ROUND(M146*1.18,2))</f>
        <v/>
      </c>
      <c r="O146" s="12">
        <f>IF(M146="","",ROUND(N146-M146,2))</f>
        <v/>
      </c>
      <c r="P146" s="13">
        <f>IF(AND(A146&lt;&gt;"",B146&lt;&gt;""), A146&amp;" · "&amp;B146, "")</f>
        <v/>
      </c>
    </row>
    <row r="147">
      <c r="A147" s="6" t="inlineStr">
        <is>
          <t>FY26</t>
        </is>
      </c>
      <c r="B147" s="6" t="inlineStr">
        <is>
          <t>Jan</t>
        </is>
      </c>
      <c r="C147" s="6" t="inlineStr">
        <is>
          <t>Kerala</t>
        </is>
      </c>
      <c r="D147" s="7" t="inlineStr">
        <is>
          <t>KL63E8739</t>
        </is>
      </c>
      <c r="E147" s="7" t="inlineStr">
        <is>
          <t>RENAULT</t>
        </is>
      </c>
      <c r="F147" s="7" t="inlineStr">
        <is>
          <t>Kwid</t>
        </is>
      </c>
      <c r="G147" s="7" t="inlineStr">
        <is>
          <t>POPULAR MARUTI</t>
        </is>
      </c>
      <c r="H147" s="7" t="inlineStr">
        <is>
          <t>Non-Captive</t>
        </is>
      </c>
      <c r="I147" s="7" t="inlineStr">
        <is>
          <t>HAVEN MOTORS</t>
        </is>
      </c>
      <c r="J147" s="8" t="n"/>
      <c r="K147" s="9" t="n">
        <v>18300</v>
      </c>
      <c r="L147" s="10" t="n">
        <v>193000</v>
      </c>
      <c r="M147" s="10" t="n">
        <v>8474.58</v>
      </c>
      <c r="N147" s="11">
        <f>IF(M147="","",ROUND(M147*1.18,2))</f>
        <v/>
      </c>
      <c r="O147" s="12">
        <f>IF(M147="","",ROUND(N147-M147,2))</f>
        <v/>
      </c>
      <c r="P147" s="13">
        <f>IF(AND(A147&lt;&gt;"",B147&lt;&gt;""), A147&amp;" · "&amp;B147, "")</f>
        <v/>
      </c>
    </row>
    <row r="148">
      <c r="A148" s="6" t="inlineStr">
        <is>
          <t>FY26</t>
        </is>
      </c>
      <c r="B148" s="6" t="inlineStr">
        <is>
          <t>Jan</t>
        </is>
      </c>
      <c r="C148" s="6" t="inlineStr">
        <is>
          <t>Kerala</t>
        </is>
      </c>
      <c r="D148" s="7" t="inlineStr">
        <is>
          <t>KL640430</t>
        </is>
      </c>
      <c r="E148" s="7" t="inlineStr">
        <is>
          <t>MARUTI SUZUKI</t>
        </is>
      </c>
      <c r="F148" s="7" t="inlineStr">
        <is>
          <t>Zen</t>
        </is>
      </c>
      <c r="G148" s="7" t="inlineStr">
        <is>
          <t>MAIJO MARUTI</t>
        </is>
      </c>
      <c r="H148" s="7" t="inlineStr">
        <is>
          <t>Non-Captive</t>
        </is>
      </c>
      <c r="I148" s="7" t="inlineStr">
        <is>
          <t>HUSSAIN O E</t>
        </is>
      </c>
      <c r="J148" s="8" t="n"/>
      <c r="K148" s="9" t="n">
        <v>22083</v>
      </c>
      <c r="L148" s="10" t="n">
        <v>85000</v>
      </c>
      <c r="M148" s="10" t="n">
        <v>8474.58</v>
      </c>
      <c r="N148" s="11">
        <f>IF(M148="","",ROUND(M148*1.18,2))</f>
        <v/>
      </c>
      <c r="O148" s="12">
        <f>IF(M148="","",ROUND(N148-M148,2))</f>
        <v/>
      </c>
      <c r="P148" s="13">
        <f>IF(AND(A148&lt;&gt;"",B148&lt;&gt;""), A148&amp;" · "&amp;B148, "")</f>
        <v/>
      </c>
    </row>
    <row r="149">
      <c r="A149" s="6" t="inlineStr">
        <is>
          <t>FY26</t>
        </is>
      </c>
      <c r="B149" s="6" t="inlineStr">
        <is>
          <t>Jan</t>
        </is>
      </c>
      <c r="C149" s="6" t="inlineStr">
        <is>
          <t>Kerala</t>
        </is>
      </c>
      <c r="D149" s="7" t="inlineStr">
        <is>
          <t>KL65L2168</t>
        </is>
      </c>
      <c r="E149" s="7" t="inlineStr">
        <is>
          <t>MARUTI SUZUKI</t>
        </is>
      </c>
      <c r="F149" s="7" t="inlineStr">
        <is>
          <t>Alto</t>
        </is>
      </c>
      <c r="G149" s="7" t="inlineStr">
        <is>
          <t>NIKESH</t>
        </is>
      </c>
      <c r="H149" s="7" t="inlineStr">
        <is>
          <t>Non-Captive</t>
        </is>
      </c>
      <c r="I149" s="7" t="inlineStr">
        <is>
          <t>BIMAL</t>
        </is>
      </c>
      <c r="J149" s="8" t="n"/>
      <c r="K149" s="9" t="n">
        <v>64000</v>
      </c>
      <c r="L149" s="10" t="n">
        <v>230000</v>
      </c>
      <c r="M149" s="10" t="n">
        <v>4237.29</v>
      </c>
      <c r="N149" s="11">
        <f>IF(M149="","",ROUND(M149*1.18,2))</f>
        <v/>
      </c>
      <c r="O149" s="12">
        <f>IF(M149="","",ROUND(N149-M149,2))</f>
        <v/>
      </c>
      <c r="P149" s="13">
        <f>IF(AND(A149&lt;&gt;"",B149&lt;&gt;""), A149&amp;" · "&amp;B149, "")</f>
        <v/>
      </c>
    </row>
    <row r="150">
      <c r="A150" s="6" t="inlineStr">
        <is>
          <t>FY26</t>
        </is>
      </c>
      <c r="B150" s="6" t="inlineStr">
        <is>
          <t>Jan</t>
        </is>
      </c>
      <c r="C150" s="6" t="inlineStr">
        <is>
          <t>Kerala</t>
        </is>
      </c>
      <c r="D150" s="7" t="inlineStr">
        <is>
          <t>KL70B5353</t>
        </is>
      </c>
      <c r="E150" s="7" t="inlineStr">
        <is>
          <t>HYUNDAI</t>
        </is>
      </c>
      <c r="F150" s="7" t="inlineStr">
        <is>
          <t>i20</t>
        </is>
      </c>
      <c r="G150" s="7" t="inlineStr">
        <is>
          <t>MARVEL MOTORS</t>
        </is>
      </c>
      <c r="H150" s="7" t="inlineStr">
        <is>
          <t>Non-Captive</t>
        </is>
      </c>
      <c r="I150" s="7" t="inlineStr">
        <is>
          <t>SANOOP</t>
        </is>
      </c>
      <c r="J150" s="8" t="n"/>
      <c r="K150" s="9" t="n">
        <v>90000</v>
      </c>
      <c r="L150" s="10" t="n">
        <v>395000</v>
      </c>
      <c r="M150" s="10" t="n">
        <v>8474.58</v>
      </c>
      <c r="N150" s="11">
        <f>IF(M150="","",ROUND(M150*1.18,2))</f>
        <v/>
      </c>
      <c r="O150" s="12">
        <f>IF(M150="","",ROUND(N150-M150,2))</f>
        <v/>
      </c>
      <c r="P150" s="13">
        <f>IF(AND(A150&lt;&gt;"",B150&lt;&gt;""), A150&amp;" · "&amp;B150, "")</f>
        <v/>
      </c>
    </row>
    <row r="151">
      <c r="A151" s="6" t="inlineStr">
        <is>
          <t>FY26</t>
        </is>
      </c>
      <c r="B151" s="6" t="inlineStr">
        <is>
          <t>Jan</t>
        </is>
      </c>
      <c r="C151" s="6" t="inlineStr">
        <is>
          <t>Kerala</t>
        </is>
      </c>
      <c r="D151" s="7" t="inlineStr">
        <is>
          <t>KL73C8527</t>
        </is>
      </c>
      <c r="E151" s="7" t="inlineStr">
        <is>
          <t>HYUNDAI</t>
        </is>
      </c>
      <c r="F151" s="7" t="inlineStr">
        <is>
          <t>Grand i10 Nios</t>
        </is>
      </c>
      <c r="G151" s="7" t="inlineStr">
        <is>
          <t>MARVEL MOTORS</t>
        </is>
      </c>
      <c r="H151" s="7" t="inlineStr">
        <is>
          <t>Non-Captive</t>
        </is>
      </c>
      <c r="I151" s="7" t="inlineStr">
        <is>
          <t>BIMAL</t>
        </is>
      </c>
      <c r="J151" s="8" t="n"/>
      <c r="K151" s="9" t="n">
        <v>74000</v>
      </c>
      <c r="L151" s="10" t="n">
        <v>385000</v>
      </c>
      <c r="M151" s="10" t="n">
        <v>4237.29</v>
      </c>
      <c r="N151" s="11">
        <f>IF(M151="","",ROUND(M151*1.18,2))</f>
        <v/>
      </c>
      <c r="O151" s="12">
        <f>IF(M151="","",ROUND(N151-M151,2))</f>
        <v/>
      </c>
      <c r="P151" s="13">
        <f>IF(AND(A151&lt;&gt;"",B151&lt;&gt;""), A151&amp;" · "&amp;B151, "")</f>
        <v/>
      </c>
    </row>
    <row r="152">
      <c r="A152" s="6" t="inlineStr">
        <is>
          <t>FY26</t>
        </is>
      </c>
      <c r="B152" s="6" t="inlineStr">
        <is>
          <t>Jan</t>
        </is>
      </c>
      <c r="C152" s="6" t="inlineStr">
        <is>
          <t>Kerala</t>
        </is>
      </c>
      <c r="D152" s="7" t="inlineStr">
        <is>
          <t>KL74C6902</t>
        </is>
      </c>
      <c r="E152" s="7" t="inlineStr">
        <is>
          <t>TATA</t>
        </is>
      </c>
      <c r="F152" s="7" t="inlineStr">
        <is>
          <t>Nexon</t>
        </is>
      </c>
      <c r="G152" s="7" t="inlineStr">
        <is>
          <t>GOKULAM TATA</t>
        </is>
      </c>
      <c r="H152" s="7" t="inlineStr">
        <is>
          <t>Non-Captive</t>
        </is>
      </c>
      <c r="I152" s="7" t="inlineStr">
        <is>
          <t>Aitos Cars</t>
        </is>
      </c>
      <c r="J152" s="8" t="n"/>
      <c r="K152" s="9" t="n">
        <v>28652</v>
      </c>
      <c r="L152" s="10" t="n">
        <v>715000</v>
      </c>
      <c r="M152" s="10" t="n">
        <v>5508.47</v>
      </c>
      <c r="N152" s="11">
        <f>IF(M152="","",ROUND(M152*1.18,2))</f>
        <v/>
      </c>
      <c r="O152" s="12">
        <f>IF(M152="","",ROUND(N152-M152,2))</f>
        <v/>
      </c>
      <c r="P152" s="13">
        <f>IF(AND(A152&lt;&gt;"",B152&lt;&gt;""), A152&amp;" · "&amp;B152, "")</f>
        <v/>
      </c>
    </row>
    <row r="153">
      <c r="A153" s="6" t="inlineStr">
        <is>
          <t>FY26</t>
        </is>
      </c>
      <c r="B153" s="6" t="inlineStr">
        <is>
          <t>Jan</t>
        </is>
      </c>
      <c r="C153" s="6" t="inlineStr">
        <is>
          <t>Kerala</t>
        </is>
      </c>
      <c r="D153" s="7" t="inlineStr">
        <is>
          <t>KL76C2174</t>
        </is>
      </c>
      <c r="E153" s="7" t="inlineStr">
        <is>
          <t>HYUNDAI</t>
        </is>
      </c>
      <c r="F153" s="7" t="inlineStr">
        <is>
          <t>i10</t>
        </is>
      </c>
      <c r="G153" s="7" t="inlineStr">
        <is>
          <t>DILEEP MG</t>
        </is>
      </c>
      <c r="H153" s="7" t="inlineStr">
        <is>
          <t>Non-Captive</t>
        </is>
      </c>
      <c r="I153" s="7" t="inlineStr">
        <is>
          <t>DKH KIA</t>
        </is>
      </c>
      <c r="J153" s="8" t="n"/>
      <c r="K153" s="9" t="n">
        <v>40000</v>
      </c>
      <c r="L153" s="10" t="n">
        <v>410000</v>
      </c>
      <c r="M153" s="10" t="n">
        <v>8474.58</v>
      </c>
      <c r="N153" s="11">
        <f>IF(M153="","",ROUND(M153*1.18,2))</f>
        <v/>
      </c>
      <c r="O153" s="12">
        <f>IF(M153="","",ROUND(N153-M153,2))</f>
        <v/>
      </c>
      <c r="P153" s="13">
        <f>IF(AND(A153&lt;&gt;"",B153&lt;&gt;""), A153&amp;" · "&amp;B153, "")</f>
        <v/>
      </c>
    </row>
    <row r="154">
      <c r="A154" s="6" t="inlineStr">
        <is>
          <t>FY26</t>
        </is>
      </c>
      <c r="B154" s="6" t="inlineStr">
        <is>
          <t>Jan</t>
        </is>
      </c>
      <c r="C154" s="6" t="inlineStr">
        <is>
          <t>Kerala</t>
        </is>
      </c>
      <c r="D154" s="7" t="inlineStr">
        <is>
          <t>KL78B9921</t>
        </is>
      </c>
      <c r="E154" s="7" t="inlineStr">
        <is>
          <t>HYUNDAI</t>
        </is>
      </c>
      <c r="F154" s="7" t="inlineStr">
        <is>
          <t>i10</t>
        </is>
      </c>
      <c r="G154" s="7" t="inlineStr">
        <is>
          <t>MOHAMMED RAFI</t>
        </is>
      </c>
      <c r="H154" s="7" t="inlineStr">
        <is>
          <t>Non-Captive</t>
        </is>
      </c>
      <c r="I154" s="7" t="inlineStr">
        <is>
          <t>APCO HYUNDAI</t>
        </is>
      </c>
      <c r="J154" s="8" t="n"/>
      <c r="K154" s="9" t="n">
        <v>46000</v>
      </c>
      <c r="L154" s="10" t="n">
        <v>120000</v>
      </c>
      <c r="M154" s="10" t="n">
        <v>8474.58</v>
      </c>
      <c r="N154" s="11">
        <f>IF(M154="","",ROUND(M154*1.18,2))</f>
        <v/>
      </c>
      <c r="O154" s="12">
        <f>IF(M154="","",ROUND(N154-M154,2))</f>
        <v/>
      </c>
      <c r="P154" s="13">
        <f>IF(AND(A154&lt;&gt;"",B154&lt;&gt;""), A154&amp;" · "&amp;B154, "")</f>
        <v/>
      </c>
    </row>
    <row r="155">
      <c r="A155" s="6" t="inlineStr">
        <is>
          <t>FY26</t>
        </is>
      </c>
      <c r="B155" s="6" t="inlineStr">
        <is>
          <t>Jan</t>
        </is>
      </c>
      <c r="C155" s="6" t="inlineStr">
        <is>
          <t>TN</t>
        </is>
      </c>
      <c r="D155" s="7" t="inlineStr">
        <is>
          <t>AP26BQ5479</t>
        </is>
      </c>
      <c r="E155" s="7" t="inlineStr">
        <is>
          <t>MARUTI SUZUKI</t>
        </is>
      </c>
      <c r="F155" s="7" t="inlineStr">
        <is>
          <t>Baleno</t>
        </is>
      </c>
      <c r="G155" s="7" t="inlineStr">
        <is>
          <t>SUNDHARAM FINANCE</t>
        </is>
      </c>
      <c r="H155" s="7" t="inlineStr">
        <is>
          <t>Non-Captive</t>
        </is>
      </c>
      <c r="I155" s="7" t="inlineStr">
        <is>
          <t>Essar Preowned Cars</t>
        </is>
      </c>
      <c r="J155" s="8" t="n">
        <v>2017</v>
      </c>
      <c r="K155" s="9" t="n">
        <v>348852</v>
      </c>
      <c r="L155" s="10" t="n">
        <v>176100</v>
      </c>
      <c r="M155" s="10" t="n">
        <v>8389.83</v>
      </c>
      <c r="N155" s="11">
        <f>IF(M155="","",ROUND(M155*1.18,2))</f>
        <v/>
      </c>
      <c r="O155" s="12">
        <f>IF(M155="","",ROUND(N155-M155,2))</f>
        <v/>
      </c>
      <c r="P155" s="13">
        <f>IF(AND(A155&lt;&gt;"",B155&lt;&gt;""), A155&amp;" · "&amp;B155, "")</f>
        <v/>
      </c>
    </row>
    <row r="156">
      <c r="A156" s="6" t="inlineStr">
        <is>
          <t>FY26</t>
        </is>
      </c>
      <c r="B156" s="6" t="inlineStr">
        <is>
          <t>Jan</t>
        </is>
      </c>
      <c r="C156" s="6" t="inlineStr">
        <is>
          <t>TN</t>
        </is>
      </c>
      <c r="D156" s="7" t="inlineStr">
        <is>
          <t>DL3CCE6673</t>
        </is>
      </c>
      <c r="E156" s="7" t="inlineStr">
        <is>
          <t>HONDA</t>
        </is>
      </c>
      <c r="F156" s="7" t="inlineStr">
        <is>
          <t>Jazz</t>
        </is>
      </c>
      <c r="G156" s="7" t="inlineStr">
        <is>
          <t>EXCHANGE ROTN</t>
        </is>
      </c>
      <c r="H156" s="7" t="inlineStr">
        <is>
          <t>Captive</t>
        </is>
      </c>
      <c r="I156" s="7" t="inlineStr">
        <is>
          <t>MS Cars</t>
        </is>
      </c>
      <c r="J156" s="8" t="n">
        <v>2016</v>
      </c>
      <c r="K156" s="9" t="n">
        <v>81658</v>
      </c>
      <c r="L156" s="10" t="n">
        <v>250000</v>
      </c>
      <c r="M156" s="10" t="n">
        <v>5932.2</v>
      </c>
      <c r="N156" s="11">
        <f>IF(M156="","",ROUND(M156*1.18,2))</f>
        <v/>
      </c>
      <c r="O156" s="12">
        <f>IF(M156="","",ROUND(N156-M156,2))</f>
        <v/>
      </c>
      <c r="P156" s="13">
        <f>IF(AND(A156&lt;&gt;"",B156&lt;&gt;""), A156&amp;" · "&amp;B156, "")</f>
        <v/>
      </c>
    </row>
    <row r="157">
      <c r="A157" s="6" t="inlineStr">
        <is>
          <t>FY26</t>
        </is>
      </c>
      <c r="B157" s="6" t="inlineStr">
        <is>
          <t>Jan</t>
        </is>
      </c>
      <c r="C157" s="6" t="inlineStr">
        <is>
          <t>TN</t>
        </is>
      </c>
      <c r="D157" s="7" t="inlineStr">
        <is>
          <t>KA53MA6163</t>
        </is>
      </c>
      <c r="E157" s="7" t="inlineStr">
        <is>
          <t>HYUNDAI</t>
        </is>
      </c>
      <c r="F157" s="7" t="inlineStr">
        <is>
          <t>i10</t>
        </is>
      </c>
      <c r="G157" s="7" t="inlineStr">
        <is>
          <t>DINDIGUL VALUE CAR</t>
        </is>
      </c>
      <c r="H157" s="7" t="inlineStr">
        <is>
          <t>Non-Captive</t>
        </is>
      </c>
      <c r="I157" s="7" t="inlineStr">
        <is>
          <t>9 MILES CARZ</t>
        </is>
      </c>
      <c r="J157" s="8" t="n">
        <v>2013</v>
      </c>
      <c r="K157" s="9" t="n">
        <v>130298</v>
      </c>
      <c r="L157" s="10" t="n">
        <v>150000</v>
      </c>
      <c r="M157" s="10" t="n">
        <v>4237.29</v>
      </c>
      <c r="N157" s="11">
        <f>IF(M157="","",ROUND(M157*1.18,2))</f>
        <v/>
      </c>
      <c r="O157" s="12">
        <f>IF(M157="","",ROUND(N157-M157,2))</f>
        <v/>
      </c>
      <c r="P157" s="13">
        <f>IF(AND(A157&lt;&gt;"",B157&lt;&gt;""), A157&amp;" · "&amp;B157, "")</f>
        <v/>
      </c>
    </row>
    <row r="158">
      <c r="A158" s="6" t="inlineStr">
        <is>
          <t>FY26</t>
        </is>
      </c>
      <c r="B158" s="6" t="inlineStr">
        <is>
          <t>Jan</t>
        </is>
      </c>
      <c r="C158" s="6" t="inlineStr">
        <is>
          <t>TN</t>
        </is>
      </c>
      <c r="D158" s="7" t="inlineStr">
        <is>
          <t>KL01BH3507</t>
        </is>
      </c>
      <c r="E158" s="7" t="inlineStr">
        <is>
          <t>FORD</t>
        </is>
      </c>
      <c r="F158" s="7" t="inlineStr">
        <is>
          <t>Fiesta</t>
        </is>
      </c>
      <c r="G158" s="7" t="inlineStr">
        <is>
          <t>KAIRALI TOYOTA</t>
        </is>
      </c>
      <c r="H158" s="7" t="inlineStr">
        <is>
          <t>Non-Captive</t>
        </is>
      </c>
      <c r="I158" s="7" t="inlineStr">
        <is>
          <t>SHAMNAD AH</t>
        </is>
      </c>
      <c r="J158" s="8" t="n">
        <v>2012</v>
      </c>
      <c r="K158" s="9" t="n">
        <v>63336</v>
      </c>
      <c r="L158" s="10" t="n">
        <v>170000</v>
      </c>
      <c r="M158" s="10" t="n">
        <v>5932.2</v>
      </c>
      <c r="N158" s="11">
        <f>IF(M158="","",ROUND(M158*1.18,2))</f>
        <v/>
      </c>
      <c r="O158" s="12">
        <f>IF(M158="","",ROUND(N158-M158,2))</f>
        <v/>
      </c>
      <c r="P158" s="13">
        <f>IF(AND(A158&lt;&gt;"",B158&lt;&gt;""), A158&amp;" · "&amp;B158, "")</f>
        <v/>
      </c>
    </row>
    <row r="159">
      <c r="A159" s="6" t="inlineStr">
        <is>
          <t>FY26</t>
        </is>
      </c>
      <c r="B159" s="6" t="inlineStr">
        <is>
          <t>Jan</t>
        </is>
      </c>
      <c r="C159" s="6" t="inlineStr">
        <is>
          <t>TN</t>
        </is>
      </c>
      <c r="D159" s="7" t="inlineStr">
        <is>
          <t>KL01BU2421</t>
        </is>
      </c>
      <c r="E159" s="7" t="inlineStr">
        <is>
          <t>HYUNDAI</t>
        </is>
      </c>
      <c r="F159" s="7" t="inlineStr">
        <is>
          <t>i20</t>
        </is>
      </c>
      <c r="G159" s="7" t="inlineStr">
        <is>
          <t>NIPPON MOTOR CORPORATION PVT LTD</t>
        </is>
      </c>
      <c r="H159" s="7" t="inlineStr">
        <is>
          <t>Non-Captive</t>
        </is>
      </c>
      <c r="I159" s="7" t="inlineStr">
        <is>
          <t>Popular Thrissur</t>
        </is>
      </c>
      <c r="J159" s="8" t="n">
        <v>2015</v>
      </c>
      <c r="K159" s="9" t="n">
        <v>18676</v>
      </c>
      <c r="L159" s="10" t="n">
        <v>320000</v>
      </c>
      <c r="M159" s="10" t="n">
        <v>5000</v>
      </c>
      <c r="N159" s="11">
        <f>IF(M159="","",ROUND(M159*1.18,2))</f>
        <v/>
      </c>
      <c r="O159" s="12">
        <f>IF(M159="","",ROUND(N159-M159,2))</f>
        <v/>
      </c>
      <c r="P159" s="13">
        <f>IF(AND(A159&lt;&gt;"",B159&lt;&gt;""), A159&amp;" · "&amp;B159, "")</f>
        <v/>
      </c>
    </row>
    <row r="160">
      <c r="A160" s="6" t="inlineStr">
        <is>
          <t>FY26</t>
        </is>
      </c>
      <c r="B160" s="6" t="inlineStr">
        <is>
          <t>Jan</t>
        </is>
      </c>
      <c r="C160" s="6" t="inlineStr">
        <is>
          <t>TN</t>
        </is>
      </c>
      <c r="D160" s="7" t="inlineStr">
        <is>
          <t>KL01CK1787</t>
        </is>
      </c>
      <c r="E160" s="7" t="inlineStr">
        <is>
          <t>TATA</t>
        </is>
      </c>
      <c r="F160" s="7" t="inlineStr">
        <is>
          <t>Tiago</t>
        </is>
      </c>
      <c r="G160" s="7" t="inlineStr">
        <is>
          <t>INDEL MOTOR CORPORATION</t>
        </is>
      </c>
      <c r="H160" s="7" t="inlineStr">
        <is>
          <t>Non-Captive</t>
        </is>
      </c>
      <c r="I160" s="7" t="inlineStr">
        <is>
          <t>Popular Thrissur</t>
        </is>
      </c>
      <c r="J160" s="8" t="n">
        <v>2018</v>
      </c>
      <c r="K160" s="9" t="n">
        <v>56227</v>
      </c>
      <c r="L160" s="10" t="n">
        <v>325000</v>
      </c>
      <c r="M160" s="10" t="n">
        <v>5000</v>
      </c>
      <c r="N160" s="11">
        <f>IF(M160="","",ROUND(M160*1.18,2))</f>
        <v/>
      </c>
      <c r="O160" s="12">
        <f>IF(M160="","",ROUND(N160-M160,2))</f>
        <v/>
      </c>
      <c r="P160" s="13">
        <f>IF(AND(A160&lt;&gt;"",B160&lt;&gt;""), A160&amp;" · "&amp;B160, "")</f>
        <v/>
      </c>
    </row>
    <row r="161">
      <c r="A161" s="6" t="inlineStr">
        <is>
          <t>FY26</t>
        </is>
      </c>
      <c r="B161" s="6" t="inlineStr">
        <is>
          <t>Jan</t>
        </is>
      </c>
      <c r="C161" s="6" t="inlineStr">
        <is>
          <t>TN</t>
        </is>
      </c>
      <c r="D161" s="7" t="inlineStr">
        <is>
          <t>KL01CS4633</t>
        </is>
      </c>
      <c r="E161" s="7" t="inlineStr">
        <is>
          <t>MARUTI SUZUKI</t>
        </is>
      </c>
      <c r="F161" s="7" t="inlineStr">
        <is>
          <t>S-Presso</t>
        </is>
      </c>
      <c r="G161" s="7" t="inlineStr">
        <is>
          <t>NIPPON MOTOR CORPORATION PVT LTD</t>
        </is>
      </c>
      <c r="H161" s="7" t="inlineStr">
        <is>
          <t>Non-Captive</t>
        </is>
      </c>
      <c r="I161" s="7" t="inlineStr">
        <is>
          <t>Popular Thrissur</t>
        </is>
      </c>
      <c r="J161" s="8" t="n">
        <v>2021</v>
      </c>
      <c r="K161" s="9" t="n">
        <v>42610</v>
      </c>
      <c r="L161" s="10" t="n">
        <v>335000</v>
      </c>
      <c r="M161" s="10" t="n">
        <v>5000</v>
      </c>
      <c r="N161" s="11">
        <f>IF(M161="","",ROUND(M161*1.18,2))</f>
        <v/>
      </c>
      <c r="O161" s="12">
        <f>IF(M161="","",ROUND(N161-M161,2))</f>
        <v/>
      </c>
      <c r="P161" s="13">
        <f>IF(AND(A161&lt;&gt;"",B161&lt;&gt;""), A161&amp;" · "&amp;B161, "")</f>
        <v/>
      </c>
    </row>
    <row r="162">
      <c r="A162" s="6" t="inlineStr">
        <is>
          <t>FY26</t>
        </is>
      </c>
      <c r="B162" s="6" t="inlineStr">
        <is>
          <t>Jan</t>
        </is>
      </c>
      <c r="C162" s="6" t="inlineStr">
        <is>
          <t>TN</t>
        </is>
      </c>
      <c r="D162" s="7" t="inlineStr">
        <is>
          <t>KL01CU1492</t>
        </is>
      </c>
      <c r="E162" s="7" t="inlineStr">
        <is>
          <t>MARUTI SUZUKI</t>
        </is>
      </c>
      <c r="F162" s="7" t="inlineStr">
        <is>
          <t>Ignis</t>
        </is>
      </c>
      <c r="G162" s="7" t="inlineStr">
        <is>
          <t>POPULAR MOTORWORLD PVT LTD</t>
        </is>
      </c>
      <c r="H162" s="7" t="inlineStr">
        <is>
          <t>Non-Captive</t>
        </is>
      </c>
      <c r="I162" s="7" t="inlineStr">
        <is>
          <t>Popular Thrissur</t>
        </is>
      </c>
      <c r="J162" s="8" t="n">
        <v>2021</v>
      </c>
      <c r="K162" s="9" t="n">
        <v>42537</v>
      </c>
      <c r="L162" s="10" t="n">
        <v>465000</v>
      </c>
      <c r="M162" s="10" t="n">
        <v>5000</v>
      </c>
      <c r="N162" s="11">
        <f>IF(M162="","",ROUND(M162*1.18,2))</f>
        <v/>
      </c>
      <c r="O162" s="12">
        <f>IF(M162="","",ROUND(N162-M162,2))</f>
        <v/>
      </c>
      <c r="P162" s="13">
        <f>IF(AND(A162&lt;&gt;"",B162&lt;&gt;""), A162&amp;" · "&amp;B162, "")</f>
        <v/>
      </c>
    </row>
    <row r="163">
      <c r="A163" s="6" t="inlineStr">
        <is>
          <t>FY26</t>
        </is>
      </c>
      <c r="B163" s="6" t="inlineStr">
        <is>
          <t>Jan</t>
        </is>
      </c>
      <c r="C163" s="6" t="inlineStr">
        <is>
          <t>TN</t>
        </is>
      </c>
      <c r="D163" s="7" t="inlineStr">
        <is>
          <t>KL01DD8261</t>
        </is>
      </c>
      <c r="E163" s="7" t="inlineStr">
        <is>
          <t>MARUTI SUZUKI</t>
        </is>
      </c>
      <c r="F163" s="7" t="inlineStr">
        <is>
          <t>S-Presso</t>
        </is>
      </c>
      <c r="G163" s="7" t="inlineStr">
        <is>
          <t>FORTUNE MALAYALAM</t>
        </is>
      </c>
      <c r="H163" s="7" t="inlineStr">
        <is>
          <t>Non-Captive</t>
        </is>
      </c>
      <c r="I163" s="7" t="inlineStr">
        <is>
          <t>Popular Alleppy</t>
        </is>
      </c>
      <c r="J163" s="8" t="n">
        <v>2024</v>
      </c>
      <c r="K163" s="9" t="n">
        <v>19865</v>
      </c>
      <c r="L163" s="10" t="n">
        <v>380000</v>
      </c>
      <c r="M163" s="10" t="n">
        <v>5000</v>
      </c>
      <c r="N163" s="11">
        <f>IF(M163="","",ROUND(M163*1.18,2))</f>
        <v/>
      </c>
      <c r="O163" s="12">
        <f>IF(M163="","",ROUND(N163-M163,2))</f>
        <v/>
      </c>
      <c r="P163" s="13">
        <f>IF(AND(A163&lt;&gt;"",B163&lt;&gt;""), A163&amp;" · "&amp;B163, "")</f>
        <v/>
      </c>
    </row>
    <row r="164">
      <c r="A164" s="6" t="inlineStr">
        <is>
          <t>FY26</t>
        </is>
      </c>
      <c r="B164" s="6" t="inlineStr">
        <is>
          <t>Jan</t>
        </is>
      </c>
      <c r="C164" s="6" t="inlineStr">
        <is>
          <t>TN</t>
        </is>
      </c>
      <c r="D164" s="7" t="inlineStr">
        <is>
          <t>KL02BC9788</t>
        </is>
      </c>
      <c r="E164" s="7" t="inlineStr">
        <is>
          <t>TATA</t>
        </is>
      </c>
      <c r="F164" s="7" t="inlineStr">
        <is>
          <t>Tiago</t>
        </is>
      </c>
      <c r="G164" s="7" t="inlineStr">
        <is>
          <t>NIPPON MOTOR CORPORATION PVT LTD</t>
        </is>
      </c>
      <c r="H164" s="7" t="inlineStr">
        <is>
          <t>Non-Captive</t>
        </is>
      </c>
      <c r="I164" s="7" t="inlineStr">
        <is>
          <t>Popular Thrissur</t>
        </is>
      </c>
      <c r="J164" s="8" t="n">
        <v>2017</v>
      </c>
      <c r="K164" s="9" t="n">
        <v>67122</v>
      </c>
      <c r="L164" s="10" t="n">
        <v>265000</v>
      </c>
      <c r="M164" s="10" t="n">
        <v>5000</v>
      </c>
      <c r="N164" s="11">
        <f>IF(M164="","",ROUND(M164*1.18,2))</f>
        <v/>
      </c>
      <c r="O164" s="12">
        <f>IF(M164="","",ROUND(N164-M164,2))</f>
        <v/>
      </c>
      <c r="P164" s="13">
        <f>IF(AND(A164&lt;&gt;"",B164&lt;&gt;""), A164&amp;" · "&amp;B164, "")</f>
        <v/>
      </c>
    </row>
    <row r="165">
      <c r="A165" s="6" t="inlineStr">
        <is>
          <t>FY26</t>
        </is>
      </c>
      <c r="B165" s="6" t="inlineStr">
        <is>
          <t>Jan</t>
        </is>
      </c>
      <c r="C165" s="6" t="inlineStr">
        <is>
          <t>TN</t>
        </is>
      </c>
      <c r="D165" s="7" t="inlineStr">
        <is>
          <t>KL02BE6074</t>
        </is>
      </c>
      <c r="E165" s="7" t="inlineStr">
        <is>
          <t>VOLKSWAGEN</t>
        </is>
      </c>
      <c r="F165" s="7" t="inlineStr">
        <is>
          <t>Polo</t>
        </is>
      </c>
      <c r="G165" s="7" t="inlineStr">
        <is>
          <t>NIPPON MOTOR CORPORATION PVT LTD</t>
        </is>
      </c>
      <c r="H165" s="7" t="inlineStr">
        <is>
          <t>Non-Captive</t>
        </is>
      </c>
      <c r="I165" s="7" t="inlineStr">
        <is>
          <t>SHAMNAD AH</t>
        </is>
      </c>
      <c r="J165" s="8" t="n">
        <v>2018</v>
      </c>
      <c r="K165" s="9" t="n">
        <v>38000</v>
      </c>
      <c r="L165" s="10" t="n">
        <v>725000</v>
      </c>
      <c r="M165" s="10" t="n">
        <v>5932.2</v>
      </c>
      <c r="N165" s="11">
        <f>IF(M165="","",ROUND(M165*1.18,2))</f>
        <v/>
      </c>
      <c r="O165" s="12">
        <f>IF(M165="","",ROUND(N165-M165,2))</f>
        <v/>
      </c>
      <c r="P165" s="13">
        <f>IF(AND(A165&lt;&gt;"",B165&lt;&gt;""), A165&amp;" · "&amp;B165, "")</f>
        <v/>
      </c>
    </row>
    <row r="166">
      <c r="A166" s="6" t="inlineStr">
        <is>
          <t>FY26</t>
        </is>
      </c>
      <c r="B166" s="6" t="inlineStr">
        <is>
          <t>Jan</t>
        </is>
      </c>
      <c r="C166" s="6" t="inlineStr">
        <is>
          <t>TN</t>
        </is>
      </c>
      <c r="D166" s="7" t="inlineStr">
        <is>
          <t>KL02BK1534</t>
        </is>
      </c>
      <c r="E166" s="7" t="inlineStr">
        <is>
          <t>TATA</t>
        </is>
      </c>
      <c r="F166" s="7" t="inlineStr">
        <is>
          <t>Nexon</t>
        </is>
      </c>
      <c r="G166" s="7" t="inlineStr">
        <is>
          <t>NIPPON MOTOR CORPORATION PVT LTD</t>
        </is>
      </c>
      <c r="H166" s="7" t="inlineStr">
        <is>
          <t>Non-Captive</t>
        </is>
      </c>
      <c r="I166" s="7" t="inlineStr">
        <is>
          <t>SHAMNAD AH</t>
        </is>
      </c>
      <c r="J166" s="8" t="n">
        <v>2019</v>
      </c>
      <c r="K166" s="9" t="n">
        <v>79016</v>
      </c>
      <c r="L166" s="10" t="n">
        <v>390000</v>
      </c>
      <c r="M166" s="10" t="n">
        <v>5932.2</v>
      </c>
      <c r="N166" s="11">
        <f>IF(M166="","",ROUND(M166*1.18,2))</f>
        <v/>
      </c>
      <c r="O166" s="12">
        <f>IF(M166="","",ROUND(N166-M166,2))</f>
        <v/>
      </c>
      <c r="P166" s="13">
        <f>IF(AND(A166&lt;&gt;"",B166&lt;&gt;""), A166&amp;" · "&amp;B166, "")</f>
        <v/>
      </c>
    </row>
    <row r="167">
      <c r="A167" s="6" t="inlineStr">
        <is>
          <t>FY26</t>
        </is>
      </c>
      <c r="B167" s="6" t="inlineStr">
        <is>
          <t>Jan</t>
        </is>
      </c>
      <c r="C167" s="6" t="inlineStr">
        <is>
          <t>TN</t>
        </is>
      </c>
      <c r="D167" s="7" t="inlineStr">
        <is>
          <t>KL04AG5541</t>
        </is>
      </c>
      <c r="E167" s="7" t="inlineStr">
        <is>
          <t>MARUTI SUZUKI</t>
        </is>
      </c>
      <c r="F167" s="7" t="inlineStr">
        <is>
          <t>Ritz</t>
        </is>
      </c>
      <c r="G167" s="7" t="inlineStr">
        <is>
          <t>NIPPON MOTOR CORPORATION PVT LTD</t>
        </is>
      </c>
      <c r="H167" s="7" t="inlineStr">
        <is>
          <t>Non-Captive</t>
        </is>
      </c>
      <c r="I167" s="7" t="inlineStr">
        <is>
          <t>SHAMNAD AH</t>
        </is>
      </c>
      <c r="J167" s="8" t="n"/>
      <c r="K167" s="9" t="n"/>
      <c r="L167" s="10" t="n">
        <v>210000</v>
      </c>
      <c r="M167" s="10" t="n">
        <v>5932.2</v>
      </c>
      <c r="N167" s="11">
        <f>IF(M167="","",ROUND(M167*1.18,2))</f>
        <v/>
      </c>
      <c r="O167" s="12">
        <f>IF(M167="","",ROUND(N167-M167,2))</f>
        <v/>
      </c>
      <c r="P167" s="13">
        <f>IF(AND(A167&lt;&gt;"",B167&lt;&gt;""), A167&amp;" · "&amp;B167, "")</f>
        <v/>
      </c>
    </row>
    <row r="168">
      <c r="A168" s="6" t="inlineStr">
        <is>
          <t>FY26</t>
        </is>
      </c>
      <c r="B168" s="6" t="inlineStr">
        <is>
          <t>Jan</t>
        </is>
      </c>
      <c r="C168" s="6" t="inlineStr">
        <is>
          <t>TN</t>
        </is>
      </c>
      <c r="D168" s="7" t="inlineStr">
        <is>
          <t>KL09X3376</t>
        </is>
      </c>
      <c r="E168" s="7" t="inlineStr">
        <is>
          <t>MARUTI SUZUKI</t>
        </is>
      </c>
      <c r="F168" s="7" t="inlineStr">
        <is>
          <t>Alto</t>
        </is>
      </c>
      <c r="G168" s="7" t="inlineStr">
        <is>
          <t>EXCHANGE ROTN</t>
        </is>
      </c>
      <c r="H168" s="7" t="inlineStr">
        <is>
          <t>Captive</t>
        </is>
      </c>
      <c r="I168" s="7" t="inlineStr">
        <is>
          <t>S.R.CARS</t>
        </is>
      </c>
      <c r="J168" s="8" t="n">
        <v>2009</v>
      </c>
      <c r="K168" s="9" t="n">
        <v>126811</v>
      </c>
      <c r="L168" s="10" t="n">
        <v>120000</v>
      </c>
      <c r="M168" s="10" t="n">
        <v>4237.29</v>
      </c>
      <c r="N168" s="11">
        <f>IF(M168="","",ROUND(M168*1.18,2))</f>
        <v/>
      </c>
      <c r="O168" s="12">
        <f>IF(M168="","",ROUND(N168-M168,2))</f>
        <v/>
      </c>
      <c r="P168" s="13">
        <f>IF(AND(A168&lt;&gt;"",B168&lt;&gt;""), A168&amp;" · "&amp;B168, "")</f>
        <v/>
      </c>
    </row>
    <row r="169">
      <c r="A169" s="6" t="inlineStr">
        <is>
          <t>FY26</t>
        </is>
      </c>
      <c r="B169" s="6" t="inlineStr">
        <is>
          <t>Jan</t>
        </is>
      </c>
      <c r="C169" s="6" t="inlineStr">
        <is>
          <t>TN</t>
        </is>
      </c>
      <c r="D169" s="7" t="inlineStr">
        <is>
          <t>KL19P1199</t>
        </is>
      </c>
      <c r="E169" s="7" t="inlineStr">
        <is>
          <t>MARUTI SUZUKI</t>
        </is>
      </c>
      <c r="F169" s="7" t="inlineStr">
        <is>
          <t>Celerio</t>
        </is>
      </c>
      <c r="G169" s="7" t="inlineStr">
        <is>
          <t>POPULAR MOTORWORLD PVT LTD</t>
        </is>
      </c>
      <c r="H169" s="7" t="inlineStr">
        <is>
          <t>Non-Captive</t>
        </is>
      </c>
      <c r="I169" s="7" t="inlineStr">
        <is>
          <t>Popular Thrissur</t>
        </is>
      </c>
      <c r="J169" s="8" t="n">
        <v>2023</v>
      </c>
      <c r="K169" s="9" t="n">
        <v>52746</v>
      </c>
      <c r="L169" s="10" t="n">
        <v>523000</v>
      </c>
      <c r="M169" s="10" t="n">
        <v>5000</v>
      </c>
      <c r="N169" s="11">
        <f>IF(M169="","",ROUND(M169*1.18,2))</f>
        <v/>
      </c>
      <c r="O169" s="12">
        <f>IF(M169="","",ROUND(N169-M169,2))</f>
        <v/>
      </c>
      <c r="P169" s="13">
        <f>IF(AND(A169&lt;&gt;"",B169&lt;&gt;""), A169&amp;" · "&amp;B169, "")</f>
        <v/>
      </c>
    </row>
    <row r="170">
      <c r="A170" s="6" t="inlineStr">
        <is>
          <t>FY26</t>
        </is>
      </c>
      <c r="B170" s="6" t="inlineStr">
        <is>
          <t>Jan</t>
        </is>
      </c>
      <c r="C170" s="6" t="inlineStr">
        <is>
          <t>TN</t>
        </is>
      </c>
      <c r="D170" s="7" t="inlineStr">
        <is>
          <t>KL21F0165</t>
        </is>
      </c>
      <c r="E170" s="7" t="inlineStr">
        <is>
          <t>FORD</t>
        </is>
      </c>
      <c r="F170" s="7" t="inlineStr">
        <is>
          <t>Fiesta</t>
        </is>
      </c>
      <c r="G170" s="7" t="inlineStr">
        <is>
          <t>KAIRALI TOYOTA</t>
        </is>
      </c>
      <c r="H170" s="7" t="inlineStr">
        <is>
          <t>Non-Captive</t>
        </is>
      </c>
      <c r="I170" s="7" t="inlineStr">
        <is>
          <t>SHAMNAD AH</t>
        </is>
      </c>
      <c r="J170" s="8" t="n">
        <v>2012</v>
      </c>
      <c r="K170" s="9" t="n">
        <v>126132</v>
      </c>
      <c r="L170" s="10" t="n">
        <v>170000</v>
      </c>
      <c r="M170" s="10" t="n">
        <v>5932.2</v>
      </c>
      <c r="N170" s="11">
        <f>IF(M170="","",ROUND(M170*1.18,2))</f>
        <v/>
      </c>
      <c r="O170" s="12">
        <f>IF(M170="","",ROUND(N170-M170,2))</f>
        <v/>
      </c>
      <c r="P170" s="13">
        <f>IF(AND(A170&lt;&gt;"",B170&lt;&gt;""), A170&amp;" · "&amp;B170, "")</f>
        <v/>
      </c>
    </row>
    <row r="171">
      <c r="A171" s="6" t="inlineStr">
        <is>
          <t>FY26</t>
        </is>
      </c>
      <c r="B171" s="6" t="inlineStr">
        <is>
          <t>Jan</t>
        </is>
      </c>
      <c r="C171" s="6" t="inlineStr">
        <is>
          <t>TN</t>
        </is>
      </c>
      <c r="D171" s="7" t="inlineStr">
        <is>
          <t>KL22R2669</t>
        </is>
      </c>
      <c r="E171" s="7" t="inlineStr">
        <is>
          <t>MARUTI SUZUKI</t>
        </is>
      </c>
      <c r="F171" s="7" t="inlineStr">
        <is>
          <t>Alto</t>
        </is>
      </c>
      <c r="G171" s="7" t="inlineStr">
        <is>
          <t>NIPPON MOTOR CORPORATION PVT LTD</t>
        </is>
      </c>
      <c r="H171" s="7" t="inlineStr">
        <is>
          <t>Non-Captive</t>
        </is>
      </c>
      <c r="I171" s="7" t="inlineStr">
        <is>
          <t>Popular Thrissur</t>
        </is>
      </c>
      <c r="J171" s="8" t="n">
        <v>2022</v>
      </c>
      <c r="K171" s="9" t="n">
        <v>18641</v>
      </c>
      <c r="L171" s="10" t="n">
        <v>360000</v>
      </c>
      <c r="M171" s="10" t="n">
        <v>5000</v>
      </c>
      <c r="N171" s="11">
        <f>IF(M171="","",ROUND(M171*1.18,2))</f>
        <v/>
      </c>
      <c r="O171" s="12">
        <f>IF(M171="","",ROUND(N171-M171,2))</f>
        <v/>
      </c>
      <c r="P171" s="13">
        <f>IF(AND(A171&lt;&gt;"",B171&lt;&gt;""), A171&amp;" · "&amp;B171, "")</f>
        <v/>
      </c>
    </row>
    <row r="172">
      <c r="A172" s="6" t="inlineStr">
        <is>
          <t>FY26</t>
        </is>
      </c>
      <c r="B172" s="6" t="inlineStr">
        <is>
          <t>Jan</t>
        </is>
      </c>
      <c r="C172" s="6" t="inlineStr">
        <is>
          <t>TN</t>
        </is>
      </c>
      <c r="D172" s="7" t="inlineStr">
        <is>
          <t>KL23K1414</t>
        </is>
      </c>
      <c r="E172" s="7" t="inlineStr">
        <is>
          <t>MARUTI SUZUKI</t>
        </is>
      </c>
      <c r="F172" s="7" t="inlineStr">
        <is>
          <t>Ciaz</t>
        </is>
      </c>
      <c r="G172" s="7" t="inlineStr">
        <is>
          <t>NIPPON MOTOR CORPORATION PVT LTD</t>
        </is>
      </c>
      <c r="H172" s="7" t="inlineStr">
        <is>
          <t>Non-Captive</t>
        </is>
      </c>
      <c r="I172" s="7" t="inlineStr">
        <is>
          <t>Popular Thrissur</t>
        </is>
      </c>
      <c r="J172" s="8" t="n">
        <v>2014</v>
      </c>
      <c r="K172" s="9" t="n">
        <v>71095</v>
      </c>
      <c r="L172" s="10" t="n">
        <v>370000</v>
      </c>
      <c r="M172" s="10" t="n">
        <v>5000</v>
      </c>
      <c r="N172" s="11">
        <f>IF(M172="","",ROUND(M172*1.18,2))</f>
        <v/>
      </c>
      <c r="O172" s="12">
        <f>IF(M172="","",ROUND(N172-M172,2))</f>
        <v/>
      </c>
      <c r="P172" s="13">
        <f>IF(AND(A172&lt;&gt;"",B172&lt;&gt;""), A172&amp;" · "&amp;B172, "")</f>
        <v/>
      </c>
    </row>
    <row r="173">
      <c r="A173" s="6" t="inlineStr">
        <is>
          <t>FY26</t>
        </is>
      </c>
      <c r="B173" s="6" t="inlineStr">
        <is>
          <t>Jan</t>
        </is>
      </c>
      <c r="C173" s="6" t="inlineStr">
        <is>
          <t>TN</t>
        </is>
      </c>
      <c r="D173" s="7" t="inlineStr">
        <is>
          <t>KL24L2932</t>
        </is>
      </c>
      <c r="E173" s="7" t="inlineStr">
        <is>
          <t>HONDA</t>
        </is>
      </c>
      <c r="F173" s="7" t="inlineStr">
        <is>
          <t>Jazz</t>
        </is>
      </c>
      <c r="G173" s="7" t="inlineStr">
        <is>
          <t>NIPPON MOTOR CORPORATION PVT LTD</t>
        </is>
      </c>
      <c r="H173" s="7" t="inlineStr">
        <is>
          <t>Non-Captive</t>
        </is>
      </c>
      <c r="I173" s="7" t="inlineStr">
        <is>
          <t>SHAMNAD AH</t>
        </is>
      </c>
      <c r="J173" s="8" t="n"/>
      <c r="K173" s="9" t="n"/>
      <c r="L173" s="10" t="n">
        <v>350000</v>
      </c>
      <c r="M173" s="10" t="n">
        <v>5932.2</v>
      </c>
      <c r="N173" s="11">
        <f>IF(M173="","",ROUND(M173*1.18,2))</f>
        <v/>
      </c>
      <c r="O173" s="12">
        <f>IF(M173="","",ROUND(N173-M173,2))</f>
        <v/>
      </c>
      <c r="P173" s="13">
        <f>IF(AND(A173&lt;&gt;"",B173&lt;&gt;""), A173&amp;" · "&amp;B173, "")</f>
        <v/>
      </c>
    </row>
    <row r="174">
      <c r="A174" s="6" t="inlineStr">
        <is>
          <t>FY26</t>
        </is>
      </c>
      <c r="B174" s="6" t="inlineStr">
        <is>
          <t>Jan</t>
        </is>
      </c>
      <c r="C174" s="6" t="inlineStr">
        <is>
          <t>TN</t>
        </is>
      </c>
      <c r="D174" s="7" t="inlineStr">
        <is>
          <t>KL29M9531</t>
        </is>
      </c>
      <c r="E174" s="7" t="inlineStr">
        <is>
          <t>HYUNDAI</t>
        </is>
      </c>
      <c r="F174" s="7" t="inlineStr">
        <is>
          <t>Verna</t>
        </is>
      </c>
      <c r="G174" s="7" t="inlineStr">
        <is>
          <t>NIPPON MOTOR CORPORATION PVT LTD</t>
        </is>
      </c>
      <c r="H174" s="7" t="inlineStr">
        <is>
          <t>Non-Captive</t>
        </is>
      </c>
      <c r="I174" s="7" t="inlineStr">
        <is>
          <t>SHAMNAD AH</t>
        </is>
      </c>
      <c r="J174" s="8" t="n"/>
      <c r="K174" s="9" t="n"/>
      <c r="L174" s="10" t="n">
        <v>360000</v>
      </c>
      <c r="M174" s="10" t="n">
        <v>5932.2</v>
      </c>
      <c r="N174" s="11">
        <f>IF(M174="","",ROUND(M174*1.18,2))</f>
        <v/>
      </c>
      <c r="O174" s="12">
        <f>IF(M174="","",ROUND(N174-M174,2))</f>
        <v/>
      </c>
      <c r="P174" s="13">
        <f>IF(AND(A174&lt;&gt;"",B174&lt;&gt;""), A174&amp;" · "&amp;B174, "")</f>
        <v/>
      </c>
    </row>
    <row r="175">
      <c r="A175" s="6" t="inlineStr">
        <is>
          <t>FY26</t>
        </is>
      </c>
      <c r="B175" s="6" t="inlineStr">
        <is>
          <t>Jan</t>
        </is>
      </c>
      <c r="C175" s="6" t="inlineStr">
        <is>
          <t>TN</t>
        </is>
      </c>
      <c r="D175" s="7" t="inlineStr">
        <is>
          <t>MH12MW4825</t>
        </is>
      </c>
      <c r="E175" s="7" t="inlineStr">
        <is>
          <t>MAHINDRA</t>
        </is>
      </c>
      <c r="F175" s="7" t="inlineStr">
        <is>
          <t>KUV100</t>
        </is>
      </c>
      <c r="G175" s="7" t="inlineStr">
        <is>
          <t>EXCHANGE ROTN</t>
        </is>
      </c>
      <c r="H175" s="7" t="inlineStr">
        <is>
          <t>Captive</t>
        </is>
      </c>
      <c r="I175" s="7" t="inlineStr">
        <is>
          <t>9 MILES CARZ</t>
        </is>
      </c>
      <c r="J175" s="8" t="n">
        <v>2016</v>
      </c>
      <c r="K175" s="9" t="n">
        <v>182675</v>
      </c>
      <c r="L175" s="10" t="n">
        <v>100000</v>
      </c>
      <c r="M175" s="10" t="n">
        <v>8474.58</v>
      </c>
      <c r="N175" s="11">
        <f>IF(M175="","",ROUND(M175*1.18,2))</f>
        <v/>
      </c>
      <c r="O175" s="12">
        <f>IF(M175="","",ROUND(N175-M175,2))</f>
        <v/>
      </c>
      <c r="P175" s="13">
        <f>IF(AND(A175&lt;&gt;"",B175&lt;&gt;""), A175&amp;" · "&amp;B175, "")</f>
        <v/>
      </c>
    </row>
    <row r="176">
      <c r="A176" s="6" t="inlineStr">
        <is>
          <t>FY26</t>
        </is>
      </c>
      <c r="B176" s="6" t="inlineStr">
        <is>
          <t>Jan</t>
        </is>
      </c>
      <c r="C176" s="6" t="inlineStr">
        <is>
          <t>TN</t>
        </is>
      </c>
      <c r="D176" s="7" t="inlineStr">
        <is>
          <t>PY01AP5157</t>
        </is>
      </c>
      <c r="E176" s="7" t="inlineStr">
        <is>
          <t>MARUTI SUZUKI</t>
        </is>
      </c>
      <c r="F176" s="7" t="inlineStr">
        <is>
          <t>Alto</t>
        </is>
      </c>
      <c r="G176" s="7" t="inlineStr">
        <is>
          <t>KHIVRAJ MOTOR</t>
        </is>
      </c>
      <c r="H176" s="7" t="inlineStr">
        <is>
          <t>Non-Captive</t>
        </is>
      </c>
      <c r="I176" s="7" t="inlineStr">
        <is>
          <t>AAA Cars</t>
        </is>
      </c>
      <c r="J176" s="8" t="n">
        <v>2008</v>
      </c>
      <c r="K176" s="9" t="n">
        <v>57148</v>
      </c>
      <c r="L176" s="10" t="n">
        <v>78000</v>
      </c>
      <c r="M176" s="10" t="n">
        <v>5084.75</v>
      </c>
      <c r="N176" s="11">
        <f>IF(M176="","",ROUND(M176*1.18,2))</f>
        <v/>
      </c>
      <c r="O176" s="12">
        <f>IF(M176="","",ROUND(N176-M176,2))</f>
        <v/>
      </c>
      <c r="P176" s="13">
        <f>IF(AND(A176&lt;&gt;"",B176&lt;&gt;""), A176&amp;" · "&amp;B176, "")</f>
        <v/>
      </c>
    </row>
    <row r="177">
      <c r="A177" s="6" t="inlineStr">
        <is>
          <t>FY26</t>
        </is>
      </c>
      <c r="B177" s="6" t="inlineStr">
        <is>
          <t>Jan</t>
        </is>
      </c>
      <c r="C177" s="6" t="inlineStr">
        <is>
          <t>TN</t>
        </is>
      </c>
      <c r="D177" s="7" t="inlineStr">
        <is>
          <t>TN01AC1548</t>
        </is>
      </c>
      <c r="E177" s="7" t="inlineStr">
        <is>
          <t>TATA</t>
        </is>
      </c>
      <c r="F177" s="7" t="inlineStr">
        <is>
          <t>Indica</t>
        </is>
      </c>
      <c r="G177" s="7" t="inlineStr">
        <is>
          <t>SAI CARS CBE</t>
        </is>
      </c>
      <c r="H177" s="7" t="inlineStr">
        <is>
          <t>Non-Captive</t>
        </is>
      </c>
      <c r="I177" s="7" t="inlineStr">
        <is>
          <t>KSM Auto Consulting</t>
        </is>
      </c>
      <c r="J177" s="8" t="n">
        <v>2006</v>
      </c>
      <c r="K177" s="9" t="n">
        <v>160671</v>
      </c>
      <c r="L177" s="10" t="n">
        <v>60000</v>
      </c>
      <c r="M177" s="10" t="n">
        <v>4237.29</v>
      </c>
      <c r="N177" s="11">
        <f>IF(M177="","",ROUND(M177*1.18,2))</f>
        <v/>
      </c>
      <c r="O177" s="12">
        <f>IF(M177="","",ROUND(N177-M177,2))</f>
        <v/>
      </c>
      <c r="P177" s="13">
        <f>IF(AND(A177&lt;&gt;"",B177&lt;&gt;""), A177&amp;" · "&amp;B177, "")</f>
        <v/>
      </c>
    </row>
    <row r="178">
      <c r="A178" s="6" t="inlineStr">
        <is>
          <t>FY26</t>
        </is>
      </c>
      <c r="B178" s="6" t="inlineStr">
        <is>
          <t>Jan</t>
        </is>
      </c>
      <c r="C178" s="6" t="inlineStr">
        <is>
          <t>TN</t>
        </is>
      </c>
      <c r="D178" s="7" t="inlineStr">
        <is>
          <t>TN01AM1192</t>
        </is>
      </c>
      <c r="E178" s="7" t="inlineStr">
        <is>
          <t>HYUNDAI</t>
        </is>
      </c>
      <c r="F178" s="7" t="inlineStr">
        <is>
          <t>i10</t>
        </is>
      </c>
      <c r="G178" s="7" t="inlineStr">
        <is>
          <t>KHIVRAJ MOTOR</t>
        </is>
      </c>
      <c r="H178" s="7" t="inlineStr">
        <is>
          <t>Non-Captive</t>
        </is>
      </c>
      <c r="I178" s="7" t="inlineStr">
        <is>
          <t>Nirmal Cars</t>
        </is>
      </c>
      <c r="J178" s="8" t="n">
        <v>2010</v>
      </c>
      <c r="K178" s="9" t="n">
        <v>90094</v>
      </c>
      <c r="L178" s="10" t="n">
        <v>150000</v>
      </c>
      <c r="M178" s="10" t="n">
        <v>2966.1</v>
      </c>
      <c r="N178" s="11">
        <f>IF(M178="","",ROUND(M178*1.18,2))</f>
        <v/>
      </c>
      <c r="O178" s="12">
        <f>IF(M178="","",ROUND(N178-M178,2))</f>
        <v/>
      </c>
      <c r="P178" s="13">
        <f>IF(AND(A178&lt;&gt;"",B178&lt;&gt;""), A178&amp;" · "&amp;B178, "")</f>
        <v/>
      </c>
    </row>
    <row r="179">
      <c r="A179" s="6" t="inlineStr">
        <is>
          <t>FY26</t>
        </is>
      </c>
      <c r="B179" s="6" t="inlineStr">
        <is>
          <t>Jan</t>
        </is>
      </c>
      <c r="C179" s="6" t="inlineStr">
        <is>
          <t>TN</t>
        </is>
      </c>
      <c r="D179" s="7" t="inlineStr">
        <is>
          <t>TN01AQ1698</t>
        </is>
      </c>
      <c r="E179" s="7" t="inlineStr">
        <is>
          <t>MARUTI SUZUKI</t>
        </is>
      </c>
      <c r="F179" s="7" t="inlineStr">
        <is>
          <t>Dzire</t>
        </is>
      </c>
      <c r="G179" s="7" t="inlineStr">
        <is>
          <t>KHIVRAJ MOTOR</t>
        </is>
      </c>
      <c r="H179" s="7" t="inlineStr">
        <is>
          <t>Non-Captive</t>
        </is>
      </c>
      <c r="I179" s="7" t="inlineStr">
        <is>
          <t>Surendhar Cars</t>
        </is>
      </c>
      <c r="J179" s="8" t="n">
        <v>2011</v>
      </c>
      <c r="K179" s="9" t="n">
        <v>65103</v>
      </c>
      <c r="L179" s="10" t="n">
        <v>173000</v>
      </c>
      <c r="M179" s="10" t="n">
        <v>5084.75</v>
      </c>
      <c r="N179" s="11">
        <f>IF(M179="","",ROUND(M179*1.18,2))</f>
        <v/>
      </c>
      <c r="O179" s="12">
        <f>IF(M179="","",ROUND(N179-M179,2))</f>
        <v/>
      </c>
      <c r="P179" s="13">
        <f>IF(AND(A179&lt;&gt;"",B179&lt;&gt;""), A179&amp;" · "&amp;B179, "")</f>
        <v/>
      </c>
    </row>
    <row r="180">
      <c r="A180" s="6" t="inlineStr">
        <is>
          <t>FY26</t>
        </is>
      </c>
      <c r="B180" s="6" t="inlineStr">
        <is>
          <t>Jan</t>
        </is>
      </c>
      <c r="C180" s="6" t="inlineStr">
        <is>
          <t>TN</t>
        </is>
      </c>
      <c r="D180" s="7" t="inlineStr">
        <is>
          <t>TN01AW1103</t>
        </is>
      </c>
      <c r="E180" s="7" t="inlineStr">
        <is>
          <t>TOYOTA</t>
        </is>
      </c>
      <c r="F180" s="7" t="inlineStr">
        <is>
          <t>Innova</t>
        </is>
      </c>
      <c r="G180" s="7" t="inlineStr">
        <is>
          <t>KHIVRAJ MOTOR</t>
        </is>
      </c>
      <c r="H180" s="7" t="inlineStr">
        <is>
          <t>Non-Captive</t>
        </is>
      </c>
      <c r="I180" s="7" t="inlineStr">
        <is>
          <t>Nirmal Cars</t>
        </is>
      </c>
      <c r="J180" s="8" t="n">
        <v>2014</v>
      </c>
      <c r="K180" s="9" t="n">
        <v>172718</v>
      </c>
      <c r="L180" s="10" t="n">
        <v>800000</v>
      </c>
      <c r="M180" s="10" t="n">
        <v>2966.1</v>
      </c>
      <c r="N180" s="11">
        <f>IF(M180="","",ROUND(M180*1.18,2))</f>
        <v/>
      </c>
      <c r="O180" s="12">
        <f>IF(M180="","",ROUND(N180-M180,2))</f>
        <v/>
      </c>
      <c r="P180" s="13">
        <f>IF(AND(A180&lt;&gt;"",B180&lt;&gt;""), A180&amp;" · "&amp;B180, "")</f>
        <v/>
      </c>
    </row>
    <row r="181">
      <c r="A181" s="6" t="inlineStr">
        <is>
          <t>FY26</t>
        </is>
      </c>
      <c r="B181" s="6" t="inlineStr">
        <is>
          <t>Jan</t>
        </is>
      </c>
      <c r="C181" s="6" t="inlineStr">
        <is>
          <t>TN</t>
        </is>
      </c>
      <c r="D181" s="7" t="inlineStr">
        <is>
          <t>TN01AW2332</t>
        </is>
      </c>
      <c r="E181" s="7" t="inlineStr">
        <is>
          <t>TOYOTA</t>
        </is>
      </c>
      <c r="F181" s="7" t="inlineStr">
        <is>
          <t>Corolla Altis</t>
        </is>
      </c>
      <c r="G181" s="7" t="inlineStr">
        <is>
          <t>EXCHANGE CHENNAI</t>
        </is>
      </c>
      <c r="H181" s="7" t="inlineStr">
        <is>
          <t>Captive</t>
        </is>
      </c>
      <c r="I181" s="7" t="inlineStr">
        <is>
          <t>Nirmal Cars</t>
        </is>
      </c>
      <c r="J181" s="8" t="n">
        <v>2010</v>
      </c>
      <c r="K181" s="9" t="n">
        <v>59673</v>
      </c>
      <c r="L181" s="10" t="n">
        <v>250000</v>
      </c>
      <c r="M181" s="10" t="n">
        <v>8474.58</v>
      </c>
      <c r="N181" s="11">
        <f>IF(M181="","",ROUND(M181*1.18,2))</f>
        <v/>
      </c>
      <c r="O181" s="12">
        <f>IF(M181="","",ROUND(N181-M181,2))</f>
        <v/>
      </c>
      <c r="P181" s="13">
        <f>IF(AND(A181&lt;&gt;"",B181&lt;&gt;""), A181&amp;" · "&amp;B181, "")</f>
        <v/>
      </c>
    </row>
    <row r="182">
      <c r="A182" s="6" t="inlineStr">
        <is>
          <t>FY26</t>
        </is>
      </c>
      <c r="B182" s="6" t="inlineStr">
        <is>
          <t>Jan</t>
        </is>
      </c>
      <c r="C182" s="6" t="inlineStr">
        <is>
          <t>TN</t>
        </is>
      </c>
      <c r="D182" s="7" t="inlineStr">
        <is>
          <t>TN01AX4563</t>
        </is>
      </c>
      <c r="E182" s="7" t="inlineStr">
        <is>
          <t>MARUTI SUZUKI</t>
        </is>
      </c>
      <c r="F182" s="7" t="inlineStr">
        <is>
          <t>Ciaz</t>
        </is>
      </c>
      <c r="G182" s="7" t="inlineStr">
        <is>
          <t>KHIVRAJ MOTOR</t>
        </is>
      </c>
      <c r="H182" s="7" t="inlineStr">
        <is>
          <t>Non-Captive</t>
        </is>
      </c>
      <c r="I182" s="7" t="inlineStr">
        <is>
          <t>Prem Cars</t>
        </is>
      </c>
      <c r="J182" s="8" t="n">
        <v>2014</v>
      </c>
      <c r="K182" s="9" t="n">
        <v>63217</v>
      </c>
      <c r="L182" s="10" t="n">
        <v>280000</v>
      </c>
      <c r="M182" s="10" t="n">
        <v>5084.75</v>
      </c>
      <c r="N182" s="11">
        <f>IF(M182="","",ROUND(M182*1.18,2))</f>
        <v/>
      </c>
      <c r="O182" s="12">
        <f>IF(M182="","",ROUND(N182-M182,2))</f>
        <v/>
      </c>
      <c r="P182" s="13">
        <f>IF(AND(A182&lt;&gt;"",B182&lt;&gt;""), A182&amp;" · "&amp;B182, "")</f>
        <v/>
      </c>
    </row>
    <row r="183">
      <c r="A183" s="6" t="inlineStr">
        <is>
          <t>FY26</t>
        </is>
      </c>
      <c r="B183" s="6" t="inlineStr">
        <is>
          <t>Jan</t>
        </is>
      </c>
      <c r="C183" s="6" t="inlineStr">
        <is>
          <t>TN</t>
        </is>
      </c>
      <c r="D183" s="7" t="inlineStr">
        <is>
          <t>TN01BB5113</t>
        </is>
      </c>
      <c r="E183" s="7" t="inlineStr">
        <is>
          <t>HYUNDAI</t>
        </is>
      </c>
      <c r="F183" s="7" t="inlineStr">
        <is>
          <t>Creta</t>
        </is>
      </c>
      <c r="G183" s="7" t="inlineStr">
        <is>
          <t>KHIVRAJ MOTOR</t>
        </is>
      </c>
      <c r="H183" s="7" t="inlineStr">
        <is>
          <t>Non-Captive</t>
        </is>
      </c>
      <c r="I183" s="7" t="inlineStr">
        <is>
          <t>Aasim Motors</t>
        </is>
      </c>
      <c r="J183" s="8" t="n">
        <v>2016</v>
      </c>
      <c r="K183" s="9" t="n">
        <v>67577</v>
      </c>
      <c r="L183" s="10" t="n">
        <v>465000</v>
      </c>
      <c r="M183" s="10" t="n">
        <v>5084.75</v>
      </c>
      <c r="N183" s="11">
        <f>IF(M183="","",ROUND(M183*1.18,2))</f>
        <v/>
      </c>
      <c r="O183" s="12">
        <f>IF(M183="","",ROUND(N183-M183,2))</f>
        <v/>
      </c>
      <c r="P183" s="13">
        <f>IF(AND(A183&lt;&gt;"",B183&lt;&gt;""), A183&amp;" · "&amp;B183, "")</f>
        <v/>
      </c>
    </row>
    <row r="184">
      <c r="A184" s="6" t="inlineStr">
        <is>
          <t>FY26</t>
        </is>
      </c>
      <c r="B184" s="6" t="inlineStr">
        <is>
          <t>Jan</t>
        </is>
      </c>
      <c r="C184" s="6" t="inlineStr">
        <is>
          <t>TN</t>
        </is>
      </c>
      <c r="D184" s="7" t="inlineStr">
        <is>
          <t>TN01BC5077</t>
        </is>
      </c>
      <c r="E184" s="7" t="inlineStr">
        <is>
          <t>HYUNDAI</t>
        </is>
      </c>
      <c r="F184" s="7" t="inlineStr">
        <is>
          <t>Grand i10</t>
        </is>
      </c>
      <c r="G184" s="7" t="inlineStr">
        <is>
          <t>EXCHANGE CHENNAI</t>
        </is>
      </c>
      <c r="H184" s="7" t="inlineStr">
        <is>
          <t>Captive</t>
        </is>
      </c>
      <c r="I184" s="7" t="inlineStr">
        <is>
          <t>Nirmal Cars</t>
        </is>
      </c>
      <c r="J184" s="8" t="n">
        <v>2017</v>
      </c>
      <c r="K184" s="9" t="n">
        <v>40183</v>
      </c>
      <c r="L184" s="10" t="n">
        <v>390000</v>
      </c>
      <c r="M184" s="10" t="n">
        <v>8474.58</v>
      </c>
      <c r="N184" s="11">
        <f>IF(M184="","",ROUND(M184*1.18,2))</f>
        <v/>
      </c>
      <c r="O184" s="12">
        <f>IF(M184="","",ROUND(N184-M184,2))</f>
        <v/>
      </c>
      <c r="P184" s="13">
        <f>IF(AND(A184&lt;&gt;"",B184&lt;&gt;""), A184&amp;" · "&amp;B184, "")</f>
        <v/>
      </c>
    </row>
    <row r="185">
      <c r="A185" s="6" t="inlineStr">
        <is>
          <t>FY26</t>
        </is>
      </c>
      <c r="B185" s="6" t="inlineStr">
        <is>
          <t>Jan</t>
        </is>
      </c>
      <c r="C185" s="6" t="inlineStr">
        <is>
          <t>TN</t>
        </is>
      </c>
      <c r="D185" s="7" t="inlineStr">
        <is>
          <t>TN01BD3441</t>
        </is>
      </c>
      <c r="E185" s="7" t="inlineStr">
        <is>
          <t>HONDA</t>
        </is>
      </c>
      <c r="F185" s="7" t="inlineStr">
        <is>
          <t>Jazz</t>
        </is>
      </c>
      <c r="G185" s="7" t="inlineStr">
        <is>
          <t>EXCHANGE CHENNAI</t>
        </is>
      </c>
      <c r="H185" s="7" t="inlineStr">
        <is>
          <t>Captive</t>
        </is>
      </c>
      <c r="I185" s="7" t="inlineStr">
        <is>
          <t>Thiya Cars</t>
        </is>
      </c>
      <c r="J185" s="8" t="n">
        <v>2017</v>
      </c>
      <c r="K185" s="9" t="n">
        <v>108064</v>
      </c>
      <c r="L185" s="10" t="n">
        <v>380000</v>
      </c>
      <c r="M185" s="10" t="n">
        <v>4237.29</v>
      </c>
      <c r="N185" s="11">
        <f>IF(M185="","",ROUND(M185*1.18,2))</f>
        <v/>
      </c>
      <c r="O185" s="12">
        <f>IF(M185="","",ROUND(N185-M185,2))</f>
        <v/>
      </c>
      <c r="P185" s="13">
        <f>IF(AND(A185&lt;&gt;"",B185&lt;&gt;""), A185&amp;" · "&amp;B185, "")</f>
        <v/>
      </c>
    </row>
    <row r="186">
      <c r="A186" s="6" t="inlineStr">
        <is>
          <t>FY26</t>
        </is>
      </c>
      <c r="B186" s="6" t="inlineStr">
        <is>
          <t>Jan</t>
        </is>
      </c>
      <c r="C186" s="6" t="inlineStr">
        <is>
          <t>TN</t>
        </is>
      </c>
      <c r="D186" s="7" t="inlineStr">
        <is>
          <t>TN01BF1290</t>
        </is>
      </c>
      <c r="E186" s="7" t="inlineStr">
        <is>
          <t>HONDA</t>
        </is>
      </c>
      <c r="F186" s="7" t="inlineStr">
        <is>
          <t>Amaze</t>
        </is>
      </c>
      <c r="G186" s="7" t="inlineStr">
        <is>
          <t>KHIVRAJ MOTOR</t>
        </is>
      </c>
      <c r="H186" s="7" t="inlineStr">
        <is>
          <t>Non-Captive</t>
        </is>
      </c>
      <c r="I186" s="7" t="inlineStr">
        <is>
          <t>Bhagavan Cars</t>
        </is>
      </c>
      <c r="J186" s="8" t="n">
        <v>2018</v>
      </c>
      <c r="K186" s="9" t="n">
        <v>41523</v>
      </c>
      <c r="L186" s="10" t="n">
        <v>400000</v>
      </c>
      <c r="M186" s="10" t="n">
        <v>3389.83</v>
      </c>
      <c r="N186" s="11">
        <f>IF(M186="","",ROUND(M186*1.18,2))</f>
        <v/>
      </c>
      <c r="O186" s="12">
        <f>IF(M186="","",ROUND(N186-M186,2))</f>
        <v/>
      </c>
      <c r="P186" s="13">
        <f>IF(AND(A186&lt;&gt;"",B186&lt;&gt;""), A186&amp;" · "&amp;B186, "")</f>
        <v/>
      </c>
    </row>
    <row r="187">
      <c r="A187" s="6" t="inlineStr">
        <is>
          <t>FY26</t>
        </is>
      </c>
      <c r="B187" s="6" t="inlineStr">
        <is>
          <t>Jan</t>
        </is>
      </c>
      <c r="C187" s="6" t="inlineStr">
        <is>
          <t>TN</t>
        </is>
      </c>
      <c r="D187" s="7" t="inlineStr">
        <is>
          <t>TN01BF2596</t>
        </is>
      </c>
      <c r="E187" s="7" t="inlineStr">
        <is>
          <t>HONDA</t>
        </is>
      </c>
      <c r="F187" s="7" t="inlineStr">
        <is>
          <t>City</t>
        </is>
      </c>
      <c r="G187" s="7" t="inlineStr">
        <is>
          <t>EXCHANGE CHENNAI</t>
        </is>
      </c>
      <c r="H187" s="7" t="inlineStr">
        <is>
          <t>Captive</t>
        </is>
      </c>
      <c r="I187" s="7" t="inlineStr">
        <is>
          <t>Nirmal Cars</t>
        </is>
      </c>
      <c r="J187" s="8" t="n">
        <v>2018</v>
      </c>
      <c r="K187" s="9" t="n">
        <v>97519</v>
      </c>
      <c r="L187" s="10" t="n">
        <v>500000</v>
      </c>
      <c r="M187" s="10" t="n">
        <v>8474.58</v>
      </c>
      <c r="N187" s="11">
        <f>IF(M187="","",ROUND(M187*1.18,2))</f>
        <v/>
      </c>
      <c r="O187" s="12">
        <f>IF(M187="","",ROUND(N187-M187,2))</f>
        <v/>
      </c>
      <c r="P187" s="13">
        <f>IF(AND(A187&lt;&gt;"",B187&lt;&gt;""), A187&amp;" · "&amp;B187, "")</f>
        <v/>
      </c>
    </row>
    <row r="188">
      <c r="A188" s="6" t="inlineStr">
        <is>
          <t>FY26</t>
        </is>
      </c>
      <c r="B188" s="6" t="inlineStr">
        <is>
          <t>Jan</t>
        </is>
      </c>
      <c r="C188" s="6" t="inlineStr">
        <is>
          <t>TN</t>
        </is>
      </c>
      <c r="D188" s="7" t="inlineStr">
        <is>
          <t>TN01BH5103</t>
        </is>
      </c>
      <c r="E188" s="7" t="inlineStr">
        <is>
          <t>HONDA</t>
        </is>
      </c>
      <c r="F188" s="7" t="inlineStr">
        <is>
          <t>Amaze</t>
        </is>
      </c>
      <c r="G188" s="7" t="inlineStr">
        <is>
          <t>KHIVRAJ MOTOR</t>
        </is>
      </c>
      <c r="H188" s="7" t="inlineStr">
        <is>
          <t>Non-Captive</t>
        </is>
      </c>
      <c r="I188" s="7" t="inlineStr">
        <is>
          <t>AAA Cars</t>
        </is>
      </c>
      <c r="J188" s="8" t="n">
        <v>2019</v>
      </c>
      <c r="K188" s="9" t="n">
        <v>11791</v>
      </c>
      <c r="L188" s="10" t="n">
        <v>440000</v>
      </c>
      <c r="M188" s="10" t="n">
        <v>5084.75</v>
      </c>
      <c r="N188" s="11">
        <f>IF(M188="","",ROUND(M188*1.18,2))</f>
        <v/>
      </c>
      <c r="O188" s="12">
        <f>IF(M188="","",ROUND(N188-M188,2))</f>
        <v/>
      </c>
      <c r="P188" s="13">
        <f>IF(AND(A188&lt;&gt;"",B188&lt;&gt;""), A188&amp;" · "&amp;B188, "")</f>
        <v/>
      </c>
    </row>
    <row r="189">
      <c r="A189" s="6" t="inlineStr">
        <is>
          <t>FY26</t>
        </is>
      </c>
      <c r="B189" s="6" t="inlineStr">
        <is>
          <t>Jan</t>
        </is>
      </c>
      <c r="C189" s="6" t="inlineStr">
        <is>
          <t>TN</t>
        </is>
      </c>
      <c r="D189" s="7" t="inlineStr">
        <is>
          <t>TN01BK8256</t>
        </is>
      </c>
      <c r="E189" s="7" t="inlineStr">
        <is>
          <t>VOLKSWAGEN</t>
        </is>
      </c>
      <c r="F189" s="7" t="inlineStr">
        <is>
          <t>Polo</t>
        </is>
      </c>
      <c r="G189" s="7" t="inlineStr">
        <is>
          <t>EPIC TOYOTA</t>
        </is>
      </c>
      <c r="H189" s="7" t="inlineStr">
        <is>
          <t>Non-Captive</t>
        </is>
      </c>
      <c r="I189" s="7" t="inlineStr">
        <is>
          <t>AAA Cars</t>
        </is>
      </c>
      <c r="J189" s="8" t="n">
        <v>2020</v>
      </c>
      <c r="K189" s="9" t="n">
        <v>35550</v>
      </c>
      <c r="L189" s="10" t="n">
        <v>430000</v>
      </c>
      <c r="M189" s="10" t="n">
        <v>4237.29</v>
      </c>
      <c r="N189" s="11">
        <f>IF(M189="","",ROUND(M189*1.18,2))</f>
        <v/>
      </c>
      <c r="O189" s="12">
        <f>IF(M189="","",ROUND(N189-M189,2))</f>
        <v/>
      </c>
      <c r="P189" s="13">
        <f>IF(AND(A189&lt;&gt;"",B189&lt;&gt;""), A189&amp;" · "&amp;B189, "")</f>
        <v/>
      </c>
    </row>
    <row r="190">
      <c r="A190" s="6" t="inlineStr">
        <is>
          <t>FY26</t>
        </is>
      </c>
      <c r="B190" s="6" t="inlineStr">
        <is>
          <t>Jan</t>
        </is>
      </c>
      <c r="C190" s="6" t="inlineStr">
        <is>
          <t>TN</t>
        </is>
      </c>
      <c r="D190" s="7" t="inlineStr">
        <is>
          <t>TN01BL2634</t>
        </is>
      </c>
      <c r="E190" s="7" t="inlineStr">
        <is>
          <t>MARUTI SUZUKI</t>
        </is>
      </c>
      <c r="F190" s="7" t="inlineStr">
        <is>
          <t>Ignis</t>
        </is>
      </c>
      <c r="G190" s="7" t="inlineStr">
        <is>
          <t>KHIVRAJ MOTOR</t>
        </is>
      </c>
      <c r="H190" s="7" t="inlineStr">
        <is>
          <t>Non-Captive</t>
        </is>
      </c>
      <c r="I190" s="7" t="inlineStr">
        <is>
          <t>Shahana Cars</t>
        </is>
      </c>
      <c r="J190" s="8" t="n">
        <v>2021</v>
      </c>
      <c r="K190" s="9" t="n">
        <v>48245</v>
      </c>
      <c r="L190" s="10" t="n">
        <v>410000</v>
      </c>
      <c r="M190" s="10" t="n">
        <v>2966.1</v>
      </c>
      <c r="N190" s="11">
        <f>IF(M190="","",ROUND(M190*1.18,2))</f>
        <v/>
      </c>
      <c r="O190" s="12">
        <f>IF(M190="","",ROUND(N190-M190,2))</f>
        <v/>
      </c>
      <c r="P190" s="13">
        <f>IF(AND(A190&lt;&gt;"",B190&lt;&gt;""), A190&amp;" · "&amp;B190, "")</f>
        <v/>
      </c>
    </row>
    <row r="191">
      <c r="A191" s="6" t="inlineStr">
        <is>
          <t>FY26</t>
        </is>
      </c>
      <c r="B191" s="6" t="inlineStr">
        <is>
          <t>Jan</t>
        </is>
      </c>
      <c r="C191" s="6" t="inlineStr">
        <is>
          <t>TN</t>
        </is>
      </c>
      <c r="D191" s="7" t="inlineStr">
        <is>
          <t>TN01BP4170</t>
        </is>
      </c>
      <c r="E191" s="7" t="inlineStr">
        <is>
          <t>HYUNDAI</t>
        </is>
      </c>
      <c r="F191" s="7" t="inlineStr">
        <is>
          <t>Aura</t>
        </is>
      </c>
      <c r="G191" s="7" t="inlineStr">
        <is>
          <t>AVIS INDIA</t>
        </is>
      </c>
      <c r="H191" s="7" t="inlineStr">
        <is>
          <t>Non-Captive</t>
        </is>
      </c>
      <c r="I191" s="7" t="inlineStr">
        <is>
          <t>Nirmal Cars</t>
        </is>
      </c>
      <c r="J191" s="8" t="n">
        <v>2022</v>
      </c>
      <c r="K191" s="9" t="n">
        <v>1974</v>
      </c>
      <c r="L191" s="10" t="n">
        <v>620000</v>
      </c>
      <c r="M191" s="10" t="n">
        <v>12711.86</v>
      </c>
      <c r="N191" s="11">
        <f>IF(M191="","",ROUND(M191*1.18,2))</f>
        <v/>
      </c>
      <c r="O191" s="12">
        <f>IF(M191="","",ROUND(N191-M191,2))</f>
        <v/>
      </c>
      <c r="P191" s="13">
        <f>IF(AND(A191&lt;&gt;"",B191&lt;&gt;""), A191&amp;" · "&amp;B191, "")</f>
        <v/>
      </c>
    </row>
    <row r="192">
      <c r="A192" s="6" t="inlineStr">
        <is>
          <t>FY26</t>
        </is>
      </c>
      <c r="B192" s="6" t="inlineStr">
        <is>
          <t>Jan</t>
        </is>
      </c>
      <c r="C192" s="6" t="inlineStr">
        <is>
          <t>TN</t>
        </is>
      </c>
      <c r="D192" s="7" t="inlineStr">
        <is>
          <t>TN01BP7655</t>
        </is>
      </c>
      <c r="E192" s="7" t="inlineStr">
        <is>
          <t>MARUTI SUZUKI</t>
        </is>
      </c>
      <c r="F192" s="7" t="inlineStr">
        <is>
          <t>Wagon R</t>
        </is>
      </c>
      <c r="G192" s="7" t="inlineStr">
        <is>
          <t>KHIVRAJ MOTOR</t>
        </is>
      </c>
      <c r="H192" s="7" t="inlineStr">
        <is>
          <t>Non-Captive</t>
        </is>
      </c>
      <c r="I192" s="7" t="inlineStr">
        <is>
          <t>Santhosh Cars</t>
        </is>
      </c>
      <c r="J192" s="8" t="n">
        <v>2022</v>
      </c>
      <c r="K192" s="9" t="n">
        <v>40186</v>
      </c>
      <c r="L192" s="10" t="n">
        <v>440000</v>
      </c>
      <c r="M192" s="10" t="n">
        <v>5084.75</v>
      </c>
      <c r="N192" s="11">
        <f>IF(M192="","",ROUND(M192*1.18,2))</f>
        <v/>
      </c>
      <c r="O192" s="12">
        <f>IF(M192="","",ROUND(N192-M192,2))</f>
        <v/>
      </c>
      <c r="P192" s="13">
        <f>IF(AND(A192&lt;&gt;"",B192&lt;&gt;""), A192&amp;" · "&amp;B192, "")</f>
        <v/>
      </c>
    </row>
    <row r="193">
      <c r="A193" s="6" t="inlineStr">
        <is>
          <t>FY26</t>
        </is>
      </c>
      <c r="B193" s="6" t="inlineStr">
        <is>
          <t>Jan</t>
        </is>
      </c>
      <c r="C193" s="6" t="inlineStr">
        <is>
          <t>TN</t>
        </is>
      </c>
      <c r="D193" s="7" t="inlineStr">
        <is>
          <t>TN01BQ8150</t>
        </is>
      </c>
      <c r="E193" s="7" t="inlineStr">
        <is>
          <t>MARUTI SUZUKI</t>
        </is>
      </c>
      <c r="F193" s="7" t="inlineStr">
        <is>
          <t>Dzire</t>
        </is>
      </c>
      <c r="G193" s="7" t="inlineStr">
        <is>
          <t>KHIVRAJ MOTOR</t>
        </is>
      </c>
      <c r="H193" s="7" t="inlineStr">
        <is>
          <t>Non-Captive</t>
        </is>
      </c>
      <c r="I193" s="7" t="inlineStr">
        <is>
          <t>Santhosh Cars</t>
        </is>
      </c>
      <c r="J193" s="8" t="n">
        <v>2023</v>
      </c>
      <c r="K193" s="9" t="n">
        <v>20647</v>
      </c>
      <c r="L193" s="10" t="n">
        <v>550000</v>
      </c>
      <c r="M193" s="10" t="n">
        <v>2966.1</v>
      </c>
      <c r="N193" s="11">
        <f>IF(M193="","",ROUND(M193*1.18,2))</f>
        <v/>
      </c>
      <c r="O193" s="12">
        <f>IF(M193="","",ROUND(N193-M193,2))</f>
        <v/>
      </c>
      <c r="P193" s="13">
        <f>IF(AND(A193&lt;&gt;"",B193&lt;&gt;""), A193&amp;" · "&amp;B193, "")</f>
        <v/>
      </c>
    </row>
    <row r="194">
      <c r="A194" s="6" t="inlineStr">
        <is>
          <t>FY26</t>
        </is>
      </c>
      <c r="B194" s="6" t="inlineStr">
        <is>
          <t>Jan</t>
        </is>
      </c>
      <c r="C194" s="6" t="inlineStr">
        <is>
          <t>TN</t>
        </is>
      </c>
      <c r="D194" s="7" t="inlineStr">
        <is>
          <t>TN01U6000</t>
        </is>
      </c>
      <c r="E194" s="7" t="inlineStr">
        <is>
          <t>MARUTI SUZUKI</t>
        </is>
      </c>
      <c r="F194" s="7" t="inlineStr">
        <is>
          <t>Alto</t>
        </is>
      </c>
      <c r="G194" s="7" t="inlineStr">
        <is>
          <t>LAKSHMI TATA</t>
        </is>
      </c>
      <c r="H194" s="7" t="inlineStr">
        <is>
          <t>Non-Captive</t>
        </is>
      </c>
      <c r="I194" s="7" t="inlineStr">
        <is>
          <t>Thiya Cars</t>
        </is>
      </c>
      <c r="J194" s="8" t="n">
        <v>1998</v>
      </c>
      <c r="K194" s="9" t="n">
        <v>73444</v>
      </c>
      <c r="L194" s="10" t="n">
        <v>25000</v>
      </c>
      <c r="M194" s="10" t="n">
        <v>4237.29</v>
      </c>
      <c r="N194" s="11">
        <f>IF(M194="","",ROUND(M194*1.18,2))</f>
        <v/>
      </c>
      <c r="O194" s="12">
        <f>IF(M194="","",ROUND(N194-M194,2))</f>
        <v/>
      </c>
      <c r="P194" s="13">
        <f>IF(AND(A194&lt;&gt;"",B194&lt;&gt;""), A194&amp;" · "&amp;B194, "")</f>
        <v/>
      </c>
    </row>
    <row r="195">
      <c r="A195" s="6" t="inlineStr">
        <is>
          <t>FY26</t>
        </is>
      </c>
      <c r="B195" s="6" t="inlineStr">
        <is>
          <t>Jan</t>
        </is>
      </c>
      <c r="C195" s="6" t="inlineStr">
        <is>
          <t>TN</t>
        </is>
      </c>
      <c r="D195" s="7" t="inlineStr">
        <is>
          <t>TN02AW2527</t>
        </is>
      </c>
      <c r="E195" s="7" t="inlineStr">
        <is>
          <t>BMW</t>
        </is>
      </c>
      <c r="F195" s="7" t="inlineStr">
        <is>
          <t>320D</t>
        </is>
      </c>
      <c r="G195" s="7" t="inlineStr">
        <is>
          <t>VISHNU CARS PRIVATE LIMITED</t>
        </is>
      </c>
      <c r="H195" s="7" t="inlineStr">
        <is>
          <t>Non-Captive</t>
        </is>
      </c>
      <c r="I195" s="7" t="inlineStr">
        <is>
          <t>Pine Autos</t>
        </is>
      </c>
      <c r="J195" s="8" t="n">
        <v>2011</v>
      </c>
      <c r="K195" s="9" t="n">
        <v>99999</v>
      </c>
      <c r="L195" s="10" t="n">
        <v>400000</v>
      </c>
      <c r="M195" s="10" t="n">
        <v>4237.29</v>
      </c>
      <c r="N195" s="11">
        <f>IF(M195="","",ROUND(M195*1.18,2))</f>
        <v/>
      </c>
      <c r="O195" s="12">
        <f>IF(M195="","",ROUND(N195-M195,2))</f>
        <v/>
      </c>
      <c r="P195" s="13">
        <f>IF(AND(A195&lt;&gt;"",B195&lt;&gt;""), A195&amp;" · "&amp;B195, "")</f>
        <v/>
      </c>
    </row>
    <row r="196">
      <c r="A196" s="6" t="inlineStr">
        <is>
          <t>FY26</t>
        </is>
      </c>
      <c r="B196" s="6" t="inlineStr">
        <is>
          <t>Jan</t>
        </is>
      </c>
      <c r="C196" s="6" t="inlineStr">
        <is>
          <t>TN</t>
        </is>
      </c>
      <c r="D196" s="7" t="inlineStr">
        <is>
          <t>TN02AX4207</t>
        </is>
      </c>
      <c r="E196" s="7" t="inlineStr">
        <is>
          <t>HONDA</t>
        </is>
      </c>
      <c r="F196" s="7" t="inlineStr">
        <is>
          <t>City</t>
        </is>
      </c>
      <c r="G196" s="7" t="inlineStr">
        <is>
          <t>EXCHANGE CHENNAI</t>
        </is>
      </c>
      <c r="H196" s="7" t="inlineStr">
        <is>
          <t>Captive</t>
        </is>
      </c>
      <c r="I196" s="7" t="inlineStr">
        <is>
          <t>Nirmal Cars</t>
        </is>
      </c>
      <c r="J196" s="8" t="n">
        <v>2013</v>
      </c>
      <c r="K196" s="9" t="n">
        <v>80667</v>
      </c>
      <c r="L196" s="10" t="n">
        <v>300000</v>
      </c>
      <c r="M196" s="10" t="n">
        <v>8474.58</v>
      </c>
      <c r="N196" s="11">
        <f>IF(M196="","",ROUND(M196*1.18,2))</f>
        <v/>
      </c>
      <c r="O196" s="12">
        <f>IF(M196="","",ROUND(N196-M196,2))</f>
        <v/>
      </c>
      <c r="P196" s="13">
        <f>IF(AND(A196&lt;&gt;"",B196&lt;&gt;""), A196&amp;" · "&amp;B196, "")</f>
        <v/>
      </c>
    </row>
    <row r="197">
      <c r="A197" s="6" t="inlineStr">
        <is>
          <t>FY26</t>
        </is>
      </c>
      <c r="B197" s="6" t="inlineStr">
        <is>
          <t>Jan</t>
        </is>
      </c>
      <c r="C197" s="6" t="inlineStr">
        <is>
          <t>TN</t>
        </is>
      </c>
      <c r="D197" s="7" t="inlineStr">
        <is>
          <t>TN02AY4753</t>
        </is>
      </c>
      <c r="E197" s="7" t="inlineStr">
        <is>
          <t>VOLKSWAGEN</t>
        </is>
      </c>
      <c r="F197" s="7" t="inlineStr">
        <is>
          <t>Vento</t>
        </is>
      </c>
      <c r="G197" s="7" t="inlineStr">
        <is>
          <t>EXCHANGE CHENNAI</t>
        </is>
      </c>
      <c r="H197" s="7" t="inlineStr">
        <is>
          <t>Captive</t>
        </is>
      </c>
      <c r="I197" s="7" t="inlineStr">
        <is>
          <t>Gugha Cars</t>
        </is>
      </c>
      <c r="J197" s="8" t="n">
        <v>2013</v>
      </c>
      <c r="K197" s="9" t="n">
        <v>128005</v>
      </c>
      <c r="L197" s="10" t="n">
        <v>285000</v>
      </c>
      <c r="M197" s="10" t="n">
        <v>4237.29</v>
      </c>
      <c r="N197" s="11">
        <f>IF(M197="","",ROUND(M197*1.18,2))</f>
        <v/>
      </c>
      <c r="O197" s="12">
        <f>IF(M197="","",ROUND(N197-M197,2))</f>
        <v/>
      </c>
      <c r="P197" s="13">
        <f>IF(AND(A197&lt;&gt;"",B197&lt;&gt;""), A197&amp;" · "&amp;B197, "")</f>
        <v/>
      </c>
    </row>
    <row r="198">
      <c r="A198" s="6" t="inlineStr">
        <is>
          <t>FY26</t>
        </is>
      </c>
      <c r="B198" s="6" t="inlineStr">
        <is>
          <t>Jan</t>
        </is>
      </c>
      <c r="C198" s="6" t="inlineStr">
        <is>
          <t>TN</t>
        </is>
      </c>
      <c r="D198" s="7" t="inlineStr">
        <is>
          <t>TN02BB3197</t>
        </is>
      </c>
      <c r="E198" s="7" t="inlineStr">
        <is>
          <t>HYUNDAI</t>
        </is>
      </c>
      <c r="F198" s="7" t="inlineStr">
        <is>
          <t>Eon</t>
        </is>
      </c>
      <c r="G198" s="7" t="inlineStr">
        <is>
          <t>KHIVRAJ MOTOR</t>
        </is>
      </c>
      <c r="H198" s="7" t="inlineStr">
        <is>
          <t>Non-Captive</t>
        </is>
      </c>
      <c r="I198" s="7" t="inlineStr">
        <is>
          <t>Shakthi Cars</t>
        </is>
      </c>
      <c r="J198" s="8" t="n">
        <v>2015</v>
      </c>
      <c r="K198" s="9" t="n">
        <v>56304</v>
      </c>
      <c r="L198" s="10" t="n">
        <v>250000</v>
      </c>
      <c r="M198" s="10" t="n">
        <v>2966.1</v>
      </c>
      <c r="N198" s="11">
        <f>IF(M198="","",ROUND(M198*1.18,2))</f>
        <v/>
      </c>
      <c r="O198" s="12">
        <f>IF(M198="","",ROUND(N198-M198,2))</f>
        <v/>
      </c>
      <c r="P198" s="13">
        <f>IF(AND(A198&lt;&gt;"",B198&lt;&gt;""), A198&amp;" · "&amp;B198, "")</f>
        <v/>
      </c>
    </row>
    <row r="199">
      <c r="A199" s="6" t="inlineStr">
        <is>
          <t>FY26</t>
        </is>
      </c>
      <c r="B199" s="6" t="inlineStr">
        <is>
          <t>Jan</t>
        </is>
      </c>
      <c r="C199" s="6" t="inlineStr">
        <is>
          <t>TN</t>
        </is>
      </c>
      <c r="D199" s="7" t="inlineStr">
        <is>
          <t>TN02BC1360</t>
        </is>
      </c>
      <c r="E199" s="7" t="inlineStr">
        <is>
          <t>RENAULT</t>
        </is>
      </c>
      <c r="F199" s="7" t="inlineStr">
        <is>
          <t>Lodgy</t>
        </is>
      </c>
      <c r="G199" s="7" t="inlineStr">
        <is>
          <t>LAKSHMI TATA</t>
        </is>
      </c>
      <c r="H199" s="7" t="inlineStr">
        <is>
          <t>Non-Captive</t>
        </is>
      </c>
      <c r="I199" s="7" t="inlineStr">
        <is>
          <t>Thiya Cars</t>
        </is>
      </c>
      <c r="J199" s="8" t="n">
        <v>2015</v>
      </c>
      <c r="K199" s="9" t="n">
        <v>67756</v>
      </c>
      <c r="L199" s="10" t="n">
        <v>300000</v>
      </c>
      <c r="M199" s="10" t="n">
        <v>4237.29</v>
      </c>
      <c r="N199" s="11">
        <f>IF(M199="","",ROUND(M199*1.18,2))</f>
        <v/>
      </c>
      <c r="O199" s="12">
        <f>IF(M199="","",ROUND(N199-M199,2))</f>
        <v/>
      </c>
      <c r="P199" s="13">
        <f>IF(AND(A199&lt;&gt;"",B199&lt;&gt;""), A199&amp;" · "&amp;B199, "")</f>
        <v/>
      </c>
    </row>
    <row r="200">
      <c r="A200" s="6" t="inlineStr">
        <is>
          <t>FY26</t>
        </is>
      </c>
      <c r="B200" s="6" t="inlineStr">
        <is>
          <t>Jan</t>
        </is>
      </c>
      <c r="C200" s="6" t="inlineStr">
        <is>
          <t>TN</t>
        </is>
      </c>
      <c r="D200" s="7" t="inlineStr">
        <is>
          <t>TN02BH1401</t>
        </is>
      </c>
      <c r="E200" s="7" t="inlineStr">
        <is>
          <t>HONDA</t>
        </is>
      </c>
      <c r="F200" s="7" t="inlineStr">
        <is>
          <t>City</t>
        </is>
      </c>
      <c r="G200" s="7" t="inlineStr">
        <is>
          <t>SANTHOSH CARS</t>
        </is>
      </c>
      <c r="H200" s="7" t="inlineStr">
        <is>
          <t>Non-Captive</t>
        </is>
      </c>
      <c r="I200" s="7" t="inlineStr">
        <is>
          <t>Nirmal Cars</t>
        </is>
      </c>
      <c r="J200" s="8" t="n">
        <v>2016</v>
      </c>
      <c r="K200" s="9" t="n">
        <v>32560</v>
      </c>
      <c r="L200" s="10" t="n">
        <v>510000</v>
      </c>
      <c r="M200" s="10" t="n">
        <v>4237.29</v>
      </c>
      <c r="N200" s="11">
        <f>IF(M200="","",ROUND(M200*1.18,2))</f>
        <v/>
      </c>
      <c r="O200" s="12">
        <f>IF(M200="","",ROUND(N200-M200,2))</f>
        <v/>
      </c>
      <c r="P200" s="13">
        <f>IF(AND(A200&lt;&gt;"",B200&lt;&gt;""), A200&amp;" · "&amp;B200, "")</f>
        <v/>
      </c>
    </row>
    <row r="201">
      <c r="A201" s="6" t="inlineStr">
        <is>
          <t>FY26</t>
        </is>
      </c>
      <c r="B201" s="6" t="inlineStr">
        <is>
          <t>Jan</t>
        </is>
      </c>
      <c r="C201" s="6" t="inlineStr">
        <is>
          <t>TN</t>
        </is>
      </c>
      <c r="D201" s="7" t="inlineStr">
        <is>
          <t>TN02BQ7988</t>
        </is>
      </c>
      <c r="E201" s="7" t="inlineStr">
        <is>
          <t>HYUNDAI</t>
        </is>
      </c>
      <c r="F201" s="7" t="inlineStr">
        <is>
          <t>Venue</t>
        </is>
      </c>
      <c r="G201" s="7" t="inlineStr">
        <is>
          <t>KHIVRAJ MOTOR</t>
        </is>
      </c>
      <c r="H201" s="7" t="inlineStr">
        <is>
          <t>Non-Captive</t>
        </is>
      </c>
      <c r="I201" s="7" t="inlineStr">
        <is>
          <t>Senthil Cars</t>
        </is>
      </c>
      <c r="J201" s="8" t="n">
        <v>2019</v>
      </c>
      <c r="K201" s="9" t="n">
        <v>34256</v>
      </c>
      <c r="L201" s="10" t="n">
        <v>550000</v>
      </c>
      <c r="M201" s="10" t="n">
        <v>2966.1</v>
      </c>
      <c r="N201" s="11">
        <f>IF(M201="","",ROUND(M201*1.18,2))</f>
        <v/>
      </c>
      <c r="O201" s="12">
        <f>IF(M201="","",ROUND(N201-M201,2))</f>
        <v/>
      </c>
      <c r="P201" s="13">
        <f>IF(AND(A201&lt;&gt;"",B201&lt;&gt;""), A201&amp;" · "&amp;B201, "")</f>
        <v/>
      </c>
    </row>
    <row r="202">
      <c r="A202" s="6" t="inlineStr">
        <is>
          <t>FY26</t>
        </is>
      </c>
      <c r="B202" s="6" t="inlineStr">
        <is>
          <t>Jan</t>
        </is>
      </c>
      <c r="C202" s="6" t="inlineStr">
        <is>
          <t>TN</t>
        </is>
      </c>
      <c r="D202" s="7" t="inlineStr">
        <is>
          <t>TN02BS9150</t>
        </is>
      </c>
      <c r="E202" s="7" t="inlineStr">
        <is>
          <t>HONDA</t>
        </is>
      </c>
      <c r="F202" s="7" t="inlineStr">
        <is>
          <t>City</t>
        </is>
      </c>
      <c r="G202" s="7" t="inlineStr">
        <is>
          <t>KHIVRAJ MOTOR</t>
        </is>
      </c>
      <c r="H202" s="7" t="inlineStr">
        <is>
          <t>Non-Captive</t>
        </is>
      </c>
      <c r="I202" s="7" t="inlineStr">
        <is>
          <t>Shakthi Cars</t>
        </is>
      </c>
      <c r="J202" s="8" t="n">
        <v>2020</v>
      </c>
      <c r="K202" s="9" t="n">
        <v>30723</v>
      </c>
      <c r="L202" s="10" t="n">
        <v>790000</v>
      </c>
      <c r="M202" s="10" t="n">
        <v>2966.1</v>
      </c>
      <c r="N202" s="11">
        <f>IF(M202="","",ROUND(M202*1.18,2))</f>
        <v/>
      </c>
      <c r="O202" s="12">
        <f>IF(M202="","",ROUND(N202-M202,2))</f>
        <v/>
      </c>
      <c r="P202" s="13">
        <f>IF(AND(A202&lt;&gt;"",B202&lt;&gt;""), A202&amp;" · "&amp;B202, "")</f>
        <v/>
      </c>
    </row>
    <row r="203">
      <c r="A203" s="6" t="inlineStr">
        <is>
          <t>FY26</t>
        </is>
      </c>
      <c r="B203" s="6" t="inlineStr">
        <is>
          <t>Jan</t>
        </is>
      </c>
      <c r="C203" s="6" t="inlineStr">
        <is>
          <t>TN</t>
        </is>
      </c>
      <c r="D203" s="7" t="inlineStr">
        <is>
          <t>TN02BT9437</t>
        </is>
      </c>
      <c r="E203" s="7" t="inlineStr">
        <is>
          <t>HONDA</t>
        </is>
      </c>
      <c r="F203" s="7" t="inlineStr">
        <is>
          <t>City</t>
        </is>
      </c>
      <c r="G203" s="7" t="inlineStr">
        <is>
          <t>NIRMAL</t>
        </is>
      </c>
      <c r="H203" s="7" t="inlineStr">
        <is>
          <t>Non-Captive</t>
        </is>
      </c>
      <c r="I203" s="7" t="inlineStr">
        <is>
          <t>Bhagavan Cars</t>
        </is>
      </c>
      <c r="J203" s="8" t="n">
        <v>2021</v>
      </c>
      <c r="K203" s="9" t="n"/>
      <c r="L203" s="10" t="n">
        <v>530000</v>
      </c>
      <c r="M203" s="10" t="n">
        <v>4237.29</v>
      </c>
      <c r="N203" s="11">
        <f>IF(M203="","",ROUND(M203*1.18,2))</f>
        <v/>
      </c>
      <c r="O203" s="12">
        <f>IF(M203="","",ROUND(N203-M203,2))</f>
        <v/>
      </c>
      <c r="P203" s="13">
        <f>IF(AND(A203&lt;&gt;"",B203&lt;&gt;""), A203&amp;" · "&amp;B203, "")</f>
        <v/>
      </c>
    </row>
    <row r="204">
      <c r="A204" s="6" t="inlineStr">
        <is>
          <t>FY26</t>
        </is>
      </c>
      <c r="B204" s="6" t="inlineStr">
        <is>
          <t>Jan</t>
        </is>
      </c>
      <c r="C204" s="6" t="inlineStr">
        <is>
          <t>TN</t>
        </is>
      </c>
      <c r="D204" s="7" t="inlineStr">
        <is>
          <t>TN02BV1391</t>
        </is>
      </c>
      <c r="E204" s="7" t="inlineStr">
        <is>
          <t>HONDA</t>
        </is>
      </c>
      <c r="F204" s="7" t="inlineStr">
        <is>
          <t>WR-V</t>
        </is>
      </c>
      <c r="G204" s="7" t="inlineStr">
        <is>
          <t>KHIVRAJ MOTOR</t>
        </is>
      </c>
      <c r="H204" s="7" t="inlineStr">
        <is>
          <t>Non-Captive</t>
        </is>
      </c>
      <c r="I204" s="7" t="inlineStr">
        <is>
          <t>Santhosh Cars</t>
        </is>
      </c>
      <c r="J204" s="8" t="n">
        <v>2021</v>
      </c>
      <c r="K204" s="9" t="n">
        <v>39178</v>
      </c>
      <c r="L204" s="10" t="n">
        <v>600000</v>
      </c>
      <c r="M204" s="10" t="n">
        <v>5084.75</v>
      </c>
      <c r="N204" s="11">
        <f>IF(M204="","",ROUND(M204*1.18,2))</f>
        <v/>
      </c>
      <c r="O204" s="12">
        <f>IF(M204="","",ROUND(N204-M204,2))</f>
        <v/>
      </c>
      <c r="P204" s="13">
        <f>IF(AND(A204&lt;&gt;"",B204&lt;&gt;""), A204&amp;" · "&amp;B204, "")</f>
        <v/>
      </c>
    </row>
    <row r="205">
      <c r="A205" s="6" t="inlineStr">
        <is>
          <t>FY26</t>
        </is>
      </c>
      <c r="B205" s="6" t="inlineStr">
        <is>
          <t>Jan</t>
        </is>
      </c>
      <c r="C205" s="6" t="inlineStr">
        <is>
          <t>TN</t>
        </is>
      </c>
      <c r="D205" s="7" t="inlineStr">
        <is>
          <t>TN02C9599</t>
        </is>
      </c>
      <c r="E205" s="7" t="inlineStr">
        <is>
          <t>MARUTI SUZUKI</t>
        </is>
      </c>
      <c r="F205" s="7" t="inlineStr">
        <is>
          <t>800</t>
        </is>
      </c>
      <c r="G205" s="7" t="inlineStr">
        <is>
          <t>KHIVRAJ MOTOR</t>
        </is>
      </c>
      <c r="H205" s="7" t="inlineStr">
        <is>
          <t>Non-Captive</t>
        </is>
      </c>
      <c r="I205" s="7" t="inlineStr">
        <is>
          <t>Shakthi Cars</t>
        </is>
      </c>
      <c r="J205" s="8" t="n">
        <v>1997</v>
      </c>
      <c r="K205" s="9" t="n">
        <v>99999</v>
      </c>
      <c r="L205" s="10" t="n">
        <v>25000</v>
      </c>
      <c r="M205" s="10" t="n">
        <v>2966.1</v>
      </c>
      <c r="N205" s="11">
        <f>IF(M205="","",ROUND(M205*1.18,2))</f>
        <v/>
      </c>
      <c r="O205" s="12">
        <f>IF(M205="","",ROUND(N205-M205,2))</f>
        <v/>
      </c>
      <c r="P205" s="13">
        <f>IF(AND(A205&lt;&gt;"",B205&lt;&gt;""), A205&amp;" · "&amp;B205, "")</f>
        <v/>
      </c>
    </row>
    <row r="206">
      <c r="A206" s="6" t="inlineStr">
        <is>
          <t>FY26</t>
        </is>
      </c>
      <c r="B206" s="6" t="inlineStr">
        <is>
          <t>Jan</t>
        </is>
      </c>
      <c r="C206" s="6" t="inlineStr">
        <is>
          <t>TN</t>
        </is>
      </c>
      <c r="D206" s="7" t="inlineStr">
        <is>
          <t>TN03AB1023</t>
        </is>
      </c>
      <c r="E206" s="7" t="inlineStr">
        <is>
          <t>TATA</t>
        </is>
      </c>
      <c r="F206" s="7" t="inlineStr">
        <is>
          <t>Tiago</t>
        </is>
      </c>
      <c r="G206" s="7" t="inlineStr">
        <is>
          <t>LAKSHMI TATA</t>
        </is>
      </c>
      <c r="H206" s="7" t="inlineStr">
        <is>
          <t>Non-Captive</t>
        </is>
      </c>
      <c r="I206" s="7" t="inlineStr">
        <is>
          <t>Thiya Cars</t>
        </is>
      </c>
      <c r="J206" s="8" t="n">
        <v>2019</v>
      </c>
      <c r="K206" s="9" t="n">
        <v>116457</v>
      </c>
      <c r="L206" s="10" t="n">
        <v>260000</v>
      </c>
      <c r="M206" s="10" t="n">
        <v>4237.29</v>
      </c>
      <c r="N206" s="11">
        <f>IF(M206="","",ROUND(M206*1.18,2))</f>
        <v/>
      </c>
      <c r="O206" s="12">
        <f>IF(M206="","",ROUND(N206-M206,2))</f>
        <v/>
      </c>
      <c r="P206" s="13">
        <f>IF(AND(A206&lt;&gt;"",B206&lt;&gt;""), A206&amp;" · "&amp;B206, "")</f>
        <v/>
      </c>
    </row>
    <row r="207">
      <c r="A207" s="6" t="inlineStr">
        <is>
          <t>FY26</t>
        </is>
      </c>
      <c r="B207" s="6" t="inlineStr">
        <is>
          <t>Jan</t>
        </is>
      </c>
      <c r="C207" s="6" t="inlineStr">
        <is>
          <t>TN</t>
        </is>
      </c>
      <c r="D207" s="7" t="inlineStr">
        <is>
          <t>TN03P4986</t>
        </is>
      </c>
      <c r="E207" s="7" t="inlineStr">
        <is>
          <t>HYUNDAI</t>
        </is>
      </c>
      <c r="F207" s="7" t="inlineStr">
        <is>
          <t>Grand i10</t>
        </is>
      </c>
      <c r="G207" s="7" t="inlineStr">
        <is>
          <t>KHIVRAJ MOTOR</t>
        </is>
      </c>
      <c r="H207" s="7" t="inlineStr">
        <is>
          <t>Non-Captive</t>
        </is>
      </c>
      <c r="I207" s="7" t="inlineStr">
        <is>
          <t>Shakthi Cars</t>
        </is>
      </c>
      <c r="J207" s="8" t="n">
        <v>2014</v>
      </c>
      <c r="K207" s="9" t="n">
        <v>55425</v>
      </c>
      <c r="L207" s="10" t="n">
        <v>280000</v>
      </c>
      <c r="M207" s="10" t="n">
        <v>2966.1</v>
      </c>
      <c r="N207" s="11">
        <f>IF(M207="","",ROUND(M207*1.18,2))</f>
        <v/>
      </c>
      <c r="O207" s="12">
        <f>IF(M207="","",ROUND(N207-M207,2))</f>
        <v/>
      </c>
      <c r="P207" s="13">
        <f>IF(AND(A207&lt;&gt;"",B207&lt;&gt;""), A207&amp;" · "&amp;B207, "")</f>
        <v/>
      </c>
    </row>
    <row r="208">
      <c r="A208" s="6" t="inlineStr">
        <is>
          <t>FY26</t>
        </is>
      </c>
      <c r="B208" s="6" t="inlineStr">
        <is>
          <t>Jan</t>
        </is>
      </c>
      <c r="C208" s="6" t="inlineStr">
        <is>
          <t>TN</t>
        </is>
      </c>
      <c r="D208" s="7" t="inlineStr">
        <is>
          <t>TN03R2391</t>
        </is>
      </c>
      <c r="E208" s="7" t="inlineStr">
        <is>
          <t>FORD</t>
        </is>
      </c>
      <c r="F208" s="7" t="inlineStr">
        <is>
          <t>Figo</t>
        </is>
      </c>
      <c r="G208" s="7" t="inlineStr">
        <is>
          <t>PRODUCTIVITY ELEMENTS PRIVATE LIMITED</t>
        </is>
      </c>
      <c r="H208" s="7" t="inlineStr">
        <is>
          <t>Non-Captive</t>
        </is>
      </c>
      <c r="I208" s="7" t="inlineStr">
        <is>
          <t>Bhagavan Cars</t>
        </is>
      </c>
      <c r="J208" s="8" t="n">
        <v>2015</v>
      </c>
      <c r="K208" s="9" t="n">
        <v>108256</v>
      </c>
      <c r="L208" s="10" t="n">
        <v>230000</v>
      </c>
      <c r="M208" s="10" t="n">
        <v>2966.1</v>
      </c>
      <c r="N208" s="11">
        <f>IF(M208="","",ROUND(M208*1.18,2))</f>
        <v/>
      </c>
      <c r="O208" s="12">
        <f>IF(M208="","",ROUND(N208-M208,2))</f>
        <v/>
      </c>
      <c r="P208" s="13">
        <f>IF(AND(A208&lt;&gt;"",B208&lt;&gt;""), A208&amp;" · "&amp;B208, "")</f>
        <v/>
      </c>
    </row>
    <row r="209">
      <c r="A209" s="6" t="inlineStr">
        <is>
          <t>FY26</t>
        </is>
      </c>
      <c r="B209" s="6" t="inlineStr">
        <is>
          <t>Jan</t>
        </is>
      </c>
      <c r="C209" s="6" t="inlineStr">
        <is>
          <t>TN</t>
        </is>
      </c>
      <c r="D209" s="7" t="inlineStr">
        <is>
          <t>TN04AJ4880</t>
        </is>
      </c>
      <c r="E209" s="7" t="inlineStr">
        <is>
          <t>NISSAN</t>
        </is>
      </c>
      <c r="F209" s="7" t="inlineStr">
        <is>
          <t>Micra</t>
        </is>
      </c>
      <c r="G209" s="7" t="inlineStr">
        <is>
          <t>KHIVRAJ MOTOR</t>
        </is>
      </c>
      <c r="H209" s="7" t="inlineStr">
        <is>
          <t>Non-Captive</t>
        </is>
      </c>
      <c r="I209" s="7" t="inlineStr">
        <is>
          <t>Bhagavan Cars</t>
        </is>
      </c>
      <c r="J209" s="8" t="n">
        <v>2012</v>
      </c>
      <c r="K209" s="9" t="n">
        <v>58746</v>
      </c>
      <c r="L209" s="10" t="n">
        <v>170000</v>
      </c>
      <c r="M209" s="10" t="n">
        <v>3389.83</v>
      </c>
      <c r="N209" s="11">
        <f>IF(M209="","",ROUND(M209*1.18,2))</f>
        <v/>
      </c>
      <c r="O209" s="12">
        <f>IF(M209="","",ROUND(N209-M209,2))</f>
        <v/>
      </c>
      <c r="P209" s="13">
        <f>IF(AND(A209&lt;&gt;"",B209&lt;&gt;""), A209&amp;" · "&amp;B209, "")</f>
        <v/>
      </c>
    </row>
    <row r="210">
      <c r="A210" s="6" t="inlineStr">
        <is>
          <t>FY26</t>
        </is>
      </c>
      <c r="B210" s="6" t="inlineStr">
        <is>
          <t>Jan</t>
        </is>
      </c>
      <c r="C210" s="6" t="inlineStr">
        <is>
          <t>TN</t>
        </is>
      </c>
      <c r="D210" s="7" t="inlineStr">
        <is>
          <t>TN04AM3889</t>
        </is>
      </c>
      <c r="E210" s="7" t="inlineStr">
        <is>
          <t>HONDA</t>
        </is>
      </c>
      <c r="F210" s="7" t="inlineStr">
        <is>
          <t>City</t>
        </is>
      </c>
      <c r="G210" s="7" t="inlineStr">
        <is>
          <t>KHIVRAJ MOTOR</t>
        </is>
      </c>
      <c r="H210" s="7" t="inlineStr">
        <is>
          <t>Non-Captive</t>
        </is>
      </c>
      <c r="I210" s="7" t="inlineStr">
        <is>
          <t>Shahana Cars</t>
        </is>
      </c>
      <c r="J210" s="8" t="n">
        <v>2014</v>
      </c>
      <c r="K210" s="9" t="n">
        <v>43234</v>
      </c>
      <c r="L210" s="10" t="n">
        <v>320000</v>
      </c>
      <c r="M210" s="10" t="n">
        <v>2966.1</v>
      </c>
      <c r="N210" s="11">
        <f>IF(M210="","",ROUND(M210*1.18,2))</f>
        <v/>
      </c>
      <c r="O210" s="12">
        <f>IF(M210="","",ROUND(N210-M210,2))</f>
        <v/>
      </c>
      <c r="P210" s="13">
        <f>IF(AND(A210&lt;&gt;"",B210&lt;&gt;""), A210&amp;" · "&amp;B210, "")</f>
        <v/>
      </c>
    </row>
    <row r="211">
      <c r="A211" s="6" t="inlineStr">
        <is>
          <t>FY26</t>
        </is>
      </c>
      <c r="B211" s="6" t="inlineStr">
        <is>
          <t>Jan</t>
        </is>
      </c>
      <c r="C211" s="6" t="inlineStr">
        <is>
          <t>TN</t>
        </is>
      </c>
      <c r="D211" s="7" t="inlineStr">
        <is>
          <t>TN04AM8127</t>
        </is>
      </c>
      <c r="E211" s="7" t="inlineStr">
        <is>
          <t>MARUTI SUZUKI</t>
        </is>
      </c>
      <c r="F211" s="7" t="inlineStr">
        <is>
          <t>Swift</t>
        </is>
      </c>
      <c r="G211" s="7" t="inlineStr">
        <is>
          <t>KHIVRAJ MOTOR</t>
        </is>
      </c>
      <c r="H211" s="7" t="inlineStr">
        <is>
          <t>Non-Captive</t>
        </is>
      </c>
      <c r="I211" s="7" t="inlineStr">
        <is>
          <t>Shakthi Cars</t>
        </is>
      </c>
      <c r="J211" s="8" t="n">
        <v>2014</v>
      </c>
      <c r="K211" s="9" t="n">
        <v>61149</v>
      </c>
      <c r="L211" s="10" t="n">
        <v>290000</v>
      </c>
      <c r="M211" s="10" t="n">
        <v>2966.1</v>
      </c>
      <c r="N211" s="11">
        <f>IF(M211="","",ROUND(M211*1.18,2))</f>
        <v/>
      </c>
      <c r="O211" s="12">
        <f>IF(M211="","",ROUND(N211-M211,2))</f>
        <v/>
      </c>
      <c r="P211" s="13">
        <f>IF(AND(A211&lt;&gt;"",B211&lt;&gt;""), A211&amp;" · "&amp;B211, "")</f>
        <v/>
      </c>
    </row>
    <row r="212">
      <c r="A212" s="6" t="inlineStr">
        <is>
          <t>FY26</t>
        </is>
      </c>
      <c r="B212" s="6" t="inlineStr">
        <is>
          <t>Jan</t>
        </is>
      </c>
      <c r="C212" s="6" t="inlineStr">
        <is>
          <t>TN</t>
        </is>
      </c>
      <c r="D212" s="7" t="inlineStr">
        <is>
          <t>TN04AQ0209</t>
        </is>
      </c>
      <c r="E212" s="7" t="inlineStr">
        <is>
          <t>HONDA</t>
        </is>
      </c>
      <c r="F212" s="7" t="inlineStr">
        <is>
          <t>City</t>
        </is>
      </c>
      <c r="G212" s="7" t="inlineStr">
        <is>
          <t>EXCHANGE CHENNAI</t>
        </is>
      </c>
      <c r="H212" s="7" t="inlineStr">
        <is>
          <t>Captive</t>
        </is>
      </c>
      <c r="I212" s="7" t="inlineStr">
        <is>
          <t>Ab cars Nagerkovil</t>
        </is>
      </c>
      <c r="J212" s="8" t="n">
        <v>2015</v>
      </c>
      <c r="K212" s="9" t="n">
        <v>56921</v>
      </c>
      <c r="L212" s="10" t="n">
        <v>440000</v>
      </c>
      <c r="M212" s="10" t="n">
        <v>4237.29</v>
      </c>
      <c r="N212" s="11">
        <f>IF(M212="","",ROUND(M212*1.18,2))</f>
        <v/>
      </c>
      <c r="O212" s="12">
        <f>IF(M212="","",ROUND(N212-M212,2))</f>
        <v/>
      </c>
      <c r="P212" s="13">
        <f>IF(AND(A212&lt;&gt;"",B212&lt;&gt;""), A212&amp;" · "&amp;B212, "")</f>
        <v/>
      </c>
    </row>
    <row r="213">
      <c r="A213" s="6" t="inlineStr">
        <is>
          <t>FY26</t>
        </is>
      </c>
      <c r="B213" s="6" t="inlineStr">
        <is>
          <t>Jan</t>
        </is>
      </c>
      <c r="C213" s="6" t="inlineStr">
        <is>
          <t>TN</t>
        </is>
      </c>
      <c r="D213" s="7" t="inlineStr">
        <is>
          <t>TN04AR0913</t>
        </is>
      </c>
      <c r="E213" s="7" t="inlineStr">
        <is>
          <t>HONDA</t>
        </is>
      </c>
      <c r="F213" s="7" t="inlineStr">
        <is>
          <t>Jazz</t>
        </is>
      </c>
      <c r="G213" s="7" t="inlineStr">
        <is>
          <t>LANSON COIMBATORE</t>
        </is>
      </c>
      <c r="H213" s="7" t="inlineStr">
        <is>
          <t>Non-Captive</t>
        </is>
      </c>
      <c r="I213" s="7" t="inlineStr">
        <is>
          <t>AAA Cars</t>
        </is>
      </c>
      <c r="J213" s="8" t="n">
        <v>2015</v>
      </c>
      <c r="K213" s="9" t="n">
        <v>107462</v>
      </c>
      <c r="L213" s="10" t="n">
        <v>235000</v>
      </c>
      <c r="M213" s="10" t="n">
        <v>4237.29</v>
      </c>
      <c r="N213" s="11">
        <f>IF(M213="","",ROUND(M213*1.18,2))</f>
        <v/>
      </c>
      <c r="O213" s="12">
        <f>IF(M213="","",ROUND(N213-M213,2))</f>
        <v/>
      </c>
      <c r="P213" s="13">
        <f>IF(AND(A213&lt;&gt;"",B213&lt;&gt;""), A213&amp;" · "&amp;B213, "")</f>
        <v/>
      </c>
    </row>
    <row r="214">
      <c r="A214" s="6" t="inlineStr">
        <is>
          <t>FY26</t>
        </is>
      </c>
      <c r="B214" s="6" t="inlineStr">
        <is>
          <t>Jan</t>
        </is>
      </c>
      <c r="C214" s="6" t="inlineStr">
        <is>
          <t>TN</t>
        </is>
      </c>
      <c r="D214" s="7" t="inlineStr">
        <is>
          <t>TN04AT4207</t>
        </is>
      </c>
      <c r="E214" s="7" t="inlineStr">
        <is>
          <t>MARUTI SUZUKI</t>
        </is>
      </c>
      <c r="F214" s="7" t="inlineStr">
        <is>
          <t>Baleno</t>
        </is>
      </c>
      <c r="G214" s="7" t="inlineStr">
        <is>
          <t>EPIC TOYOTA</t>
        </is>
      </c>
      <c r="H214" s="7" t="inlineStr">
        <is>
          <t>Non-Captive</t>
        </is>
      </c>
      <c r="I214" s="7" t="inlineStr">
        <is>
          <t>AAA Cars</t>
        </is>
      </c>
      <c r="J214" s="8" t="n">
        <v>2017</v>
      </c>
      <c r="K214" s="9" t="n">
        <v>119803</v>
      </c>
      <c r="L214" s="10" t="n">
        <v>330000</v>
      </c>
      <c r="M214" s="10" t="n">
        <v>4237.29</v>
      </c>
      <c r="N214" s="11">
        <f>IF(M214="","",ROUND(M214*1.18,2))</f>
        <v/>
      </c>
      <c r="O214" s="12">
        <f>IF(M214="","",ROUND(N214-M214,2))</f>
        <v/>
      </c>
      <c r="P214" s="13">
        <f>IF(AND(A214&lt;&gt;"",B214&lt;&gt;""), A214&amp;" · "&amp;B214, "")</f>
        <v/>
      </c>
    </row>
    <row r="215">
      <c r="A215" s="6" t="inlineStr">
        <is>
          <t>FY26</t>
        </is>
      </c>
      <c r="B215" s="6" t="inlineStr">
        <is>
          <t>Jan</t>
        </is>
      </c>
      <c r="C215" s="6" t="inlineStr">
        <is>
          <t>TN</t>
        </is>
      </c>
      <c r="D215" s="7" t="inlineStr">
        <is>
          <t>TN04AU0466</t>
        </is>
      </c>
      <c r="E215" s="7" t="inlineStr">
        <is>
          <t>MARUTI SUZUKI</t>
        </is>
      </c>
      <c r="F215" s="7" t="inlineStr">
        <is>
          <t>Baleno</t>
        </is>
      </c>
      <c r="G215" s="7" t="inlineStr">
        <is>
          <t>KHIVRAJ MOTOR</t>
        </is>
      </c>
      <c r="H215" s="7" t="inlineStr">
        <is>
          <t>Non-Captive</t>
        </is>
      </c>
      <c r="I215" s="7" t="inlineStr">
        <is>
          <t>AAA Cars</t>
        </is>
      </c>
      <c r="J215" s="8" t="n">
        <v>2018</v>
      </c>
      <c r="K215" s="9" t="n">
        <v>32589</v>
      </c>
      <c r="L215" s="10" t="n">
        <v>340000</v>
      </c>
      <c r="M215" s="10" t="n">
        <v>5084.75</v>
      </c>
      <c r="N215" s="11">
        <f>IF(M215="","",ROUND(M215*1.18,2))</f>
        <v/>
      </c>
      <c r="O215" s="12">
        <f>IF(M215="","",ROUND(N215-M215,2))</f>
        <v/>
      </c>
      <c r="P215" s="13">
        <f>IF(AND(A215&lt;&gt;"",B215&lt;&gt;""), A215&amp;" · "&amp;B215, "")</f>
        <v/>
      </c>
    </row>
    <row r="216">
      <c r="A216" s="6" t="inlineStr">
        <is>
          <t>FY26</t>
        </is>
      </c>
      <c r="B216" s="6" t="inlineStr">
        <is>
          <t>Jan</t>
        </is>
      </c>
      <c r="C216" s="6" t="inlineStr">
        <is>
          <t>TN</t>
        </is>
      </c>
      <c r="D216" s="7" t="inlineStr">
        <is>
          <t>TN04AV5218</t>
        </is>
      </c>
      <c r="E216" s="7" t="inlineStr">
        <is>
          <t>MARUTI SUZUKI</t>
        </is>
      </c>
      <c r="F216" s="7" t="inlineStr">
        <is>
          <t>Swift</t>
        </is>
      </c>
      <c r="G216" s="7" t="inlineStr">
        <is>
          <t>KHIVRAJ MOTOR</t>
        </is>
      </c>
      <c r="H216" s="7" t="inlineStr">
        <is>
          <t>Non-Captive</t>
        </is>
      </c>
      <c r="I216" s="7" t="inlineStr">
        <is>
          <t>AAA Cars</t>
        </is>
      </c>
      <c r="J216" s="8" t="n">
        <v>2018</v>
      </c>
      <c r="K216" s="9" t="n">
        <v>83786</v>
      </c>
      <c r="L216" s="10" t="n">
        <v>405000</v>
      </c>
      <c r="M216" s="10" t="n">
        <v>5084.75</v>
      </c>
      <c r="N216" s="11">
        <f>IF(M216="","",ROUND(M216*1.18,2))</f>
        <v/>
      </c>
      <c r="O216" s="12">
        <f>IF(M216="","",ROUND(N216-M216,2))</f>
        <v/>
      </c>
      <c r="P216" s="13">
        <f>IF(AND(A216&lt;&gt;"",B216&lt;&gt;""), A216&amp;" · "&amp;B216, "")</f>
        <v/>
      </c>
    </row>
    <row r="217">
      <c r="A217" s="6" t="inlineStr">
        <is>
          <t>FY26</t>
        </is>
      </c>
      <c r="B217" s="6" t="inlineStr">
        <is>
          <t>Jan</t>
        </is>
      </c>
      <c r="C217" s="6" t="inlineStr">
        <is>
          <t>TN</t>
        </is>
      </c>
      <c r="D217" s="7" t="inlineStr">
        <is>
          <t>TN04AY0732</t>
        </is>
      </c>
      <c r="E217" s="7" t="inlineStr">
        <is>
          <t>VOLKSWAGEN</t>
        </is>
      </c>
      <c r="F217" s="7" t="inlineStr">
        <is>
          <t>Polo</t>
        </is>
      </c>
      <c r="G217" s="7" t="inlineStr">
        <is>
          <t>KHIVRAJ MOTOR</t>
        </is>
      </c>
      <c r="H217" s="7" t="inlineStr">
        <is>
          <t>Non-Captive</t>
        </is>
      </c>
      <c r="I217" s="7" t="inlineStr">
        <is>
          <t>Bhagavan Cars</t>
        </is>
      </c>
      <c r="J217" s="8" t="n">
        <v>2021</v>
      </c>
      <c r="K217" s="9" t="n">
        <v>48627</v>
      </c>
      <c r="L217" s="10" t="n">
        <v>450000</v>
      </c>
      <c r="M217" s="10" t="n">
        <v>2966.1</v>
      </c>
      <c r="N217" s="11">
        <f>IF(M217="","",ROUND(M217*1.18,2))</f>
        <v/>
      </c>
      <c r="O217" s="12">
        <f>IF(M217="","",ROUND(N217-M217,2))</f>
        <v/>
      </c>
      <c r="P217" s="13">
        <f>IF(AND(A217&lt;&gt;"",B217&lt;&gt;""), A217&amp;" · "&amp;B217, "")</f>
        <v/>
      </c>
    </row>
    <row r="218">
      <c r="A218" s="6" t="inlineStr">
        <is>
          <t>FY26</t>
        </is>
      </c>
      <c r="B218" s="6" t="inlineStr">
        <is>
          <t>Jan</t>
        </is>
      </c>
      <c r="C218" s="6" t="inlineStr">
        <is>
          <t>TN</t>
        </is>
      </c>
      <c r="D218" s="7" t="inlineStr">
        <is>
          <t>TN04M2977</t>
        </is>
      </c>
      <c r="E218" s="7" t="inlineStr">
        <is>
          <t>TOYOTA</t>
        </is>
      </c>
      <c r="F218" s="7" t="inlineStr">
        <is>
          <t>Corolla Altis</t>
        </is>
      </c>
      <c r="G218" s="7" t="inlineStr">
        <is>
          <t>EXCHANGE CHENNAI</t>
        </is>
      </c>
      <c r="H218" s="7" t="inlineStr">
        <is>
          <t>Captive</t>
        </is>
      </c>
      <c r="I218" s="7" t="inlineStr">
        <is>
          <t>Pine Autos</t>
        </is>
      </c>
      <c r="J218" s="8" t="n">
        <v>2003</v>
      </c>
      <c r="K218" s="9" t="n">
        <v>88077</v>
      </c>
      <c r="L218" s="10" t="n">
        <v>80000</v>
      </c>
      <c r="M218" s="10" t="n">
        <v>5932.2</v>
      </c>
      <c r="N218" s="11">
        <f>IF(M218="","",ROUND(M218*1.18,2))</f>
        <v/>
      </c>
      <c r="O218" s="12">
        <f>IF(M218="","",ROUND(N218-M218,2))</f>
        <v/>
      </c>
      <c r="P218" s="13">
        <f>IF(AND(A218&lt;&gt;"",B218&lt;&gt;""), A218&amp;" · "&amp;B218, "")</f>
        <v/>
      </c>
    </row>
    <row r="219">
      <c r="A219" s="6" t="inlineStr">
        <is>
          <t>FY26</t>
        </is>
      </c>
      <c r="B219" s="6" t="inlineStr">
        <is>
          <t>Jan</t>
        </is>
      </c>
      <c r="C219" s="6" t="inlineStr">
        <is>
          <t>TN</t>
        </is>
      </c>
      <c r="D219" s="7" t="inlineStr">
        <is>
          <t>TN05AJ9459</t>
        </is>
      </c>
      <c r="E219" s="7" t="inlineStr">
        <is>
          <t>MARUTI SUZUKI</t>
        </is>
      </c>
      <c r="F219" s="7" t="inlineStr">
        <is>
          <t>Wagon R</t>
        </is>
      </c>
      <c r="G219" s="7" t="inlineStr">
        <is>
          <t>KHIVRAJ MOTOR</t>
        </is>
      </c>
      <c r="H219" s="7" t="inlineStr">
        <is>
          <t>Non-Captive</t>
        </is>
      </c>
      <c r="I219" s="7" t="inlineStr">
        <is>
          <t>Santhosh Cars</t>
        </is>
      </c>
      <c r="J219" s="8" t="n">
        <v>2011</v>
      </c>
      <c r="K219" s="9" t="n">
        <v>87652</v>
      </c>
      <c r="L219" s="10" t="n">
        <v>120000</v>
      </c>
      <c r="M219" s="10" t="n">
        <v>2966.1</v>
      </c>
      <c r="N219" s="11">
        <f>IF(M219="","",ROUND(M219*1.18,2))</f>
        <v/>
      </c>
      <c r="O219" s="12">
        <f>IF(M219="","",ROUND(N219-M219,2))</f>
        <v/>
      </c>
      <c r="P219" s="13">
        <f>IF(AND(A219&lt;&gt;"",B219&lt;&gt;""), A219&amp;" · "&amp;B219, "")</f>
        <v/>
      </c>
    </row>
    <row r="220">
      <c r="A220" s="6" t="inlineStr">
        <is>
          <t>FY26</t>
        </is>
      </c>
      <c r="B220" s="6" t="inlineStr">
        <is>
          <t>Jan</t>
        </is>
      </c>
      <c r="C220" s="6" t="inlineStr">
        <is>
          <t>TN</t>
        </is>
      </c>
      <c r="D220" s="7" t="inlineStr">
        <is>
          <t>TN05AS2905</t>
        </is>
      </c>
      <c r="E220" s="7" t="inlineStr">
        <is>
          <t>TOYOTA</t>
        </is>
      </c>
      <c r="F220" s="7" t="inlineStr">
        <is>
          <t>Etios</t>
        </is>
      </c>
      <c r="G220" s="7" t="inlineStr">
        <is>
          <t>SAI CARS CBE</t>
        </is>
      </c>
      <c r="H220" s="7" t="inlineStr">
        <is>
          <t>Non-Captive</t>
        </is>
      </c>
      <c r="I220" s="7" t="inlineStr">
        <is>
          <t>YUGA DHEERAN CARS</t>
        </is>
      </c>
      <c r="J220" s="8" t="n">
        <v>2013</v>
      </c>
      <c r="K220" s="9" t="n">
        <v>83523</v>
      </c>
      <c r="L220" s="10" t="n">
        <v>180000</v>
      </c>
      <c r="M220" s="10" t="n">
        <v>4237.29</v>
      </c>
      <c r="N220" s="11">
        <f>IF(M220="","",ROUND(M220*1.18,2))</f>
        <v/>
      </c>
      <c r="O220" s="12">
        <f>IF(M220="","",ROUND(N220-M220,2))</f>
        <v/>
      </c>
      <c r="P220" s="13">
        <f>IF(AND(A220&lt;&gt;"",B220&lt;&gt;""), A220&amp;" · "&amp;B220, "")</f>
        <v/>
      </c>
    </row>
    <row r="221">
      <c r="A221" s="6" t="inlineStr">
        <is>
          <t>FY26</t>
        </is>
      </c>
      <c r="B221" s="6" t="inlineStr">
        <is>
          <t>Jan</t>
        </is>
      </c>
      <c r="C221" s="6" t="inlineStr">
        <is>
          <t>TN</t>
        </is>
      </c>
      <c r="D221" s="7" t="inlineStr">
        <is>
          <t>TN05BE2653</t>
        </is>
      </c>
      <c r="E221" s="7" t="inlineStr">
        <is>
          <t>MARUTI SUZUKI</t>
        </is>
      </c>
      <c r="F221" s="7" t="inlineStr">
        <is>
          <t>Baleno</t>
        </is>
      </c>
      <c r="G221" s="7" t="inlineStr">
        <is>
          <t>KHIVRAJ MOTOR</t>
        </is>
      </c>
      <c r="H221" s="7" t="inlineStr">
        <is>
          <t>Non-Captive</t>
        </is>
      </c>
      <c r="I221" s="7" t="inlineStr">
        <is>
          <t>Omega Car Zone</t>
        </is>
      </c>
      <c r="J221" s="8" t="n">
        <v>2016</v>
      </c>
      <c r="K221" s="9" t="n">
        <v>63234</v>
      </c>
      <c r="L221" s="10" t="n">
        <v>410000</v>
      </c>
      <c r="M221" s="10" t="n">
        <v>5084.75</v>
      </c>
      <c r="N221" s="11">
        <f>IF(M221="","",ROUND(M221*1.18,2))</f>
        <v/>
      </c>
      <c r="O221" s="12">
        <f>IF(M221="","",ROUND(N221-M221,2))</f>
        <v/>
      </c>
      <c r="P221" s="13">
        <f>IF(AND(A221&lt;&gt;"",B221&lt;&gt;""), A221&amp;" · "&amp;B221, "")</f>
        <v/>
      </c>
    </row>
    <row r="222">
      <c r="A222" s="6" t="inlineStr">
        <is>
          <t>FY26</t>
        </is>
      </c>
      <c r="B222" s="6" t="inlineStr">
        <is>
          <t>Jan</t>
        </is>
      </c>
      <c r="C222" s="6" t="inlineStr">
        <is>
          <t>TN</t>
        </is>
      </c>
      <c r="D222" s="7" t="inlineStr">
        <is>
          <t>TN05BP3457</t>
        </is>
      </c>
      <c r="E222" s="7" t="inlineStr">
        <is>
          <t>MARUTI SUZUKI</t>
        </is>
      </c>
      <c r="F222" s="7" t="inlineStr">
        <is>
          <t>Celerio</t>
        </is>
      </c>
      <c r="G222" s="7" t="inlineStr">
        <is>
          <t>KHIVRAJ MOTOR</t>
        </is>
      </c>
      <c r="H222" s="7" t="inlineStr">
        <is>
          <t>Non-Captive</t>
        </is>
      </c>
      <c r="I222" s="7" t="inlineStr">
        <is>
          <t>Santhosh Cars</t>
        </is>
      </c>
      <c r="J222" s="8" t="n">
        <v>2017</v>
      </c>
      <c r="K222" s="9" t="n">
        <v>55497</v>
      </c>
      <c r="L222" s="10" t="n">
        <v>380000</v>
      </c>
      <c r="M222" s="10" t="n">
        <v>2966.1</v>
      </c>
      <c r="N222" s="11">
        <f>IF(M222="","",ROUND(M222*1.18,2))</f>
        <v/>
      </c>
      <c r="O222" s="12">
        <f>IF(M222="","",ROUND(N222-M222,2))</f>
        <v/>
      </c>
      <c r="P222" s="13">
        <f>IF(AND(A222&lt;&gt;"",B222&lt;&gt;""), A222&amp;" · "&amp;B222, "")</f>
        <v/>
      </c>
    </row>
    <row r="223">
      <c r="A223" s="6" t="inlineStr">
        <is>
          <t>FY26</t>
        </is>
      </c>
      <c r="B223" s="6" t="inlineStr">
        <is>
          <t>Jan</t>
        </is>
      </c>
      <c r="C223" s="6" t="inlineStr">
        <is>
          <t>TN</t>
        </is>
      </c>
      <c r="D223" s="7" t="inlineStr">
        <is>
          <t>TN05BW6130</t>
        </is>
      </c>
      <c r="E223" s="7" t="inlineStr">
        <is>
          <t>MARUTI SUZUKI</t>
        </is>
      </c>
      <c r="F223" s="7" t="inlineStr">
        <is>
          <t>Vitara Brezza</t>
        </is>
      </c>
      <c r="G223" s="7" t="inlineStr">
        <is>
          <t>KHIVRAJ MOTOR</t>
        </is>
      </c>
      <c r="H223" s="7" t="inlineStr">
        <is>
          <t>Non-Captive</t>
        </is>
      </c>
      <c r="I223" s="7" t="inlineStr">
        <is>
          <t>Shakthi Cars</t>
        </is>
      </c>
      <c r="J223" s="8" t="n">
        <v>2019</v>
      </c>
      <c r="K223" s="9" t="n">
        <v>95919</v>
      </c>
      <c r="L223" s="10" t="n">
        <v>560000</v>
      </c>
      <c r="M223" s="10" t="n">
        <v>2966.1</v>
      </c>
      <c r="N223" s="11">
        <f>IF(M223="","",ROUND(M223*1.18,2))</f>
        <v/>
      </c>
      <c r="O223" s="12">
        <f>IF(M223="","",ROUND(N223-M223,2))</f>
        <v/>
      </c>
      <c r="P223" s="13">
        <f>IF(AND(A223&lt;&gt;"",B223&lt;&gt;""), A223&amp;" · "&amp;B223, "")</f>
        <v/>
      </c>
    </row>
    <row r="224">
      <c r="A224" s="6" t="inlineStr">
        <is>
          <t>FY26</t>
        </is>
      </c>
      <c r="B224" s="6" t="inlineStr">
        <is>
          <t>Jan</t>
        </is>
      </c>
      <c r="C224" s="6" t="inlineStr">
        <is>
          <t>TN</t>
        </is>
      </c>
      <c r="D224" s="7" t="inlineStr">
        <is>
          <t>TN05CD1317</t>
        </is>
      </c>
      <c r="E224" s="7" t="inlineStr">
        <is>
          <t>MARUTI SUZUKI</t>
        </is>
      </c>
      <c r="F224" s="7" t="inlineStr">
        <is>
          <t>Baleno</t>
        </is>
      </c>
      <c r="G224" s="7" t="inlineStr">
        <is>
          <t>KHIVRAJ MOTOR</t>
        </is>
      </c>
      <c r="H224" s="7" t="inlineStr">
        <is>
          <t>Non-Captive</t>
        </is>
      </c>
      <c r="I224" s="7" t="inlineStr">
        <is>
          <t>AAA Cars</t>
        </is>
      </c>
      <c r="J224" s="8" t="n">
        <v>2021</v>
      </c>
      <c r="K224" s="9" t="n">
        <v>86576</v>
      </c>
      <c r="L224" s="10" t="n">
        <v>470000</v>
      </c>
      <c r="M224" s="10" t="n">
        <v>8474.58</v>
      </c>
      <c r="N224" s="11">
        <f>IF(M224="","",ROUND(M224*1.18,2))</f>
        <v/>
      </c>
      <c r="O224" s="12">
        <f>IF(M224="","",ROUND(N224-M224,2))</f>
        <v/>
      </c>
      <c r="P224" s="13">
        <f>IF(AND(A224&lt;&gt;"",B224&lt;&gt;""), A224&amp;" · "&amp;B224, "")</f>
        <v/>
      </c>
    </row>
    <row r="225">
      <c r="A225" s="6" t="inlineStr">
        <is>
          <t>FY26</t>
        </is>
      </c>
      <c r="B225" s="6" t="inlineStr">
        <is>
          <t>Jan</t>
        </is>
      </c>
      <c r="C225" s="6" t="inlineStr">
        <is>
          <t>TN</t>
        </is>
      </c>
      <c r="D225" s="7" t="inlineStr">
        <is>
          <t>TN05CF0321</t>
        </is>
      </c>
      <c r="E225" s="7" t="inlineStr">
        <is>
          <t>MARUTI SUZUKI</t>
        </is>
      </c>
      <c r="F225" s="7" t="inlineStr">
        <is>
          <t>Eeco</t>
        </is>
      </c>
      <c r="G225" s="7" t="inlineStr">
        <is>
          <t>EPIC TOYOTA</t>
        </is>
      </c>
      <c r="H225" s="7" t="inlineStr">
        <is>
          <t>Non-Captive</t>
        </is>
      </c>
      <c r="I225" s="7" t="inlineStr">
        <is>
          <t>AAA Cars</t>
        </is>
      </c>
      <c r="J225" s="8" t="n">
        <v>2021</v>
      </c>
      <c r="K225" s="9" t="n">
        <v>36492</v>
      </c>
      <c r="L225" s="10" t="n">
        <v>330000</v>
      </c>
      <c r="M225" s="10" t="n">
        <v>4237.29</v>
      </c>
      <c r="N225" s="11">
        <f>IF(M225="","",ROUND(M225*1.18,2))</f>
        <v/>
      </c>
      <c r="O225" s="12">
        <f>IF(M225="","",ROUND(N225-M225,2))</f>
        <v/>
      </c>
      <c r="P225" s="13">
        <f>IF(AND(A225&lt;&gt;"",B225&lt;&gt;""), A225&amp;" · "&amp;B225, "")</f>
        <v/>
      </c>
    </row>
    <row r="226">
      <c r="A226" s="6" t="inlineStr">
        <is>
          <t>FY26</t>
        </is>
      </c>
      <c r="B226" s="6" t="inlineStr">
        <is>
          <t>Jan</t>
        </is>
      </c>
      <c r="C226" s="6" t="inlineStr">
        <is>
          <t>TN</t>
        </is>
      </c>
      <c r="D226" s="7" t="inlineStr">
        <is>
          <t>TN06AA3072</t>
        </is>
      </c>
      <c r="E226" s="7" t="inlineStr">
        <is>
          <t>MARUTI SUZUKI</t>
        </is>
      </c>
      <c r="F226" s="7" t="inlineStr">
        <is>
          <t>Alto</t>
        </is>
      </c>
      <c r="G226" s="7" t="inlineStr">
        <is>
          <t>KHIVRAJ MOTOR</t>
        </is>
      </c>
      <c r="H226" s="7" t="inlineStr">
        <is>
          <t>Non-Captive</t>
        </is>
      </c>
      <c r="I226" s="7" t="inlineStr">
        <is>
          <t>Gugha Cars</t>
        </is>
      </c>
      <c r="J226" s="8" t="n">
        <v>2012</v>
      </c>
      <c r="K226" s="9" t="n">
        <v>89752</v>
      </c>
      <c r="L226" s="10" t="n">
        <v>245000</v>
      </c>
      <c r="M226" s="10" t="n">
        <v>5000</v>
      </c>
      <c r="N226" s="11">
        <f>IF(M226="","",ROUND(M226*1.18,2))</f>
        <v/>
      </c>
      <c r="O226" s="12">
        <f>IF(M226="","",ROUND(N226-M226,2))</f>
        <v/>
      </c>
      <c r="P226" s="13">
        <f>IF(AND(A226&lt;&gt;"",B226&lt;&gt;""), A226&amp;" · "&amp;B226, "")</f>
        <v/>
      </c>
    </row>
    <row r="227">
      <c r="A227" s="6" t="inlineStr">
        <is>
          <t>FY26</t>
        </is>
      </c>
      <c r="B227" s="6" t="inlineStr">
        <is>
          <t>Jan</t>
        </is>
      </c>
      <c r="C227" s="6" t="inlineStr">
        <is>
          <t>TN</t>
        </is>
      </c>
      <c r="D227" s="7" t="inlineStr">
        <is>
          <t>TN06AA4601</t>
        </is>
      </c>
      <c r="E227" s="7" t="inlineStr">
        <is>
          <t>HYUNDAI</t>
        </is>
      </c>
      <c r="F227" s="7" t="inlineStr">
        <is>
          <t>Grand i10</t>
        </is>
      </c>
      <c r="G227" s="7" t="inlineStr">
        <is>
          <t>EXCHANGE CHENNAI</t>
        </is>
      </c>
      <c r="H227" s="7" t="inlineStr">
        <is>
          <t>Captive</t>
        </is>
      </c>
      <c r="I227" s="7" t="inlineStr">
        <is>
          <t>Shakthi Cars</t>
        </is>
      </c>
      <c r="J227" s="8" t="n">
        <v>2021</v>
      </c>
      <c r="K227" s="9" t="n">
        <v>5227</v>
      </c>
      <c r="L227" s="10" t="n">
        <v>460000</v>
      </c>
      <c r="M227" s="10" t="n">
        <v>4237.29</v>
      </c>
      <c r="N227" s="11">
        <f>IF(M227="","",ROUND(M227*1.18,2))</f>
        <v/>
      </c>
      <c r="O227" s="12">
        <f>IF(M227="","",ROUND(N227-M227,2))</f>
        <v/>
      </c>
      <c r="P227" s="13">
        <f>IF(AND(A227&lt;&gt;"",B227&lt;&gt;""), A227&amp;" · "&amp;B227, "")</f>
        <v/>
      </c>
    </row>
    <row r="228">
      <c r="A228" s="6" t="inlineStr">
        <is>
          <t>FY26</t>
        </is>
      </c>
      <c r="B228" s="6" t="inlineStr">
        <is>
          <t>Jan</t>
        </is>
      </c>
      <c r="C228" s="6" t="inlineStr">
        <is>
          <t>TN</t>
        </is>
      </c>
      <c r="D228" s="7" t="inlineStr">
        <is>
          <t>TN06AB2894</t>
        </is>
      </c>
      <c r="E228" s="7" t="inlineStr">
        <is>
          <t>MARUTI SUZUKI</t>
        </is>
      </c>
      <c r="F228" s="7" t="inlineStr">
        <is>
          <t>Swift</t>
        </is>
      </c>
      <c r="G228" s="7" t="inlineStr">
        <is>
          <t>KHIVRAJ MOTOR</t>
        </is>
      </c>
      <c r="H228" s="7" t="inlineStr">
        <is>
          <t>Non-Captive</t>
        </is>
      </c>
      <c r="I228" s="7" t="inlineStr">
        <is>
          <t>Senthil Cars</t>
        </is>
      </c>
      <c r="J228" s="8" t="n">
        <v>2021</v>
      </c>
      <c r="K228" s="9" t="n">
        <v>31487</v>
      </c>
      <c r="L228" s="10" t="n">
        <v>470000</v>
      </c>
      <c r="M228" s="10" t="n">
        <v>2966.1</v>
      </c>
      <c r="N228" s="11">
        <f>IF(M228="","",ROUND(M228*1.18,2))</f>
        <v/>
      </c>
      <c r="O228" s="12">
        <f>IF(M228="","",ROUND(N228-M228,2))</f>
        <v/>
      </c>
      <c r="P228" s="13">
        <f>IF(AND(A228&lt;&gt;"",B228&lt;&gt;""), A228&amp;" · "&amp;B228, "")</f>
        <v/>
      </c>
    </row>
    <row r="229">
      <c r="A229" s="6" t="inlineStr">
        <is>
          <t>FY26</t>
        </is>
      </c>
      <c r="B229" s="6" t="inlineStr">
        <is>
          <t>Jan</t>
        </is>
      </c>
      <c r="C229" s="6" t="inlineStr">
        <is>
          <t>TN</t>
        </is>
      </c>
      <c r="D229" s="7" t="inlineStr">
        <is>
          <t>TN06B2738</t>
        </is>
      </c>
      <c r="E229" s="7" t="inlineStr">
        <is>
          <t>HYUNDAI</t>
        </is>
      </c>
      <c r="F229" s="7" t="inlineStr">
        <is>
          <t>i10</t>
        </is>
      </c>
      <c r="G229" s="7" t="inlineStr">
        <is>
          <t>NIRMAL</t>
        </is>
      </c>
      <c r="H229" s="7" t="inlineStr">
        <is>
          <t>Non-Captive</t>
        </is>
      </c>
      <c r="I229" s="7" t="inlineStr">
        <is>
          <t>Ragupathy Cars</t>
        </is>
      </c>
      <c r="J229" s="8" t="n">
        <v>2010</v>
      </c>
      <c r="K229" s="9" t="n">
        <v>124567</v>
      </c>
      <c r="L229" s="10" t="n">
        <v>180000</v>
      </c>
      <c r="M229" s="10" t="n">
        <v>4237.29</v>
      </c>
      <c r="N229" s="11">
        <f>IF(M229="","",ROUND(M229*1.18,2))</f>
        <v/>
      </c>
      <c r="O229" s="12">
        <f>IF(M229="","",ROUND(N229-M229,2))</f>
        <v/>
      </c>
      <c r="P229" s="13">
        <f>IF(AND(A229&lt;&gt;"",B229&lt;&gt;""), A229&amp;" · "&amp;B229, "")</f>
        <v/>
      </c>
    </row>
    <row r="230">
      <c r="A230" s="6" t="inlineStr">
        <is>
          <t>FY26</t>
        </is>
      </c>
      <c r="B230" s="6" t="inlineStr">
        <is>
          <t>Jan</t>
        </is>
      </c>
      <c r="C230" s="6" t="inlineStr">
        <is>
          <t>TN</t>
        </is>
      </c>
      <c r="D230" s="7" t="inlineStr">
        <is>
          <t>TN06D6917</t>
        </is>
      </c>
      <c r="E230" s="7" t="inlineStr">
        <is>
          <t>MARUTI SUZUKI</t>
        </is>
      </c>
      <c r="F230" s="7" t="inlineStr">
        <is>
          <t>Alto</t>
        </is>
      </c>
      <c r="G230" s="7" t="inlineStr">
        <is>
          <t>JAIKRISHNAA AUTOSALES PRIVATE LIMITED</t>
        </is>
      </c>
      <c r="H230" s="7" t="inlineStr">
        <is>
          <t>Non-Captive</t>
        </is>
      </c>
      <c r="I230" s="7" t="inlineStr">
        <is>
          <t>SELVA MOTORS</t>
        </is>
      </c>
      <c r="J230" s="8" t="n">
        <v>2011</v>
      </c>
      <c r="K230" s="9" t="n">
        <v>100000</v>
      </c>
      <c r="L230" s="10" t="n">
        <v>120000</v>
      </c>
      <c r="M230" s="10" t="n">
        <v>4237.29</v>
      </c>
      <c r="N230" s="11">
        <f>IF(M230="","",ROUND(M230*1.18,2))</f>
        <v/>
      </c>
      <c r="O230" s="12">
        <f>IF(M230="","",ROUND(N230-M230,2))</f>
        <v/>
      </c>
      <c r="P230" s="13">
        <f>IF(AND(A230&lt;&gt;"",B230&lt;&gt;""), A230&amp;" · "&amp;B230, "")</f>
        <v/>
      </c>
    </row>
    <row r="231">
      <c r="A231" s="6" t="inlineStr">
        <is>
          <t>FY26</t>
        </is>
      </c>
      <c r="B231" s="6" t="inlineStr">
        <is>
          <t>Jan</t>
        </is>
      </c>
      <c r="C231" s="6" t="inlineStr">
        <is>
          <t>TN</t>
        </is>
      </c>
      <c r="D231" s="7" t="inlineStr">
        <is>
          <t>TN06K1909</t>
        </is>
      </c>
      <c r="E231" s="7" t="inlineStr">
        <is>
          <t>FORD</t>
        </is>
      </c>
      <c r="F231" s="7" t="inlineStr">
        <is>
          <t>EcoSport</t>
        </is>
      </c>
      <c r="G231" s="7" t="inlineStr">
        <is>
          <t>VISHNU CARS PRIVATE LIMITED</t>
        </is>
      </c>
      <c r="H231" s="7" t="inlineStr">
        <is>
          <t>Non-Captive</t>
        </is>
      </c>
      <c r="I231" s="7" t="inlineStr">
        <is>
          <t>Pine Autos</t>
        </is>
      </c>
      <c r="J231" s="8" t="n">
        <v>2013</v>
      </c>
      <c r="K231" s="9" t="n">
        <v>70906</v>
      </c>
      <c r="L231" s="10" t="n">
        <v>240000</v>
      </c>
      <c r="M231" s="10" t="n">
        <v>4237.29</v>
      </c>
      <c r="N231" s="11">
        <f>IF(M231="","",ROUND(M231*1.18,2))</f>
        <v/>
      </c>
      <c r="O231" s="12">
        <f>IF(M231="","",ROUND(N231-M231,2))</f>
        <v/>
      </c>
      <c r="P231" s="13">
        <f>IF(AND(A231&lt;&gt;"",B231&lt;&gt;""), A231&amp;" · "&amp;B231, "")</f>
        <v/>
      </c>
    </row>
    <row r="232">
      <c r="A232" s="6" t="inlineStr">
        <is>
          <t>FY26</t>
        </is>
      </c>
      <c r="B232" s="6" t="inlineStr">
        <is>
          <t>Jan</t>
        </is>
      </c>
      <c r="C232" s="6" t="inlineStr">
        <is>
          <t>TN</t>
        </is>
      </c>
      <c r="D232" s="7" t="inlineStr">
        <is>
          <t>TN06K7642</t>
        </is>
      </c>
      <c r="E232" s="7" t="inlineStr">
        <is>
          <t>VOLKSWAGEN</t>
        </is>
      </c>
      <c r="F232" s="7" t="inlineStr">
        <is>
          <t>Polo</t>
        </is>
      </c>
      <c r="G232" s="7" t="inlineStr">
        <is>
          <t>KHIVRAJ MOTOR</t>
        </is>
      </c>
      <c r="H232" s="7" t="inlineStr">
        <is>
          <t>Non-Captive</t>
        </is>
      </c>
      <c r="I232" s="7" t="inlineStr">
        <is>
          <t>Prem Cars</t>
        </is>
      </c>
      <c r="J232" s="8" t="n">
        <v>2013</v>
      </c>
      <c r="K232" s="9" t="n">
        <v>81914</v>
      </c>
      <c r="L232" s="10" t="n">
        <v>180000</v>
      </c>
      <c r="M232" s="10" t="n">
        <v>5084.75</v>
      </c>
      <c r="N232" s="11">
        <f>IF(M232="","",ROUND(M232*1.18,2))</f>
        <v/>
      </c>
      <c r="O232" s="12">
        <f>IF(M232="","",ROUND(N232-M232,2))</f>
        <v/>
      </c>
      <c r="P232" s="13">
        <f>IF(AND(A232&lt;&gt;"",B232&lt;&gt;""), A232&amp;" · "&amp;B232, "")</f>
        <v/>
      </c>
    </row>
    <row r="233">
      <c r="A233" s="6" t="inlineStr">
        <is>
          <t>FY26</t>
        </is>
      </c>
      <c r="B233" s="6" t="inlineStr">
        <is>
          <t>Jan</t>
        </is>
      </c>
      <c r="C233" s="6" t="inlineStr">
        <is>
          <t>TN</t>
        </is>
      </c>
      <c r="D233" s="7" t="inlineStr">
        <is>
          <t>TN06M0585</t>
        </is>
      </c>
      <c r="E233" s="7" t="inlineStr">
        <is>
          <t>HONDA</t>
        </is>
      </c>
      <c r="F233" s="7" t="inlineStr">
        <is>
          <t>Mobilio</t>
        </is>
      </c>
      <c r="G233" s="7" t="inlineStr">
        <is>
          <t>KHIVRAJ MOTOR</t>
        </is>
      </c>
      <c r="H233" s="7" t="inlineStr">
        <is>
          <t>Non-Captive</t>
        </is>
      </c>
      <c r="I233" s="7" t="inlineStr">
        <is>
          <t>Santhosh Cars</t>
        </is>
      </c>
      <c r="J233" s="8" t="n">
        <v>2014</v>
      </c>
      <c r="K233" s="9" t="n">
        <v>121233</v>
      </c>
      <c r="L233" s="10" t="n">
        <v>300000</v>
      </c>
      <c r="M233" s="10" t="n">
        <v>2966.1</v>
      </c>
      <c r="N233" s="11">
        <f>IF(M233="","",ROUND(M233*1.18,2))</f>
        <v/>
      </c>
      <c r="O233" s="12">
        <f>IF(M233="","",ROUND(N233-M233,2))</f>
        <v/>
      </c>
      <c r="P233" s="13">
        <f>IF(AND(A233&lt;&gt;"",B233&lt;&gt;""), A233&amp;" · "&amp;B233, "")</f>
        <v/>
      </c>
    </row>
    <row r="234">
      <c r="A234" s="6" t="inlineStr">
        <is>
          <t>FY26</t>
        </is>
      </c>
      <c r="B234" s="6" t="inlineStr">
        <is>
          <t>Jan</t>
        </is>
      </c>
      <c r="C234" s="6" t="inlineStr">
        <is>
          <t>TN</t>
        </is>
      </c>
      <c r="D234" s="7" t="inlineStr">
        <is>
          <t>TN06P2664</t>
        </is>
      </c>
      <c r="E234" s="7" t="inlineStr">
        <is>
          <t>MARUTI SUZUKI</t>
        </is>
      </c>
      <c r="F234" s="7" t="inlineStr">
        <is>
          <t>Dzire</t>
        </is>
      </c>
      <c r="G234" s="7" t="inlineStr">
        <is>
          <t>KHIVRAJ MOTOR</t>
        </is>
      </c>
      <c r="H234" s="7" t="inlineStr">
        <is>
          <t>Non-Captive</t>
        </is>
      </c>
      <c r="I234" s="7" t="inlineStr">
        <is>
          <t>Bhagavan Cars</t>
        </is>
      </c>
      <c r="J234" s="8" t="n">
        <v>2015</v>
      </c>
      <c r="K234" s="9" t="n">
        <v>184216</v>
      </c>
      <c r="L234" s="10" t="n">
        <v>340000</v>
      </c>
      <c r="M234" s="10" t="n">
        <v>3389.83</v>
      </c>
      <c r="N234" s="11">
        <f>IF(M234="","",ROUND(M234*1.18,2))</f>
        <v/>
      </c>
      <c r="O234" s="12">
        <f>IF(M234="","",ROUND(N234-M234,2))</f>
        <v/>
      </c>
      <c r="P234" s="13">
        <f>IF(AND(A234&lt;&gt;"",B234&lt;&gt;""), A234&amp;" · "&amp;B234, "")</f>
        <v/>
      </c>
    </row>
    <row r="235">
      <c r="A235" s="6" t="inlineStr">
        <is>
          <t>FY26</t>
        </is>
      </c>
      <c r="B235" s="6" t="inlineStr">
        <is>
          <t>Jan</t>
        </is>
      </c>
      <c r="C235" s="6" t="inlineStr">
        <is>
          <t>TN</t>
        </is>
      </c>
      <c r="D235" s="7" t="inlineStr">
        <is>
          <t>TN06Q2976</t>
        </is>
      </c>
      <c r="E235" s="7" t="inlineStr">
        <is>
          <t>MARUTI SUZUKI</t>
        </is>
      </c>
      <c r="F235" s="7" t="inlineStr">
        <is>
          <t>Wagon R</t>
        </is>
      </c>
      <c r="G235" s="7" t="inlineStr">
        <is>
          <t>KHIVRAJ MOTOR</t>
        </is>
      </c>
      <c r="H235" s="7" t="inlineStr">
        <is>
          <t>Non-Captive</t>
        </is>
      </c>
      <c r="I235" s="7" t="inlineStr">
        <is>
          <t>Bhagavan Cars</t>
        </is>
      </c>
      <c r="J235" s="8" t="n">
        <v>2015</v>
      </c>
      <c r="K235" s="9" t="n">
        <v>34921</v>
      </c>
      <c r="L235" s="10" t="n">
        <v>350000</v>
      </c>
      <c r="M235" s="10" t="n">
        <v>2966.1</v>
      </c>
      <c r="N235" s="11">
        <f>IF(M235="","",ROUND(M235*1.18,2))</f>
        <v/>
      </c>
      <c r="O235" s="12">
        <f>IF(M235="","",ROUND(N235-M235,2))</f>
        <v/>
      </c>
      <c r="P235" s="13">
        <f>IF(AND(A235&lt;&gt;"",B235&lt;&gt;""), A235&amp;" · "&amp;B235, "")</f>
        <v/>
      </c>
    </row>
    <row r="236">
      <c r="A236" s="6" t="inlineStr">
        <is>
          <t>FY26</t>
        </is>
      </c>
      <c r="B236" s="6" t="inlineStr">
        <is>
          <t>Jan</t>
        </is>
      </c>
      <c r="C236" s="6" t="inlineStr">
        <is>
          <t>TN</t>
        </is>
      </c>
      <c r="D236" s="7" t="inlineStr">
        <is>
          <t>TN06R5815</t>
        </is>
      </c>
      <c r="E236" s="7" t="inlineStr">
        <is>
          <t>HONDA</t>
        </is>
      </c>
      <c r="F236" s="7" t="inlineStr">
        <is>
          <t>Amaze</t>
        </is>
      </c>
      <c r="G236" s="7" t="inlineStr">
        <is>
          <t>EXCHANGE CHENNAI</t>
        </is>
      </c>
      <c r="H236" s="7" t="inlineStr">
        <is>
          <t>Captive</t>
        </is>
      </c>
      <c r="I236" s="7" t="inlineStr">
        <is>
          <t>Nirmal Cars</t>
        </is>
      </c>
      <c r="J236" s="8" t="n">
        <v>2016</v>
      </c>
      <c r="K236" s="9" t="n">
        <v>19733</v>
      </c>
      <c r="L236" s="10" t="n">
        <v>380000</v>
      </c>
      <c r="M236" s="10" t="n">
        <v>8474.58</v>
      </c>
      <c r="N236" s="11">
        <f>IF(M236="","",ROUND(M236*1.18,2))</f>
        <v/>
      </c>
      <c r="O236" s="12">
        <f>IF(M236="","",ROUND(N236-M236,2))</f>
        <v/>
      </c>
      <c r="P236" s="13">
        <f>IF(AND(A236&lt;&gt;"",B236&lt;&gt;""), A236&amp;" · "&amp;B236, "")</f>
        <v/>
      </c>
    </row>
    <row r="237">
      <c r="A237" s="6" t="inlineStr">
        <is>
          <t>FY26</t>
        </is>
      </c>
      <c r="B237" s="6" t="inlineStr">
        <is>
          <t>Jan</t>
        </is>
      </c>
      <c r="C237" s="6" t="inlineStr">
        <is>
          <t>TN</t>
        </is>
      </c>
      <c r="D237" s="7" t="inlineStr">
        <is>
          <t>TN06S5829</t>
        </is>
      </c>
      <c r="E237" s="7" t="inlineStr">
        <is>
          <t>MARUTI SUZUKI</t>
        </is>
      </c>
      <c r="F237" s="7" t="inlineStr">
        <is>
          <t>Alto</t>
        </is>
      </c>
      <c r="G237" s="7" t="inlineStr">
        <is>
          <t>KHIVRAJ MOTOR</t>
        </is>
      </c>
      <c r="H237" s="7" t="inlineStr">
        <is>
          <t>Non-Captive</t>
        </is>
      </c>
      <c r="I237" s="7" t="inlineStr">
        <is>
          <t>AAA Cars</t>
        </is>
      </c>
      <c r="J237" s="8" t="n"/>
      <c r="K237" s="9" t="n"/>
      <c r="L237" s="10" t="n">
        <v>168000</v>
      </c>
      <c r="M237" s="10" t="n">
        <v>5084.75</v>
      </c>
      <c r="N237" s="11">
        <f>IF(M237="","",ROUND(M237*1.18,2))</f>
        <v/>
      </c>
      <c r="O237" s="12">
        <f>IF(M237="","",ROUND(N237-M237,2))</f>
        <v/>
      </c>
      <c r="P237" s="13">
        <f>IF(AND(A237&lt;&gt;"",B237&lt;&gt;""), A237&amp;" · "&amp;B237, "")</f>
        <v/>
      </c>
    </row>
    <row r="238">
      <c r="A238" s="6" t="inlineStr">
        <is>
          <t>FY26</t>
        </is>
      </c>
      <c r="B238" s="6" t="inlineStr">
        <is>
          <t>Jan</t>
        </is>
      </c>
      <c r="C238" s="6" t="inlineStr">
        <is>
          <t>TN</t>
        </is>
      </c>
      <c r="D238" s="7" t="inlineStr">
        <is>
          <t>TN06U6585</t>
        </is>
      </c>
      <c r="E238" s="7" t="inlineStr">
        <is>
          <t>MARUTI SUZUKI</t>
        </is>
      </c>
      <c r="F238" s="7" t="inlineStr">
        <is>
          <t>Ignis</t>
        </is>
      </c>
      <c r="G238" s="7" t="inlineStr">
        <is>
          <t>KHIVRAJ MOTOR</t>
        </is>
      </c>
      <c r="H238" s="7" t="inlineStr">
        <is>
          <t>Non-Captive</t>
        </is>
      </c>
      <c r="I238" s="7" t="inlineStr">
        <is>
          <t>Santhosh Cars</t>
        </is>
      </c>
      <c r="J238" s="8" t="n">
        <v>2017</v>
      </c>
      <c r="K238" s="9" t="n">
        <v>40985</v>
      </c>
      <c r="L238" s="10" t="n">
        <v>300000</v>
      </c>
      <c r="M238" s="10" t="n">
        <v>2966.1</v>
      </c>
      <c r="N238" s="11">
        <f>IF(M238="","",ROUND(M238*1.18,2))</f>
        <v/>
      </c>
      <c r="O238" s="12">
        <f>IF(M238="","",ROUND(N238-M238,2))</f>
        <v/>
      </c>
      <c r="P238" s="13">
        <f>IF(AND(A238&lt;&gt;"",B238&lt;&gt;""), A238&amp;" · "&amp;B238, "")</f>
        <v/>
      </c>
    </row>
    <row r="239">
      <c r="A239" s="6" t="inlineStr">
        <is>
          <t>FY26</t>
        </is>
      </c>
      <c r="B239" s="6" t="inlineStr">
        <is>
          <t>Jan</t>
        </is>
      </c>
      <c r="C239" s="6" t="inlineStr">
        <is>
          <t>TN</t>
        </is>
      </c>
      <c r="D239" s="7" t="inlineStr">
        <is>
          <t>TN06W7968</t>
        </is>
      </c>
      <c r="E239" s="7" t="inlineStr">
        <is>
          <t>MARUTI SUZUKI</t>
        </is>
      </c>
      <c r="F239" s="7" t="inlineStr">
        <is>
          <t>Alto</t>
        </is>
      </c>
      <c r="G239" s="7" t="inlineStr">
        <is>
          <t>KHIVRAJ MOTOR</t>
        </is>
      </c>
      <c r="H239" s="7" t="inlineStr">
        <is>
          <t>Non-Captive</t>
        </is>
      </c>
      <c r="I239" s="7" t="inlineStr">
        <is>
          <t>Shakthi Cars</t>
        </is>
      </c>
      <c r="J239" s="8" t="n">
        <v>2018</v>
      </c>
      <c r="K239" s="9" t="n">
        <v>68967</v>
      </c>
      <c r="L239" s="10" t="n">
        <v>180000</v>
      </c>
      <c r="M239" s="10" t="n">
        <v>2966.1</v>
      </c>
      <c r="N239" s="11">
        <f>IF(M239="","",ROUND(M239*1.18,2))</f>
        <v/>
      </c>
      <c r="O239" s="12">
        <f>IF(M239="","",ROUND(N239-M239,2))</f>
        <v/>
      </c>
      <c r="P239" s="13">
        <f>IF(AND(A239&lt;&gt;"",B239&lt;&gt;""), A239&amp;" · "&amp;B239, "")</f>
        <v/>
      </c>
    </row>
    <row r="240">
      <c r="A240" s="6" t="inlineStr">
        <is>
          <t>FY26</t>
        </is>
      </c>
      <c r="B240" s="6" t="inlineStr">
        <is>
          <t>Jan</t>
        </is>
      </c>
      <c r="C240" s="6" t="inlineStr">
        <is>
          <t>TN</t>
        </is>
      </c>
      <c r="D240" s="7" t="inlineStr">
        <is>
          <t>TN06Y6543</t>
        </is>
      </c>
      <c r="E240" s="7" t="inlineStr">
        <is>
          <t>HONDA</t>
        </is>
      </c>
      <c r="F240" s="7" t="inlineStr">
        <is>
          <t>Amaze</t>
        </is>
      </c>
      <c r="G240" s="7" t="inlineStr">
        <is>
          <t>EXCHANGE CHENNAI</t>
        </is>
      </c>
      <c r="H240" s="7" t="inlineStr">
        <is>
          <t>Captive</t>
        </is>
      </c>
      <c r="I240" s="7" t="inlineStr">
        <is>
          <t>Thiya Cars</t>
        </is>
      </c>
      <c r="J240" s="8" t="n">
        <v>2019</v>
      </c>
      <c r="K240" s="9" t="n">
        <v>37168</v>
      </c>
      <c r="L240" s="10" t="n">
        <v>450000</v>
      </c>
      <c r="M240" s="10" t="n">
        <v>4237.29</v>
      </c>
      <c r="N240" s="11">
        <f>IF(M240="","",ROUND(M240*1.18,2))</f>
        <v/>
      </c>
      <c r="O240" s="12">
        <f>IF(M240="","",ROUND(N240-M240,2))</f>
        <v/>
      </c>
      <c r="P240" s="13">
        <f>IF(AND(A240&lt;&gt;"",B240&lt;&gt;""), A240&amp;" · "&amp;B240, "")</f>
        <v/>
      </c>
    </row>
    <row r="241">
      <c r="A241" s="6" t="inlineStr">
        <is>
          <t>FY26</t>
        </is>
      </c>
      <c r="B241" s="6" t="inlineStr">
        <is>
          <t>Jan</t>
        </is>
      </c>
      <c r="C241" s="6" t="inlineStr">
        <is>
          <t>TN</t>
        </is>
      </c>
      <c r="D241" s="7" t="inlineStr">
        <is>
          <t>TN07AL9019</t>
        </is>
      </c>
      <c r="E241" s="7" t="inlineStr">
        <is>
          <t>HONDA</t>
        </is>
      </c>
      <c r="F241" s="7" t="inlineStr">
        <is>
          <t>City</t>
        </is>
      </c>
      <c r="G241" s="7" t="inlineStr">
        <is>
          <t>LAKSHMI TATA</t>
        </is>
      </c>
      <c r="H241" s="7" t="inlineStr">
        <is>
          <t>Non-Captive</t>
        </is>
      </c>
      <c r="I241" s="7" t="inlineStr">
        <is>
          <t>Thiya Cars</t>
        </is>
      </c>
      <c r="J241" s="8" t="n">
        <v>2007</v>
      </c>
      <c r="K241" s="9" t="n">
        <v>94292</v>
      </c>
      <c r="L241" s="10" t="n">
        <v>100000</v>
      </c>
      <c r="M241" s="10" t="n">
        <v>4237.29</v>
      </c>
      <c r="N241" s="11">
        <f>IF(M241="","",ROUND(M241*1.18,2))</f>
        <v/>
      </c>
      <c r="O241" s="12">
        <f>IF(M241="","",ROUND(N241-M241,2))</f>
        <v/>
      </c>
      <c r="P241" s="13">
        <f>IF(AND(A241&lt;&gt;"",B241&lt;&gt;""), A241&amp;" · "&amp;B241, "")</f>
        <v/>
      </c>
    </row>
    <row r="242">
      <c r="A242" s="6" t="inlineStr">
        <is>
          <t>FY26</t>
        </is>
      </c>
      <c r="B242" s="6" t="inlineStr">
        <is>
          <t>Jan</t>
        </is>
      </c>
      <c r="C242" s="6" t="inlineStr">
        <is>
          <t>TN</t>
        </is>
      </c>
      <c r="D242" s="7" t="inlineStr">
        <is>
          <t>TN07BB1164</t>
        </is>
      </c>
      <c r="E242" s="7" t="inlineStr">
        <is>
          <t>MARUTI SUZUKI</t>
        </is>
      </c>
      <c r="F242" s="7" t="inlineStr">
        <is>
          <t>800</t>
        </is>
      </c>
      <c r="G242" s="7" t="inlineStr">
        <is>
          <t>KHIVRAJ MOTOR</t>
        </is>
      </c>
      <c r="H242" s="7" t="inlineStr">
        <is>
          <t>Non-Captive</t>
        </is>
      </c>
      <c r="I242" s="7" t="inlineStr">
        <is>
          <t>Santhosh Cars</t>
        </is>
      </c>
      <c r="J242" s="8" t="n">
        <v>2008</v>
      </c>
      <c r="K242" s="9" t="n">
        <v>54119</v>
      </c>
      <c r="L242" s="10" t="n">
        <v>50000</v>
      </c>
      <c r="M242" s="10" t="n">
        <v>2966.1</v>
      </c>
      <c r="N242" s="11">
        <f>IF(M242="","",ROUND(M242*1.18,2))</f>
        <v/>
      </c>
      <c r="O242" s="12">
        <f>IF(M242="","",ROUND(N242-M242,2))</f>
        <v/>
      </c>
      <c r="P242" s="13">
        <f>IF(AND(A242&lt;&gt;"",B242&lt;&gt;""), A242&amp;" · "&amp;B242, "")</f>
        <v/>
      </c>
    </row>
    <row r="243">
      <c r="A243" s="6" t="inlineStr">
        <is>
          <t>FY26</t>
        </is>
      </c>
      <c r="B243" s="6" t="inlineStr">
        <is>
          <t>Jan</t>
        </is>
      </c>
      <c r="C243" s="6" t="inlineStr">
        <is>
          <t>TN</t>
        </is>
      </c>
      <c r="D243" s="7" t="inlineStr">
        <is>
          <t>TN07BF7117</t>
        </is>
      </c>
      <c r="E243" s="7" t="inlineStr">
        <is>
          <t>FIAT</t>
        </is>
      </c>
      <c r="F243" s="7" t="inlineStr">
        <is>
          <t>Linea</t>
        </is>
      </c>
      <c r="G243" s="7" t="inlineStr">
        <is>
          <t>EXCHANGE CHENNAI</t>
        </is>
      </c>
      <c r="H243" s="7" t="inlineStr">
        <is>
          <t>Captive</t>
        </is>
      </c>
      <c r="I243" s="7" t="inlineStr">
        <is>
          <t>Kirthi Cars</t>
        </is>
      </c>
      <c r="J243" s="8" t="n">
        <v>2010</v>
      </c>
      <c r="K243" s="9" t="n">
        <v>999999</v>
      </c>
      <c r="L243" s="10" t="n">
        <v>70000</v>
      </c>
      <c r="M243" s="10" t="n">
        <v>3389.83</v>
      </c>
      <c r="N243" s="11">
        <f>IF(M243="","",ROUND(M243*1.18,2))</f>
        <v/>
      </c>
      <c r="O243" s="12">
        <f>IF(M243="","",ROUND(N243-M243,2))</f>
        <v/>
      </c>
      <c r="P243" s="13">
        <f>IF(AND(A243&lt;&gt;"",B243&lt;&gt;""), A243&amp;" · "&amp;B243, "")</f>
        <v/>
      </c>
    </row>
    <row r="244">
      <c r="A244" s="6" t="inlineStr">
        <is>
          <t>FY26</t>
        </is>
      </c>
      <c r="B244" s="6" t="inlineStr">
        <is>
          <t>Jan</t>
        </is>
      </c>
      <c r="C244" s="6" t="inlineStr">
        <is>
          <t>TN</t>
        </is>
      </c>
      <c r="D244" s="7" t="inlineStr">
        <is>
          <t>TN07BL2107</t>
        </is>
      </c>
      <c r="E244" s="7" t="inlineStr">
        <is>
          <t>MARUTI SUZUKI</t>
        </is>
      </c>
      <c r="F244" s="7" t="inlineStr">
        <is>
          <t>Alto</t>
        </is>
      </c>
      <c r="G244" s="7" t="inlineStr">
        <is>
          <t>KHIVRAJ MOTOR</t>
        </is>
      </c>
      <c r="H244" s="7" t="inlineStr">
        <is>
          <t>Non-Captive</t>
        </is>
      </c>
      <c r="I244" s="7" t="inlineStr">
        <is>
          <t>Shahana Cars</t>
        </is>
      </c>
      <c r="J244" s="8" t="n">
        <v>2011</v>
      </c>
      <c r="K244" s="9" t="n">
        <v>50917</v>
      </c>
      <c r="L244" s="10" t="n">
        <v>110000</v>
      </c>
      <c r="M244" s="10" t="n">
        <v>2966.1</v>
      </c>
      <c r="N244" s="11">
        <f>IF(M244="","",ROUND(M244*1.18,2))</f>
        <v/>
      </c>
      <c r="O244" s="12">
        <f>IF(M244="","",ROUND(N244-M244,2))</f>
        <v/>
      </c>
      <c r="P244" s="13">
        <f>IF(AND(A244&lt;&gt;"",B244&lt;&gt;""), A244&amp;" · "&amp;B244, "")</f>
        <v/>
      </c>
    </row>
    <row r="245">
      <c r="A245" s="6" t="inlineStr">
        <is>
          <t>FY26</t>
        </is>
      </c>
      <c r="B245" s="6" t="inlineStr">
        <is>
          <t>Jan</t>
        </is>
      </c>
      <c r="C245" s="6" t="inlineStr">
        <is>
          <t>TN</t>
        </is>
      </c>
      <c r="D245" s="7" t="inlineStr">
        <is>
          <t>TN07BU5814</t>
        </is>
      </c>
      <c r="E245" s="7" t="inlineStr">
        <is>
          <t>MARUTI SUZUKI</t>
        </is>
      </c>
      <c r="F245" s="7" t="inlineStr">
        <is>
          <t>Wagon R</t>
        </is>
      </c>
      <c r="G245" s="7" t="inlineStr">
        <is>
          <t>SAI CARS CBE</t>
        </is>
      </c>
      <c r="H245" s="7" t="inlineStr">
        <is>
          <t>Non-Captive</t>
        </is>
      </c>
      <c r="I245" s="7" t="inlineStr">
        <is>
          <t>Sivashankar Cars</t>
        </is>
      </c>
      <c r="J245" s="8" t="n">
        <v>2013</v>
      </c>
      <c r="K245" s="9" t="n">
        <v>22988</v>
      </c>
      <c r="L245" s="10" t="n">
        <v>205000</v>
      </c>
      <c r="M245" s="10" t="n">
        <v>4237.29</v>
      </c>
      <c r="N245" s="11">
        <f>IF(M245="","",ROUND(M245*1.18,2))</f>
        <v/>
      </c>
      <c r="O245" s="12">
        <f>IF(M245="","",ROUND(N245-M245,2))</f>
        <v/>
      </c>
      <c r="P245" s="13">
        <f>IF(AND(A245&lt;&gt;"",B245&lt;&gt;""), A245&amp;" · "&amp;B245, "")</f>
        <v/>
      </c>
    </row>
    <row r="246">
      <c r="A246" s="6" t="inlineStr">
        <is>
          <t>FY26</t>
        </is>
      </c>
      <c r="B246" s="6" t="inlineStr">
        <is>
          <t>Jan</t>
        </is>
      </c>
      <c r="C246" s="6" t="inlineStr">
        <is>
          <t>TN</t>
        </is>
      </c>
      <c r="D246" s="7" t="inlineStr">
        <is>
          <t>TN07BU9564</t>
        </is>
      </c>
      <c r="E246" s="7" t="inlineStr">
        <is>
          <t>HONDA</t>
        </is>
      </c>
      <c r="F246" s="7" t="inlineStr">
        <is>
          <t>City</t>
        </is>
      </c>
      <c r="G246" s="7" t="inlineStr">
        <is>
          <t>KHIVRAJ MOTOR</t>
        </is>
      </c>
      <c r="H246" s="7" t="inlineStr">
        <is>
          <t>Non-Captive</t>
        </is>
      </c>
      <c r="I246" s="7" t="inlineStr">
        <is>
          <t>33 Cars</t>
        </is>
      </c>
      <c r="J246" s="8" t="n">
        <v>2013</v>
      </c>
      <c r="K246" s="9" t="n">
        <v>101503</v>
      </c>
      <c r="L246" s="10" t="n">
        <v>320000</v>
      </c>
      <c r="M246" s="10" t="n">
        <v>5084.75</v>
      </c>
      <c r="N246" s="11">
        <f>IF(M246="","",ROUND(M246*1.18,2))</f>
        <v/>
      </c>
      <c r="O246" s="12">
        <f>IF(M246="","",ROUND(N246-M246,2))</f>
        <v/>
      </c>
      <c r="P246" s="13">
        <f>IF(AND(A246&lt;&gt;"",B246&lt;&gt;""), A246&amp;" · "&amp;B246, "")</f>
        <v/>
      </c>
    </row>
    <row r="247">
      <c r="A247" s="6" t="inlineStr">
        <is>
          <t>FY26</t>
        </is>
      </c>
      <c r="B247" s="6" t="inlineStr">
        <is>
          <t>Jan</t>
        </is>
      </c>
      <c r="C247" s="6" t="inlineStr">
        <is>
          <t>TN</t>
        </is>
      </c>
      <c r="D247" s="7" t="inlineStr">
        <is>
          <t>TN07BX0391</t>
        </is>
      </c>
      <c r="E247" s="7" t="inlineStr">
        <is>
          <t>MARUTI SUZUKI</t>
        </is>
      </c>
      <c r="F247" s="7" t="inlineStr">
        <is>
          <t>Alto</t>
        </is>
      </c>
      <c r="G247" s="7" t="inlineStr">
        <is>
          <t>KHIVRAJ MOTOR</t>
        </is>
      </c>
      <c r="H247" s="7" t="inlineStr">
        <is>
          <t>Non-Captive</t>
        </is>
      </c>
      <c r="I247" s="7" t="inlineStr">
        <is>
          <t>Bhagavan Cars</t>
        </is>
      </c>
      <c r="J247" s="8" t="n">
        <v>2014</v>
      </c>
      <c r="K247" s="9" t="n">
        <v>66306</v>
      </c>
      <c r="L247" s="10" t="n">
        <v>160000</v>
      </c>
      <c r="M247" s="10" t="n">
        <v>3389.83</v>
      </c>
      <c r="N247" s="11">
        <f>IF(M247="","",ROUND(M247*1.18,2))</f>
        <v/>
      </c>
      <c r="O247" s="12">
        <f>IF(M247="","",ROUND(N247-M247,2))</f>
        <v/>
      </c>
      <c r="P247" s="13">
        <f>IF(AND(A247&lt;&gt;"",B247&lt;&gt;""), A247&amp;" · "&amp;B247, "")</f>
        <v/>
      </c>
    </row>
    <row r="248">
      <c r="A248" s="6" t="inlineStr">
        <is>
          <t>FY26</t>
        </is>
      </c>
      <c r="B248" s="6" t="inlineStr">
        <is>
          <t>Jan</t>
        </is>
      </c>
      <c r="C248" s="6" t="inlineStr">
        <is>
          <t>TN</t>
        </is>
      </c>
      <c r="D248" s="7" t="inlineStr">
        <is>
          <t>TN07CF7041</t>
        </is>
      </c>
      <c r="E248" s="7" t="inlineStr">
        <is>
          <t>MARUTI SUZUKI</t>
        </is>
      </c>
      <c r="F248" s="7" t="inlineStr">
        <is>
          <t>Celerio</t>
        </is>
      </c>
      <c r="G248" s="7" t="inlineStr">
        <is>
          <t>KHIVRAJ MOTOR</t>
        </is>
      </c>
      <c r="H248" s="7" t="inlineStr">
        <is>
          <t>Non-Captive</t>
        </is>
      </c>
      <c r="I248" s="7" t="inlineStr">
        <is>
          <t>Shahana Cars</t>
        </is>
      </c>
      <c r="J248" s="8" t="n">
        <v>2016</v>
      </c>
      <c r="K248" s="9" t="n">
        <v>43945</v>
      </c>
      <c r="L248" s="10" t="n">
        <v>365000</v>
      </c>
      <c r="M248" s="10" t="n">
        <v>2966.1</v>
      </c>
      <c r="N248" s="11">
        <f>IF(M248="","",ROUND(M248*1.18,2))</f>
        <v/>
      </c>
      <c r="O248" s="12">
        <f>IF(M248="","",ROUND(N248-M248,2))</f>
        <v/>
      </c>
      <c r="P248" s="13">
        <f>IF(AND(A248&lt;&gt;"",B248&lt;&gt;""), A248&amp;" · "&amp;B248, "")</f>
        <v/>
      </c>
    </row>
    <row r="249">
      <c r="A249" s="6" t="inlineStr">
        <is>
          <t>FY26</t>
        </is>
      </c>
      <c r="B249" s="6" t="inlineStr">
        <is>
          <t>Jan</t>
        </is>
      </c>
      <c r="C249" s="6" t="inlineStr">
        <is>
          <t>TN</t>
        </is>
      </c>
      <c r="D249" s="7" t="inlineStr">
        <is>
          <t>TN07CL0082</t>
        </is>
      </c>
      <c r="E249" s="7" t="inlineStr">
        <is>
          <t>MARUTI SUZUKI</t>
        </is>
      </c>
      <c r="F249" s="7" t="inlineStr">
        <is>
          <t>Dzire</t>
        </is>
      </c>
      <c r="G249" s="7" t="inlineStr">
        <is>
          <t>KHIVRAJ MOTOR</t>
        </is>
      </c>
      <c r="H249" s="7" t="inlineStr">
        <is>
          <t>Non-Captive</t>
        </is>
      </c>
      <c r="I249" s="7" t="inlineStr">
        <is>
          <t>Chaaran Cars</t>
        </is>
      </c>
      <c r="J249" s="8" t="n">
        <v>2017</v>
      </c>
      <c r="K249" s="9" t="n">
        <v>63008</v>
      </c>
      <c r="L249" s="10" t="n">
        <v>250000</v>
      </c>
      <c r="M249" s="10" t="n">
        <v>2966.1</v>
      </c>
      <c r="N249" s="11">
        <f>IF(M249="","",ROUND(M249*1.18,2))</f>
        <v/>
      </c>
      <c r="O249" s="12">
        <f>IF(M249="","",ROUND(N249-M249,2))</f>
        <v/>
      </c>
      <c r="P249" s="13">
        <f>IF(AND(A249&lt;&gt;"",B249&lt;&gt;""), A249&amp;" · "&amp;B249, "")</f>
        <v/>
      </c>
    </row>
    <row r="250">
      <c r="A250" s="6" t="inlineStr">
        <is>
          <t>FY26</t>
        </is>
      </c>
      <c r="B250" s="6" t="inlineStr">
        <is>
          <t>Jan</t>
        </is>
      </c>
      <c r="C250" s="6" t="inlineStr">
        <is>
          <t>TN</t>
        </is>
      </c>
      <c r="D250" s="7" t="inlineStr">
        <is>
          <t>TN07CL0365</t>
        </is>
      </c>
      <c r="E250" s="7" t="inlineStr">
        <is>
          <t>MARUTI SUZUKI</t>
        </is>
      </c>
      <c r="F250" s="7" t="inlineStr">
        <is>
          <t>Eeco</t>
        </is>
      </c>
      <c r="G250" s="7" t="inlineStr">
        <is>
          <t>KHIVRAJ MOTOR</t>
        </is>
      </c>
      <c r="H250" s="7" t="inlineStr">
        <is>
          <t>Non-Captive</t>
        </is>
      </c>
      <c r="I250" s="7" t="inlineStr">
        <is>
          <t>Nirmal Cars</t>
        </is>
      </c>
      <c r="J250" s="8" t="n">
        <v>2017</v>
      </c>
      <c r="K250" s="9" t="n">
        <v>95570</v>
      </c>
      <c r="L250" s="10" t="n">
        <v>230000</v>
      </c>
      <c r="M250" s="10" t="n">
        <v>2966.1</v>
      </c>
      <c r="N250" s="11">
        <f>IF(M250="","",ROUND(M250*1.18,2))</f>
        <v/>
      </c>
      <c r="O250" s="12">
        <f>IF(M250="","",ROUND(N250-M250,2))</f>
        <v/>
      </c>
      <c r="P250" s="13">
        <f>IF(AND(A250&lt;&gt;"",B250&lt;&gt;""), A250&amp;" · "&amp;B250, "")</f>
        <v/>
      </c>
    </row>
    <row r="251">
      <c r="A251" s="6" t="inlineStr">
        <is>
          <t>FY26</t>
        </is>
      </c>
      <c r="B251" s="6" t="inlineStr">
        <is>
          <t>Jan</t>
        </is>
      </c>
      <c r="C251" s="6" t="inlineStr">
        <is>
          <t>TN</t>
        </is>
      </c>
      <c r="D251" s="7" t="inlineStr">
        <is>
          <t>TN07CL7191</t>
        </is>
      </c>
      <c r="E251" s="7" t="inlineStr">
        <is>
          <t>HONDA</t>
        </is>
      </c>
      <c r="F251" s="7" t="inlineStr">
        <is>
          <t>City</t>
        </is>
      </c>
      <c r="G251" s="7" t="inlineStr">
        <is>
          <t>EXCHANGE CHENNAI</t>
        </is>
      </c>
      <c r="H251" s="7" t="inlineStr">
        <is>
          <t>Captive</t>
        </is>
      </c>
      <c r="I251" s="7" t="inlineStr">
        <is>
          <t>Shahana Cars</t>
        </is>
      </c>
      <c r="J251" s="8" t="n">
        <v>2017</v>
      </c>
      <c r="K251" s="9" t="n">
        <v>62043</v>
      </c>
      <c r="L251" s="10" t="n">
        <v>590000</v>
      </c>
      <c r="M251" s="10" t="n">
        <v>8474.58</v>
      </c>
      <c r="N251" s="11">
        <f>IF(M251="","",ROUND(M251*1.18,2))</f>
        <v/>
      </c>
      <c r="O251" s="12">
        <f>IF(M251="","",ROUND(N251-M251,2))</f>
        <v/>
      </c>
      <c r="P251" s="13">
        <f>IF(AND(A251&lt;&gt;"",B251&lt;&gt;""), A251&amp;" · "&amp;B251, "")</f>
        <v/>
      </c>
    </row>
    <row r="252">
      <c r="A252" s="6" t="inlineStr">
        <is>
          <t>FY26</t>
        </is>
      </c>
      <c r="B252" s="6" t="inlineStr">
        <is>
          <t>Jan</t>
        </is>
      </c>
      <c r="C252" s="6" t="inlineStr">
        <is>
          <t>TN</t>
        </is>
      </c>
      <c r="D252" s="7" t="inlineStr">
        <is>
          <t>TN07CP3664</t>
        </is>
      </c>
      <c r="E252" s="7" t="inlineStr">
        <is>
          <t>MARUTI SUZUKI</t>
        </is>
      </c>
      <c r="F252" s="7" t="inlineStr">
        <is>
          <t>Dzire</t>
        </is>
      </c>
      <c r="G252" s="7" t="inlineStr">
        <is>
          <t>KHIVRAJ MOTOR</t>
        </is>
      </c>
      <c r="H252" s="7" t="inlineStr">
        <is>
          <t>Non-Captive</t>
        </is>
      </c>
      <c r="I252" s="7" t="inlineStr">
        <is>
          <t>Shakthi Cars</t>
        </is>
      </c>
      <c r="J252" s="8" t="n">
        <v>2018</v>
      </c>
      <c r="K252" s="9" t="n">
        <v>37600</v>
      </c>
      <c r="L252" s="10" t="n">
        <v>470000</v>
      </c>
      <c r="M252" s="10" t="n">
        <v>2966.1</v>
      </c>
      <c r="N252" s="11">
        <f>IF(M252="","",ROUND(M252*1.18,2))</f>
        <v/>
      </c>
      <c r="O252" s="12">
        <f>IF(M252="","",ROUND(N252-M252,2))</f>
        <v/>
      </c>
      <c r="P252" s="13">
        <f>IF(AND(A252&lt;&gt;"",B252&lt;&gt;""), A252&amp;" · "&amp;B252, "")</f>
        <v/>
      </c>
    </row>
    <row r="253">
      <c r="A253" s="6" t="inlineStr">
        <is>
          <t>FY26</t>
        </is>
      </c>
      <c r="B253" s="6" t="inlineStr">
        <is>
          <t>Jan</t>
        </is>
      </c>
      <c r="C253" s="6" t="inlineStr">
        <is>
          <t>TN</t>
        </is>
      </c>
      <c r="D253" s="7" t="inlineStr">
        <is>
          <t>TN07CS8565</t>
        </is>
      </c>
      <c r="E253" s="7" t="inlineStr">
        <is>
          <t>HONDA</t>
        </is>
      </c>
      <c r="F253" s="7" t="inlineStr">
        <is>
          <t>Amaze</t>
        </is>
      </c>
      <c r="G253" s="7" t="inlineStr">
        <is>
          <t>EXCHANGE CHENNAI</t>
        </is>
      </c>
      <c r="H253" s="7" t="inlineStr">
        <is>
          <t>Captive</t>
        </is>
      </c>
      <c r="I253" s="7" t="inlineStr">
        <is>
          <t>Varadhrajan cars</t>
        </is>
      </c>
      <c r="J253" s="8" t="n">
        <v>2019</v>
      </c>
      <c r="K253" s="9" t="n">
        <v>25589</v>
      </c>
      <c r="L253" s="10" t="n">
        <v>540000</v>
      </c>
      <c r="M253" s="10" t="n">
        <v>4237.29</v>
      </c>
      <c r="N253" s="11">
        <f>IF(M253="","",ROUND(M253*1.18,2))</f>
        <v/>
      </c>
      <c r="O253" s="12">
        <f>IF(M253="","",ROUND(N253-M253,2))</f>
        <v/>
      </c>
      <c r="P253" s="13">
        <f>IF(AND(A253&lt;&gt;"",B253&lt;&gt;""), A253&amp;" · "&amp;B253, "")</f>
        <v/>
      </c>
    </row>
    <row r="254">
      <c r="A254" s="6" t="inlineStr">
        <is>
          <t>FY26</t>
        </is>
      </c>
      <c r="B254" s="6" t="inlineStr">
        <is>
          <t>Jan</t>
        </is>
      </c>
      <c r="C254" s="6" t="inlineStr">
        <is>
          <t>TN</t>
        </is>
      </c>
      <c r="D254" s="7" t="inlineStr">
        <is>
          <t>TN07CY2107</t>
        </is>
      </c>
      <c r="E254" s="7" t="inlineStr">
        <is>
          <t>MARUTI SUZUKI</t>
        </is>
      </c>
      <c r="F254" s="7" t="inlineStr">
        <is>
          <t>Dzire</t>
        </is>
      </c>
      <c r="G254" s="7" t="inlineStr">
        <is>
          <t>KHIVRAJ MOTOR</t>
        </is>
      </c>
      <c r="H254" s="7" t="inlineStr">
        <is>
          <t>Non-Captive</t>
        </is>
      </c>
      <c r="I254" s="7" t="inlineStr">
        <is>
          <t>Chaaran Cars</t>
        </is>
      </c>
      <c r="J254" s="8" t="n">
        <v>2021</v>
      </c>
      <c r="K254" s="9" t="n">
        <v>19068</v>
      </c>
      <c r="L254" s="10" t="n">
        <v>400000</v>
      </c>
      <c r="M254" s="10" t="n">
        <v>2966.1</v>
      </c>
      <c r="N254" s="11">
        <f>IF(M254="","",ROUND(M254*1.18,2))</f>
        <v/>
      </c>
      <c r="O254" s="12">
        <f>IF(M254="","",ROUND(N254-M254,2))</f>
        <v/>
      </c>
      <c r="P254" s="13">
        <f>IF(AND(A254&lt;&gt;"",B254&lt;&gt;""), A254&amp;" · "&amp;B254, "")</f>
        <v/>
      </c>
    </row>
    <row r="255">
      <c r="A255" s="6" t="inlineStr">
        <is>
          <t>FY26</t>
        </is>
      </c>
      <c r="B255" s="6" t="inlineStr">
        <is>
          <t>Jan</t>
        </is>
      </c>
      <c r="C255" s="6" t="inlineStr">
        <is>
          <t>TN</t>
        </is>
      </c>
      <c r="D255" s="7" t="inlineStr">
        <is>
          <t>TN07DF2769</t>
        </is>
      </c>
      <c r="E255" s="7" t="inlineStr">
        <is>
          <t>MARUTI SUZUKI</t>
        </is>
      </c>
      <c r="F255" s="7" t="inlineStr">
        <is>
          <t>Dzire</t>
        </is>
      </c>
      <c r="G255" s="7" t="inlineStr">
        <is>
          <t>KHIVRAJ MOTOR</t>
        </is>
      </c>
      <c r="H255" s="7" t="inlineStr">
        <is>
          <t>Non-Captive</t>
        </is>
      </c>
      <c r="I255" s="7" t="inlineStr">
        <is>
          <t>Shakthi Cars</t>
        </is>
      </c>
      <c r="J255" s="8" t="n">
        <v>2024</v>
      </c>
      <c r="K255" s="9" t="n">
        <v>12764</v>
      </c>
      <c r="L255" s="10" t="n">
        <v>640000</v>
      </c>
      <c r="M255" s="10" t="n">
        <v>2966.1</v>
      </c>
      <c r="N255" s="11">
        <f>IF(M255="","",ROUND(M255*1.18,2))</f>
        <v/>
      </c>
      <c r="O255" s="12">
        <f>IF(M255="","",ROUND(N255-M255,2))</f>
        <v/>
      </c>
      <c r="P255" s="13">
        <f>IF(AND(A255&lt;&gt;"",B255&lt;&gt;""), A255&amp;" · "&amp;B255, "")</f>
        <v/>
      </c>
    </row>
    <row r="256">
      <c r="A256" s="6" t="inlineStr">
        <is>
          <t>FY26</t>
        </is>
      </c>
      <c r="B256" s="6" t="inlineStr">
        <is>
          <t>Jan</t>
        </is>
      </c>
      <c r="C256" s="6" t="inlineStr">
        <is>
          <t>TN</t>
        </is>
      </c>
      <c r="D256" s="7" t="inlineStr">
        <is>
          <t>TN07DH5261</t>
        </is>
      </c>
      <c r="E256" s="7" t="inlineStr">
        <is>
          <t>MARUTI SUZUKI</t>
        </is>
      </c>
      <c r="F256" s="7" t="inlineStr">
        <is>
          <t>Alto</t>
        </is>
      </c>
      <c r="G256" s="7" t="inlineStr">
        <is>
          <t>KHIVRAJ MOTOR</t>
        </is>
      </c>
      <c r="H256" s="7" t="inlineStr">
        <is>
          <t>Non-Captive</t>
        </is>
      </c>
      <c r="I256" s="7" t="inlineStr">
        <is>
          <t>Santhosh Cars</t>
        </is>
      </c>
      <c r="J256" s="8" t="n">
        <v>2024</v>
      </c>
      <c r="K256" s="9" t="n">
        <v>2031</v>
      </c>
      <c r="L256" s="10" t="n">
        <v>400000</v>
      </c>
      <c r="M256" s="10" t="n">
        <v>2966.1</v>
      </c>
      <c r="N256" s="11">
        <f>IF(M256="","",ROUND(M256*1.18,2))</f>
        <v/>
      </c>
      <c r="O256" s="12">
        <f>IF(M256="","",ROUND(N256-M256,2))</f>
        <v/>
      </c>
      <c r="P256" s="13">
        <f>IF(AND(A256&lt;&gt;"",B256&lt;&gt;""), A256&amp;" · "&amp;B256, "")</f>
        <v/>
      </c>
    </row>
    <row r="257">
      <c r="A257" s="6" t="inlineStr">
        <is>
          <t>FY26</t>
        </is>
      </c>
      <c r="B257" s="6" t="inlineStr">
        <is>
          <t>Jan</t>
        </is>
      </c>
      <c r="C257" s="6" t="inlineStr">
        <is>
          <t>TN</t>
        </is>
      </c>
      <c r="D257" s="7" t="inlineStr">
        <is>
          <t>TN09AL4114</t>
        </is>
      </c>
      <c r="E257" s="7" t="inlineStr">
        <is>
          <t>HONDA</t>
        </is>
      </c>
      <c r="F257" s="7" t="inlineStr">
        <is>
          <t>City</t>
        </is>
      </c>
      <c r="G257" s="7" t="inlineStr">
        <is>
          <t>EXCHANGE CHENNAI</t>
        </is>
      </c>
      <c r="H257" s="7" t="inlineStr">
        <is>
          <t>Captive</t>
        </is>
      </c>
      <c r="I257" s="7" t="inlineStr">
        <is>
          <t>Thiya Cars</t>
        </is>
      </c>
      <c r="J257" s="8" t="n">
        <v>2005</v>
      </c>
      <c r="K257" s="9" t="n">
        <v>79983</v>
      </c>
      <c r="L257" s="10" t="n">
        <v>120000</v>
      </c>
      <c r="M257" s="10" t="n">
        <v>4237.29</v>
      </c>
      <c r="N257" s="11">
        <f>IF(M257="","",ROUND(M257*1.18,2))</f>
        <v/>
      </c>
      <c r="O257" s="12">
        <f>IF(M257="","",ROUND(N257-M257,2))</f>
        <v/>
      </c>
      <c r="P257" s="13">
        <f>IF(AND(A257&lt;&gt;"",B257&lt;&gt;""), A257&amp;" · "&amp;B257, "")</f>
        <v/>
      </c>
    </row>
    <row r="258">
      <c r="A258" s="6" t="inlineStr">
        <is>
          <t>FY26</t>
        </is>
      </c>
      <c r="B258" s="6" t="inlineStr">
        <is>
          <t>Jan</t>
        </is>
      </c>
      <c r="C258" s="6" t="inlineStr">
        <is>
          <t>TN</t>
        </is>
      </c>
      <c r="D258" s="7" t="inlineStr">
        <is>
          <t>TN09BA4646</t>
        </is>
      </c>
      <c r="E258" s="7" t="inlineStr">
        <is>
          <t>MARUTI SUZUKI</t>
        </is>
      </c>
      <c r="F258" s="7" t="inlineStr">
        <is>
          <t>Zen</t>
        </is>
      </c>
      <c r="G258" s="7" t="inlineStr">
        <is>
          <t>KHIVRAJ MOTOR</t>
        </is>
      </c>
      <c r="H258" s="7" t="inlineStr">
        <is>
          <t>Non-Captive</t>
        </is>
      </c>
      <c r="I258" s="7" t="inlineStr">
        <is>
          <t>AAA Cars</t>
        </is>
      </c>
      <c r="J258" s="8" t="n">
        <v>2009</v>
      </c>
      <c r="K258" s="9" t="n">
        <v>82508</v>
      </c>
      <c r="L258" s="10" t="n">
        <v>90000</v>
      </c>
      <c r="M258" s="10" t="n">
        <v>5084.75</v>
      </c>
      <c r="N258" s="11">
        <f>IF(M258="","",ROUND(M258*1.18,2))</f>
        <v/>
      </c>
      <c r="O258" s="12">
        <f>IF(M258="","",ROUND(N258-M258,2))</f>
        <v/>
      </c>
      <c r="P258" s="13">
        <f>IF(AND(A258&lt;&gt;"",B258&lt;&gt;""), A258&amp;" · "&amp;B258, "")</f>
        <v/>
      </c>
    </row>
    <row r="259">
      <c r="A259" s="6" t="inlineStr">
        <is>
          <t>FY26</t>
        </is>
      </c>
      <c r="B259" s="6" t="inlineStr">
        <is>
          <t>Jan</t>
        </is>
      </c>
      <c r="C259" s="6" t="inlineStr">
        <is>
          <t>TN</t>
        </is>
      </c>
      <c r="D259" s="7" t="inlineStr">
        <is>
          <t>TN09BK9082</t>
        </is>
      </c>
      <c r="E259" s="7" t="inlineStr">
        <is>
          <t>HYUNDAI</t>
        </is>
      </c>
      <c r="F259" s="7" t="inlineStr">
        <is>
          <t>i10</t>
        </is>
      </c>
      <c r="G259" s="7" t="inlineStr">
        <is>
          <t>SAI CARS CBE</t>
        </is>
      </c>
      <c r="H259" s="7" t="inlineStr">
        <is>
          <t>Non-Captive</t>
        </is>
      </c>
      <c r="I259" s="7" t="inlineStr">
        <is>
          <t>Dheera Cars</t>
        </is>
      </c>
      <c r="J259" s="8" t="n">
        <v>2011</v>
      </c>
      <c r="K259" s="9" t="n">
        <v>89684</v>
      </c>
      <c r="L259" s="10" t="n">
        <v>115000</v>
      </c>
      <c r="M259" s="10" t="n">
        <v>4237.29</v>
      </c>
      <c r="N259" s="11">
        <f>IF(M259="","",ROUND(M259*1.18,2))</f>
        <v/>
      </c>
      <c r="O259" s="12">
        <f>IF(M259="","",ROUND(N259-M259,2))</f>
        <v/>
      </c>
      <c r="P259" s="13">
        <f>IF(AND(A259&lt;&gt;"",B259&lt;&gt;""), A259&amp;" · "&amp;B259, "")</f>
        <v/>
      </c>
    </row>
    <row r="260">
      <c r="A260" s="6" t="inlineStr">
        <is>
          <t>FY26</t>
        </is>
      </c>
      <c r="B260" s="6" t="inlineStr">
        <is>
          <t>Jan</t>
        </is>
      </c>
      <c r="C260" s="6" t="inlineStr">
        <is>
          <t>TN</t>
        </is>
      </c>
      <c r="D260" s="7" t="inlineStr">
        <is>
          <t>TN09BM0228</t>
        </is>
      </c>
      <c r="E260" s="7" t="inlineStr">
        <is>
          <t>MARUTI SUZUKI</t>
        </is>
      </c>
      <c r="F260" s="7" t="inlineStr">
        <is>
          <t>Swift</t>
        </is>
      </c>
      <c r="G260" s="7" t="inlineStr">
        <is>
          <t>KHIVRAJ MOTOR</t>
        </is>
      </c>
      <c r="H260" s="7" t="inlineStr">
        <is>
          <t>Non-Captive</t>
        </is>
      </c>
      <c r="I260" s="7" t="inlineStr">
        <is>
          <t>Balakrishnan</t>
        </is>
      </c>
      <c r="J260" s="8" t="n">
        <v>2011</v>
      </c>
      <c r="K260" s="9" t="n">
        <v>174000</v>
      </c>
      <c r="L260" s="10" t="n">
        <v>185000</v>
      </c>
      <c r="M260" s="10" t="n">
        <v>5084.75</v>
      </c>
      <c r="N260" s="11">
        <f>IF(M260="","",ROUND(M260*1.18,2))</f>
        <v/>
      </c>
      <c r="O260" s="12">
        <f>IF(M260="","",ROUND(N260-M260,2))</f>
        <v/>
      </c>
      <c r="P260" s="13">
        <f>IF(AND(A260&lt;&gt;"",B260&lt;&gt;""), A260&amp;" · "&amp;B260, "")</f>
        <v/>
      </c>
    </row>
    <row r="261">
      <c r="A261" s="6" t="inlineStr">
        <is>
          <t>FY26</t>
        </is>
      </c>
      <c r="B261" s="6" t="inlineStr">
        <is>
          <t>Jan</t>
        </is>
      </c>
      <c r="C261" s="6" t="inlineStr">
        <is>
          <t>TN</t>
        </is>
      </c>
      <c r="D261" s="7" t="inlineStr">
        <is>
          <t>TN09BP8384</t>
        </is>
      </c>
      <c r="E261" s="7" t="inlineStr">
        <is>
          <t>HYUNDAI</t>
        </is>
      </c>
      <c r="F261" s="7" t="inlineStr">
        <is>
          <t>Eon</t>
        </is>
      </c>
      <c r="G261" s="7" t="inlineStr">
        <is>
          <t>KHIVRAJ MOTOR</t>
        </is>
      </c>
      <c r="H261" s="7" t="inlineStr">
        <is>
          <t>Non-Captive</t>
        </is>
      </c>
      <c r="I261" s="7" t="inlineStr">
        <is>
          <t>Jayaram Cars</t>
        </is>
      </c>
      <c r="J261" s="8" t="n">
        <v>2012</v>
      </c>
      <c r="K261" s="9" t="n">
        <v>29851</v>
      </c>
      <c r="L261" s="10" t="n">
        <v>103000</v>
      </c>
      <c r="M261" s="10" t="n">
        <v>5084.75</v>
      </c>
      <c r="N261" s="11">
        <f>IF(M261="","",ROUND(M261*1.18,2))</f>
        <v/>
      </c>
      <c r="O261" s="12">
        <f>IF(M261="","",ROUND(N261-M261,2))</f>
        <v/>
      </c>
      <c r="P261" s="13">
        <f>IF(AND(A261&lt;&gt;"",B261&lt;&gt;""), A261&amp;" · "&amp;B261, "")</f>
        <v/>
      </c>
    </row>
    <row r="262">
      <c r="A262" s="6" t="inlineStr">
        <is>
          <t>FY26</t>
        </is>
      </c>
      <c r="B262" s="6" t="inlineStr">
        <is>
          <t>Jan</t>
        </is>
      </c>
      <c r="C262" s="6" t="inlineStr">
        <is>
          <t>TN</t>
        </is>
      </c>
      <c r="D262" s="7" t="inlineStr">
        <is>
          <t>TN09BW5612</t>
        </is>
      </c>
      <c r="E262" s="7" t="inlineStr">
        <is>
          <t>MARUTI SUZUKI</t>
        </is>
      </c>
      <c r="F262" s="7" t="inlineStr">
        <is>
          <t>Swift</t>
        </is>
      </c>
      <c r="G262" s="7" t="inlineStr">
        <is>
          <t>KHIVRAJ MOTOR</t>
        </is>
      </c>
      <c r="H262" s="7" t="inlineStr">
        <is>
          <t>Non-Captive</t>
        </is>
      </c>
      <c r="I262" s="7" t="inlineStr">
        <is>
          <t>Shahana Cars</t>
        </is>
      </c>
      <c r="J262" s="8" t="n">
        <v>2014</v>
      </c>
      <c r="K262" s="9" t="n">
        <v>81065</v>
      </c>
      <c r="L262" s="10" t="n">
        <v>300000</v>
      </c>
      <c r="M262" s="10" t="n">
        <v>2966.1</v>
      </c>
      <c r="N262" s="11">
        <f>IF(M262="","",ROUND(M262*1.18,2))</f>
        <v/>
      </c>
      <c r="O262" s="12">
        <f>IF(M262="","",ROUND(N262-M262,2))</f>
        <v/>
      </c>
      <c r="P262" s="13">
        <f>IF(AND(A262&lt;&gt;"",B262&lt;&gt;""), A262&amp;" · "&amp;B262, "")</f>
        <v/>
      </c>
    </row>
    <row r="263">
      <c r="A263" s="6" t="inlineStr">
        <is>
          <t>FY26</t>
        </is>
      </c>
      <c r="B263" s="6" t="inlineStr">
        <is>
          <t>Jan</t>
        </is>
      </c>
      <c r="C263" s="6" t="inlineStr">
        <is>
          <t>TN</t>
        </is>
      </c>
      <c r="D263" s="7" t="inlineStr">
        <is>
          <t>TN09BY6625</t>
        </is>
      </c>
      <c r="E263" s="7" t="inlineStr">
        <is>
          <t>HONDA</t>
        </is>
      </c>
      <c r="F263" s="7" t="inlineStr">
        <is>
          <t>Brio</t>
        </is>
      </c>
      <c r="G263" s="7" t="inlineStr">
        <is>
          <t>KHIVRAJ MOTOR</t>
        </is>
      </c>
      <c r="H263" s="7" t="inlineStr">
        <is>
          <t>Non-Captive</t>
        </is>
      </c>
      <c r="I263" s="7" t="inlineStr">
        <is>
          <t>AAA Cars</t>
        </is>
      </c>
      <c r="J263" s="8" t="n">
        <v>2014</v>
      </c>
      <c r="K263" s="9" t="n">
        <v>75446</v>
      </c>
      <c r="L263" s="10" t="n">
        <v>150000</v>
      </c>
      <c r="M263" s="10" t="n">
        <v>5084.75</v>
      </c>
      <c r="N263" s="11">
        <f>IF(M263="","",ROUND(M263*1.18,2))</f>
        <v/>
      </c>
      <c r="O263" s="12">
        <f>IF(M263="","",ROUND(N263-M263,2))</f>
        <v/>
      </c>
      <c r="P263" s="13">
        <f>IF(AND(A263&lt;&gt;"",B263&lt;&gt;""), A263&amp;" · "&amp;B263, "")</f>
        <v/>
      </c>
    </row>
    <row r="264">
      <c r="A264" s="6" t="inlineStr">
        <is>
          <t>FY26</t>
        </is>
      </c>
      <c r="B264" s="6" t="inlineStr">
        <is>
          <t>Jan</t>
        </is>
      </c>
      <c r="C264" s="6" t="inlineStr">
        <is>
          <t>TN</t>
        </is>
      </c>
      <c r="D264" s="7" t="inlineStr">
        <is>
          <t>TN09CC7875</t>
        </is>
      </c>
      <c r="E264" s="7" t="inlineStr">
        <is>
          <t>HYUNDAI</t>
        </is>
      </c>
      <c r="F264" s="7" t="inlineStr">
        <is>
          <t>Xcent</t>
        </is>
      </c>
      <c r="G264" s="7" t="inlineStr">
        <is>
          <t>EXCHANGE CHENNAI</t>
        </is>
      </c>
      <c r="H264" s="7" t="inlineStr">
        <is>
          <t>Captive</t>
        </is>
      </c>
      <c r="I264" s="7" t="inlineStr">
        <is>
          <t>Aasim Motors</t>
        </is>
      </c>
      <c r="J264" s="8" t="n">
        <v>2016</v>
      </c>
      <c r="K264" s="9" t="n">
        <v>148628</v>
      </c>
      <c r="L264" s="10" t="n">
        <v>260000</v>
      </c>
      <c r="M264" s="10" t="n">
        <v>2542.37</v>
      </c>
      <c r="N264" s="11">
        <f>IF(M264="","",ROUND(M264*1.18,2))</f>
        <v/>
      </c>
      <c r="O264" s="12">
        <f>IF(M264="","",ROUND(N264-M264,2))</f>
        <v/>
      </c>
      <c r="P264" s="13">
        <f>IF(AND(A264&lt;&gt;"",B264&lt;&gt;""), A264&amp;" · "&amp;B264, "")</f>
        <v/>
      </c>
    </row>
    <row r="265">
      <c r="A265" s="6" t="inlineStr">
        <is>
          <t>FY26</t>
        </is>
      </c>
      <c r="B265" s="6" t="inlineStr">
        <is>
          <t>Jan</t>
        </is>
      </c>
      <c r="C265" s="6" t="inlineStr">
        <is>
          <t>TN</t>
        </is>
      </c>
      <c r="D265" s="7" t="inlineStr">
        <is>
          <t>TN09CD2088</t>
        </is>
      </c>
      <c r="E265" s="7" t="inlineStr">
        <is>
          <t>MARUTI SUZUKI</t>
        </is>
      </c>
      <c r="F265" s="7" t="inlineStr">
        <is>
          <t>Celerio</t>
        </is>
      </c>
      <c r="G265" s="7" t="inlineStr">
        <is>
          <t>KHIVRAJ MOTOR</t>
        </is>
      </c>
      <c r="H265" s="7" t="inlineStr">
        <is>
          <t>Non-Captive</t>
        </is>
      </c>
      <c r="I265" s="7" t="inlineStr">
        <is>
          <t>Santhosh Cars</t>
        </is>
      </c>
      <c r="J265" s="8" t="n">
        <v>2016</v>
      </c>
      <c r="K265" s="9" t="n">
        <v>77645</v>
      </c>
      <c r="L265" s="10" t="n">
        <v>230000</v>
      </c>
      <c r="M265" s="10" t="n">
        <v>2966.1</v>
      </c>
      <c r="N265" s="11">
        <f>IF(M265="","",ROUND(M265*1.18,2))</f>
        <v/>
      </c>
      <c r="O265" s="12">
        <f>IF(M265="","",ROUND(N265-M265,2))</f>
        <v/>
      </c>
      <c r="P265" s="13">
        <f>IF(AND(A265&lt;&gt;"",B265&lt;&gt;""), A265&amp;" · "&amp;B265, "")</f>
        <v/>
      </c>
    </row>
    <row r="266">
      <c r="A266" s="6" t="inlineStr">
        <is>
          <t>FY26</t>
        </is>
      </c>
      <c r="B266" s="6" t="inlineStr">
        <is>
          <t>Jan</t>
        </is>
      </c>
      <c r="C266" s="6" t="inlineStr">
        <is>
          <t>TN</t>
        </is>
      </c>
      <c r="D266" s="7" t="inlineStr">
        <is>
          <t>TN09CD9171</t>
        </is>
      </c>
      <c r="E266" s="7" t="inlineStr">
        <is>
          <t>MARUTI SUZUKI</t>
        </is>
      </c>
      <c r="F266" s="7" t="inlineStr">
        <is>
          <t>Baleno</t>
        </is>
      </c>
      <c r="G266" s="7" t="inlineStr">
        <is>
          <t>KHIVRAJ MOTOR</t>
        </is>
      </c>
      <c r="H266" s="7" t="inlineStr">
        <is>
          <t>Non-Captive</t>
        </is>
      </c>
      <c r="I266" s="7" t="inlineStr">
        <is>
          <t>Chaaran Cars</t>
        </is>
      </c>
      <c r="J266" s="8" t="n">
        <v>2016</v>
      </c>
      <c r="K266" s="9" t="n">
        <v>46578</v>
      </c>
      <c r="L266" s="10" t="n">
        <v>420000</v>
      </c>
      <c r="M266" s="10" t="n">
        <v>5932.2</v>
      </c>
      <c r="N266" s="11">
        <f>IF(M266="","",ROUND(M266*1.18,2))</f>
        <v/>
      </c>
      <c r="O266" s="12">
        <f>IF(M266="","",ROUND(N266-M266,2))</f>
        <v/>
      </c>
      <c r="P266" s="13">
        <f>IF(AND(A266&lt;&gt;"",B266&lt;&gt;""), A266&amp;" · "&amp;B266, "")</f>
        <v/>
      </c>
    </row>
    <row r="267">
      <c r="A267" s="6" t="inlineStr">
        <is>
          <t>FY26</t>
        </is>
      </c>
      <c r="B267" s="6" t="inlineStr">
        <is>
          <t>Jan</t>
        </is>
      </c>
      <c r="C267" s="6" t="inlineStr">
        <is>
          <t>TN</t>
        </is>
      </c>
      <c r="D267" s="7" t="inlineStr">
        <is>
          <t>TN09CD9705</t>
        </is>
      </c>
      <c r="E267" s="7" t="inlineStr">
        <is>
          <t>MARUTI SUZUKI</t>
        </is>
      </c>
      <c r="F267" s="7" t="inlineStr">
        <is>
          <t>Celerio</t>
        </is>
      </c>
      <c r="G267" s="7" t="inlineStr">
        <is>
          <t>KHIVRAJ MOTOR</t>
        </is>
      </c>
      <c r="H267" s="7" t="inlineStr">
        <is>
          <t>Non-Captive</t>
        </is>
      </c>
      <c r="I267" s="7" t="inlineStr">
        <is>
          <t>Senthil Cars</t>
        </is>
      </c>
      <c r="J267" s="8" t="n">
        <v>2016</v>
      </c>
      <c r="K267" s="9" t="n">
        <v>55558</v>
      </c>
      <c r="L267" s="10" t="n">
        <v>235000</v>
      </c>
      <c r="M267" s="10" t="n">
        <v>2966.1</v>
      </c>
      <c r="N267" s="11">
        <f>IF(M267="","",ROUND(M267*1.18,2))</f>
        <v/>
      </c>
      <c r="O267" s="12">
        <f>IF(M267="","",ROUND(N267-M267,2))</f>
        <v/>
      </c>
      <c r="P267" s="13">
        <f>IF(AND(A267&lt;&gt;"",B267&lt;&gt;""), A267&amp;" · "&amp;B267, "")</f>
        <v/>
      </c>
    </row>
    <row r="268">
      <c r="A268" s="6" t="inlineStr">
        <is>
          <t>FY26</t>
        </is>
      </c>
      <c r="B268" s="6" t="inlineStr">
        <is>
          <t>Jan</t>
        </is>
      </c>
      <c r="C268" s="6" t="inlineStr">
        <is>
          <t>TN</t>
        </is>
      </c>
      <c r="D268" s="7" t="inlineStr">
        <is>
          <t>TN09CE3343</t>
        </is>
      </c>
      <c r="E268" s="7" t="inlineStr">
        <is>
          <t>MARUTI SUZUKI</t>
        </is>
      </c>
      <c r="F268" s="7" t="inlineStr">
        <is>
          <t>Wagon R</t>
        </is>
      </c>
      <c r="G268" s="7" t="inlineStr">
        <is>
          <t>NIRMAL</t>
        </is>
      </c>
      <c r="H268" s="7" t="inlineStr">
        <is>
          <t>Non-Captive</t>
        </is>
      </c>
      <c r="I268" s="7" t="inlineStr">
        <is>
          <t>Ragupathy Cars</t>
        </is>
      </c>
      <c r="J268" s="8" t="n">
        <v>2016</v>
      </c>
      <c r="K268" s="9" t="n">
        <v>123540</v>
      </c>
      <c r="L268" s="10" t="n">
        <v>270000</v>
      </c>
      <c r="M268" s="10" t="n">
        <v>4237.29</v>
      </c>
      <c r="N268" s="11">
        <f>IF(M268="","",ROUND(M268*1.18,2))</f>
        <v/>
      </c>
      <c r="O268" s="12">
        <f>IF(M268="","",ROUND(N268-M268,2))</f>
        <v/>
      </c>
      <c r="P268" s="13">
        <f>IF(AND(A268&lt;&gt;"",B268&lt;&gt;""), A268&amp;" · "&amp;B268, "")</f>
        <v/>
      </c>
    </row>
    <row r="269">
      <c r="A269" s="6" t="inlineStr">
        <is>
          <t>FY26</t>
        </is>
      </c>
      <c r="B269" s="6" t="inlineStr">
        <is>
          <t>Jan</t>
        </is>
      </c>
      <c r="C269" s="6" t="inlineStr">
        <is>
          <t>TN</t>
        </is>
      </c>
      <c r="D269" s="7" t="inlineStr">
        <is>
          <t>TN09CE6262</t>
        </is>
      </c>
      <c r="E269" s="7" t="inlineStr">
        <is>
          <t>MARUTI SUZUKI</t>
        </is>
      </c>
      <c r="F269" s="7" t="inlineStr">
        <is>
          <t>Vitara Brezza</t>
        </is>
      </c>
      <c r="G269" s="7" t="inlineStr">
        <is>
          <t>KHIVRAJ MOTOR</t>
        </is>
      </c>
      <c r="H269" s="7" t="inlineStr">
        <is>
          <t>Non-Captive</t>
        </is>
      </c>
      <c r="I269" s="7" t="inlineStr">
        <is>
          <t>Senthil Cars</t>
        </is>
      </c>
      <c r="J269" s="8" t="n"/>
      <c r="K269" s="9" t="n"/>
      <c r="L269" s="10" t="n">
        <v>473000</v>
      </c>
      <c r="M269" s="10" t="n">
        <v>5084.75</v>
      </c>
      <c r="N269" s="11">
        <f>IF(M269="","",ROUND(M269*1.18,2))</f>
        <v/>
      </c>
      <c r="O269" s="12">
        <f>IF(M269="","",ROUND(N269-M269,2))</f>
        <v/>
      </c>
      <c r="P269" s="13">
        <f>IF(AND(A269&lt;&gt;"",B269&lt;&gt;""), A269&amp;" · "&amp;B269, "")</f>
        <v/>
      </c>
    </row>
    <row r="270">
      <c r="A270" s="6" t="inlineStr">
        <is>
          <t>FY26</t>
        </is>
      </c>
      <c r="B270" s="6" t="inlineStr">
        <is>
          <t>Jan</t>
        </is>
      </c>
      <c r="C270" s="6" t="inlineStr">
        <is>
          <t>TN</t>
        </is>
      </c>
      <c r="D270" s="7" t="inlineStr">
        <is>
          <t>TN09CH0258</t>
        </is>
      </c>
      <c r="E270" s="7" t="inlineStr">
        <is>
          <t>VOLKSWAGEN</t>
        </is>
      </c>
      <c r="F270" s="7" t="inlineStr">
        <is>
          <t>Ameo</t>
        </is>
      </c>
      <c r="G270" s="7" t="inlineStr">
        <is>
          <t>EXCHANGE CHENNAI</t>
        </is>
      </c>
      <c r="H270" s="7" t="inlineStr">
        <is>
          <t>Captive</t>
        </is>
      </c>
      <c r="I270" s="7" t="inlineStr">
        <is>
          <t>Kirthi Cars</t>
        </is>
      </c>
      <c r="J270" s="8" t="n">
        <v>2016</v>
      </c>
      <c r="K270" s="9" t="n">
        <v>55381</v>
      </c>
      <c r="L270" s="10" t="n">
        <v>440000</v>
      </c>
      <c r="M270" s="10" t="n">
        <v>4237.29</v>
      </c>
      <c r="N270" s="11">
        <f>IF(M270="","",ROUND(M270*1.18,2))</f>
        <v/>
      </c>
      <c r="O270" s="12">
        <f>IF(M270="","",ROUND(N270-M270,2))</f>
        <v/>
      </c>
      <c r="P270" s="13">
        <f>IF(AND(A270&lt;&gt;"",B270&lt;&gt;""), A270&amp;" · "&amp;B270, "")</f>
        <v/>
      </c>
    </row>
    <row r="271">
      <c r="A271" s="6" t="inlineStr">
        <is>
          <t>FY26</t>
        </is>
      </c>
      <c r="B271" s="6" t="inlineStr">
        <is>
          <t>Jan</t>
        </is>
      </c>
      <c r="C271" s="6" t="inlineStr">
        <is>
          <t>TN</t>
        </is>
      </c>
      <c r="D271" s="7" t="inlineStr">
        <is>
          <t>TN09CM7426</t>
        </is>
      </c>
      <c r="E271" s="7" t="inlineStr">
        <is>
          <t>MARUTI SUZUKI</t>
        </is>
      </c>
      <c r="F271" s="7" t="inlineStr">
        <is>
          <t>Baleno</t>
        </is>
      </c>
      <c r="G271" s="7" t="inlineStr">
        <is>
          <t>EXCHANGE CHENNAI</t>
        </is>
      </c>
      <c r="H271" s="7" t="inlineStr">
        <is>
          <t>Captive</t>
        </is>
      </c>
      <c r="I271" s="7" t="inlineStr">
        <is>
          <t>Santhosh Cars</t>
        </is>
      </c>
      <c r="J271" s="8" t="n">
        <v>2018</v>
      </c>
      <c r="K271" s="9" t="n">
        <v>65076</v>
      </c>
      <c r="L271" s="10" t="n">
        <v>535000</v>
      </c>
      <c r="M271" s="10" t="n">
        <v>8474.58</v>
      </c>
      <c r="N271" s="11">
        <f>IF(M271="","",ROUND(M271*1.18,2))</f>
        <v/>
      </c>
      <c r="O271" s="12">
        <f>IF(M271="","",ROUND(N271-M271,2))</f>
        <v/>
      </c>
      <c r="P271" s="13">
        <f>IF(AND(A271&lt;&gt;"",B271&lt;&gt;""), A271&amp;" · "&amp;B271, "")</f>
        <v/>
      </c>
    </row>
    <row r="272">
      <c r="A272" s="6" t="inlineStr">
        <is>
          <t>FY26</t>
        </is>
      </c>
      <c r="B272" s="6" t="inlineStr">
        <is>
          <t>Jan</t>
        </is>
      </c>
      <c r="C272" s="6" t="inlineStr">
        <is>
          <t>TN</t>
        </is>
      </c>
      <c r="D272" s="7" t="inlineStr">
        <is>
          <t>TN09CT3233</t>
        </is>
      </c>
      <c r="E272" s="7" t="inlineStr">
        <is>
          <t>HYUNDAI</t>
        </is>
      </c>
      <c r="F272" s="7" t="inlineStr">
        <is>
          <t>Creta</t>
        </is>
      </c>
      <c r="G272" s="7" t="inlineStr">
        <is>
          <t>HARSHA</t>
        </is>
      </c>
      <c r="H272" s="7" t="inlineStr">
        <is>
          <t>Non-Captive</t>
        </is>
      </c>
      <c r="I272" s="7" t="inlineStr">
        <is>
          <t>Pine Autos</t>
        </is>
      </c>
      <c r="J272" s="8" t="n">
        <v>2019</v>
      </c>
      <c r="K272" s="9" t="n">
        <v>44563</v>
      </c>
      <c r="L272" s="10" t="n">
        <v>530000</v>
      </c>
      <c r="M272" s="10" t="n">
        <v>5508.47</v>
      </c>
      <c r="N272" s="11">
        <f>IF(M272="","",ROUND(M272*1.18,2))</f>
        <v/>
      </c>
      <c r="O272" s="12">
        <f>IF(M272="","",ROUND(N272-M272,2))</f>
        <v/>
      </c>
      <c r="P272" s="13">
        <f>IF(AND(A272&lt;&gt;"",B272&lt;&gt;""), A272&amp;" · "&amp;B272, "")</f>
        <v/>
      </c>
    </row>
    <row r="273">
      <c r="A273" s="6" t="inlineStr">
        <is>
          <t>FY26</t>
        </is>
      </c>
      <c r="B273" s="6" t="inlineStr">
        <is>
          <t>Jan</t>
        </is>
      </c>
      <c r="C273" s="6" t="inlineStr">
        <is>
          <t>TN</t>
        </is>
      </c>
      <c r="D273" s="7" t="inlineStr">
        <is>
          <t>TN09DB4698</t>
        </is>
      </c>
      <c r="E273" s="7" t="inlineStr">
        <is>
          <t>MARUTI SUZUKI</t>
        </is>
      </c>
      <c r="F273" s="7" t="inlineStr">
        <is>
          <t>S-Presso</t>
        </is>
      </c>
      <c r="G273" s="7" t="inlineStr">
        <is>
          <t>KHIVRAJ MOTOR</t>
        </is>
      </c>
      <c r="H273" s="7" t="inlineStr">
        <is>
          <t>Non-Captive</t>
        </is>
      </c>
      <c r="I273" s="7" t="inlineStr">
        <is>
          <t>Shakthi Cars</t>
        </is>
      </c>
      <c r="J273" s="8" t="n">
        <v>2022</v>
      </c>
      <c r="K273" s="9" t="n">
        <v>36102</v>
      </c>
      <c r="L273" s="10" t="n">
        <v>320000</v>
      </c>
      <c r="M273" s="10" t="n">
        <v>2966.1</v>
      </c>
      <c r="N273" s="11">
        <f>IF(M273="","",ROUND(M273*1.18,2))</f>
        <v/>
      </c>
      <c r="O273" s="12">
        <f>IF(M273="","",ROUND(N273-M273,2))</f>
        <v/>
      </c>
      <c r="P273" s="13">
        <f>IF(AND(A273&lt;&gt;"",B273&lt;&gt;""), A273&amp;" · "&amp;B273, "")</f>
        <v/>
      </c>
    </row>
    <row r="274">
      <c r="A274" s="6" t="inlineStr">
        <is>
          <t>FY26</t>
        </is>
      </c>
      <c r="B274" s="6" t="inlineStr">
        <is>
          <t>Jan</t>
        </is>
      </c>
      <c r="C274" s="6" t="inlineStr">
        <is>
          <t>TN</t>
        </is>
      </c>
      <c r="D274" s="7" t="inlineStr">
        <is>
          <t>TN10AA7457</t>
        </is>
      </c>
      <c r="E274" s="7" t="inlineStr">
        <is>
          <t>MARUTI SUZUKI</t>
        </is>
      </c>
      <c r="F274" s="7" t="inlineStr">
        <is>
          <t>Dzire</t>
        </is>
      </c>
      <c r="G274" s="7" t="inlineStr">
        <is>
          <t>EXCHANGE CHENNAI</t>
        </is>
      </c>
      <c r="H274" s="7" t="inlineStr">
        <is>
          <t>Captive</t>
        </is>
      </c>
      <c r="I274" s="7" t="inlineStr">
        <is>
          <t>Nirmal Cars</t>
        </is>
      </c>
      <c r="J274" s="8" t="n">
        <v>2010</v>
      </c>
      <c r="K274" s="9" t="n">
        <v>209748</v>
      </c>
      <c r="L274" s="10" t="n">
        <v>170000</v>
      </c>
      <c r="M274" s="10" t="n">
        <v>4237.29</v>
      </c>
      <c r="N274" s="11">
        <f>IF(M274="","",ROUND(M274*1.18,2))</f>
        <v/>
      </c>
      <c r="O274" s="12">
        <f>IF(M274="","",ROUND(N274-M274,2))</f>
        <v/>
      </c>
      <c r="P274" s="13">
        <f>IF(AND(A274&lt;&gt;"",B274&lt;&gt;""), A274&amp;" · "&amp;B274, "")</f>
        <v/>
      </c>
    </row>
    <row r="275">
      <c r="A275" s="6" t="inlineStr">
        <is>
          <t>FY26</t>
        </is>
      </c>
      <c r="B275" s="6" t="inlineStr">
        <is>
          <t>Jan</t>
        </is>
      </c>
      <c r="C275" s="6" t="inlineStr">
        <is>
          <t>TN</t>
        </is>
      </c>
      <c r="D275" s="7" t="inlineStr">
        <is>
          <t>TN10AJ3027</t>
        </is>
      </c>
      <c r="E275" s="7" t="inlineStr">
        <is>
          <t>CHEVROLET</t>
        </is>
      </c>
      <c r="F275" s="7" t="inlineStr">
        <is>
          <t>Beat</t>
        </is>
      </c>
      <c r="G275" s="7" t="inlineStr">
        <is>
          <t>VW KUN</t>
        </is>
      </c>
      <c r="H275" s="7" t="inlineStr">
        <is>
          <t>Non-Captive</t>
        </is>
      </c>
      <c r="I275" s="7" t="inlineStr">
        <is>
          <t>Jayaram Cars</t>
        </is>
      </c>
      <c r="J275" s="8" t="n">
        <v>2012</v>
      </c>
      <c r="K275" s="9" t="n">
        <v>103443</v>
      </c>
      <c r="L275" s="10" t="n">
        <v>70000</v>
      </c>
      <c r="M275" s="10" t="n">
        <v>3389.83</v>
      </c>
      <c r="N275" s="11">
        <f>IF(M275="","",ROUND(M275*1.18,2))</f>
        <v/>
      </c>
      <c r="O275" s="12">
        <f>IF(M275="","",ROUND(N275-M275,2))</f>
        <v/>
      </c>
      <c r="P275" s="13">
        <f>IF(AND(A275&lt;&gt;"",B275&lt;&gt;""), A275&amp;" · "&amp;B275, "")</f>
        <v/>
      </c>
    </row>
    <row r="276">
      <c r="A276" s="6" t="inlineStr">
        <is>
          <t>FY26</t>
        </is>
      </c>
      <c r="B276" s="6" t="inlineStr">
        <is>
          <t>Jan</t>
        </is>
      </c>
      <c r="C276" s="6" t="inlineStr">
        <is>
          <t>TN</t>
        </is>
      </c>
      <c r="D276" s="7" t="inlineStr">
        <is>
          <t>TN10AR3044</t>
        </is>
      </c>
      <c r="E276" s="7" t="inlineStr">
        <is>
          <t>HONDA</t>
        </is>
      </c>
      <c r="F276" s="7" t="inlineStr">
        <is>
          <t>Mobilio</t>
        </is>
      </c>
      <c r="G276" s="7" t="inlineStr">
        <is>
          <t>EXCHANGE CHENNAI</t>
        </is>
      </c>
      <c r="H276" s="7" t="inlineStr">
        <is>
          <t>Captive</t>
        </is>
      </c>
      <c r="I276" s="7" t="inlineStr">
        <is>
          <t>Santhosh Cars</t>
        </is>
      </c>
      <c r="J276" s="8" t="n">
        <v>2014</v>
      </c>
      <c r="K276" s="9" t="n">
        <v>104264</v>
      </c>
      <c r="L276" s="10" t="n">
        <v>300000</v>
      </c>
      <c r="M276" s="10" t="n">
        <v>8474.58</v>
      </c>
      <c r="N276" s="11">
        <f>IF(M276="","",ROUND(M276*1.18,2))</f>
        <v/>
      </c>
      <c r="O276" s="12">
        <f>IF(M276="","",ROUND(N276-M276,2))</f>
        <v/>
      </c>
      <c r="P276" s="13">
        <f>IF(AND(A276&lt;&gt;"",B276&lt;&gt;""), A276&amp;" · "&amp;B276, "")</f>
        <v/>
      </c>
    </row>
    <row r="277">
      <c r="A277" s="6" t="inlineStr">
        <is>
          <t>FY26</t>
        </is>
      </c>
      <c r="B277" s="6" t="inlineStr">
        <is>
          <t>Jan</t>
        </is>
      </c>
      <c r="C277" s="6" t="inlineStr">
        <is>
          <t>TN</t>
        </is>
      </c>
      <c r="D277" s="7" t="inlineStr">
        <is>
          <t>TN10AY7959</t>
        </is>
      </c>
      <c r="E277" s="7" t="inlineStr">
        <is>
          <t>HYUNDAI</t>
        </is>
      </c>
      <c r="F277" s="7" t="inlineStr">
        <is>
          <t>Grand i10</t>
        </is>
      </c>
      <c r="G277" s="7" t="inlineStr">
        <is>
          <t>CASTLE TRADERS HONDA</t>
        </is>
      </c>
      <c r="H277" s="7" t="inlineStr">
        <is>
          <t>Non-Captive</t>
        </is>
      </c>
      <c r="I277" s="7" t="inlineStr">
        <is>
          <t>Bhagavan Cars</t>
        </is>
      </c>
      <c r="J277" s="8" t="n">
        <v>2016</v>
      </c>
      <c r="K277" s="9" t="n">
        <v>80290</v>
      </c>
      <c r="L277" s="10" t="n">
        <v>300000</v>
      </c>
      <c r="M277" s="10" t="n">
        <v>3813.56</v>
      </c>
      <c r="N277" s="11">
        <f>IF(M277="","",ROUND(M277*1.18,2))</f>
        <v/>
      </c>
      <c r="O277" s="12">
        <f>IF(M277="","",ROUND(N277-M277,2))</f>
        <v/>
      </c>
      <c r="P277" s="13">
        <f>IF(AND(A277&lt;&gt;"",B277&lt;&gt;""), A277&amp;" · "&amp;B277, "")</f>
        <v/>
      </c>
    </row>
    <row r="278">
      <c r="A278" s="6" t="inlineStr">
        <is>
          <t>FY26</t>
        </is>
      </c>
      <c r="B278" s="6" t="inlineStr">
        <is>
          <t>Jan</t>
        </is>
      </c>
      <c r="C278" s="6" t="inlineStr">
        <is>
          <t>TN</t>
        </is>
      </c>
      <c r="D278" s="7" t="inlineStr">
        <is>
          <t>TN10AZ0713</t>
        </is>
      </c>
      <c r="E278" s="7" t="inlineStr">
        <is>
          <t>HYUNDAI</t>
        </is>
      </c>
      <c r="F278" s="7" t="inlineStr">
        <is>
          <t>i20</t>
        </is>
      </c>
      <c r="G278" s="7" t="inlineStr">
        <is>
          <t>KHIVRAJ MOTOR</t>
        </is>
      </c>
      <c r="H278" s="7" t="inlineStr">
        <is>
          <t>Non-Captive</t>
        </is>
      </c>
      <c r="I278" s="7" t="inlineStr">
        <is>
          <t>Chaaran Cars</t>
        </is>
      </c>
      <c r="J278" s="8" t="n">
        <v>2017</v>
      </c>
      <c r="K278" s="9" t="n">
        <v>134242</v>
      </c>
      <c r="L278" s="10" t="n">
        <v>370000</v>
      </c>
      <c r="M278" s="10" t="n">
        <v>2966.1</v>
      </c>
      <c r="N278" s="11">
        <f>IF(M278="","",ROUND(M278*1.18,2))</f>
        <v/>
      </c>
      <c r="O278" s="12">
        <f>IF(M278="","",ROUND(N278-M278,2))</f>
        <v/>
      </c>
      <c r="P278" s="13">
        <f>IF(AND(A278&lt;&gt;"",B278&lt;&gt;""), A278&amp;" · "&amp;B278, "")</f>
        <v/>
      </c>
    </row>
    <row r="279">
      <c r="A279" s="6" t="inlineStr">
        <is>
          <t>FY26</t>
        </is>
      </c>
      <c r="B279" s="6" t="inlineStr">
        <is>
          <t>Jan</t>
        </is>
      </c>
      <c r="C279" s="6" t="inlineStr">
        <is>
          <t>TN</t>
        </is>
      </c>
      <c r="D279" s="7" t="inlineStr">
        <is>
          <t>TN10BB1885</t>
        </is>
      </c>
      <c r="E279" s="7" t="inlineStr">
        <is>
          <t>MARUTI SUZUKI</t>
        </is>
      </c>
      <c r="F279" s="7" t="inlineStr">
        <is>
          <t>Dzire</t>
        </is>
      </c>
      <c r="G279" s="7" t="inlineStr">
        <is>
          <t>LAKSHMI TATA</t>
        </is>
      </c>
      <c r="H279" s="7" t="inlineStr">
        <is>
          <t>Non-Captive</t>
        </is>
      </c>
      <c r="I279" s="7" t="inlineStr">
        <is>
          <t>Thiya Cars</t>
        </is>
      </c>
      <c r="J279" s="8" t="n">
        <v>2017</v>
      </c>
      <c r="K279" s="9" t="n">
        <v>110113</v>
      </c>
      <c r="L279" s="10" t="n">
        <v>400000</v>
      </c>
      <c r="M279" s="10" t="n">
        <v>4237.29</v>
      </c>
      <c r="N279" s="11">
        <f>IF(M279="","",ROUND(M279*1.18,2))</f>
        <v/>
      </c>
      <c r="O279" s="12">
        <f>IF(M279="","",ROUND(N279-M279,2))</f>
        <v/>
      </c>
      <c r="P279" s="13">
        <f>IF(AND(A279&lt;&gt;"",B279&lt;&gt;""), A279&amp;" · "&amp;B279, "")</f>
        <v/>
      </c>
    </row>
    <row r="280">
      <c r="A280" s="6" t="inlineStr">
        <is>
          <t>FY26</t>
        </is>
      </c>
      <c r="B280" s="6" t="inlineStr">
        <is>
          <t>Jan</t>
        </is>
      </c>
      <c r="C280" s="6" t="inlineStr">
        <is>
          <t>TN</t>
        </is>
      </c>
      <c r="D280" s="7" t="inlineStr">
        <is>
          <t>TN10BL5484</t>
        </is>
      </c>
      <c r="E280" s="7" t="inlineStr">
        <is>
          <t>MARUTI SUZUKI</t>
        </is>
      </c>
      <c r="F280" s="7" t="inlineStr">
        <is>
          <t>Swift</t>
        </is>
      </c>
      <c r="G280" s="7" t="inlineStr">
        <is>
          <t>KHIVRAJ MOTOR</t>
        </is>
      </c>
      <c r="H280" s="7" t="inlineStr">
        <is>
          <t>Non-Captive</t>
        </is>
      </c>
      <c r="I280" s="7" t="inlineStr">
        <is>
          <t>Chaaran Cars</t>
        </is>
      </c>
      <c r="J280" s="8" t="n">
        <v>2020</v>
      </c>
      <c r="K280" s="9" t="n">
        <v>30179</v>
      </c>
      <c r="L280" s="10" t="n">
        <v>330000</v>
      </c>
      <c r="M280" s="10" t="n">
        <v>2966.1</v>
      </c>
      <c r="N280" s="11">
        <f>IF(M280="","",ROUND(M280*1.18,2))</f>
        <v/>
      </c>
      <c r="O280" s="12">
        <f>IF(M280="","",ROUND(N280-M280,2))</f>
        <v/>
      </c>
      <c r="P280" s="13">
        <f>IF(AND(A280&lt;&gt;"",B280&lt;&gt;""), A280&amp;" · "&amp;B280, "")</f>
        <v/>
      </c>
    </row>
    <row r="281">
      <c r="A281" s="6" t="inlineStr">
        <is>
          <t>FY26</t>
        </is>
      </c>
      <c r="B281" s="6" t="inlineStr">
        <is>
          <t>Jan</t>
        </is>
      </c>
      <c r="C281" s="6" t="inlineStr">
        <is>
          <t>TN</t>
        </is>
      </c>
      <c r="D281" s="7" t="inlineStr">
        <is>
          <t>TN10H8377</t>
        </is>
      </c>
      <c r="E281" s="7" t="inlineStr">
        <is>
          <t>MARUTI SUZUKI</t>
        </is>
      </c>
      <c r="F281" s="7" t="inlineStr">
        <is>
          <t>Zen</t>
        </is>
      </c>
      <c r="G281" s="7" t="inlineStr">
        <is>
          <t>EXCHANGE ROTN</t>
        </is>
      </c>
      <c r="H281" s="7" t="inlineStr">
        <is>
          <t>Captive</t>
        </is>
      </c>
      <c r="I281" s="7" t="inlineStr">
        <is>
          <t>Gugha Cars</t>
        </is>
      </c>
      <c r="J281" s="8" t="n">
        <v>2004</v>
      </c>
      <c r="K281" s="9" t="n">
        <v>127346</v>
      </c>
      <c r="L281" s="10" t="n">
        <v>70000</v>
      </c>
      <c r="M281" s="10" t="n">
        <v>4237.29</v>
      </c>
      <c r="N281" s="11">
        <f>IF(M281="","",ROUND(M281*1.18,2))</f>
        <v/>
      </c>
      <c r="O281" s="12">
        <f>IF(M281="","",ROUND(N281-M281,2))</f>
        <v/>
      </c>
      <c r="P281" s="13">
        <f>IF(AND(A281&lt;&gt;"",B281&lt;&gt;""), A281&amp;" · "&amp;B281, "")</f>
        <v/>
      </c>
    </row>
    <row r="282">
      <c r="A282" s="6" t="inlineStr">
        <is>
          <t>FY26</t>
        </is>
      </c>
      <c r="B282" s="6" t="inlineStr">
        <is>
          <t>Jan</t>
        </is>
      </c>
      <c r="C282" s="6" t="inlineStr">
        <is>
          <t>TN</t>
        </is>
      </c>
      <c r="D282" s="7" t="inlineStr">
        <is>
          <t>TN10Q2282</t>
        </is>
      </c>
      <c r="E282" s="7" t="inlineStr">
        <is>
          <t>MARUTI SUZUKI</t>
        </is>
      </c>
      <c r="F282" s="7" t="inlineStr">
        <is>
          <t>Alto</t>
        </is>
      </c>
      <c r="G282" s="7" t="inlineStr">
        <is>
          <t>EXCHANGE CHENNAI</t>
        </is>
      </c>
      <c r="H282" s="7" t="inlineStr">
        <is>
          <t>Captive</t>
        </is>
      </c>
      <c r="I282" s="7" t="inlineStr">
        <is>
          <t>Santhosh Cars</t>
        </is>
      </c>
      <c r="J282" s="8" t="n">
        <v>2006</v>
      </c>
      <c r="K282" s="9" t="n">
        <v>53708</v>
      </c>
      <c r="L282" s="10" t="n">
        <v>60000</v>
      </c>
      <c r="M282" s="10" t="n">
        <v>4237.29</v>
      </c>
      <c r="N282" s="11">
        <f>IF(M282="","",ROUND(M282*1.18,2))</f>
        <v/>
      </c>
      <c r="O282" s="12">
        <f>IF(M282="","",ROUND(N282-M282,2))</f>
        <v/>
      </c>
      <c r="P282" s="13">
        <f>IF(AND(A282&lt;&gt;"",B282&lt;&gt;""), A282&amp;" · "&amp;B282, "")</f>
        <v/>
      </c>
    </row>
    <row r="283">
      <c r="A283" s="6" t="inlineStr">
        <is>
          <t>FY26</t>
        </is>
      </c>
      <c r="B283" s="6" t="inlineStr">
        <is>
          <t>Jan</t>
        </is>
      </c>
      <c r="C283" s="6" t="inlineStr">
        <is>
          <t>TN</t>
        </is>
      </c>
      <c r="D283" s="7" t="inlineStr">
        <is>
          <t>TN11AL2542</t>
        </is>
      </c>
      <c r="E283" s="7" t="inlineStr">
        <is>
          <t>MARUTI SUZUKI</t>
        </is>
      </c>
      <c r="F283" s="7" t="inlineStr">
        <is>
          <t>Alto</t>
        </is>
      </c>
      <c r="G283" s="7" t="inlineStr">
        <is>
          <t>VISHNU CARS PRIVATE LIMITED</t>
        </is>
      </c>
      <c r="H283" s="7" t="inlineStr">
        <is>
          <t>Non-Captive</t>
        </is>
      </c>
      <c r="I283" s="7" t="inlineStr">
        <is>
          <t>Chaaran Cars</t>
        </is>
      </c>
      <c r="J283" s="8" t="n">
        <v>2019</v>
      </c>
      <c r="K283" s="9" t="n">
        <v>84652</v>
      </c>
      <c r="L283" s="10" t="n">
        <v>200000</v>
      </c>
      <c r="M283" s="10" t="n">
        <v>4237.29</v>
      </c>
      <c r="N283" s="11">
        <f>IF(M283="","",ROUND(M283*1.18,2))</f>
        <v/>
      </c>
      <c r="O283" s="12">
        <f>IF(M283="","",ROUND(N283-M283,2))</f>
        <v/>
      </c>
      <c r="P283" s="13">
        <f>IF(AND(A283&lt;&gt;"",B283&lt;&gt;""), A283&amp;" · "&amp;B283, "")</f>
        <v/>
      </c>
    </row>
    <row r="284">
      <c r="A284" s="6" t="inlineStr">
        <is>
          <t>FY26</t>
        </is>
      </c>
      <c r="B284" s="6" t="inlineStr">
        <is>
          <t>Jan</t>
        </is>
      </c>
      <c r="C284" s="6" t="inlineStr">
        <is>
          <t>TN</t>
        </is>
      </c>
      <c r="D284" s="7" t="inlineStr">
        <is>
          <t>TN11AS6860</t>
        </is>
      </c>
      <c r="E284" s="7" t="inlineStr">
        <is>
          <t>MARUTI SUZUKI</t>
        </is>
      </c>
      <c r="F284" s="7" t="inlineStr">
        <is>
          <t>Alto</t>
        </is>
      </c>
      <c r="G284" s="7" t="inlineStr">
        <is>
          <t>VW KUN</t>
        </is>
      </c>
      <c r="H284" s="7" t="inlineStr">
        <is>
          <t>Non-Captive</t>
        </is>
      </c>
      <c r="I284" s="7" t="inlineStr">
        <is>
          <t>Chaaran Cars</t>
        </is>
      </c>
      <c r="J284" s="8" t="n">
        <v>2020</v>
      </c>
      <c r="K284" s="9" t="n">
        <v>57519</v>
      </c>
      <c r="L284" s="10" t="n">
        <v>250000</v>
      </c>
      <c r="M284" s="10" t="n">
        <v>4237.29</v>
      </c>
      <c r="N284" s="11">
        <f>IF(M284="","",ROUND(M284*1.18,2))</f>
        <v/>
      </c>
      <c r="O284" s="12">
        <f>IF(M284="","",ROUND(N284-M284,2))</f>
        <v/>
      </c>
      <c r="P284" s="13">
        <f>IF(AND(A284&lt;&gt;"",B284&lt;&gt;""), A284&amp;" · "&amp;B284, "")</f>
        <v/>
      </c>
    </row>
    <row r="285">
      <c r="A285" s="6" t="inlineStr">
        <is>
          <t>FY26</t>
        </is>
      </c>
      <c r="B285" s="6" t="inlineStr">
        <is>
          <t>Jan</t>
        </is>
      </c>
      <c r="C285" s="6" t="inlineStr">
        <is>
          <t>TN</t>
        </is>
      </c>
      <c r="D285" s="7" t="inlineStr">
        <is>
          <t>TN11AS8101</t>
        </is>
      </c>
      <c r="E285" s="7" t="inlineStr">
        <is>
          <t>MARUTI SUZUKI</t>
        </is>
      </c>
      <c r="F285" s="7" t="inlineStr">
        <is>
          <t>S-Presso</t>
        </is>
      </c>
      <c r="G285" s="7" t="inlineStr">
        <is>
          <t>VISHNU CARS PRIVATE LIMITED</t>
        </is>
      </c>
      <c r="H285" s="7" t="inlineStr">
        <is>
          <t>Non-Captive</t>
        </is>
      </c>
      <c r="I285" s="7" t="inlineStr">
        <is>
          <t>AAA Cars</t>
        </is>
      </c>
      <c r="J285" s="8" t="n">
        <v>2020</v>
      </c>
      <c r="K285" s="9" t="n">
        <v>40590</v>
      </c>
      <c r="L285" s="10" t="n">
        <v>275000</v>
      </c>
      <c r="M285" s="10" t="n">
        <v>4237.29</v>
      </c>
      <c r="N285" s="11">
        <f>IF(M285="","",ROUND(M285*1.18,2))</f>
        <v/>
      </c>
      <c r="O285" s="12">
        <f>IF(M285="","",ROUND(N285-M285,2))</f>
        <v/>
      </c>
      <c r="P285" s="13">
        <f>IF(AND(A285&lt;&gt;"",B285&lt;&gt;""), A285&amp;" · "&amp;B285, "")</f>
        <v/>
      </c>
    </row>
    <row r="286">
      <c r="A286" s="6" t="inlineStr">
        <is>
          <t>FY26</t>
        </is>
      </c>
      <c r="B286" s="6" t="inlineStr">
        <is>
          <t>Jan</t>
        </is>
      </c>
      <c r="C286" s="6" t="inlineStr">
        <is>
          <t>TN</t>
        </is>
      </c>
      <c r="D286" s="7" t="inlineStr">
        <is>
          <t>TN11K7075</t>
        </is>
      </c>
      <c r="E286" s="7" t="inlineStr">
        <is>
          <t>VOLKSWAGEN</t>
        </is>
      </c>
      <c r="F286" s="7" t="inlineStr">
        <is>
          <t>Vento</t>
        </is>
      </c>
      <c r="G286" s="7" t="inlineStr">
        <is>
          <t>KHIVRAJ MOTOR</t>
        </is>
      </c>
      <c r="H286" s="7" t="inlineStr">
        <is>
          <t>Non-Captive</t>
        </is>
      </c>
      <c r="I286" s="7" t="inlineStr">
        <is>
          <t>Santhosh Cars</t>
        </is>
      </c>
      <c r="J286" s="8" t="n">
        <v>2014</v>
      </c>
      <c r="K286" s="9" t="n">
        <v>157891</v>
      </c>
      <c r="L286" s="10" t="n">
        <v>175000</v>
      </c>
      <c r="M286" s="10" t="n">
        <v>2966.1</v>
      </c>
      <c r="N286" s="11">
        <f>IF(M286="","",ROUND(M286*1.18,2))</f>
        <v/>
      </c>
      <c r="O286" s="12">
        <f>IF(M286="","",ROUND(N286-M286,2))</f>
        <v/>
      </c>
      <c r="P286" s="13">
        <f>IF(AND(A286&lt;&gt;"",B286&lt;&gt;""), A286&amp;" · "&amp;B286, "")</f>
        <v/>
      </c>
    </row>
    <row r="287">
      <c r="A287" s="6" t="inlineStr">
        <is>
          <t>FY26</t>
        </is>
      </c>
      <c r="B287" s="6" t="inlineStr">
        <is>
          <t>Jan</t>
        </is>
      </c>
      <c r="C287" s="6" t="inlineStr">
        <is>
          <t>TN</t>
        </is>
      </c>
      <c r="D287" s="7" t="inlineStr">
        <is>
          <t>TN11U5393</t>
        </is>
      </c>
      <c r="E287" s="7" t="inlineStr">
        <is>
          <t>MARUTI SUZUKI</t>
        </is>
      </c>
      <c r="F287" s="7" t="inlineStr">
        <is>
          <t>Celerio</t>
        </is>
      </c>
      <c r="G287" s="7" t="inlineStr">
        <is>
          <t>VISHNU CARS PRIVATE LIMITED</t>
        </is>
      </c>
      <c r="H287" s="7" t="inlineStr">
        <is>
          <t>Non-Captive</t>
        </is>
      </c>
      <c r="I287" s="7" t="inlineStr">
        <is>
          <t>Thiya Cars</t>
        </is>
      </c>
      <c r="J287" s="8" t="n">
        <v>2016</v>
      </c>
      <c r="K287" s="9" t="n">
        <v>81088</v>
      </c>
      <c r="L287" s="10" t="n">
        <v>200000</v>
      </c>
      <c r="M287" s="10" t="n">
        <v>4237.29</v>
      </c>
      <c r="N287" s="11">
        <f>IF(M287="","",ROUND(M287*1.18,2))</f>
        <v/>
      </c>
      <c r="O287" s="12">
        <f>IF(M287="","",ROUND(N287-M287,2))</f>
        <v/>
      </c>
      <c r="P287" s="13">
        <f>IF(AND(A287&lt;&gt;"",B287&lt;&gt;""), A287&amp;" · "&amp;B287, "")</f>
        <v/>
      </c>
    </row>
    <row r="288">
      <c r="A288" s="6" t="inlineStr">
        <is>
          <t>FY26</t>
        </is>
      </c>
      <c r="B288" s="6" t="inlineStr">
        <is>
          <t>Jan</t>
        </is>
      </c>
      <c r="C288" s="6" t="inlineStr">
        <is>
          <t>TN</t>
        </is>
      </c>
      <c r="D288" s="7" t="inlineStr">
        <is>
          <t>TN11Z2385</t>
        </is>
      </c>
      <c r="E288" s="7" t="inlineStr">
        <is>
          <t>HYUNDAI</t>
        </is>
      </c>
      <c r="F288" s="7" t="inlineStr">
        <is>
          <t>i10</t>
        </is>
      </c>
      <c r="G288" s="7" t="inlineStr">
        <is>
          <t>KHIVRAJ MOTOR</t>
        </is>
      </c>
      <c r="H288" s="7" t="inlineStr">
        <is>
          <t>Non-Captive</t>
        </is>
      </c>
      <c r="I288" s="7" t="inlineStr">
        <is>
          <t>Senthil Cars</t>
        </is>
      </c>
      <c r="J288" s="8" t="n">
        <v>2012</v>
      </c>
      <c r="K288" s="9" t="n">
        <v>79783</v>
      </c>
      <c r="L288" s="10" t="n">
        <v>160000</v>
      </c>
      <c r="M288" s="10" t="n">
        <v>2966.1</v>
      </c>
      <c r="N288" s="11">
        <f>IF(M288="","",ROUND(M288*1.18,2))</f>
        <v/>
      </c>
      <c r="O288" s="12">
        <f>IF(M288="","",ROUND(N288-M288,2))</f>
        <v/>
      </c>
      <c r="P288" s="13">
        <f>IF(AND(A288&lt;&gt;"",B288&lt;&gt;""), A288&amp;" · "&amp;B288, "")</f>
        <v/>
      </c>
    </row>
    <row r="289">
      <c r="A289" s="6" t="inlineStr">
        <is>
          <t>FY26</t>
        </is>
      </c>
      <c r="B289" s="6" t="inlineStr">
        <is>
          <t>Jan</t>
        </is>
      </c>
      <c r="C289" s="6" t="inlineStr">
        <is>
          <t>TN</t>
        </is>
      </c>
      <c r="D289" s="7" t="inlineStr">
        <is>
          <t>TN12AH4291</t>
        </is>
      </c>
      <c r="E289" s="7" t="inlineStr">
        <is>
          <t>MARUTI SUZUKI</t>
        </is>
      </c>
      <c r="F289" s="7" t="inlineStr">
        <is>
          <t>Wagon R</t>
        </is>
      </c>
      <c r="G289" s="7" t="inlineStr">
        <is>
          <t>KHIVRAJ MOTOR</t>
        </is>
      </c>
      <c r="H289" s="7" t="inlineStr">
        <is>
          <t>Non-Captive</t>
        </is>
      </c>
      <c r="I289" s="7" t="inlineStr">
        <is>
          <t>Essar Preowned Cars</t>
        </is>
      </c>
      <c r="J289" s="8" t="n">
        <v>2019</v>
      </c>
      <c r="K289" s="9" t="n">
        <v>86603</v>
      </c>
      <c r="L289" s="10" t="n">
        <v>380000</v>
      </c>
      <c r="M289" s="10" t="n">
        <v>2966.1</v>
      </c>
      <c r="N289" s="11">
        <f>IF(M289="","",ROUND(M289*1.18,2))</f>
        <v/>
      </c>
      <c r="O289" s="12">
        <f>IF(M289="","",ROUND(N289-M289,2))</f>
        <v/>
      </c>
      <c r="P289" s="13">
        <f>IF(AND(A289&lt;&gt;"",B289&lt;&gt;""), A289&amp;" · "&amp;B289, "")</f>
        <v/>
      </c>
    </row>
    <row r="290">
      <c r="A290" s="6" t="inlineStr">
        <is>
          <t>FY26</t>
        </is>
      </c>
      <c r="B290" s="6" t="inlineStr">
        <is>
          <t>Jan</t>
        </is>
      </c>
      <c r="C290" s="6" t="inlineStr">
        <is>
          <t>TN</t>
        </is>
      </c>
      <c r="D290" s="7" t="inlineStr">
        <is>
          <t>TN12AL4860</t>
        </is>
      </c>
      <c r="E290" s="7" t="inlineStr">
        <is>
          <t>TATA</t>
        </is>
      </c>
      <c r="F290" s="7" t="inlineStr">
        <is>
          <t>Tiago</t>
        </is>
      </c>
      <c r="G290" s="7" t="inlineStr">
        <is>
          <t>PRODUCTIVITY ELEMENTS PRIVATE LIMITED</t>
        </is>
      </c>
      <c r="H290" s="7" t="inlineStr">
        <is>
          <t>Non-Captive</t>
        </is>
      </c>
      <c r="I290" s="7" t="inlineStr">
        <is>
          <t>Bhagavan Cars</t>
        </is>
      </c>
      <c r="J290" s="8" t="n">
        <v>2020</v>
      </c>
      <c r="K290" s="9" t="n">
        <v>24758</v>
      </c>
      <c r="L290" s="10" t="n">
        <v>350000</v>
      </c>
      <c r="M290" s="10" t="n">
        <v>2966.1</v>
      </c>
      <c r="N290" s="11">
        <f>IF(M290="","",ROUND(M290*1.18,2))</f>
        <v/>
      </c>
      <c r="O290" s="12">
        <f>IF(M290="","",ROUND(N290-M290,2))</f>
        <v/>
      </c>
      <c r="P290" s="13">
        <f>IF(AND(A290&lt;&gt;"",B290&lt;&gt;""), A290&amp;" · "&amp;B290, "")</f>
        <v/>
      </c>
    </row>
    <row r="291">
      <c r="A291" s="6" t="inlineStr">
        <is>
          <t>FY26</t>
        </is>
      </c>
      <c r="B291" s="6" t="inlineStr">
        <is>
          <t>Jan</t>
        </is>
      </c>
      <c r="C291" s="6" t="inlineStr">
        <is>
          <t>TN</t>
        </is>
      </c>
      <c r="D291" s="7" t="inlineStr">
        <is>
          <t>TN12AM7659</t>
        </is>
      </c>
      <c r="E291" s="7" t="inlineStr">
        <is>
          <t>RENAULT</t>
        </is>
      </c>
      <c r="F291" s="7" t="inlineStr">
        <is>
          <t>Kiger</t>
        </is>
      </c>
      <c r="G291" s="7" t="inlineStr">
        <is>
          <t>LAKSHMI TATA</t>
        </is>
      </c>
      <c r="H291" s="7" t="inlineStr">
        <is>
          <t>Non-Captive</t>
        </is>
      </c>
      <c r="I291" s="7" t="inlineStr">
        <is>
          <t>Thiya Cars</t>
        </is>
      </c>
      <c r="J291" s="8" t="n">
        <v>2021</v>
      </c>
      <c r="K291" s="9" t="n">
        <v>41621</v>
      </c>
      <c r="L291" s="10" t="n">
        <v>260000</v>
      </c>
      <c r="M291" s="10" t="n">
        <v>4237.29</v>
      </c>
      <c r="N291" s="11">
        <f>IF(M291="","",ROUND(M291*1.18,2))</f>
        <v/>
      </c>
      <c r="O291" s="12">
        <f>IF(M291="","",ROUND(N291-M291,2))</f>
        <v/>
      </c>
      <c r="P291" s="13">
        <f>IF(AND(A291&lt;&gt;"",B291&lt;&gt;""), A291&amp;" · "&amp;B291, "")</f>
        <v/>
      </c>
    </row>
    <row r="292">
      <c r="A292" s="6" t="inlineStr">
        <is>
          <t>FY26</t>
        </is>
      </c>
      <c r="B292" s="6" t="inlineStr">
        <is>
          <t>Jan</t>
        </is>
      </c>
      <c r="C292" s="6" t="inlineStr">
        <is>
          <t>TN</t>
        </is>
      </c>
      <c r="D292" s="7" t="inlineStr">
        <is>
          <t>TN12AU3082</t>
        </is>
      </c>
      <c r="E292" s="7" t="inlineStr">
        <is>
          <t>MARUTI SUZUKI</t>
        </is>
      </c>
      <c r="F292" s="7" t="inlineStr">
        <is>
          <t>Wagon R</t>
        </is>
      </c>
      <c r="G292" s="7" t="inlineStr">
        <is>
          <t>VISHNU CARS PRIVATE LIMITED</t>
        </is>
      </c>
      <c r="H292" s="7" t="inlineStr">
        <is>
          <t>Non-Captive</t>
        </is>
      </c>
      <c r="I292" s="7" t="inlineStr">
        <is>
          <t>AB Cars</t>
        </is>
      </c>
      <c r="J292" s="8" t="n">
        <v>2022</v>
      </c>
      <c r="K292" s="9" t="n">
        <v>76380</v>
      </c>
      <c r="L292" s="10" t="n">
        <v>400000</v>
      </c>
      <c r="M292" s="10" t="n">
        <v>4237.29</v>
      </c>
      <c r="N292" s="11">
        <f>IF(M292="","",ROUND(M292*1.18,2))</f>
        <v/>
      </c>
      <c r="O292" s="12">
        <f>IF(M292="","",ROUND(N292-M292,2))</f>
        <v/>
      </c>
      <c r="P292" s="13">
        <f>IF(AND(A292&lt;&gt;"",B292&lt;&gt;""), A292&amp;" · "&amp;B292, "")</f>
        <v/>
      </c>
    </row>
    <row r="293">
      <c r="A293" s="6" t="inlineStr">
        <is>
          <t>FY26</t>
        </is>
      </c>
      <c r="B293" s="6" t="inlineStr">
        <is>
          <t>Jan</t>
        </is>
      </c>
      <c r="C293" s="6" t="inlineStr">
        <is>
          <t>TN</t>
        </is>
      </c>
      <c r="D293" s="7" t="inlineStr">
        <is>
          <t>TN12B9028</t>
        </is>
      </c>
      <c r="E293" s="7" t="inlineStr">
        <is>
          <t>NISSAN</t>
        </is>
      </c>
      <c r="F293" s="7" t="inlineStr">
        <is>
          <t>Micra</t>
        </is>
      </c>
      <c r="G293" s="7" t="inlineStr">
        <is>
          <t>VW KUN</t>
        </is>
      </c>
      <c r="H293" s="7" t="inlineStr">
        <is>
          <t>Non-Captive</t>
        </is>
      </c>
      <c r="I293" s="7" t="inlineStr">
        <is>
          <t>Santhosh Cars</t>
        </is>
      </c>
      <c r="J293" s="8" t="n">
        <v>2013</v>
      </c>
      <c r="K293" s="9" t="n">
        <v>25503</v>
      </c>
      <c r="L293" s="10" t="n">
        <v>180000</v>
      </c>
      <c r="M293" s="10" t="n">
        <v>4237.29</v>
      </c>
      <c r="N293" s="11">
        <f>IF(M293="","",ROUND(M293*1.18,2))</f>
        <v/>
      </c>
      <c r="O293" s="12">
        <f>IF(M293="","",ROUND(N293-M293,2))</f>
        <v/>
      </c>
      <c r="P293" s="13">
        <f>IF(AND(A293&lt;&gt;"",B293&lt;&gt;""), A293&amp;" · "&amp;B293, "")</f>
        <v/>
      </c>
    </row>
    <row r="294">
      <c r="A294" s="6" t="inlineStr">
        <is>
          <t>FY26</t>
        </is>
      </c>
      <c r="B294" s="6" t="inlineStr">
        <is>
          <t>Jan</t>
        </is>
      </c>
      <c r="C294" s="6" t="inlineStr">
        <is>
          <t>TN</t>
        </is>
      </c>
      <c r="D294" s="7" t="inlineStr">
        <is>
          <t>TN12E7768</t>
        </is>
      </c>
      <c r="E294" s="7" t="inlineStr">
        <is>
          <t>HYUNDAI</t>
        </is>
      </c>
      <c r="F294" s="7" t="inlineStr">
        <is>
          <t>Grand i10</t>
        </is>
      </c>
      <c r="G294" s="7" t="inlineStr">
        <is>
          <t>LAKSHMI TATA</t>
        </is>
      </c>
      <c r="H294" s="7" t="inlineStr">
        <is>
          <t>Non-Captive</t>
        </is>
      </c>
      <c r="I294" s="7" t="inlineStr">
        <is>
          <t>Thiya Cars</t>
        </is>
      </c>
      <c r="J294" s="8" t="n">
        <v>2014</v>
      </c>
      <c r="K294" s="9" t="n">
        <v>77642</v>
      </c>
      <c r="L294" s="10" t="n">
        <v>200000</v>
      </c>
      <c r="M294" s="10" t="n">
        <v>4237.29</v>
      </c>
      <c r="N294" s="11">
        <f>IF(M294="","",ROUND(M294*1.18,2))</f>
        <v/>
      </c>
      <c r="O294" s="12">
        <f>IF(M294="","",ROUND(N294-M294,2))</f>
        <v/>
      </c>
      <c r="P294" s="13">
        <f>IF(AND(A294&lt;&gt;"",B294&lt;&gt;""), A294&amp;" · "&amp;B294, "")</f>
        <v/>
      </c>
    </row>
    <row r="295">
      <c r="A295" s="6" t="inlineStr">
        <is>
          <t>FY26</t>
        </is>
      </c>
      <c r="B295" s="6" t="inlineStr">
        <is>
          <t>Jan</t>
        </is>
      </c>
      <c r="C295" s="6" t="inlineStr">
        <is>
          <t>TN</t>
        </is>
      </c>
      <c r="D295" s="7" t="inlineStr">
        <is>
          <t>TN12K7549</t>
        </is>
      </c>
      <c r="E295" s="7" t="inlineStr">
        <is>
          <t>MARUTI SUZUKI</t>
        </is>
      </c>
      <c r="F295" s="7" t="inlineStr">
        <is>
          <t>Wagon R</t>
        </is>
      </c>
      <c r="G295" s="7" t="inlineStr">
        <is>
          <t>VW KUN</t>
        </is>
      </c>
      <c r="H295" s="7" t="inlineStr">
        <is>
          <t>Non-Captive</t>
        </is>
      </c>
      <c r="I295" s="7" t="inlineStr">
        <is>
          <t>Seema Cars</t>
        </is>
      </c>
      <c r="J295" s="8" t="n">
        <v>2015</v>
      </c>
      <c r="K295" s="9" t="n">
        <v>111682</v>
      </c>
      <c r="L295" s="10" t="n">
        <v>240000</v>
      </c>
      <c r="M295" s="10" t="n">
        <v>4237.29</v>
      </c>
      <c r="N295" s="11">
        <f>IF(M295="","",ROUND(M295*1.18,2))</f>
        <v/>
      </c>
      <c r="O295" s="12">
        <f>IF(M295="","",ROUND(N295-M295,2))</f>
        <v/>
      </c>
      <c r="P295" s="13">
        <f>IF(AND(A295&lt;&gt;"",B295&lt;&gt;""), A295&amp;" · "&amp;B295, "")</f>
        <v/>
      </c>
    </row>
    <row r="296">
      <c r="A296" s="6" t="inlineStr">
        <is>
          <t>FY26</t>
        </is>
      </c>
      <c r="B296" s="6" t="inlineStr">
        <is>
          <t>Jan</t>
        </is>
      </c>
      <c r="C296" s="6" t="inlineStr">
        <is>
          <t>TN</t>
        </is>
      </c>
      <c r="D296" s="7" t="inlineStr">
        <is>
          <t>TN12L4885</t>
        </is>
      </c>
      <c r="E296" s="7" t="inlineStr">
        <is>
          <t>MARUTI SUZUKI</t>
        </is>
      </c>
      <c r="F296" s="7" t="inlineStr">
        <is>
          <t>Swift</t>
        </is>
      </c>
      <c r="G296" s="7" t="inlineStr">
        <is>
          <t>VISHNU CARS PRIVATE LIMITED</t>
        </is>
      </c>
      <c r="H296" s="7" t="inlineStr">
        <is>
          <t>Non-Captive</t>
        </is>
      </c>
      <c r="I296" s="7" t="inlineStr">
        <is>
          <t>Pine Autos</t>
        </is>
      </c>
      <c r="J296" s="8" t="n">
        <v>2016</v>
      </c>
      <c r="K296" s="9" t="n">
        <v>84775</v>
      </c>
      <c r="L296" s="10" t="n">
        <v>330000</v>
      </c>
      <c r="M296" s="10" t="n">
        <v>4237.29</v>
      </c>
      <c r="N296" s="11">
        <f>IF(M296="","",ROUND(M296*1.18,2))</f>
        <v/>
      </c>
      <c r="O296" s="12">
        <f>IF(M296="","",ROUND(N296-M296,2))</f>
        <v/>
      </c>
      <c r="P296" s="13">
        <f>IF(AND(A296&lt;&gt;"",B296&lt;&gt;""), A296&amp;" · "&amp;B296, "")</f>
        <v/>
      </c>
    </row>
    <row r="297">
      <c r="A297" s="6" t="inlineStr">
        <is>
          <t>FY26</t>
        </is>
      </c>
      <c r="B297" s="6" t="inlineStr">
        <is>
          <t>Jan</t>
        </is>
      </c>
      <c r="C297" s="6" t="inlineStr">
        <is>
          <t>TN</t>
        </is>
      </c>
      <c r="D297" s="7" t="inlineStr">
        <is>
          <t>TN12Q7087</t>
        </is>
      </c>
      <c r="E297" s="7" t="inlineStr">
        <is>
          <t>MARUTI SUZUKI</t>
        </is>
      </c>
      <c r="F297" s="7" t="inlineStr">
        <is>
          <t>Baleno</t>
        </is>
      </c>
      <c r="G297" s="7" t="inlineStr">
        <is>
          <t>KHIVRAJ MOTOR</t>
        </is>
      </c>
      <c r="H297" s="7" t="inlineStr">
        <is>
          <t>Non-Captive</t>
        </is>
      </c>
      <c r="I297" s="7" t="inlineStr">
        <is>
          <t>Nirmal Cars</t>
        </is>
      </c>
      <c r="J297" s="8" t="n">
        <v>2016</v>
      </c>
      <c r="K297" s="9" t="n">
        <v>31586</v>
      </c>
      <c r="L297" s="10" t="n">
        <v>350000</v>
      </c>
      <c r="M297" s="10" t="n">
        <v>3813.56</v>
      </c>
      <c r="N297" s="11">
        <f>IF(M297="","",ROUND(M297*1.18,2))</f>
        <v/>
      </c>
      <c r="O297" s="12">
        <f>IF(M297="","",ROUND(N297-M297,2))</f>
        <v/>
      </c>
      <c r="P297" s="13">
        <f>IF(AND(A297&lt;&gt;"",B297&lt;&gt;""), A297&amp;" · "&amp;B297, "")</f>
        <v/>
      </c>
    </row>
    <row r="298">
      <c r="A298" s="6" t="inlineStr">
        <is>
          <t>FY26</t>
        </is>
      </c>
      <c r="B298" s="6" t="inlineStr">
        <is>
          <t>Jan</t>
        </is>
      </c>
      <c r="C298" s="6" t="inlineStr">
        <is>
          <t>TN</t>
        </is>
      </c>
      <c r="D298" s="7" t="inlineStr">
        <is>
          <t>TN12R2783</t>
        </is>
      </c>
      <c r="E298" s="7" t="inlineStr">
        <is>
          <t>HYUNDAI</t>
        </is>
      </c>
      <c r="F298" s="7" t="inlineStr">
        <is>
          <t>Eon</t>
        </is>
      </c>
      <c r="G298" s="7" t="inlineStr">
        <is>
          <t>KHIVRAJ MOTOR</t>
        </is>
      </c>
      <c r="H298" s="7" t="inlineStr">
        <is>
          <t>Non-Captive</t>
        </is>
      </c>
      <c r="I298" s="7" t="inlineStr">
        <is>
          <t>Santhosh Cars</t>
        </is>
      </c>
      <c r="J298" s="8" t="n">
        <v>2016</v>
      </c>
      <c r="K298" s="9" t="n">
        <v>93970</v>
      </c>
      <c r="L298" s="10" t="n">
        <v>160000</v>
      </c>
      <c r="M298" s="10" t="n">
        <v>2966.1</v>
      </c>
      <c r="N298" s="11">
        <f>IF(M298="","",ROUND(M298*1.18,2))</f>
        <v/>
      </c>
      <c r="O298" s="12">
        <f>IF(M298="","",ROUND(N298-M298,2))</f>
        <v/>
      </c>
      <c r="P298" s="13">
        <f>IF(AND(A298&lt;&gt;"",B298&lt;&gt;""), A298&amp;" · "&amp;B298, "")</f>
        <v/>
      </c>
    </row>
    <row r="299">
      <c r="A299" s="6" t="inlineStr">
        <is>
          <t>FY26</t>
        </is>
      </c>
      <c r="B299" s="6" t="inlineStr">
        <is>
          <t>Jan</t>
        </is>
      </c>
      <c r="C299" s="6" t="inlineStr">
        <is>
          <t>TN</t>
        </is>
      </c>
      <c r="D299" s="7" t="inlineStr">
        <is>
          <t>TN12W8688</t>
        </is>
      </c>
      <c r="E299" s="7" t="inlineStr">
        <is>
          <t>MARUTI SUZUKI</t>
        </is>
      </c>
      <c r="F299" s="7" t="inlineStr">
        <is>
          <t>Wagon R</t>
        </is>
      </c>
      <c r="G299" s="7" t="inlineStr">
        <is>
          <t>KHIVRAJ MOTOR</t>
        </is>
      </c>
      <c r="H299" s="7" t="inlineStr">
        <is>
          <t>Non-Captive</t>
        </is>
      </c>
      <c r="I299" s="7" t="inlineStr">
        <is>
          <t>AAA Cars</t>
        </is>
      </c>
      <c r="J299" s="8" t="n">
        <v>2017</v>
      </c>
      <c r="K299" s="9" t="n">
        <v>79163</v>
      </c>
      <c r="L299" s="10" t="n">
        <v>285000</v>
      </c>
      <c r="M299" s="10" t="n">
        <v>5084.75</v>
      </c>
      <c r="N299" s="11">
        <f>IF(M299="","",ROUND(M299*1.18,2))</f>
        <v/>
      </c>
      <c r="O299" s="12">
        <f>IF(M299="","",ROUND(N299-M299,2))</f>
        <v/>
      </c>
      <c r="P299" s="13">
        <f>IF(AND(A299&lt;&gt;"",B299&lt;&gt;""), A299&amp;" · "&amp;B299, "")</f>
        <v/>
      </c>
    </row>
    <row r="300">
      <c r="A300" s="6" t="inlineStr">
        <is>
          <t>FY26</t>
        </is>
      </c>
      <c r="B300" s="6" t="inlineStr">
        <is>
          <t>Jan</t>
        </is>
      </c>
      <c r="C300" s="6" t="inlineStr">
        <is>
          <t>TN</t>
        </is>
      </c>
      <c r="D300" s="7" t="inlineStr">
        <is>
          <t>TN12Y4221</t>
        </is>
      </c>
      <c r="E300" s="7" t="inlineStr">
        <is>
          <t>MARUTI SUZUKI</t>
        </is>
      </c>
      <c r="F300" s="7" t="inlineStr">
        <is>
          <t>Celerio</t>
        </is>
      </c>
      <c r="G300" s="7" t="inlineStr">
        <is>
          <t>KHIVRAJ MOTOR</t>
        </is>
      </c>
      <c r="H300" s="7" t="inlineStr">
        <is>
          <t>Non-Captive</t>
        </is>
      </c>
      <c r="I300" s="7" t="inlineStr">
        <is>
          <t>Senthil Cars</t>
        </is>
      </c>
      <c r="J300" s="8" t="n">
        <v>2018</v>
      </c>
      <c r="K300" s="9" t="n">
        <v>64763</v>
      </c>
      <c r="L300" s="10" t="n">
        <v>250000</v>
      </c>
      <c r="M300" s="10" t="n">
        <v>2966.1</v>
      </c>
      <c r="N300" s="11">
        <f>IF(M300="","",ROUND(M300*1.18,2))</f>
        <v/>
      </c>
      <c r="O300" s="12">
        <f>IF(M300="","",ROUND(N300-M300,2))</f>
        <v/>
      </c>
      <c r="P300" s="13">
        <f>IF(AND(A300&lt;&gt;"",B300&lt;&gt;""), A300&amp;" · "&amp;B300, "")</f>
        <v/>
      </c>
    </row>
    <row r="301">
      <c r="A301" s="6" t="inlineStr">
        <is>
          <t>FY26</t>
        </is>
      </c>
      <c r="B301" s="6" t="inlineStr">
        <is>
          <t>Jan</t>
        </is>
      </c>
      <c r="C301" s="6" t="inlineStr">
        <is>
          <t>TN</t>
        </is>
      </c>
      <c r="D301" s="7" t="inlineStr">
        <is>
          <t>TN13C9999</t>
        </is>
      </c>
      <c r="E301" s="7" t="inlineStr">
        <is>
          <t>HONDA</t>
        </is>
      </c>
      <c r="F301" s="7" t="inlineStr">
        <is>
          <t>City</t>
        </is>
      </c>
      <c r="G301" s="7" t="inlineStr">
        <is>
          <t>KHIVRAJ MOTOR</t>
        </is>
      </c>
      <c r="H301" s="7" t="inlineStr">
        <is>
          <t>Non-Captive</t>
        </is>
      </c>
      <c r="I301" s="7" t="inlineStr">
        <is>
          <t>Essar Preowned Cars</t>
        </is>
      </c>
      <c r="J301" s="8" t="n">
        <v>2014</v>
      </c>
      <c r="K301" s="9" t="n">
        <v>117637</v>
      </c>
      <c r="L301" s="10" t="n">
        <v>300000</v>
      </c>
      <c r="M301" s="10" t="n">
        <v>2966.1</v>
      </c>
      <c r="N301" s="11">
        <f>IF(M301="","",ROUND(M301*1.18,2))</f>
        <v/>
      </c>
      <c r="O301" s="12">
        <f>IF(M301="","",ROUND(N301-M301,2))</f>
        <v/>
      </c>
      <c r="P301" s="13">
        <f>IF(AND(A301&lt;&gt;"",B301&lt;&gt;""), A301&amp;" · "&amp;B301, "")</f>
        <v/>
      </c>
    </row>
    <row r="302">
      <c r="A302" s="6" t="inlineStr">
        <is>
          <t>FY26</t>
        </is>
      </c>
      <c r="B302" s="6" t="inlineStr">
        <is>
          <t>Jan</t>
        </is>
      </c>
      <c r="C302" s="6" t="inlineStr">
        <is>
          <t>TN</t>
        </is>
      </c>
      <c r="D302" s="7" t="inlineStr">
        <is>
          <t>TN13E0081</t>
        </is>
      </c>
      <c r="E302" s="7" t="inlineStr">
        <is>
          <t>MARUTI SUZUKI</t>
        </is>
      </c>
      <c r="F302" s="7" t="inlineStr">
        <is>
          <t>Alto</t>
        </is>
      </c>
      <c r="G302" s="7" t="inlineStr">
        <is>
          <t>LAKSHMI TATA</t>
        </is>
      </c>
      <c r="H302" s="7" t="inlineStr">
        <is>
          <t>Non-Captive</t>
        </is>
      </c>
      <c r="I302" s="7" t="inlineStr">
        <is>
          <t>Thiya Cars</t>
        </is>
      </c>
      <c r="J302" s="8" t="n">
        <v>2016</v>
      </c>
      <c r="K302" s="9" t="n">
        <v>44733</v>
      </c>
      <c r="L302" s="10" t="n">
        <v>150000</v>
      </c>
      <c r="M302" s="10" t="n">
        <v>4237.29</v>
      </c>
      <c r="N302" s="11">
        <f>IF(M302="","",ROUND(M302*1.18,2))</f>
        <v/>
      </c>
      <c r="O302" s="12">
        <f>IF(M302="","",ROUND(N302-M302,2))</f>
        <v/>
      </c>
      <c r="P302" s="13">
        <f>IF(AND(A302&lt;&gt;"",B302&lt;&gt;""), A302&amp;" · "&amp;B302, "")</f>
        <v/>
      </c>
    </row>
    <row r="303">
      <c r="A303" s="6" t="inlineStr">
        <is>
          <t>FY26</t>
        </is>
      </c>
      <c r="B303" s="6" t="inlineStr">
        <is>
          <t>Jan</t>
        </is>
      </c>
      <c r="C303" s="6" t="inlineStr">
        <is>
          <t>TN</t>
        </is>
      </c>
      <c r="D303" s="7" t="inlineStr">
        <is>
          <t>TN13H5670</t>
        </is>
      </c>
      <c r="E303" s="7" t="inlineStr">
        <is>
          <t>TATA</t>
        </is>
      </c>
      <c r="F303" s="7" t="inlineStr">
        <is>
          <t>Tiago</t>
        </is>
      </c>
      <c r="G303" s="7" t="inlineStr">
        <is>
          <t>LAKSHMI TATA</t>
        </is>
      </c>
      <c r="H303" s="7" t="inlineStr">
        <is>
          <t>Non-Captive</t>
        </is>
      </c>
      <c r="I303" s="7" t="inlineStr">
        <is>
          <t>Omega Car Zone</t>
        </is>
      </c>
      <c r="J303" s="8" t="n">
        <v>2017</v>
      </c>
      <c r="K303" s="9" t="n">
        <v>79008</v>
      </c>
      <c r="L303" s="10" t="n">
        <v>250000</v>
      </c>
      <c r="M303" s="10" t="n">
        <v>4237.29</v>
      </c>
      <c r="N303" s="11">
        <f>IF(M303="","",ROUND(M303*1.18,2))</f>
        <v/>
      </c>
      <c r="O303" s="12">
        <f>IF(M303="","",ROUND(N303-M303,2))</f>
        <v/>
      </c>
      <c r="P303" s="13">
        <f>IF(AND(A303&lt;&gt;"",B303&lt;&gt;""), A303&amp;" · "&amp;B303, "")</f>
        <v/>
      </c>
    </row>
    <row r="304">
      <c r="A304" s="6" t="inlineStr">
        <is>
          <t>FY26</t>
        </is>
      </c>
      <c r="B304" s="6" t="inlineStr">
        <is>
          <t>Jan</t>
        </is>
      </c>
      <c r="C304" s="6" t="inlineStr">
        <is>
          <t>TN</t>
        </is>
      </c>
      <c r="D304" s="7" t="inlineStr">
        <is>
          <t>TN13H6781</t>
        </is>
      </c>
      <c r="E304" s="7" t="inlineStr">
        <is>
          <t>MARUTI SUZUKI</t>
        </is>
      </c>
      <c r="F304" s="7" t="inlineStr">
        <is>
          <t>Swift</t>
        </is>
      </c>
      <c r="G304" s="7" t="inlineStr">
        <is>
          <t>KHIVRAJ MOTOR</t>
        </is>
      </c>
      <c r="H304" s="7" t="inlineStr">
        <is>
          <t>Non-Captive</t>
        </is>
      </c>
      <c r="I304" s="7" t="inlineStr">
        <is>
          <t>Shakthi Cars</t>
        </is>
      </c>
      <c r="J304" s="8" t="n">
        <v>2017</v>
      </c>
      <c r="K304" s="9" t="n">
        <v>38817</v>
      </c>
      <c r="L304" s="10" t="n">
        <v>380000</v>
      </c>
      <c r="M304" s="10" t="n">
        <v>2966.1</v>
      </c>
      <c r="N304" s="11">
        <f>IF(M304="","",ROUND(M304*1.18,2))</f>
        <v/>
      </c>
      <c r="O304" s="12">
        <f>IF(M304="","",ROUND(N304-M304,2))</f>
        <v/>
      </c>
      <c r="P304" s="13">
        <f>IF(AND(A304&lt;&gt;"",B304&lt;&gt;""), A304&amp;" · "&amp;B304, "")</f>
        <v/>
      </c>
    </row>
    <row r="305">
      <c r="A305" s="6" t="inlineStr">
        <is>
          <t>FY26</t>
        </is>
      </c>
      <c r="B305" s="6" t="inlineStr">
        <is>
          <t>Jan</t>
        </is>
      </c>
      <c r="C305" s="6" t="inlineStr">
        <is>
          <t>TN</t>
        </is>
      </c>
      <c r="D305" s="7" t="inlineStr">
        <is>
          <t>TN13J0240</t>
        </is>
      </c>
      <c r="E305" s="7" t="inlineStr">
        <is>
          <t>MARUTI SUZUKI</t>
        </is>
      </c>
      <c r="F305" s="7" t="inlineStr">
        <is>
          <t>Baleno</t>
        </is>
      </c>
      <c r="G305" s="7" t="inlineStr">
        <is>
          <t>INDUS</t>
        </is>
      </c>
      <c r="H305" s="7" t="inlineStr">
        <is>
          <t>Non-Captive</t>
        </is>
      </c>
      <c r="I305" s="7" t="inlineStr">
        <is>
          <t>AAA Cars</t>
        </is>
      </c>
      <c r="J305" s="8" t="n">
        <v>2017</v>
      </c>
      <c r="K305" s="9" t="n">
        <v>76543</v>
      </c>
      <c r="L305" s="10" t="n">
        <v>350000</v>
      </c>
      <c r="M305" s="10" t="n">
        <v>3389.83</v>
      </c>
      <c r="N305" s="11">
        <f>IF(M305="","",ROUND(M305*1.18,2))</f>
        <v/>
      </c>
      <c r="O305" s="12">
        <f>IF(M305="","",ROUND(N305-M305,2))</f>
        <v/>
      </c>
      <c r="P305" s="13">
        <f>IF(AND(A305&lt;&gt;"",B305&lt;&gt;""), A305&amp;" · "&amp;B305, "")</f>
        <v/>
      </c>
    </row>
    <row r="306">
      <c r="A306" s="6" t="inlineStr">
        <is>
          <t>FY26</t>
        </is>
      </c>
      <c r="B306" s="6" t="inlineStr">
        <is>
          <t>Jan</t>
        </is>
      </c>
      <c r="C306" s="6" t="inlineStr">
        <is>
          <t>TN</t>
        </is>
      </c>
      <c r="D306" s="7" t="inlineStr">
        <is>
          <t>TN13L1572</t>
        </is>
      </c>
      <c r="E306" s="7" t="inlineStr">
        <is>
          <t>MAHINDRA</t>
        </is>
      </c>
      <c r="F306" s="7" t="inlineStr">
        <is>
          <t>TUV300</t>
        </is>
      </c>
      <c r="G306" s="7" t="inlineStr">
        <is>
          <t>KHIVRAJ MOTOR</t>
        </is>
      </c>
      <c r="H306" s="7" t="inlineStr">
        <is>
          <t>Non-Captive</t>
        </is>
      </c>
      <c r="I306" s="7" t="inlineStr">
        <is>
          <t>Pine Autos</t>
        </is>
      </c>
      <c r="J306" s="8" t="n">
        <v>2017</v>
      </c>
      <c r="K306" s="9" t="n">
        <v>44537</v>
      </c>
      <c r="L306" s="10" t="n">
        <v>485000</v>
      </c>
      <c r="M306" s="10" t="n">
        <v>8474.58</v>
      </c>
      <c r="N306" s="11">
        <f>IF(M306="","",ROUND(M306*1.18,2))</f>
        <v/>
      </c>
      <c r="O306" s="12">
        <f>IF(M306="","",ROUND(N306-M306,2))</f>
        <v/>
      </c>
      <c r="P306" s="13">
        <f>IF(AND(A306&lt;&gt;"",B306&lt;&gt;""), A306&amp;" · "&amp;B306, "")</f>
        <v/>
      </c>
    </row>
    <row r="307">
      <c r="A307" s="6" t="inlineStr">
        <is>
          <t>FY26</t>
        </is>
      </c>
      <c r="B307" s="6" t="inlineStr">
        <is>
          <t>Jan</t>
        </is>
      </c>
      <c r="C307" s="6" t="inlineStr">
        <is>
          <t>TN</t>
        </is>
      </c>
      <c r="D307" s="7" t="inlineStr">
        <is>
          <t>TN13M4749</t>
        </is>
      </c>
      <c r="E307" s="7" t="inlineStr">
        <is>
          <t>MARUTI SUZUKI</t>
        </is>
      </c>
      <c r="F307" s="7" t="inlineStr">
        <is>
          <t>Dzire</t>
        </is>
      </c>
      <c r="G307" s="7" t="inlineStr">
        <is>
          <t>KHIVRAJ MOTOR</t>
        </is>
      </c>
      <c r="H307" s="7" t="inlineStr">
        <is>
          <t>Non-Captive</t>
        </is>
      </c>
      <c r="I307" s="7" t="inlineStr">
        <is>
          <t>Senthil Cars</t>
        </is>
      </c>
      <c r="J307" s="8" t="n">
        <v>2018</v>
      </c>
      <c r="K307" s="9" t="n">
        <v>59314</v>
      </c>
      <c r="L307" s="10" t="n">
        <v>400000</v>
      </c>
      <c r="M307" s="10" t="n">
        <v>2966.1</v>
      </c>
      <c r="N307" s="11">
        <f>IF(M307="","",ROUND(M307*1.18,2))</f>
        <v/>
      </c>
      <c r="O307" s="12">
        <f>IF(M307="","",ROUND(N307-M307,2))</f>
        <v/>
      </c>
      <c r="P307" s="13">
        <f>IF(AND(A307&lt;&gt;"",B307&lt;&gt;""), A307&amp;" · "&amp;B307, "")</f>
        <v/>
      </c>
    </row>
    <row r="308">
      <c r="A308" s="6" t="inlineStr">
        <is>
          <t>FY26</t>
        </is>
      </c>
      <c r="B308" s="6" t="inlineStr">
        <is>
          <t>Jan</t>
        </is>
      </c>
      <c r="C308" s="6" t="inlineStr">
        <is>
          <t>TN</t>
        </is>
      </c>
      <c r="D308" s="7" t="inlineStr">
        <is>
          <t>TN13Q0166</t>
        </is>
      </c>
      <c r="E308" s="7" t="inlineStr">
        <is>
          <t>HYUNDAI</t>
        </is>
      </c>
      <c r="F308" s="7" t="inlineStr">
        <is>
          <t>Santro</t>
        </is>
      </c>
      <c r="G308" s="7" t="inlineStr">
        <is>
          <t>PRODUCTIVITY ELEMENTS PRIVATE LIMITED</t>
        </is>
      </c>
      <c r="H308" s="7" t="inlineStr">
        <is>
          <t>Non-Captive</t>
        </is>
      </c>
      <c r="I308" s="7" t="inlineStr">
        <is>
          <t>Bhagavan Cars</t>
        </is>
      </c>
      <c r="J308" s="8" t="n">
        <v>2018</v>
      </c>
      <c r="K308" s="9" t="n">
        <v>45856</v>
      </c>
      <c r="L308" s="10" t="n">
        <v>320000</v>
      </c>
      <c r="M308" s="10" t="n">
        <v>2966.1</v>
      </c>
      <c r="N308" s="11">
        <f>IF(M308="","",ROUND(M308*1.18,2))</f>
        <v/>
      </c>
      <c r="O308" s="12">
        <f>IF(M308="","",ROUND(N308-M308,2))</f>
        <v/>
      </c>
      <c r="P308" s="13">
        <f>IF(AND(A308&lt;&gt;"",B308&lt;&gt;""), A308&amp;" · "&amp;B308, "")</f>
        <v/>
      </c>
    </row>
    <row r="309">
      <c r="A309" s="6" t="inlineStr">
        <is>
          <t>FY26</t>
        </is>
      </c>
      <c r="B309" s="6" t="inlineStr">
        <is>
          <t>Jan</t>
        </is>
      </c>
      <c r="C309" s="6" t="inlineStr">
        <is>
          <t>TN</t>
        </is>
      </c>
      <c r="D309" s="7" t="inlineStr">
        <is>
          <t>TN13R0954</t>
        </is>
      </c>
      <c r="E309" s="7" t="inlineStr">
        <is>
          <t>TATA</t>
        </is>
      </c>
      <c r="F309" s="7" t="inlineStr">
        <is>
          <t>Tiago</t>
        </is>
      </c>
      <c r="G309" s="7" t="inlineStr">
        <is>
          <t>KHIVRAJ MOTOR</t>
        </is>
      </c>
      <c r="H309" s="7" t="inlineStr">
        <is>
          <t>Non-Captive</t>
        </is>
      </c>
      <c r="I309" s="7" t="inlineStr">
        <is>
          <t>Senthil Cars</t>
        </is>
      </c>
      <c r="J309" s="8" t="n">
        <v>2019</v>
      </c>
      <c r="K309" s="9" t="n">
        <v>43231</v>
      </c>
      <c r="L309" s="10" t="n">
        <v>300000</v>
      </c>
      <c r="M309" s="10" t="n">
        <v>2966.1</v>
      </c>
      <c r="N309" s="11">
        <f>IF(M309="","",ROUND(M309*1.18,2))</f>
        <v/>
      </c>
      <c r="O309" s="12">
        <f>IF(M309="","",ROUND(N309-M309,2))</f>
        <v/>
      </c>
      <c r="P309" s="13">
        <f>IF(AND(A309&lt;&gt;"",B309&lt;&gt;""), A309&amp;" · "&amp;B309, "")</f>
        <v/>
      </c>
    </row>
    <row r="310">
      <c r="A310" s="6" t="inlineStr">
        <is>
          <t>FY26</t>
        </is>
      </c>
      <c r="B310" s="6" t="inlineStr">
        <is>
          <t>Jan</t>
        </is>
      </c>
      <c r="C310" s="6" t="inlineStr">
        <is>
          <t>TN</t>
        </is>
      </c>
      <c r="D310" s="7" t="inlineStr">
        <is>
          <t>TN13W4565</t>
        </is>
      </c>
      <c r="E310" s="7" t="inlineStr">
        <is>
          <t>MARUTI SUZUKI</t>
        </is>
      </c>
      <c r="F310" s="7" t="inlineStr">
        <is>
          <t>Vitara Brezza</t>
        </is>
      </c>
      <c r="G310" s="7" t="inlineStr">
        <is>
          <t>KHIVRAJ MOTOR</t>
        </is>
      </c>
      <c r="H310" s="7" t="inlineStr">
        <is>
          <t>Non-Captive</t>
        </is>
      </c>
      <c r="I310" s="7" t="inlineStr">
        <is>
          <t>Shakthi Cars</t>
        </is>
      </c>
      <c r="J310" s="8" t="n">
        <v>2021</v>
      </c>
      <c r="K310" s="9" t="n">
        <v>21818</v>
      </c>
      <c r="L310" s="10" t="n">
        <v>540000</v>
      </c>
      <c r="M310" s="10" t="n">
        <v>2966.1</v>
      </c>
      <c r="N310" s="11">
        <f>IF(M310="","",ROUND(M310*1.18,2))</f>
        <v/>
      </c>
      <c r="O310" s="12">
        <f>IF(M310="","",ROUND(N310-M310,2))</f>
        <v/>
      </c>
      <c r="P310" s="13">
        <f>IF(AND(A310&lt;&gt;"",B310&lt;&gt;""), A310&amp;" · "&amp;B310, "")</f>
        <v/>
      </c>
    </row>
    <row r="311">
      <c r="A311" s="6" t="inlineStr">
        <is>
          <t>FY26</t>
        </is>
      </c>
      <c r="B311" s="6" t="inlineStr">
        <is>
          <t>Jan</t>
        </is>
      </c>
      <c r="C311" s="6" t="inlineStr">
        <is>
          <t>TN</t>
        </is>
      </c>
      <c r="D311" s="7" t="inlineStr">
        <is>
          <t>TN147030</t>
        </is>
      </c>
      <c r="E311" s="7" t="inlineStr">
        <is>
          <t>HONDA</t>
        </is>
      </c>
      <c r="F311" s="7" t="inlineStr">
        <is>
          <t>Brio</t>
        </is>
      </c>
      <c r="G311" s="7" t="inlineStr">
        <is>
          <t>KHIVRAJ MOTOR</t>
        </is>
      </c>
      <c r="H311" s="7" t="inlineStr">
        <is>
          <t>Non-Captive</t>
        </is>
      </c>
      <c r="I311" s="7" t="inlineStr">
        <is>
          <t>Bhagavan Cars</t>
        </is>
      </c>
      <c r="J311" s="8" t="n">
        <v>2013</v>
      </c>
      <c r="K311" s="9" t="n">
        <v>72549</v>
      </c>
      <c r="L311" s="10" t="n">
        <v>150000</v>
      </c>
      <c r="M311" s="10" t="n">
        <v>2966.1</v>
      </c>
      <c r="N311" s="11">
        <f>IF(M311="","",ROUND(M311*1.18,2))</f>
        <v/>
      </c>
      <c r="O311" s="12">
        <f>IF(M311="","",ROUND(N311-M311,2))</f>
        <v/>
      </c>
      <c r="P311" s="13">
        <f>IF(AND(A311&lt;&gt;"",B311&lt;&gt;""), A311&amp;" · "&amp;B311, "")</f>
        <v/>
      </c>
    </row>
    <row r="312">
      <c r="A312" s="6" t="inlineStr">
        <is>
          <t>FY26</t>
        </is>
      </c>
      <c r="B312" s="6" t="inlineStr">
        <is>
          <t>Jan</t>
        </is>
      </c>
      <c r="C312" s="6" t="inlineStr">
        <is>
          <t>TN</t>
        </is>
      </c>
      <c r="D312" s="7" t="inlineStr">
        <is>
          <t>TN14P6833</t>
        </is>
      </c>
      <c r="E312" s="7" t="inlineStr">
        <is>
          <t>MARUTI SUZUKI</t>
        </is>
      </c>
      <c r="F312" s="7" t="inlineStr">
        <is>
          <t>Swift</t>
        </is>
      </c>
      <c r="G312" s="7" t="inlineStr">
        <is>
          <t>KHIVRAJ MOTOR</t>
        </is>
      </c>
      <c r="H312" s="7" t="inlineStr">
        <is>
          <t>Non-Captive</t>
        </is>
      </c>
      <c r="I312" s="7" t="inlineStr">
        <is>
          <t>Santhosh Cars</t>
        </is>
      </c>
      <c r="J312" s="8" t="n">
        <v>2018</v>
      </c>
      <c r="K312" s="9" t="n">
        <v>71757</v>
      </c>
      <c r="L312" s="10" t="n">
        <v>400000</v>
      </c>
      <c r="M312" s="10" t="n">
        <v>2966.1</v>
      </c>
      <c r="N312" s="11">
        <f>IF(M312="","",ROUND(M312*1.18,2))</f>
        <v/>
      </c>
      <c r="O312" s="12">
        <f>IF(M312="","",ROUND(N312-M312,2))</f>
        <v/>
      </c>
      <c r="P312" s="13">
        <f>IF(AND(A312&lt;&gt;"",B312&lt;&gt;""), A312&amp;" · "&amp;B312, "")</f>
        <v/>
      </c>
    </row>
    <row r="313">
      <c r="A313" s="6" t="inlineStr">
        <is>
          <t>FY26</t>
        </is>
      </c>
      <c r="B313" s="6" t="inlineStr">
        <is>
          <t>Jan</t>
        </is>
      </c>
      <c r="C313" s="6" t="inlineStr">
        <is>
          <t>TN</t>
        </is>
      </c>
      <c r="D313" s="7" t="inlineStr">
        <is>
          <t>TN14W0344</t>
        </is>
      </c>
      <c r="E313" s="7" t="inlineStr">
        <is>
          <t>TATA</t>
        </is>
      </c>
      <c r="F313" s="7" t="inlineStr">
        <is>
          <t>Tiago</t>
        </is>
      </c>
      <c r="G313" s="7" t="inlineStr">
        <is>
          <t>LAKSHMI TATA</t>
        </is>
      </c>
      <c r="H313" s="7" t="inlineStr">
        <is>
          <t>Non-Captive</t>
        </is>
      </c>
      <c r="I313" s="7" t="inlineStr">
        <is>
          <t>Thiya Cars</t>
        </is>
      </c>
      <c r="J313" s="8" t="n">
        <v>2019</v>
      </c>
      <c r="K313" s="9" t="n">
        <v>72435</v>
      </c>
      <c r="L313" s="10" t="n">
        <v>270000</v>
      </c>
      <c r="M313" s="10" t="n">
        <v>4237.29</v>
      </c>
      <c r="N313" s="11">
        <f>IF(M313="","",ROUND(M313*1.18,2))</f>
        <v/>
      </c>
      <c r="O313" s="12">
        <f>IF(M313="","",ROUND(N313-M313,2))</f>
        <v/>
      </c>
      <c r="P313" s="13">
        <f>IF(AND(A313&lt;&gt;"",B313&lt;&gt;""), A313&amp;" · "&amp;B313, "")</f>
        <v/>
      </c>
    </row>
    <row r="314">
      <c r="A314" s="6" t="inlineStr">
        <is>
          <t>FY26</t>
        </is>
      </c>
      <c r="B314" s="6" t="inlineStr">
        <is>
          <t>Jan</t>
        </is>
      </c>
      <c r="C314" s="6" t="inlineStr">
        <is>
          <t>TN</t>
        </is>
      </c>
      <c r="D314" s="7" t="inlineStr">
        <is>
          <t>TN14Z0681</t>
        </is>
      </c>
      <c r="E314" s="7" t="inlineStr">
        <is>
          <t>HONDA</t>
        </is>
      </c>
      <c r="F314" s="7" t="inlineStr">
        <is>
          <t>City</t>
        </is>
      </c>
      <c r="G314" s="7" t="inlineStr">
        <is>
          <t>EXCHANGE CHENNAI</t>
        </is>
      </c>
      <c r="H314" s="7" t="inlineStr">
        <is>
          <t>Captive</t>
        </is>
      </c>
      <c r="I314" s="7" t="inlineStr">
        <is>
          <t>Kirthi Cars</t>
        </is>
      </c>
      <c r="J314" s="8" t="n">
        <v>2021</v>
      </c>
      <c r="K314" s="9" t="n">
        <v>89755</v>
      </c>
      <c r="L314" s="10" t="n">
        <v>850000</v>
      </c>
      <c r="M314" s="10" t="n">
        <v>4237.29</v>
      </c>
      <c r="N314" s="11">
        <f>IF(M314="","",ROUND(M314*1.18,2))</f>
        <v/>
      </c>
      <c r="O314" s="12">
        <f>IF(M314="","",ROUND(N314-M314,2))</f>
        <v/>
      </c>
      <c r="P314" s="13">
        <f>IF(AND(A314&lt;&gt;"",B314&lt;&gt;""), A314&amp;" · "&amp;B314, "")</f>
        <v/>
      </c>
    </row>
    <row r="315">
      <c r="A315" s="6" t="inlineStr">
        <is>
          <t>FY26</t>
        </is>
      </c>
      <c r="B315" s="6" t="inlineStr">
        <is>
          <t>Jan</t>
        </is>
      </c>
      <c r="C315" s="6" t="inlineStr">
        <is>
          <t>TN</t>
        </is>
      </c>
      <c r="D315" s="7" t="inlineStr">
        <is>
          <t>TN18AR0630</t>
        </is>
      </c>
      <c r="E315" s="7" t="inlineStr">
        <is>
          <t>HONDA</t>
        </is>
      </c>
      <c r="F315" s="7" t="inlineStr">
        <is>
          <t>Amaze</t>
        </is>
      </c>
      <c r="G315" s="7" t="inlineStr">
        <is>
          <t>KHIVRAJ MOTOR</t>
        </is>
      </c>
      <c r="H315" s="7" t="inlineStr">
        <is>
          <t>Non-Captive</t>
        </is>
      </c>
      <c r="I315" s="7" t="inlineStr">
        <is>
          <t>Shakthi Cars</t>
        </is>
      </c>
      <c r="J315" s="8" t="n">
        <v>2018</v>
      </c>
      <c r="K315" s="9" t="n">
        <v>112929</v>
      </c>
      <c r="L315" s="10" t="n">
        <v>380000</v>
      </c>
      <c r="M315" s="10" t="n">
        <v>2966.1</v>
      </c>
      <c r="N315" s="11">
        <f>IF(M315="","",ROUND(M315*1.18,2))</f>
        <v/>
      </c>
      <c r="O315" s="12">
        <f>IF(M315="","",ROUND(N315-M315,2))</f>
        <v/>
      </c>
      <c r="P315" s="13">
        <f>IF(AND(A315&lt;&gt;"",B315&lt;&gt;""), A315&amp;" · "&amp;B315, "")</f>
        <v/>
      </c>
    </row>
    <row r="316">
      <c r="A316" s="6" t="inlineStr">
        <is>
          <t>FY26</t>
        </is>
      </c>
      <c r="B316" s="6" t="inlineStr">
        <is>
          <t>Jan</t>
        </is>
      </c>
      <c r="C316" s="6" t="inlineStr">
        <is>
          <t>TN</t>
        </is>
      </c>
      <c r="D316" s="7" t="inlineStr">
        <is>
          <t>TN18AX3827</t>
        </is>
      </c>
      <c r="E316" s="7" t="inlineStr">
        <is>
          <t>MARUTI SUZUKI</t>
        </is>
      </c>
      <c r="F316" s="7" t="inlineStr">
        <is>
          <t>Alto</t>
        </is>
      </c>
      <c r="G316" s="7" t="inlineStr">
        <is>
          <t>KHIVRAJ MOTOR</t>
        </is>
      </c>
      <c r="H316" s="7" t="inlineStr">
        <is>
          <t>Non-Captive</t>
        </is>
      </c>
      <c r="I316" s="7" t="inlineStr">
        <is>
          <t>Essar Preowned Cars</t>
        </is>
      </c>
      <c r="J316" s="8" t="n">
        <v>2018</v>
      </c>
      <c r="K316" s="9" t="n">
        <v>55641</v>
      </c>
      <c r="L316" s="10" t="n">
        <v>230000</v>
      </c>
      <c r="M316" s="10" t="n">
        <v>2966.1</v>
      </c>
      <c r="N316" s="11">
        <f>IF(M316="","",ROUND(M316*1.18,2))</f>
        <v/>
      </c>
      <c r="O316" s="12">
        <f>IF(M316="","",ROUND(N316-M316,2))</f>
        <v/>
      </c>
      <c r="P316" s="13">
        <f>IF(AND(A316&lt;&gt;"",B316&lt;&gt;""), A316&amp;" · "&amp;B316, "")</f>
        <v/>
      </c>
    </row>
    <row r="317">
      <c r="A317" s="6" t="inlineStr">
        <is>
          <t>FY26</t>
        </is>
      </c>
      <c r="B317" s="6" t="inlineStr">
        <is>
          <t>Jan</t>
        </is>
      </c>
      <c r="C317" s="6" t="inlineStr">
        <is>
          <t>TN</t>
        </is>
      </c>
      <c r="D317" s="7" t="inlineStr">
        <is>
          <t>TN18BA2368</t>
        </is>
      </c>
      <c r="E317" s="7" t="inlineStr">
        <is>
          <t>MARUTI SUZUKI</t>
        </is>
      </c>
      <c r="F317" s="7" t="inlineStr">
        <is>
          <t>Dzire</t>
        </is>
      </c>
      <c r="G317" s="7" t="inlineStr">
        <is>
          <t>KHIVRAJ MOTOR</t>
        </is>
      </c>
      <c r="H317" s="7" t="inlineStr">
        <is>
          <t>Non-Captive</t>
        </is>
      </c>
      <c r="I317" s="7" t="inlineStr">
        <is>
          <t>Shakthi Cars</t>
        </is>
      </c>
      <c r="J317" s="8" t="n">
        <v>2019</v>
      </c>
      <c r="K317" s="9" t="n">
        <v>102458</v>
      </c>
      <c r="L317" s="10" t="n">
        <v>480000</v>
      </c>
      <c r="M317" s="10" t="n">
        <v>2966.1</v>
      </c>
      <c r="N317" s="11">
        <f>IF(M317="","",ROUND(M317*1.18,2))</f>
        <v/>
      </c>
      <c r="O317" s="12">
        <f>IF(M317="","",ROUND(N317-M317,2))</f>
        <v/>
      </c>
      <c r="P317" s="13">
        <f>IF(AND(A317&lt;&gt;"",B317&lt;&gt;""), A317&amp;" · "&amp;B317, "")</f>
        <v/>
      </c>
    </row>
    <row r="318">
      <c r="A318" s="6" t="inlineStr">
        <is>
          <t>FY26</t>
        </is>
      </c>
      <c r="B318" s="6" t="inlineStr">
        <is>
          <t>Jan</t>
        </is>
      </c>
      <c r="C318" s="6" t="inlineStr">
        <is>
          <t>TN</t>
        </is>
      </c>
      <c r="D318" s="7" t="inlineStr">
        <is>
          <t>TN18BF2719</t>
        </is>
      </c>
      <c r="E318" s="7" t="inlineStr">
        <is>
          <t>MARUTI SUZUKI</t>
        </is>
      </c>
      <c r="F318" s="7" t="inlineStr">
        <is>
          <t>Ertiga</t>
        </is>
      </c>
      <c r="G318" s="7" t="inlineStr">
        <is>
          <t>KHIVRAJ MOTOR</t>
        </is>
      </c>
      <c r="H318" s="7" t="inlineStr">
        <is>
          <t>Non-Captive</t>
        </is>
      </c>
      <c r="I318" s="7" t="inlineStr">
        <is>
          <t>Shakthi Cars</t>
        </is>
      </c>
      <c r="J318" s="8" t="n">
        <v>2021</v>
      </c>
      <c r="K318" s="9" t="n">
        <v>31960</v>
      </c>
      <c r="L318" s="10" t="n">
        <v>760000</v>
      </c>
      <c r="M318" s="10" t="n">
        <v>2966.1</v>
      </c>
      <c r="N318" s="11">
        <f>IF(M318="","",ROUND(M318*1.18,2))</f>
        <v/>
      </c>
      <c r="O318" s="12">
        <f>IF(M318="","",ROUND(N318-M318,2))</f>
        <v/>
      </c>
      <c r="P318" s="13">
        <f>IF(AND(A318&lt;&gt;"",B318&lt;&gt;""), A318&amp;" · "&amp;B318, "")</f>
        <v/>
      </c>
    </row>
    <row r="319">
      <c r="A319" s="6" t="inlineStr">
        <is>
          <t>FY26</t>
        </is>
      </c>
      <c r="B319" s="6" t="inlineStr">
        <is>
          <t>Jan</t>
        </is>
      </c>
      <c r="C319" s="6" t="inlineStr">
        <is>
          <t>TN</t>
        </is>
      </c>
      <c r="D319" s="7" t="inlineStr">
        <is>
          <t>TN18P1035</t>
        </is>
      </c>
      <c r="E319" s="7" t="inlineStr">
        <is>
          <t>VOLKSWAGEN</t>
        </is>
      </c>
      <c r="F319" s="7" t="inlineStr">
        <is>
          <t>Polo</t>
        </is>
      </c>
      <c r="G319" s="7" t="inlineStr">
        <is>
          <t>LAKSHMI TATA</t>
        </is>
      </c>
      <c r="H319" s="7" t="inlineStr">
        <is>
          <t>Non-Captive</t>
        </is>
      </c>
      <c r="I319" s="7" t="inlineStr">
        <is>
          <t>Thiya Cars</t>
        </is>
      </c>
      <c r="J319" s="8" t="n">
        <v>2012</v>
      </c>
      <c r="K319" s="9" t="n">
        <v>131005</v>
      </c>
      <c r="L319" s="10" t="n">
        <v>200000</v>
      </c>
      <c r="M319" s="10" t="n">
        <v>4237.29</v>
      </c>
      <c r="N319" s="11">
        <f>IF(M319="","",ROUND(M319*1.18,2))</f>
        <v/>
      </c>
      <c r="O319" s="12">
        <f>IF(M319="","",ROUND(N319-M319,2))</f>
        <v/>
      </c>
      <c r="P319" s="13">
        <f>IF(AND(A319&lt;&gt;"",B319&lt;&gt;""), A319&amp;" · "&amp;B319, "")</f>
        <v/>
      </c>
    </row>
    <row r="320">
      <c r="A320" s="6" t="inlineStr">
        <is>
          <t>FY26</t>
        </is>
      </c>
      <c r="B320" s="6" t="inlineStr">
        <is>
          <t>Jan</t>
        </is>
      </c>
      <c r="C320" s="6" t="inlineStr">
        <is>
          <t>TN</t>
        </is>
      </c>
      <c r="D320" s="7" t="inlineStr">
        <is>
          <t>TN18R1027</t>
        </is>
      </c>
      <c r="E320" s="7" t="inlineStr">
        <is>
          <t>MARUTI SUZUKI</t>
        </is>
      </c>
      <c r="F320" s="7" t="inlineStr">
        <is>
          <t>Alto K10</t>
        </is>
      </c>
      <c r="G320" s="7" t="inlineStr">
        <is>
          <t>JAIKRISHNAA AUTOSALES PRIVATE LIMITED</t>
        </is>
      </c>
      <c r="H320" s="7" t="inlineStr">
        <is>
          <t>Non-Captive</t>
        </is>
      </c>
      <c r="I320" s="7" t="inlineStr">
        <is>
          <t>SELVA MOTORS</t>
        </is>
      </c>
      <c r="J320" s="8" t="n">
        <v>2014</v>
      </c>
      <c r="K320" s="9" t="n">
        <v>65000</v>
      </c>
      <c r="L320" s="10" t="n">
        <v>190000</v>
      </c>
      <c r="M320" s="10" t="n">
        <v>4237.29</v>
      </c>
      <c r="N320" s="11">
        <f>IF(M320="","",ROUND(M320*1.18,2))</f>
        <v/>
      </c>
      <c r="O320" s="12">
        <f>IF(M320="","",ROUND(N320-M320,2))</f>
        <v/>
      </c>
      <c r="P320" s="13">
        <f>IF(AND(A320&lt;&gt;"",B320&lt;&gt;""), A320&amp;" · "&amp;B320, "")</f>
        <v/>
      </c>
    </row>
    <row r="321">
      <c r="A321" s="6" t="inlineStr">
        <is>
          <t>FY26</t>
        </is>
      </c>
      <c r="B321" s="6" t="inlineStr">
        <is>
          <t>Jan</t>
        </is>
      </c>
      <c r="C321" s="6" t="inlineStr">
        <is>
          <t>TN</t>
        </is>
      </c>
      <c r="D321" s="7" t="inlineStr">
        <is>
          <t>TN18T0149</t>
        </is>
      </c>
      <c r="E321" s="7" t="inlineStr">
        <is>
          <t>MARUTI SUZUKI</t>
        </is>
      </c>
      <c r="F321" s="7" t="inlineStr">
        <is>
          <t>Alto</t>
        </is>
      </c>
      <c r="G321" s="7" t="inlineStr">
        <is>
          <t>KHIVRAJ MOTOR</t>
        </is>
      </c>
      <c r="H321" s="7" t="inlineStr">
        <is>
          <t>Non-Captive</t>
        </is>
      </c>
      <c r="I321" s="7" t="inlineStr">
        <is>
          <t>Shakthi Cars</t>
        </is>
      </c>
      <c r="J321" s="8" t="n">
        <v>2013</v>
      </c>
      <c r="K321" s="9" t="n">
        <v>96387</v>
      </c>
      <c r="L321" s="10" t="n">
        <v>180000</v>
      </c>
      <c r="M321" s="10" t="n">
        <v>2966.1</v>
      </c>
      <c r="N321" s="11">
        <f>IF(M321="","",ROUND(M321*1.18,2))</f>
        <v/>
      </c>
      <c r="O321" s="12">
        <f>IF(M321="","",ROUND(N321-M321,2))</f>
        <v/>
      </c>
      <c r="P321" s="13">
        <f>IF(AND(A321&lt;&gt;"",B321&lt;&gt;""), A321&amp;" · "&amp;B321, "")</f>
        <v/>
      </c>
    </row>
    <row r="322">
      <c r="A322" s="6" t="inlineStr">
        <is>
          <t>FY26</t>
        </is>
      </c>
      <c r="B322" s="6" t="inlineStr">
        <is>
          <t>Jan</t>
        </is>
      </c>
      <c r="C322" s="6" t="inlineStr">
        <is>
          <t>TN</t>
        </is>
      </c>
      <c r="D322" s="7" t="inlineStr">
        <is>
          <t>TN19AH3798</t>
        </is>
      </c>
      <c r="E322" s="7" t="inlineStr">
        <is>
          <t>MARUTI SUZUKI</t>
        </is>
      </c>
      <c r="F322" s="7" t="inlineStr">
        <is>
          <t>Alto</t>
        </is>
      </c>
      <c r="G322" s="7" t="inlineStr">
        <is>
          <t>KHIVRAJ MOTOR</t>
        </is>
      </c>
      <c r="H322" s="7" t="inlineStr">
        <is>
          <t>Non-Captive</t>
        </is>
      </c>
      <c r="I322" s="7" t="inlineStr">
        <is>
          <t>Shakthi Cars</t>
        </is>
      </c>
      <c r="J322" s="8" t="n">
        <v>2018</v>
      </c>
      <c r="K322" s="9" t="n">
        <v>33659</v>
      </c>
      <c r="L322" s="10" t="n">
        <v>240000</v>
      </c>
      <c r="M322" s="10" t="n">
        <v>2966.1</v>
      </c>
      <c r="N322" s="11">
        <f>IF(M322="","",ROUND(M322*1.18,2))</f>
        <v/>
      </c>
      <c r="O322" s="12">
        <f>IF(M322="","",ROUND(N322-M322,2))</f>
        <v/>
      </c>
      <c r="P322" s="13">
        <f>IF(AND(A322&lt;&gt;"",B322&lt;&gt;""), A322&amp;" · "&amp;B322, "")</f>
        <v/>
      </c>
    </row>
    <row r="323">
      <c r="A323" s="6" t="inlineStr">
        <is>
          <t>FY26</t>
        </is>
      </c>
      <c r="B323" s="6" t="inlineStr">
        <is>
          <t>Jan</t>
        </is>
      </c>
      <c r="C323" s="6" t="inlineStr">
        <is>
          <t>TN</t>
        </is>
      </c>
      <c r="D323" s="7" t="inlineStr">
        <is>
          <t>TN19AK4891</t>
        </is>
      </c>
      <c r="E323" s="7" t="inlineStr">
        <is>
          <t>MARUTI SUZUKI</t>
        </is>
      </c>
      <c r="F323" s="7" t="inlineStr">
        <is>
          <t>Swift</t>
        </is>
      </c>
      <c r="G323" s="7" t="inlineStr">
        <is>
          <t>EXCHANGE ROTN</t>
        </is>
      </c>
      <c r="H323" s="7" t="inlineStr">
        <is>
          <t>Captive</t>
        </is>
      </c>
      <c r="I323" s="7" t="inlineStr">
        <is>
          <t>Gugha Cars</t>
        </is>
      </c>
      <c r="J323" s="8" t="n">
        <v>2018</v>
      </c>
      <c r="K323" s="9" t="n">
        <v>91489</v>
      </c>
      <c r="L323" s="10" t="n">
        <v>500000</v>
      </c>
      <c r="M323" s="10" t="n">
        <v>8474.58</v>
      </c>
      <c r="N323" s="11">
        <f>IF(M323="","",ROUND(M323*1.18,2))</f>
        <v/>
      </c>
      <c r="O323" s="12">
        <f>IF(M323="","",ROUND(N323-M323,2))</f>
        <v/>
      </c>
      <c r="P323" s="13">
        <f>IF(AND(A323&lt;&gt;"",B323&lt;&gt;""), A323&amp;" · "&amp;B323, "")</f>
        <v/>
      </c>
    </row>
    <row r="324">
      <c r="A324" s="6" t="inlineStr">
        <is>
          <t>FY26</t>
        </is>
      </c>
      <c r="B324" s="6" t="inlineStr">
        <is>
          <t>Jan</t>
        </is>
      </c>
      <c r="C324" s="6" t="inlineStr">
        <is>
          <t>TN</t>
        </is>
      </c>
      <c r="D324" s="7" t="inlineStr">
        <is>
          <t>TN20AF2719</t>
        </is>
      </c>
      <c r="E324" s="7" t="inlineStr">
        <is>
          <t>MARUTI SUZUKI</t>
        </is>
      </c>
      <c r="F324" s="7" t="inlineStr">
        <is>
          <t>800</t>
        </is>
      </c>
      <c r="G324" s="7" t="inlineStr">
        <is>
          <t>KHIVRAJ MOTOR</t>
        </is>
      </c>
      <c r="H324" s="7" t="inlineStr">
        <is>
          <t>Non-Captive</t>
        </is>
      </c>
      <c r="I324" s="7" t="inlineStr">
        <is>
          <t>Shahana Cars</t>
        </is>
      </c>
      <c r="J324" s="8" t="n">
        <v>2007</v>
      </c>
      <c r="K324" s="9" t="n">
        <v>87818</v>
      </c>
      <c r="L324" s="10" t="n">
        <v>60000</v>
      </c>
      <c r="M324" s="10" t="n">
        <v>2966.1</v>
      </c>
      <c r="N324" s="11">
        <f>IF(M324="","",ROUND(M324*1.18,2))</f>
        <v/>
      </c>
      <c r="O324" s="12">
        <f>IF(M324="","",ROUND(N324-M324,2))</f>
        <v/>
      </c>
      <c r="P324" s="13">
        <f>IF(AND(A324&lt;&gt;"",B324&lt;&gt;""), A324&amp;" · "&amp;B324, "")</f>
        <v/>
      </c>
    </row>
    <row r="325">
      <c r="A325" s="6" t="inlineStr">
        <is>
          <t>FY26</t>
        </is>
      </c>
      <c r="B325" s="6" t="inlineStr">
        <is>
          <t>Jan</t>
        </is>
      </c>
      <c r="C325" s="6" t="inlineStr">
        <is>
          <t>TN</t>
        </is>
      </c>
      <c r="D325" s="7" t="inlineStr">
        <is>
          <t>TN20CA3904</t>
        </is>
      </c>
      <c r="E325" s="7" t="inlineStr">
        <is>
          <t>HYUNDAI</t>
        </is>
      </c>
      <c r="F325" s="7" t="inlineStr">
        <is>
          <t>i10</t>
        </is>
      </c>
      <c r="G325" s="7" t="inlineStr">
        <is>
          <t>KHIVRAJ MOTOR</t>
        </is>
      </c>
      <c r="H325" s="7" t="inlineStr">
        <is>
          <t>Non-Captive</t>
        </is>
      </c>
      <c r="I325" s="7" t="inlineStr">
        <is>
          <t>Chaaran Cars</t>
        </is>
      </c>
      <c r="J325" s="8" t="n">
        <v>2012</v>
      </c>
      <c r="K325" s="9" t="n">
        <v>66670</v>
      </c>
      <c r="L325" s="10" t="n">
        <v>170000</v>
      </c>
      <c r="M325" s="10" t="n">
        <v>5084.75</v>
      </c>
      <c r="N325" s="11">
        <f>IF(M325="","",ROUND(M325*1.18,2))</f>
        <v/>
      </c>
      <c r="O325" s="12">
        <f>IF(M325="","",ROUND(N325-M325,2))</f>
        <v/>
      </c>
      <c r="P325" s="13">
        <f>IF(AND(A325&lt;&gt;"",B325&lt;&gt;""), A325&amp;" · "&amp;B325, "")</f>
        <v/>
      </c>
    </row>
    <row r="326">
      <c r="A326" s="6" t="inlineStr">
        <is>
          <t>FY26</t>
        </is>
      </c>
      <c r="B326" s="6" t="inlineStr">
        <is>
          <t>Jan</t>
        </is>
      </c>
      <c r="C326" s="6" t="inlineStr">
        <is>
          <t>TN</t>
        </is>
      </c>
      <c r="D326" s="7" t="inlineStr">
        <is>
          <t>TN20CK0724</t>
        </is>
      </c>
      <c r="E326" s="7" t="inlineStr">
        <is>
          <t>HYUNDAI</t>
        </is>
      </c>
      <c r="F326" s="7" t="inlineStr">
        <is>
          <t>Grand i10</t>
        </is>
      </c>
      <c r="G326" s="7" t="inlineStr">
        <is>
          <t>KHIVRAJ MOTOR</t>
        </is>
      </c>
      <c r="H326" s="7" t="inlineStr">
        <is>
          <t>Non-Captive</t>
        </is>
      </c>
      <c r="I326" s="7" t="inlineStr">
        <is>
          <t>AAA Cars</t>
        </is>
      </c>
      <c r="J326" s="8" t="n">
        <v>2016</v>
      </c>
      <c r="K326" s="9" t="n">
        <v>125032</v>
      </c>
      <c r="L326" s="10" t="n">
        <v>245000</v>
      </c>
      <c r="M326" s="10" t="n">
        <v>5084.75</v>
      </c>
      <c r="N326" s="11">
        <f>IF(M326="","",ROUND(M326*1.18,2))</f>
        <v/>
      </c>
      <c r="O326" s="12">
        <f>IF(M326="","",ROUND(N326-M326,2))</f>
        <v/>
      </c>
      <c r="P326" s="13">
        <f>IF(AND(A326&lt;&gt;"",B326&lt;&gt;""), A326&amp;" · "&amp;B326, "")</f>
        <v/>
      </c>
    </row>
    <row r="327">
      <c r="A327" s="6" t="inlineStr">
        <is>
          <t>FY26</t>
        </is>
      </c>
      <c r="B327" s="6" t="inlineStr">
        <is>
          <t>Jan</t>
        </is>
      </c>
      <c r="C327" s="6" t="inlineStr">
        <is>
          <t>TN</t>
        </is>
      </c>
      <c r="D327" s="7" t="inlineStr">
        <is>
          <t>TN20CK4254</t>
        </is>
      </c>
      <c r="E327" s="7" t="inlineStr">
        <is>
          <t>MARUTI SUZUKI</t>
        </is>
      </c>
      <c r="F327" s="7" t="inlineStr">
        <is>
          <t>Dzire</t>
        </is>
      </c>
      <c r="G327" s="7" t="inlineStr">
        <is>
          <t>KHIVRAJ MOTOR</t>
        </is>
      </c>
      <c r="H327" s="7" t="inlineStr">
        <is>
          <t>Non-Captive</t>
        </is>
      </c>
      <c r="I327" s="7" t="inlineStr">
        <is>
          <t>Santhosh Cars</t>
        </is>
      </c>
      <c r="J327" s="8" t="n">
        <v>2016</v>
      </c>
      <c r="K327" s="9" t="n">
        <v>37433</v>
      </c>
      <c r="L327" s="10" t="n">
        <v>375000</v>
      </c>
      <c r="M327" s="10" t="n">
        <v>5084.75</v>
      </c>
      <c r="N327" s="11">
        <f>IF(M327="","",ROUND(M327*1.18,2))</f>
        <v/>
      </c>
      <c r="O327" s="12">
        <f>IF(M327="","",ROUND(N327-M327,2))</f>
        <v/>
      </c>
      <c r="P327" s="13">
        <f>IF(AND(A327&lt;&gt;"",B327&lt;&gt;""), A327&amp;" · "&amp;B327, "")</f>
        <v/>
      </c>
    </row>
    <row r="328">
      <c r="A328" s="6" t="inlineStr">
        <is>
          <t>FY26</t>
        </is>
      </c>
      <c r="B328" s="6" t="inlineStr">
        <is>
          <t>Jan</t>
        </is>
      </c>
      <c r="C328" s="6" t="inlineStr">
        <is>
          <t>TN</t>
        </is>
      </c>
      <c r="D328" s="7" t="inlineStr">
        <is>
          <t>TN20CL1137</t>
        </is>
      </c>
      <c r="E328" s="7" t="inlineStr">
        <is>
          <t>MARUTI SUZUKI</t>
        </is>
      </c>
      <c r="F328" s="7" t="inlineStr">
        <is>
          <t>Alto K10</t>
        </is>
      </c>
      <c r="G328" s="7" t="inlineStr">
        <is>
          <t>KHIVRAJ MOTOR</t>
        </is>
      </c>
      <c r="H328" s="7" t="inlineStr">
        <is>
          <t>Non-Captive</t>
        </is>
      </c>
      <c r="I328" s="7" t="inlineStr">
        <is>
          <t>Shakthi Cars</t>
        </is>
      </c>
      <c r="J328" s="8" t="n">
        <v>2016</v>
      </c>
      <c r="K328" s="9" t="n">
        <v>86674</v>
      </c>
      <c r="L328" s="10" t="n">
        <v>210000</v>
      </c>
      <c r="M328" s="10" t="n">
        <v>2966.1</v>
      </c>
      <c r="N328" s="11">
        <f>IF(M328="","",ROUND(M328*1.18,2))</f>
        <v/>
      </c>
      <c r="O328" s="12">
        <f>IF(M328="","",ROUND(N328-M328,2))</f>
        <v/>
      </c>
      <c r="P328" s="13">
        <f>IF(AND(A328&lt;&gt;"",B328&lt;&gt;""), A328&amp;" · "&amp;B328, "")</f>
        <v/>
      </c>
    </row>
    <row r="329">
      <c r="A329" s="6" t="inlineStr">
        <is>
          <t>FY26</t>
        </is>
      </c>
      <c r="B329" s="6" t="inlineStr">
        <is>
          <t>Jan</t>
        </is>
      </c>
      <c r="C329" s="6" t="inlineStr">
        <is>
          <t>TN</t>
        </is>
      </c>
      <c r="D329" s="7" t="inlineStr">
        <is>
          <t>TN20CM3570</t>
        </is>
      </c>
      <c r="E329" s="7" t="inlineStr">
        <is>
          <t>MARUTI SUZUKI</t>
        </is>
      </c>
      <c r="F329" s="7" t="inlineStr">
        <is>
          <t>Wagon R</t>
        </is>
      </c>
      <c r="G329" s="7" t="inlineStr">
        <is>
          <t>KHIVRAJ MOTOR</t>
        </is>
      </c>
      <c r="H329" s="7" t="inlineStr">
        <is>
          <t>Non-Captive</t>
        </is>
      </c>
      <c r="I329" s="7" t="inlineStr">
        <is>
          <t>Shakthi Cars</t>
        </is>
      </c>
      <c r="J329" s="8" t="n">
        <v>2017</v>
      </c>
      <c r="K329" s="9" t="n">
        <v>30771</v>
      </c>
      <c r="L329" s="10" t="n">
        <v>430000</v>
      </c>
      <c r="M329" s="10" t="n">
        <v>2966.1</v>
      </c>
      <c r="N329" s="11">
        <f>IF(M329="","",ROUND(M329*1.18,2))</f>
        <v/>
      </c>
      <c r="O329" s="12">
        <f>IF(M329="","",ROUND(N329-M329,2))</f>
        <v/>
      </c>
      <c r="P329" s="13">
        <f>IF(AND(A329&lt;&gt;"",B329&lt;&gt;""), A329&amp;" · "&amp;B329, "")</f>
        <v/>
      </c>
    </row>
    <row r="330">
      <c r="A330" s="6" t="inlineStr">
        <is>
          <t>FY26</t>
        </is>
      </c>
      <c r="B330" s="6" t="inlineStr">
        <is>
          <t>Jan</t>
        </is>
      </c>
      <c r="C330" s="6" t="inlineStr">
        <is>
          <t>TN</t>
        </is>
      </c>
      <c r="D330" s="7" t="inlineStr">
        <is>
          <t>TN22AR0199</t>
        </is>
      </c>
      <c r="E330" s="7" t="inlineStr">
        <is>
          <t>MARUTI SUZUKI</t>
        </is>
      </c>
      <c r="F330" s="7" t="inlineStr">
        <is>
          <t>Alto</t>
        </is>
      </c>
      <c r="G330" s="7" t="inlineStr">
        <is>
          <t>JAIKRISHNAA AUTOSALES PRIVATE LIMITED</t>
        </is>
      </c>
      <c r="H330" s="7" t="inlineStr">
        <is>
          <t>Non-Captive</t>
        </is>
      </c>
      <c r="I330" s="7" t="inlineStr">
        <is>
          <t>MADHURA CARS</t>
        </is>
      </c>
      <c r="J330" s="8" t="n">
        <v>2009</v>
      </c>
      <c r="K330" s="9" t="n">
        <v>112000</v>
      </c>
      <c r="L330" s="10" t="n">
        <v>90000</v>
      </c>
      <c r="M330" s="10" t="n">
        <v>4237.29</v>
      </c>
      <c r="N330" s="11">
        <f>IF(M330="","",ROUND(M330*1.18,2))</f>
        <v/>
      </c>
      <c r="O330" s="12">
        <f>IF(M330="","",ROUND(N330-M330,2))</f>
        <v/>
      </c>
      <c r="P330" s="13">
        <f>IF(AND(A330&lt;&gt;"",B330&lt;&gt;""), A330&amp;" · "&amp;B330, "")</f>
        <v/>
      </c>
    </row>
    <row r="331">
      <c r="A331" s="6" t="inlineStr">
        <is>
          <t>FY26</t>
        </is>
      </c>
      <c r="B331" s="6" t="inlineStr">
        <is>
          <t>Jan</t>
        </is>
      </c>
      <c r="C331" s="6" t="inlineStr">
        <is>
          <t>TN</t>
        </is>
      </c>
      <c r="D331" s="7" t="inlineStr">
        <is>
          <t>TN22CD7366</t>
        </is>
      </c>
      <c r="E331" s="7" t="inlineStr">
        <is>
          <t>MARUTI SUZUKI</t>
        </is>
      </c>
      <c r="F331" s="7" t="inlineStr">
        <is>
          <t>Swift</t>
        </is>
      </c>
      <c r="G331" s="7" t="inlineStr">
        <is>
          <t>LAKSHMI TATA</t>
        </is>
      </c>
      <c r="H331" s="7" t="inlineStr">
        <is>
          <t>Non-Captive</t>
        </is>
      </c>
      <c r="I331" s="7" t="inlineStr">
        <is>
          <t>Thiya Cars</t>
        </is>
      </c>
      <c r="J331" s="8" t="n">
        <v>2012</v>
      </c>
      <c r="K331" s="9" t="n">
        <v>55256</v>
      </c>
      <c r="L331" s="10" t="n">
        <v>160000</v>
      </c>
      <c r="M331" s="10" t="n">
        <v>4237.29</v>
      </c>
      <c r="N331" s="11">
        <f>IF(M331="","",ROUND(M331*1.18,2))</f>
        <v/>
      </c>
      <c r="O331" s="12">
        <f>IF(M331="","",ROUND(N331-M331,2))</f>
        <v/>
      </c>
      <c r="P331" s="13">
        <f>IF(AND(A331&lt;&gt;"",B331&lt;&gt;""), A331&amp;" · "&amp;B331, "")</f>
        <v/>
      </c>
    </row>
    <row r="332">
      <c r="A332" s="6" t="inlineStr">
        <is>
          <t>FY26</t>
        </is>
      </c>
      <c r="B332" s="6" t="inlineStr">
        <is>
          <t>Jan</t>
        </is>
      </c>
      <c r="C332" s="6" t="inlineStr">
        <is>
          <t>TN</t>
        </is>
      </c>
      <c r="D332" s="7" t="inlineStr">
        <is>
          <t>TN22DL4851</t>
        </is>
      </c>
      <c r="E332" s="7" t="inlineStr">
        <is>
          <t>RENAULT</t>
        </is>
      </c>
      <c r="F332" s="7" t="inlineStr">
        <is>
          <t>Kwid</t>
        </is>
      </c>
      <c r="G332" s="7" t="inlineStr">
        <is>
          <t>KHIVRAJ MOTOR</t>
        </is>
      </c>
      <c r="H332" s="7" t="inlineStr">
        <is>
          <t>Non-Captive</t>
        </is>
      </c>
      <c r="I332" s="7" t="inlineStr">
        <is>
          <t>Santhosh Cars</t>
        </is>
      </c>
      <c r="J332" s="8" t="n">
        <v>2018</v>
      </c>
      <c r="K332" s="9" t="n">
        <v>63860</v>
      </c>
      <c r="L332" s="10" t="n">
        <v>230000</v>
      </c>
      <c r="M332" s="10" t="n">
        <v>2966.1</v>
      </c>
      <c r="N332" s="11">
        <f>IF(M332="","",ROUND(M332*1.18,2))</f>
        <v/>
      </c>
      <c r="O332" s="12">
        <f>IF(M332="","",ROUND(N332-M332,2))</f>
        <v/>
      </c>
      <c r="P332" s="13">
        <f>IF(AND(A332&lt;&gt;"",B332&lt;&gt;""), A332&amp;" · "&amp;B332, "")</f>
        <v/>
      </c>
    </row>
    <row r="333">
      <c r="A333" s="6" t="inlineStr">
        <is>
          <t>FY26</t>
        </is>
      </c>
      <c r="B333" s="6" t="inlineStr">
        <is>
          <t>Jan</t>
        </is>
      </c>
      <c r="C333" s="6" t="inlineStr">
        <is>
          <t>TN</t>
        </is>
      </c>
      <c r="D333" s="7" t="inlineStr">
        <is>
          <t>TN22DM8796</t>
        </is>
      </c>
      <c r="E333" s="7" t="inlineStr">
        <is>
          <t>MARUTI SUZUKI</t>
        </is>
      </c>
      <c r="F333" s="7" t="inlineStr">
        <is>
          <t>Alto</t>
        </is>
      </c>
      <c r="G333" s="7" t="inlineStr">
        <is>
          <t>KHIVRAJ MOTOR</t>
        </is>
      </c>
      <c r="H333" s="7" t="inlineStr">
        <is>
          <t>Non-Captive</t>
        </is>
      </c>
      <c r="I333" s="7" t="inlineStr">
        <is>
          <t>Shakthi Cars</t>
        </is>
      </c>
      <c r="J333" s="8" t="n">
        <v>2018</v>
      </c>
      <c r="K333" s="9" t="n">
        <v>48763</v>
      </c>
      <c r="L333" s="10" t="n">
        <v>340000</v>
      </c>
      <c r="M333" s="10" t="n">
        <v>2966.1</v>
      </c>
      <c r="N333" s="11">
        <f>IF(M333="","",ROUND(M333*1.18,2))</f>
        <v/>
      </c>
      <c r="O333" s="12">
        <f>IF(M333="","",ROUND(N333-M333,2))</f>
        <v/>
      </c>
      <c r="P333" s="13">
        <f>IF(AND(A333&lt;&gt;"",B333&lt;&gt;""), A333&amp;" · "&amp;B333, "")</f>
        <v/>
      </c>
    </row>
    <row r="334">
      <c r="A334" s="6" t="inlineStr">
        <is>
          <t>FY26</t>
        </is>
      </c>
      <c r="B334" s="6" t="inlineStr">
        <is>
          <t>Jan</t>
        </is>
      </c>
      <c r="C334" s="6" t="inlineStr">
        <is>
          <t>TN</t>
        </is>
      </c>
      <c r="D334" s="7" t="inlineStr">
        <is>
          <t>TN22DM9846</t>
        </is>
      </c>
      <c r="E334" s="7" t="inlineStr">
        <is>
          <t>MARUTI SUZUKI</t>
        </is>
      </c>
      <c r="F334" s="7" t="inlineStr">
        <is>
          <t>Dzire</t>
        </is>
      </c>
      <c r="G334" s="7" t="inlineStr">
        <is>
          <t>EXCHANGE CHENNAI</t>
        </is>
      </c>
      <c r="H334" s="7" t="inlineStr">
        <is>
          <t>Captive</t>
        </is>
      </c>
      <c r="I334" s="7" t="inlineStr">
        <is>
          <t>Santhosh Cars</t>
        </is>
      </c>
      <c r="J334" s="8" t="n">
        <v>2018</v>
      </c>
      <c r="K334" s="9" t="n">
        <v>85924</v>
      </c>
      <c r="L334" s="10" t="n">
        <v>485000</v>
      </c>
      <c r="M334" s="10" t="n">
        <v>4237.29</v>
      </c>
      <c r="N334" s="11">
        <f>IF(M334="","",ROUND(M334*1.18,2))</f>
        <v/>
      </c>
      <c r="O334" s="12">
        <f>IF(M334="","",ROUND(N334-M334,2))</f>
        <v/>
      </c>
      <c r="P334" s="13">
        <f>IF(AND(A334&lt;&gt;"",B334&lt;&gt;""), A334&amp;" · "&amp;B334, "")</f>
        <v/>
      </c>
    </row>
    <row r="335">
      <c r="A335" s="6" t="inlineStr">
        <is>
          <t>FY26</t>
        </is>
      </c>
      <c r="B335" s="6" t="inlineStr">
        <is>
          <t>Jan</t>
        </is>
      </c>
      <c r="C335" s="6" t="inlineStr">
        <is>
          <t>TN</t>
        </is>
      </c>
      <c r="D335" s="7" t="inlineStr">
        <is>
          <t>TN23AE1000</t>
        </is>
      </c>
      <c r="E335" s="7" t="inlineStr">
        <is>
          <t>FORD</t>
        </is>
      </c>
      <c r="F335" s="7" t="inlineStr">
        <is>
          <t>Fiesta</t>
        </is>
      </c>
      <c r="G335" s="7" t="inlineStr">
        <is>
          <t>EXCHANGE ROTN</t>
        </is>
      </c>
      <c r="H335" s="7" t="inlineStr">
        <is>
          <t>Captive</t>
        </is>
      </c>
      <c r="I335" s="7" t="inlineStr">
        <is>
          <t>Vadivel Madesh</t>
        </is>
      </c>
      <c r="J335" s="8" t="n"/>
      <c r="K335" s="9" t="n"/>
      <c r="L335" s="10" t="n">
        <v>70000</v>
      </c>
      <c r="M335" s="10" t="n">
        <v>4237.29</v>
      </c>
      <c r="N335" s="11">
        <f>IF(M335="","",ROUND(M335*1.18,2))</f>
        <v/>
      </c>
      <c r="O335" s="12">
        <f>IF(M335="","",ROUND(N335-M335,2))</f>
        <v/>
      </c>
      <c r="P335" s="13">
        <f>IF(AND(A335&lt;&gt;"",B335&lt;&gt;""), A335&amp;" · "&amp;B335, "")</f>
        <v/>
      </c>
    </row>
    <row r="336">
      <c r="A336" s="6" t="inlineStr">
        <is>
          <t>FY26</t>
        </is>
      </c>
      <c r="B336" s="6" t="inlineStr">
        <is>
          <t>Jan</t>
        </is>
      </c>
      <c r="C336" s="6" t="inlineStr">
        <is>
          <t>TN</t>
        </is>
      </c>
      <c r="D336" s="7" t="inlineStr">
        <is>
          <t>TN25BE0099</t>
        </is>
      </c>
      <c r="E336" s="7" t="inlineStr">
        <is>
          <t>MARUTI SUZUKI</t>
        </is>
      </c>
      <c r="F336" s="7" t="inlineStr">
        <is>
          <t>Ciaz</t>
        </is>
      </c>
      <c r="G336" s="7" t="inlineStr">
        <is>
          <t>EXCHANGE CHENNAI</t>
        </is>
      </c>
      <c r="H336" s="7" t="inlineStr">
        <is>
          <t>Captive</t>
        </is>
      </c>
      <c r="I336" s="7" t="inlineStr">
        <is>
          <t>Thiya Cars</t>
        </is>
      </c>
      <c r="J336" s="8" t="n">
        <v>2017</v>
      </c>
      <c r="K336" s="9" t="n">
        <v>90681</v>
      </c>
      <c r="L336" s="10" t="n">
        <v>488000</v>
      </c>
      <c r="M336" s="10" t="n">
        <v>8474.58</v>
      </c>
      <c r="N336" s="11">
        <f>IF(M336="","",ROUND(M336*1.18,2))</f>
        <v/>
      </c>
      <c r="O336" s="12">
        <f>IF(M336="","",ROUND(N336-M336,2))</f>
        <v/>
      </c>
      <c r="P336" s="13">
        <f>IF(AND(A336&lt;&gt;"",B336&lt;&gt;""), A336&amp;" · "&amp;B336, "")</f>
        <v/>
      </c>
    </row>
    <row r="337">
      <c r="A337" s="6" t="inlineStr">
        <is>
          <t>FY26</t>
        </is>
      </c>
      <c r="B337" s="6" t="inlineStr">
        <is>
          <t>Jan</t>
        </is>
      </c>
      <c r="C337" s="6" t="inlineStr">
        <is>
          <t>TN</t>
        </is>
      </c>
      <c r="D337" s="7" t="inlineStr">
        <is>
          <t>TN28AX2072</t>
        </is>
      </c>
      <c r="E337" s="7" t="inlineStr">
        <is>
          <t>MARUTI SUZUKI</t>
        </is>
      </c>
      <c r="F337" s="7" t="inlineStr">
        <is>
          <t>Swift</t>
        </is>
      </c>
      <c r="G337" s="7" t="inlineStr">
        <is>
          <t>EXCHANGE ROTN</t>
        </is>
      </c>
      <c r="H337" s="7" t="inlineStr">
        <is>
          <t>Captive</t>
        </is>
      </c>
      <c r="I337" s="7" t="inlineStr">
        <is>
          <t>SRI RAJA KANAPATHY CARS</t>
        </is>
      </c>
      <c r="J337" s="8" t="n">
        <v>2010</v>
      </c>
      <c r="K337" s="9" t="n">
        <v>166470</v>
      </c>
      <c r="L337" s="10" t="n">
        <v>195000</v>
      </c>
      <c r="M337" s="10" t="n">
        <v>8474.58</v>
      </c>
      <c r="N337" s="11">
        <f>IF(M337="","",ROUND(M337*1.18,2))</f>
        <v/>
      </c>
      <c r="O337" s="12">
        <f>IF(M337="","",ROUND(N337-M337,2))</f>
        <v/>
      </c>
      <c r="P337" s="13">
        <f>IF(AND(A337&lt;&gt;"",B337&lt;&gt;""), A337&amp;" · "&amp;B337, "")</f>
        <v/>
      </c>
    </row>
    <row r="338">
      <c r="A338" s="6" t="inlineStr">
        <is>
          <t>FY26</t>
        </is>
      </c>
      <c r="B338" s="6" t="inlineStr">
        <is>
          <t>Jan</t>
        </is>
      </c>
      <c r="C338" s="6" t="inlineStr">
        <is>
          <t>TN</t>
        </is>
      </c>
      <c r="D338" s="7" t="inlineStr">
        <is>
          <t>TN30BL266</t>
        </is>
      </c>
      <c r="E338" s="7" t="inlineStr">
        <is>
          <t>MARUTI SUZUKI</t>
        </is>
      </c>
      <c r="F338" s="7" t="inlineStr">
        <is>
          <t>S-Cross</t>
        </is>
      </c>
      <c r="G338" s="7" t="inlineStr">
        <is>
          <t>KHIVRAJ MOTOR</t>
        </is>
      </c>
      <c r="H338" s="7" t="inlineStr">
        <is>
          <t>Non-Captive</t>
        </is>
      </c>
      <c r="I338" s="7" t="inlineStr">
        <is>
          <t>Balakrishnan</t>
        </is>
      </c>
      <c r="J338" s="8" t="n"/>
      <c r="K338" s="9" t="n"/>
      <c r="L338" s="10" t="n">
        <v>485000</v>
      </c>
      <c r="M338" s="10" t="n">
        <v>5084.75</v>
      </c>
      <c r="N338" s="11">
        <f>IF(M338="","",ROUND(M338*1.18,2))</f>
        <v/>
      </c>
      <c r="O338" s="12">
        <f>IF(M338="","",ROUND(N338-M338,2))</f>
        <v/>
      </c>
      <c r="P338" s="13">
        <f>IF(AND(A338&lt;&gt;"",B338&lt;&gt;""), A338&amp;" · "&amp;B338, "")</f>
        <v/>
      </c>
    </row>
    <row r="339">
      <c r="A339" s="6" t="inlineStr">
        <is>
          <t>FY26</t>
        </is>
      </c>
      <c r="B339" s="6" t="inlineStr">
        <is>
          <t>Jan</t>
        </is>
      </c>
      <c r="C339" s="6" t="inlineStr">
        <is>
          <t>TN</t>
        </is>
      </c>
      <c r="D339" s="7" t="inlineStr">
        <is>
          <t>TN30BQ9174</t>
        </is>
      </c>
      <c r="E339" s="7" t="inlineStr">
        <is>
          <t>HONDA</t>
        </is>
      </c>
      <c r="F339" s="7" t="inlineStr">
        <is>
          <t>Amaze</t>
        </is>
      </c>
      <c r="G339" s="7" t="inlineStr">
        <is>
          <t>EXCHANGE ROTN</t>
        </is>
      </c>
      <c r="H339" s="7" t="inlineStr">
        <is>
          <t>Captive</t>
        </is>
      </c>
      <c r="I339" s="7" t="inlineStr">
        <is>
          <t>Sangeetha Enterprises</t>
        </is>
      </c>
      <c r="J339" s="8" t="n">
        <v>2020</v>
      </c>
      <c r="K339" s="9" t="n">
        <v>36298</v>
      </c>
      <c r="L339" s="10" t="n">
        <v>485000</v>
      </c>
      <c r="M339" s="10" t="n">
        <v>12711.86</v>
      </c>
      <c r="N339" s="11">
        <f>IF(M339="","",ROUND(M339*1.18,2))</f>
        <v/>
      </c>
      <c r="O339" s="12">
        <f>IF(M339="","",ROUND(N339-M339,2))</f>
        <v/>
      </c>
      <c r="P339" s="13">
        <f>IF(AND(A339&lt;&gt;"",B339&lt;&gt;""), A339&amp;" · "&amp;B339, "")</f>
        <v/>
      </c>
    </row>
    <row r="340">
      <c r="A340" s="6" t="inlineStr">
        <is>
          <t>FY26</t>
        </is>
      </c>
      <c r="B340" s="6" t="inlineStr">
        <is>
          <t>Jan</t>
        </is>
      </c>
      <c r="C340" s="6" t="inlineStr">
        <is>
          <t>TN</t>
        </is>
      </c>
      <c r="D340" s="7" t="inlineStr">
        <is>
          <t>TN30BV6746</t>
        </is>
      </c>
      <c r="E340" s="7" t="inlineStr">
        <is>
          <t>HYUNDAI</t>
        </is>
      </c>
      <c r="F340" s="7" t="inlineStr">
        <is>
          <t>Eon</t>
        </is>
      </c>
      <c r="G340" s="7" t="inlineStr">
        <is>
          <t>EXCHANGE ROTN</t>
        </is>
      </c>
      <c r="H340" s="7" t="inlineStr">
        <is>
          <t>Captive</t>
        </is>
      </c>
      <c r="I340" s="7" t="inlineStr">
        <is>
          <t>SMS Cars</t>
        </is>
      </c>
      <c r="J340" s="8" t="n">
        <v>2017</v>
      </c>
      <c r="K340" s="9" t="n">
        <v>28450</v>
      </c>
      <c r="L340" s="10" t="n">
        <v>240000</v>
      </c>
      <c r="M340" s="10" t="n">
        <v>12711.86</v>
      </c>
      <c r="N340" s="11">
        <f>IF(M340="","",ROUND(M340*1.18,2))</f>
        <v/>
      </c>
      <c r="O340" s="12">
        <f>IF(M340="","",ROUND(N340-M340,2))</f>
        <v/>
      </c>
      <c r="P340" s="13">
        <f>IF(AND(A340&lt;&gt;"",B340&lt;&gt;""), A340&amp;" · "&amp;B340, "")</f>
        <v/>
      </c>
    </row>
    <row r="341">
      <c r="A341" s="6" t="inlineStr">
        <is>
          <t>FY26</t>
        </is>
      </c>
      <c r="B341" s="6" t="inlineStr">
        <is>
          <t>Jan</t>
        </is>
      </c>
      <c r="C341" s="6" t="inlineStr">
        <is>
          <t>TN</t>
        </is>
      </c>
      <c r="D341" s="7" t="inlineStr">
        <is>
          <t>TN30CE5088</t>
        </is>
      </c>
      <c r="E341" s="7" t="inlineStr">
        <is>
          <t>HONDA</t>
        </is>
      </c>
      <c r="F341" s="7" t="inlineStr">
        <is>
          <t>Amaze</t>
        </is>
      </c>
      <c r="G341" s="7" t="inlineStr">
        <is>
          <t>EXCHANGE ROTN</t>
        </is>
      </c>
      <c r="H341" s="7" t="inlineStr">
        <is>
          <t>Captive</t>
        </is>
      </c>
      <c r="I341" s="7" t="inlineStr">
        <is>
          <t>Vadivel Madesh</t>
        </is>
      </c>
      <c r="J341" s="8" t="n">
        <v>2023</v>
      </c>
      <c r="K341" s="9" t="n">
        <v>118492</v>
      </c>
      <c r="L341" s="10" t="n">
        <v>435000</v>
      </c>
      <c r="M341" s="10" t="n">
        <v>4237.29</v>
      </c>
      <c r="N341" s="11">
        <f>IF(M341="","",ROUND(M341*1.18,2))</f>
        <v/>
      </c>
      <c r="O341" s="12">
        <f>IF(M341="","",ROUND(N341-M341,2))</f>
        <v/>
      </c>
      <c r="P341" s="13">
        <f>IF(AND(A341&lt;&gt;"",B341&lt;&gt;""), A341&amp;" · "&amp;B341, "")</f>
        <v/>
      </c>
    </row>
    <row r="342">
      <c r="A342" s="6" t="inlineStr">
        <is>
          <t>FY26</t>
        </is>
      </c>
      <c r="B342" s="6" t="inlineStr">
        <is>
          <t>Jan</t>
        </is>
      </c>
      <c r="C342" s="6" t="inlineStr">
        <is>
          <t>TN</t>
        </is>
      </c>
      <c r="D342" s="7" t="inlineStr">
        <is>
          <t>TN33AT6482</t>
        </is>
      </c>
      <c r="E342" s="7" t="inlineStr">
        <is>
          <t>MARUTI SUZUKI</t>
        </is>
      </c>
      <c r="F342" s="7" t="inlineStr">
        <is>
          <t>Alto</t>
        </is>
      </c>
      <c r="G342" s="7" t="inlineStr">
        <is>
          <t>EXCHANGE ROTN</t>
        </is>
      </c>
      <c r="H342" s="7" t="inlineStr">
        <is>
          <t>Captive</t>
        </is>
      </c>
      <c r="I342" s="7" t="inlineStr">
        <is>
          <t>YUGA DHEERAN CARS</t>
        </is>
      </c>
      <c r="J342" s="8" t="n">
        <v>2011</v>
      </c>
      <c r="K342" s="9" t="n">
        <v>43110</v>
      </c>
      <c r="L342" s="10" t="n">
        <v>200000</v>
      </c>
      <c r="M342" s="10" t="n">
        <v>8474.58</v>
      </c>
      <c r="N342" s="11">
        <f>IF(M342="","",ROUND(M342*1.18,2))</f>
        <v/>
      </c>
      <c r="O342" s="12">
        <f>IF(M342="","",ROUND(N342-M342,2))</f>
        <v/>
      </c>
      <c r="P342" s="13">
        <f>IF(AND(A342&lt;&gt;"",B342&lt;&gt;""), A342&amp;" · "&amp;B342, "")</f>
        <v/>
      </c>
    </row>
    <row r="343">
      <c r="A343" s="6" t="inlineStr">
        <is>
          <t>FY26</t>
        </is>
      </c>
      <c r="B343" s="6" t="inlineStr">
        <is>
          <t>Jan</t>
        </is>
      </c>
      <c r="C343" s="6" t="inlineStr">
        <is>
          <t>TN</t>
        </is>
      </c>
      <c r="D343" s="7" t="inlineStr">
        <is>
          <t>TN34M3123</t>
        </is>
      </c>
      <c r="E343" s="7" t="inlineStr">
        <is>
          <t>MARUTI SUZUKI</t>
        </is>
      </c>
      <c r="F343" s="7" t="inlineStr">
        <is>
          <t>Alto K10</t>
        </is>
      </c>
      <c r="G343" s="7" t="inlineStr">
        <is>
          <t>EXCHANGE ROTN</t>
        </is>
      </c>
      <c r="H343" s="7" t="inlineStr">
        <is>
          <t>Captive</t>
        </is>
      </c>
      <c r="I343" s="7" t="inlineStr">
        <is>
          <t>Sivashankar Cars</t>
        </is>
      </c>
      <c r="J343" s="8" t="n">
        <v>2011</v>
      </c>
      <c r="K343" s="9" t="n">
        <v>121116</v>
      </c>
      <c r="L343" s="10" t="n">
        <v>150000</v>
      </c>
      <c r="M343" s="10" t="n">
        <v>10169.49</v>
      </c>
      <c r="N343" s="11">
        <f>IF(M343="","",ROUND(M343*1.18,2))</f>
        <v/>
      </c>
      <c r="O343" s="12">
        <f>IF(M343="","",ROUND(N343-M343,2))</f>
        <v/>
      </c>
      <c r="P343" s="13">
        <f>IF(AND(A343&lt;&gt;"",B343&lt;&gt;""), A343&amp;" · "&amp;B343, "")</f>
        <v/>
      </c>
    </row>
    <row r="344">
      <c r="A344" s="6" t="inlineStr">
        <is>
          <t>FY26</t>
        </is>
      </c>
      <c r="B344" s="6" t="inlineStr">
        <is>
          <t>Jan</t>
        </is>
      </c>
      <c r="C344" s="6" t="inlineStr">
        <is>
          <t>TN</t>
        </is>
      </c>
      <c r="D344" s="7" t="inlineStr">
        <is>
          <t>TN38AY2973</t>
        </is>
      </c>
      <c r="E344" s="7" t="inlineStr">
        <is>
          <t>HYUNDAI</t>
        </is>
      </c>
      <c r="F344" s="7" t="inlineStr">
        <is>
          <t>i20</t>
        </is>
      </c>
      <c r="G344" s="7" t="inlineStr">
        <is>
          <t>EXCHANGE ROTN</t>
        </is>
      </c>
      <c r="H344" s="7" t="inlineStr">
        <is>
          <t>Captive</t>
        </is>
      </c>
      <c r="I344" s="7" t="inlineStr">
        <is>
          <t>SRI RAJA KANAPATHY CARS</t>
        </is>
      </c>
      <c r="J344" s="8" t="n">
        <v>2009</v>
      </c>
      <c r="K344" s="9" t="n">
        <v>109781</v>
      </c>
      <c r="L344" s="10" t="n">
        <v>130000</v>
      </c>
      <c r="M344" s="10" t="n">
        <v>8474.58</v>
      </c>
      <c r="N344" s="11">
        <f>IF(M344="","",ROUND(M344*1.18,2))</f>
        <v/>
      </c>
      <c r="O344" s="12">
        <f>IF(M344="","",ROUND(N344-M344,2))</f>
        <v/>
      </c>
      <c r="P344" s="13">
        <f>IF(AND(A344&lt;&gt;"",B344&lt;&gt;""), A344&amp;" · "&amp;B344, "")</f>
        <v/>
      </c>
    </row>
    <row r="345">
      <c r="A345" s="6" t="inlineStr">
        <is>
          <t>FY26</t>
        </is>
      </c>
      <c r="B345" s="6" t="inlineStr">
        <is>
          <t>Jan</t>
        </is>
      </c>
      <c r="C345" s="6" t="inlineStr">
        <is>
          <t>TN</t>
        </is>
      </c>
      <c r="D345" s="7" t="inlineStr">
        <is>
          <t>TN38BA9099</t>
        </is>
      </c>
      <c r="E345" s="7" t="inlineStr">
        <is>
          <t>HYUNDAI</t>
        </is>
      </c>
      <c r="F345" s="7" t="inlineStr">
        <is>
          <t>i20</t>
        </is>
      </c>
      <c r="G345" s="7" t="inlineStr">
        <is>
          <t>JAIKRISHNAA AUTOSALES PRIVATE LIMITED</t>
        </is>
      </c>
      <c r="H345" s="7" t="inlineStr">
        <is>
          <t>Non-Captive</t>
        </is>
      </c>
      <c r="I345" s="7" t="inlineStr">
        <is>
          <t>SELVA MOTORS</t>
        </is>
      </c>
      <c r="J345" s="8" t="n">
        <v>2012</v>
      </c>
      <c r="K345" s="9" t="n">
        <v>90000</v>
      </c>
      <c r="L345" s="10" t="n">
        <v>205000</v>
      </c>
      <c r="M345" s="10" t="n">
        <v>4237.29</v>
      </c>
      <c r="N345" s="11">
        <f>IF(M345="","",ROUND(M345*1.18,2))</f>
        <v/>
      </c>
      <c r="O345" s="12">
        <f>IF(M345="","",ROUND(N345-M345,2))</f>
        <v/>
      </c>
      <c r="P345" s="13">
        <f>IF(AND(A345&lt;&gt;"",B345&lt;&gt;""), A345&amp;" · "&amp;B345, "")</f>
        <v/>
      </c>
    </row>
    <row r="346">
      <c r="A346" s="6" t="inlineStr">
        <is>
          <t>FY26</t>
        </is>
      </c>
      <c r="B346" s="6" t="inlineStr">
        <is>
          <t>Jan</t>
        </is>
      </c>
      <c r="C346" s="6" t="inlineStr">
        <is>
          <t>TN</t>
        </is>
      </c>
      <c r="D346" s="7" t="inlineStr">
        <is>
          <t>TN38BD2741</t>
        </is>
      </c>
      <c r="E346" s="7" t="inlineStr">
        <is>
          <t>MAHINDRA</t>
        </is>
      </c>
      <c r="F346" s="7" t="inlineStr">
        <is>
          <t>Verito</t>
        </is>
      </c>
      <c r="G346" s="7" t="inlineStr">
        <is>
          <t>EXCHANGE ROTN</t>
        </is>
      </c>
      <c r="H346" s="7" t="inlineStr">
        <is>
          <t>Captive</t>
        </is>
      </c>
      <c r="I346" s="7" t="inlineStr">
        <is>
          <t>S.R.CARS</t>
        </is>
      </c>
      <c r="J346" s="8" t="n">
        <v>2010</v>
      </c>
      <c r="K346" s="9" t="n">
        <v>342085</v>
      </c>
      <c r="L346" s="10" t="n">
        <v>70000</v>
      </c>
      <c r="M346" s="10" t="n">
        <v>4237.29</v>
      </c>
      <c r="N346" s="11">
        <f>IF(M346="","",ROUND(M346*1.18,2))</f>
        <v/>
      </c>
      <c r="O346" s="12">
        <f>IF(M346="","",ROUND(N346-M346,2))</f>
        <v/>
      </c>
      <c r="P346" s="13">
        <f>IF(AND(A346&lt;&gt;"",B346&lt;&gt;""), A346&amp;" · "&amp;B346, "")</f>
        <v/>
      </c>
    </row>
    <row r="347">
      <c r="A347" s="6" t="inlineStr">
        <is>
          <t>FY26</t>
        </is>
      </c>
      <c r="B347" s="6" t="inlineStr">
        <is>
          <t>Jan</t>
        </is>
      </c>
      <c r="C347" s="6" t="inlineStr">
        <is>
          <t>TN</t>
        </is>
      </c>
      <c r="D347" s="7" t="inlineStr">
        <is>
          <t>TN38BP2912</t>
        </is>
      </c>
      <c r="E347" s="7" t="inlineStr">
        <is>
          <t>HYUNDAI</t>
        </is>
      </c>
      <c r="F347" s="7" t="inlineStr">
        <is>
          <t>i20</t>
        </is>
      </c>
      <c r="G347" s="7" t="inlineStr">
        <is>
          <t>SAI CARS CBE</t>
        </is>
      </c>
      <c r="H347" s="7" t="inlineStr">
        <is>
          <t>Non-Captive</t>
        </is>
      </c>
      <c r="I347" s="7" t="inlineStr">
        <is>
          <t>GOWTHAM CARS</t>
        </is>
      </c>
      <c r="J347" s="8" t="n">
        <v>2012</v>
      </c>
      <c r="K347" s="9" t="n">
        <v>66589</v>
      </c>
      <c r="L347" s="10" t="n">
        <v>210000</v>
      </c>
      <c r="M347" s="10" t="n">
        <v>4237.29</v>
      </c>
      <c r="N347" s="11">
        <f>IF(M347="","",ROUND(M347*1.18,2))</f>
        <v/>
      </c>
      <c r="O347" s="12">
        <f>IF(M347="","",ROUND(N347-M347,2))</f>
        <v/>
      </c>
      <c r="P347" s="13">
        <f>IF(AND(A347&lt;&gt;"",B347&lt;&gt;""), A347&amp;" · "&amp;B347, "")</f>
        <v/>
      </c>
    </row>
    <row r="348">
      <c r="A348" s="6" t="inlineStr">
        <is>
          <t>FY26</t>
        </is>
      </c>
      <c r="B348" s="6" t="inlineStr">
        <is>
          <t>Jan</t>
        </is>
      </c>
      <c r="C348" s="6" t="inlineStr">
        <is>
          <t>TN</t>
        </is>
      </c>
      <c r="D348" s="7" t="inlineStr">
        <is>
          <t>TN38BV1258</t>
        </is>
      </c>
      <c r="E348" s="7" t="inlineStr">
        <is>
          <t>FORD</t>
        </is>
      </c>
      <c r="F348" s="7" t="inlineStr">
        <is>
          <t>Figo</t>
        </is>
      </c>
      <c r="G348" s="7" t="inlineStr">
        <is>
          <t>SAI CARS CBE</t>
        </is>
      </c>
      <c r="H348" s="7" t="inlineStr">
        <is>
          <t>Non-Captive</t>
        </is>
      </c>
      <c r="I348" s="7" t="inlineStr">
        <is>
          <t>Dheera Cars</t>
        </is>
      </c>
      <c r="J348" s="8" t="n">
        <v>2013</v>
      </c>
      <c r="K348" s="9" t="n">
        <v>11589</v>
      </c>
      <c r="L348" s="10" t="n">
        <v>130000</v>
      </c>
      <c r="M348" s="10" t="n">
        <v>4237.29</v>
      </c>
      <c r="N348" s="11">
        <f>IF(M348="","",ROUND(M348*1.18,2))</f>
        <v/>
      </c>
      <c r="O348" s="12">
        <f>IF(M348="","",ROUND(N348-M348,2))</f>
        <v/>
      </c>
      <c r="P348" s="13">
        <f>IF(AND(A348&lt;&gt;"",B348&lt;&gt;""), A348&amp;" · "&amp;B348, "")</f>
        <v/>
      </c>
    </row>
    <row r="349">
      <c r="A349" s="6" t="inlineStr">
        <is>
          <t>FY26</t>
        </is>
      </c>
      <c r="B349" s="6" t="inlineStr">
        <is>
          <t>Jan</t>
        </is>
      </c>
      <c r="C349" s="6" t="inlineStr">
        <is>
          <t>TN</t>
        </is>
      </c>
      <c r="D349" s="7" t="inlineStr">
        <is>
          <t>TN38BW6777</t>
        </is>
      </c>
      <c r="E349" s="7" t="inlineStr">
        <is>
          <t>HONDA</t>
        </is>
      </c>
      <c r="F349" s="7" t="inlineStr">
        <is>
          <t>City</t>
        </is>
      </c>
      <c r="G349" s="7" t="inlineStr">
        <is>
          <t>EXCHANGE ROTN</t>
        </is>
      </c>
      <c r="H349" s="7" t="inlineStr">
        <is>
          <t>Captive</t>
        </is>
      </c>
      <c r="I349" s="7" t="inlineStr">
        <is>
          <t>MADHURA CARS</t>
        </is>
      </c>
      <c r="J349" s="8" t="n">
        <v>2014</v>
      </c>
      <c r="K349" s="9" t="n">
        <v>266342</v>
      </c>
      <c r="L349" s="10" t="n">
        <v>315000</v>
      </c>
      <c r="M349" s="10" t="n">
        <v>8474.58</v>
      </c>
      <c r="N349" s="11">
        <f>IF(M349="","",ROUND(M349*1.18,2))</f>
        <v/>
      </c>
      <c r="O349" s="12">
        <f>IF(M349="","",ROUND(N349-M349,2))</f>
        <v/>
      </c>
      <c r="P349" s="13">
        <f>IF(AND(A349&lt;&gt;"",B349&lt;&gt;""), A349&amp;" · "&amp;B349, "")</f>
        <v/>
      </c>
    </row>
    <row r="350">
      <c r="A350" s="6" t="inlineStr">
        <is>
          <t>FY26</t>
        </is>
      </c>
      <c r="B350" s="6" t="inlineStr">
        <is>
          <t>Jan</t>
        </is>
      </c>
      <c r="C350" s="6" t="inlineStr">
        <is>
          <t>TN</t>
        </is>
      </c>
      <c r="D350" s="7" t="inlineStr">
        <is>
          <t>TN38BZ5292</t>
        </is>
      </c>
      <c r="E350" s="7" t="inlineStr">
        <is>
          <t>MARUTI SUZUKI</t>
        </is>
      </c>
      <c r="F350" s="7" t="inlineStr">
        <is>
          <t>Alto</t>
        </is>
      </c>
      <c r="G350" s="7" t="inlineStr">
        <is>
          <t>JAIKRISHNAA AUTOSALES PRIVATE LIMITED</t>
        </is>
      </c>
      <c r="H350" s="7" t="inlineStr">
        <is>
          <t>Non-Captive</t>
        </is>
      </c>
      <c r="I350" s="7" t="inlineStr">
        <is>
          <t>SELVA MOTORS</t>
        </is>
      </c>
      <c r="J350" s="8" t="n">
        <v>2014</v>
      </c>
      <c r="K350" s="9" t="n">
        <v>114554</v>
      </c>
      <c r="L350" s="10" t="n">
        <v>160000</v>
      </c>
      <c r="M350" s="10" t="n">
        <v>4237.29</v>
      </c>
      <c r="N350" s="11">
        <f>IF(M350="","",ROUND(M350*1.18,2))</f>
        <v/>
      </c>
      <c r="O350" s="12">
        <f>IF(M350="","",ROUND(N350-M350,2))</f>
        <v/>
      </c>
      <c r="P350" s="13">
        <f>IF(AND(A350&lt;&gt;"",B350&lt;&gt;""), A350&amp;" · "&amp;B350, "")</f>
        <v/>
      </c>
    </row>
    <row r="351">
      <c r="A351" s="6" t="inlineStr">
        <is>
          <t>FY26</t>
        </is>
      </c>
      <c r="B351" s="6" t="inlineStr">
        <is>
          <t>Jan</t>
        </is>
      </c>
      <c r="C351" s="6" t="inlineStr">
        <is>
          <t>TN</t>
        </is>
      </c>
      <c r="D351" s="7" t="inlineStr">
        <is>
          <t>TN38BZ6252</t>
        </is>
      </c>
      <c r="E351" s="7" t="inlineStr">
        <is>
          <t>MARUTI SUZUKI</t>
        </is>
      </c>
      <c r="F351" s="7" t="inlineStr">
        <is>
          <t>Alto K10</t>
        </is>
      </c>
      <c r="G351" s="7" t="inlineStr">
        <is>
          <t>EXCHANGE ROTN</t>
        </is>
      </c>
      <c r="H351" s="7" t="inlineStr">
        <is>
          <t>Captive</t>
        </is>
      </c>
      <c r="I351" s="7" t="inlineStr">
        <is>
          <t>Uzhavan Enterprise</t>
        </is>
      </c>
      <c r="J351" s="8" t="n">
        <v>2014</v>
      </c>
      <c r="K351" s="9" t="n">
        <v>102682</v>
      </c>
      <c r="L351" s="10" t="n">
        <v>170000</v>
      </c>
      <c r="M351" s="10" t="n">
        <v>4237.29</v>
      </c>
      <c r="N351" s="11">
        <f>IF(M351="","",ROUND(M351*1.18,2))</f>
        <v/>
      </c>
      <c r="O351" s="12">
        <f>IF(M351="","",ROUND(N351-M351,2))</f>
        <v/>
      </c>
      <c r="P351" s="13">
        <f>IF(AND(A351&lt;&gt;"",B351&lt;&gt;""), A351&amp;" · "&amp;B351, "")</f>
        <v/>
      </c>
    </row>
    <row r="352">
      <c r="A352" s="6" t="inlineStr">
        <is>
          <t>FY26</t>
        </is>
      </c>
      <c r="B352" s="6" t="inlineStr">
        <is>
          <t>Jan</t>
        </is>
      </c>
      <c r="C352" s="6" t="inlineStr">
        <is>
          <t>TN</t>
        </is>
      </c>
      <c r="D352" s="7" t="inlineStr">
        <is>
          <t>TN38CB0766</t>
        </is>
      </c>
      <c r="E352" s="7" t="inlineStr">
        <is>
          <t>HONDA</t>
        </is>
      </c>
      <c r="F352" s="7" t="inlineStr">
        <is>
          <t>Amaze</t>
        </is>
      </c>
      <c r="G352" s="7" t="inlineStr">
        <is>
          <t>SAI CARS CBE</t>
        </is>
      </c>
      <c r="H352" s="7" t="inlineStr">
        <is>
          <t>Non-Captive</t>
        </is>
      </c>
      <c r="I352" s="7" t="inlineStr">
        <is>
          <t>KSM Auto Consulting</t>
        </is>
      </c>
      <c r="J352" s="8" t="n">
        <v>2015</v>
      </c>
      <c r="K352" s="9" t="n">
        <v>65500</v>
      </c>
      <c r="L352" s="10" t="n">
        <v>190000</v>
      </c>
      <c r="M352" s="10" t="n">
        <v>4237.29</v>
      </c>
      <c r="N352" s="11">
        <f>IF(M352="","",ROUND(M352*1.18,2))</f>
        <v/>
      </c>
      <c r="O352" s="12">
        <f>IF(M352="","",ROUND(N352-M352,2))</f>
        <v/>
      </c>
      <c r="P352" s="13">
        <f>IF(AND(A352&lt;&gt;"",B352&lt;&gt;""), A352&amp;" · "&amp;B352, "")</f>
        <v/>
      </c>
    </row>
    <row r="353">
      <c r="A353" s="6" t="inlineStr">
        <is>
          <t>FY26</t>
        </is>
      </c>
      <c r="B353" s="6" t="inlineStr">
        <is>
          <t>Jan</t>
        </is>
      </c>
      <c r="C353" s="6" t="inlineStr">
        <is>
          <t>TN</t>
        </is>
      </c>
      <c r="D353" s="7" t="inlineStr">
        <is>
          <t>TN38CB2589</t>
        </is>
      </c>
      <c r="E353" s="7" t="inlineStr">
        <is>
          <t>HYUNDAI</t>
        </is>
      </c>
      <c r="F353" s="7" t="inlineStr">
        <is>
          <t>Grand i10</t>
        </is>
      </c>
      <c r="G353" s="7" t="inlineStr">
        <is>
          <t>SAI CARS CBE</t>
        </is>
      </c>
      <c r="H353" s="7" t="inlineStr">
        <is>
          <t>Non-Captive</t>
        </is>
      </c>
      <c r="I353" s="7" t="inlineStr">
        <is>
          <t>Dheera Cars</t>
        </is>
      </c>
      <c r="J353" s="8" t="n">
        <v>2015</v>
      </c>
      <c r="K353" s="9" t="n">
        <v>54895</v>
      </c>
      <c r="L353" s="10" t="n">
        <v>190000</v>
      </c>
      <c r="M353" s="10" t="n">
        <v>4237.29</v>
      </c>
      <c r="N353" s="11">
        <f>IF(M353="","",ROUND(M353*1.18,2))</f>
        <v/>
      </c>
      <c r="O353" s="12">
        <f>IF(M353="","",ROUND(N353-M353,2))</f>
        <v/>
      </c>
      <c r="P353" s="13">
        <f>IF(AND(A353&lt;&gt;"",B353&lt;&gt;""), A353&amp;" · "&amp;B353, "")</f>
        <v/>
      </c>
    </row>
    <row r="354">
      <c r="A354" s="6" t="inlineStr">
        <is>
          <t>FY26</t>
        </is>
      </c>
      <c r="B354" s="6" t="inlineStr">
        <is>
          <t>Jan</t>
        </is>
      </c>
      <c r="C354" s="6" t="inlineStr">
        <is>
          <t>TN</t>
        </is>
      </c>
      <c r="D354" s="7" t="inlineStr">
        <is>
          <t>TN38CE1379</t>
        </is>
      </c>
      <c r="E354" s="7" t="inlineStr">
        <is>
          <t>HONDA</t>
        </is>
      </c>
      <c r="F354" s="7" t="inlineStr">
        <is>
          <t>BR-V</t>
        </is>
      </c>
      <c r="G354" s="7" t="inlineStr">
        <is>
          <t>EXCHANGE ROTN</t>
        </is>
      </c>
      <c r="H354" s="7" t="inlineStr">
        <is>
          <t>Captive</t>
        </is>
      </c>
      <c r="I354" s="7" t="inlineStr">
        <is>
          <t>Dheera Cars</t>
        </is>
      </c>
      <c r="J354" s="8" t="n">
        <v>2016</v>
      </c>
      <c r="K354" s="9" t="n">
        <v>126263</v>
      </c>
      <c r="L354" s="10" t="n">
        <v>460000</v>
      </c>
      <c r="M354" s="10" t="n">
        <v>12711.86</v>
      </c>
      <c r="N354" s="11">
        <f>IF(M354="","",ROUND(M354*1.18,2))</f>
        <v/>
      </c>
      <c r="O354" s="12">
        <f>IF(M354="","",ROUND(N354-M354,2))</f>
        <v/>
      </c>
      <c r="P354" s="13">
        <f>IF(AND(A354&lt;&gt;"",B354&lt;&gt;""), A354&amp;" · "&amp;B354, "")</f>
        <v/>
      </c>
    </row>
    <row r="355">
      <c r="A355" s="6" t="inlineStr">
        <is>
          <t>FY26</t>
        </is>
      </c>
      <c r="B355" s="6" t="inlineStr">
        <is>
          <t>Jan</t>
        </is>
      </c>
      <c r="C355" s="6" t="inlineStr">
        <is>
          <t>TN</t>
        </is>
      </c>
      <c r="D355" s="7" t="inlineStr">
        <is>
          <t>TN38CM2619</t>
        </is>
      </c>
      <c r="E355" s="7" t="inlineStr">
        <is>
          <t>HONDA</t>
        </is>
      </c>
      <c r="F355" s="7" t="inlineStr">
        <is>
          <t>Brio</t>
        </is>
      </c>
      <c r="G355" s="7" t="inlineStr">
        <is>
          <t>EXCHANGE ROTN</t>
        </is>
      </c>
      <c r="H355" s="7" t="inlineStr">
        <is>
          <t>Captive</t>
        </is>
      </c>
      <c r="I355" s="7" t="inlineStr">
        <is>
          <t>Uzhavan Enterprise</t>
        </is>
      </c>
      <c r="J355" s="8" t="n">
        <v>2017</v>
      </c>
      <c r="K355" s="9" t="n">
        <v>101949</v>
      </c>
      <c r="L355" s="10" t="n">
        <v>250000</v>
      </c>
      <c r="M355" s="10" t="n">
        <v>8474.58</v>
      </c>
      <c r="N355" s="11">
        <f>IF(M355="","",ROUND(M355*1.18,2))</f>
        <v/>
      </c>
      <c r="O355" s="12">
        <f>IF(M355="","",ROUND(N355-M355,2))</f>
        <v/>
      </c>
      <c r="P355" s="13">
        <f>IF(AND(A355&lt;&gt;"",B355&lt;&gt;""), A355&amp;" · "&amp;B355, "")</f>
        <v/>
      </c>
    </row>
    <row r="356">
      <c r="A356" s="6" t="inlineStr">
        <is>
          <t>FY26</t>
        </is>
      </c>
      <c r="B356" s="6" t="inlineStr">
        <is>
          <t>Jan</t>
        </is>
      </c>
      <c r="C356" s="6" t="inlineStr">
        <is>
          <t>TN</t>
        </is>
      </c>
      <c r="D356" s="7" t="inlineStr">
        <is>
          <t>TN38CT0789</t>
        </is>
      </c>
      <c r="E356" s="7" t="inlineStr">
        <is>
          <t>MARUTI SUZUKI</t>
        </is>
      </c>
      <c r="F356" s="7" t="inlineStr">
        <is>
          <t>Celerio</t>
        </is>
      </c>
      <c r="G356" s="7" t="inlineStr">
        <is>
          <t>EXCHANGE ROTN</t>
        </is>
      </c>
      <c r="H356" s="7" t="inlineStr">
        <is>
          <t>Captive</t>
        </is>
      </c>
      <c r="I356" s="7" t="inlineStr">
        <is>
          <t>9 MILES CARZ</t>
        </is>
      </c>
      <c r="J356" s="8" t="n">
        <v>2019</v>
      </c>
      <c r="K356" s="9" t="n">
        <v>46670</v>
      </c>
      <c r="L356" s="10" t="n">
        <v>210000</v>
      </c>
      <c r="M356" s="10" t="n">
        <v>4237.29</v>
      </c>
      <c r="N356" s="11">
        <f>IF(M356="","",ROUND(M356*1.18,2))</f>
        <v/>
      </c>
      <c r="O356" s="12">
        <f>IF(M356="","",ROUND(N356-M356,2))</f>
        <v/>
      </c>
      <c r="P356" s="13">
        <f>IF(AND(A356&lt;&gt;"",B356&lt;&gt;""), A356&amp;" · "&amp;B356, "")</f>
        <v/>
      </c>
    </row>
    <row r="357">
      <c r="A357" s="6" t="inlineStr">
        <is>
          <t>FY26</t>
        </is>
      </c>
      <c r="B357" s="6" t="inlineStr">
        <is>
          <t>Jan</t>
        </is>
      </c>
      <c r="C357" s="6" t="inlineStr">
        <is>
          <t>TN</t>
        </is>
      </c>
      <c r="D357" s="7" t="inlineStr">
        <is>
          <t>TN38CW9596</t>
        </is>
      </c>
      <c r="E357" s="7" t="inlineStr">
        <is>
          <t>RENAULT</t>
        </is>
      </c>
      <c r="F357" s="7" t="inlineStr">
        <is>
          <t>Duster</t>
        </is>
      </c>
      <c r="G357" s="7" t="inlineStr">
        <is>
          <t>EXCHANGE ROTN</t>
        </is>
      </c>
      <c r="H357" s="7" t="inlineStr">
        <is>
          <t>Captive</t>
        </is>
      </c>
      <c r="I357" s="7" t="inlineStr">
        <is>
          <t>Sai Cars</t>
        </is>
      </c>
      <c r="J357" s="8" t="n">
        <v>2020</v>
      </c>
      <c r="K357" s="9" t="n">
        <v>29986</v>
      </c>
      <c r="L357" s="10" t="n">
        <v>600000</v>
      </c>
      <c r="M357" s="10" t="n">
        <v>10169.49</v>
      </c>
      <c r="N357" s="11">
        <f>IF(M357="","",ROUND(M357*1.18,2))</f>
        <v/>
      </c>
      <c r="O357" s="12">
        <f>IF(M357="","",ROUND(N357-M357,2))</f>
        <v/>
      </c>
      <c r="P357" s="13">
        <f>IF(AND(A357&lt;&gt;"",B357&lt;&gt;""), A357&amp;" · "&amp;B357, "")</f>
        <v/>
      </c>
    </row>
    <row r="358">
      <c r="A358" s="6" t="inlineStr">
        <is>
          <t>FY26</t>
        </is>
      </c>
      <c r="B358" s="6" t="inlineStr">
        <is>
          <t>Jan</t>
        </is>
      </c>
      <c r="C358" s="6" t="inlineStr">
        <is>
          <t>TN</t>
        </is>
      </c>
      <c r="D358" s="7" t="inlineStr">
        <is>
          <t>TN39AY3701</t>
        </is>
      </c>
      <c r="E358" s="7" t="inlineStr">
        <is>
          <t>HONDA</t>
        </is>
      </c>
      <c r="F358" s="7" t="inlineStr">
        <is>
          <t>City</t>
        </is>
      </c>
      <c r="G358" s="7" t="inlineStr">
        <is>
          <t>JAIKRISHNAA AUTOSALES PRIVATE LIMITED</t>
        </is>
      </c>
      <c r="H358" s="7" t="inlineStr">
        <is>
          <t>Non-Captive</t>
        </is>
      </c>
      <c r="I358" s="7" t="inlineStr">
        <is>
          <t>CAP CARS</t>
        </is>
      </c>
      <c r="J358" s="8" t="n">
        <v>2010</v>
      </c>
      <c r="K358" s="9" t="n">
        <v>106381</v>
      </c>
      <c r="L358" s="10" t="n">
        <v>240000</v>
      </c>
      <c r="M358" s="10" t="n">
        <v>4237.29</v>
      </c>
      <c r="N358" s="11">
        <f>IF(M358="","",ROUND(M358*1.18,2))</f>
        <v/>
      </c>
      <c r="O358" s="12">
        <f>IF(M358="","",ROUND(N358-M358,2))</f>
        <v/>
      </c>
      <c r="P358" s="13">
        <f>IF(AND(A358&lt;&gt;"",B358&lt;&gt;""), A358&amp;" · "&amp;B358, "")</f>
        <v/>
      </c>
    </row>
    <row r="359">
      <c r="A359" s="6" t="inlineStr">
        <is>
          <t>FY26</t>
        </is>
      </c>
      <c r="B359" s="6" t="inlineStr">
        <is>
          <t>Jan</t>
        </is>
      </c>
      <c r="C359" s="6" t="inlineStr">
        <is>
          <t>TN</t>
        </is>
      </c>
      <c r="D359" s="7" t="inlineStr">
        <is>
          <t>TN39BD8588</t>
        </is>
      </c>
      <c r="E359" s="7" t="inlineStr">
        <is>
          <t>MARUTI SUZUKI</t>
        </is>
      </c>
      <c r="F359" s="7" t="inlineStr">
        <is>
          <t>A-Star</t>
        </is>
      </c>
      <c r="G359" s="7" t="inlineStr">
        <is>
          <t>EXCHANGE ROTN</t>
        </is>
      </c>
      <c r="H359" s="7" t="inlineStr">
        <is>
          <t>Captive</t>
        </is>
      </c>
      <c r="I359" s="7" t="inlineStr">
        <is>
          <t>Karthickeyan cars</t>
        </is>
      </c>
      <c r="J359" s="8" t="n">
        <v>2009</v>
      </c>
      <c r="K359" s="9" t="n">
        <v>56543</v>
      </c>
      <c r="L359" s="10" t="n">
        <v>155000</v>
      </c>
      <c r="M359" s="10" t="n">
        <v>10169.49</v>
      </c>
      <c r="N359" s="11">
        <f>IF(M359="","",ROUND(M359*1.18,2))</f>
        <v/>
      </c>
      <c r="O359" s="12">
        <f>IF(M359="","",ROUND(N359-M359,2))</f>
        <v/>
      </c>
      <c r="P359" s="13">
        <f>IF(AND(A359&lt;&gt;"",B359&lt;&gt;""), A359&amp;" · "&amp;B359, "")</f>
        <v/>
      </c>
    </row>
    <row r="360">
      <c r="A360" s="6" t="inlineStr">
        <is>
          <t>FY26</t>
        </is>
      </c>
      <c r="B360" s="6" t="inlineStr">
        <is>
          <t>Jan</t>
        </is>
      </c>
      <c r="C360" s="6" t="inlineStr">
        <is>
          <t>TN</t>
        </is>
      </c>
      <c r="D360" s="7" t="inlineStr">
        <is>
          <t>TN39BF0375</t>
        </is>
      </c>
      <c r="E360" s="7" t="inlineStr">
        <is>
          <t>MARUTI SUZUKI</t>
        </is>
      </c>
      <c r="F360" s="7" t="inlineStr">
        <is>
          <t>Alto K10</t>
        </is>
      </c>
      <c r="G360" s="7" t="inlineStr">
        <is>
          <t>JAIKRISHNAA AUTOSALES PRIVATE LIMITED</t>
        </is>
      </c>
      <c r="H360" s="7" t="inlineStr">
        <is>
          <t>Non-Captive</t>
        </is>
      </c>
      <c r="I360" s="7" t="inlineStr">
        <is>
          <t>CAP CARS</t>
        </is>
      </c>
      <c r="J360" s="8" t="n">
        <v>2012</v>
      </c>
      <c r="K360" s="9" t="n">
        <v>39815</v>
      </c>
      <c r="L360" s="10" t="n">
        <v>170000</v>
      </c>
      <c r="M360" s="10" t="n">
        <v>4237.29</v>
      </c>
      <c r="N360" s="11">
        <f>IF(M360="","",ROUND(M360*1.18,2))</f>
        <v/>
      </c>
      <c r="O360" s="12">
        <f>IF(M360="","",ROUND(N360-M360,2))</f>
        <v/>
      </c>
      <c r="P360" s="13">
        <f>IF(AND(A360&lt;&gt;"",B360&lt;&gt;""), A360&amp;" · "&amp;B360, "")</f>
        <v/>
      </c>
    </row>
    <row r="361">
      <c r="A361" s="6" t="inlineStr">
        <is>
          <t>FY26</t>
        </is>
      </c>
      <c r="B361" s="6" t="inlineStr">
        <is>
          <t>Jan</t>
        </is>
      </c>
      <c r="C361" s="6" t="inlineStr">
        <is>
          <t>TN</t>
        </is>
      </c>
      <c r="D361" s="7" t="inlineStr">
        <is>
          <t>TN40F5299</t>
        </is>
      </c>
      <c r="E361" s="7" t="inlineStr">
        <is>
          <t>CHEVROLET</t>
        </is>
      </c>
      <c r="F361" s="7" t="inlineStr">
        <is>
          <t>Beat</t>
        </is>
      </c>
      <c r="G361" s="7" t="inlineStr">
        <is>
          <t>SAI CARS CBE</t>
        </is>
      </c>
      <c r="H361" s="7" t="inlineStr">
        <is>
          <t>Non-Captive</t>
        </is>
      </c>
      <c r="I361" s="7" t="inlineStr">
        <is>
          <t>Sun Cars</t>
        </is>
      </c>
      <c r="J361" s="8" t="n">
        <v>2011</v>
      </c>
      <c r="K361" s="9" t="n">
        <v>55988</v>
      </c>
      <c r="L361" s="10" t="n">
        <v>90000</v>
      </c>
      <c r="M361" s="10" t="n">
        <v>4237.29</v>
      </c>
      <c r="N361" s="11">
        <f>IF(M361="","",ROUND(M361*1.18,2))</f>
        <v/>
      </c>
      <c r="O361" s="12">
        <f>IF(M361="","",ROUND(N361-M361,2))</f>
        <v/>
      </c>
      <c r="P361" s="13">
        <f>IF(AND(A361&lt;&gt;"",B361&lt;&gt;""), A361&amp;" · "&amp;B361, "")</f>
        <v/>
      </c>
    </row>
    <row r="362">
      <c r="A362" s="6" t="inlineStr">
        <is>
          <t>FY26</t>
        </is>
      </c>
      <c r="B362" s="6" t="inlineStr">
        <is>
          <t>Jan</t>
        </is>
      </c>
      <c r="C362" s="6" t="inlineStr">
        <is>
          <t>TN</t>
        </is>
      </c>
      <c r="D362" s="7" t="inlineStr">
        <is>
          <t>TN41AQ1431</t>
        </is>
      </c>
      <c r="E362" s="7" t="inlineStr">
        <is>
          <t>MARUTI SUZUKI</t>
        </is>
      </c>
      <c r="F362" s="7" t="inlineStr">
        <is>
          <t>Wagon R</t>
        </is>
      </c>
      <c r="G362" s="7" t="inlineStr">
        <is>
          <t>SAI CARS CBE</t>
        </is>
      </c>
      <c r="H362" s="7" t="inlineStr">
        <is>
          <t>Non-Captive</t>
        </is>
      </c>
      <c r="I362" s="7" t="inlineStr">
        <is>
          <t>GOWTHAM CARS</t>
        </is>
      </c>
      <c r="J362" s="8" t="n">
        <v>2016</v>
      </c>
      <c r="K362" s="9" t="n">
        <v>33598</v>
      </c>
      <c r="L362" s="10" t="n">
        <v>220000</v>
      </c>
      <c r="M362" s="10" t="n">
        <v>4237.29</v>
      </c>
      <c r="N362" s="11">
        <f>IF(M362="","",ROUND(M362*1.18,2))</f>
        <v/>
      </c>
      <c r="O362" s="12">
        <f>IF(M362="","",ROUND(N362-M362,2))</f>
        <v/>
      </c>
      <c r="P362" s="13">
        <f>IF(AND(A362&lt;&gt;"",B362&lt;&gt;""), A362&amp;" · "&amp;B362, "")</f>
        <v/>
      </c>
    </row>
    <row r="363">
      <c r="A363" s="6" t="inlineStr">
        <is>
          <t>FY26</t>
        </is>
      </c>
      <c r="B363" s="6" t="inlineStr">
        <is>
          <t>Jan</t>
        </is>
      </c>
      <c r="C363" s="6" t="inlineStr">
        <is>
          <t>TN</t>
        </is>
      </c>
      <c r="D363" s="7" t="inlineStr">
        <is>
          <t>TN45AT5145</t>
        </is>
      </c>
      <c r="E363" s="7" t="inlineStr">
        <is>
          <t>VOLKSWAGEN</t>
        </is>
      </c>
      <c r="F363" s="7" t="inlineStr">
        <is>
          <t>Polo</t>
        </is>
      </c>
      <c r="G363" s="7" t="inlineStr">
        <is>
          <t>JAIKRISHNAA AUTOSALES PRIVATE LIMITED</t>
        </is>
      </c>
      <c r="H363" s="7" t="inlineStr">
        <is>
          <t>Non-Captive</t>
        </is>
      </c>
      <c r="I363" s="7" t="inlineStr">
        <is>
          <t>M.S.V CAR PAINTING WORKS</t>
        </is>
      </c>
      <c r="J363" s="8" t="n">
        <v>2011</v>
      </c>
      <c r="K363" s="9" t="n">
        <v>66375</v>
      </c>
      <c r="L363" s="10" t="n">
        <v>190000</v>
      </c>
      <c r="M363" s="10" t="n">
        <v>4237.29</v>
      </c>
      <c r="N363" s="11">
        <f>IF(M363="","",ROUND(M363*1.18,2))</f>
        <v/>
      </c>
      <c r="O363" s="12">
        <f>IF(M363="","",ROUND(N363-M363,2))</f>
        <v/>
      </c>
      <c r="P363" s="13">
        <f>IF(AND(A363&lt;&gt;"",B363&lt;&gt;""), A363&amp;" · "&amp;B363, "")</f>
        <v/>
      </c>
    </row>
    <row r="364">
      <c r="A364" s="6" t="inlineStr">
        <is>
          <t>FY26</t>
        </is>
      </c>
      <c r="B364" s="6" t="inlineStr">
        <is>
          <t>Jan</t>
        </is>
      </c>
      <c r="C364" s="6" t="inlineStr">
        <is>
          <t>TN</t>
        </is>
      </c>
      <c r="D364" s="7" t="inlineStr">
        <is>
          <t>TN47AD6273</t>
        </is>
      </c>
      <c r="E364" s="7" t="inlineStr">
        <is>
          <t>HYUNDAI</t>
        </is>
      </c>
      <c r="F364" s="7" t="inlineStr">
        <is>
          <t>i20</t>
        </is>
      </c>
      <c r="G364" s="7" t="inlineStr">
        <is>
          <t>EXCHANGE ROTN</t>
        </is>
      </c>
      <c r="H364" s="7" t="inlineStr">
        <is>
          <t>Captive</t>
        </is>
      </c>
      <c r="I364" s="7" t="inlineStr">
        <is>
          <t>Sai Cars</t>
        </is>
      </c>
      <c r="J364" s="8" t="n">
        <v>2013</v>
      </c>
      <c r="K364" s="9" t="n">
        <v>173495</v>
      </c>
      <c r="L364" s="10" t="n">
        <v>250000</v>
      </c>
      <c r="M364" s="10" t="n">
        <v>4237.29</v>
      </c>
      <c r="N364" s="11">
        <f>IF(M364="","",ROUND(M364*1.18,2))</f>
        <v/>
      </c>
      <c r="O364" s="12">
        <f>IF(M364="","",ROUND(N364-M364,2))</f>
        <v/>
      </c>
      <c r="P364" s="13">
        <f>IF(AND(A364&lt;&gt;"",B364&lt;&gt;""), A364&amp;" · "&amp;B364, "")</f>
        <v/>
      </c>
    </row>
    <row r="365">
      <c r="A365" s="6" t="inlineStr">
        <is>
          <t>FY26</t>
        </is>
      </c>
      <c r="B365" s="6" t="inlineStr">
        <is>
          <t>Jan</t>
        </is>
      </c>
      <c r="C365" s="6" t="inlineStr">
        <is>
          <t>TN</t>
        </is>
      </c>
      <c r="D365" s="7" t="inlineStr">
        <is>
          <t>TN49BA3864</t>
        </is>
      </c>
      <c r="E365" s="7" t="inlineStr">
        <is>
          <t>HYUNDAI</t>
        </is>
      </c>
      <c r="F365" s="7" t="inlineStr">
        <is>
          <t>Grand i10</t>
        </is>
      </c>
      <c r="G365" s="7" t="inlineStr">
        <is>
          <t>EXCHANGE ROTN</t>
        </is>
      </c>
      <c r="H365" s="7" t="inlineStr">
        <is>
          <t>Captive</t>
        </is>
      </c>
      <c r="I365" s="7" t="inlineStr">
        <is>
          <t>Sai Cars</t>
        </is>
      </c>
      <c r="J365" s="8" t="n">
        <v>2014</v>
      </c>
      <c r="K365" s="9" t="n">
        <v>79642</v>
      </c>
      <c r="L365" s="10" t="n">
        <v>250000</v>
      </c>
      <c r="M365" s="10" t="n">
        <v>6779.66</v>
      </c>
      <c r="N365" s="11">
        <f>IF(M365="","",ROUND(M365*1.18,2))</f>
        <v/>
      </c>
      <c r="O365" s="12">
        <f>IF(M365="","",ROUND(N365-M365,2))</f>
        <v/>
      </c>
      <c r="P365" s="13">
        <f>IF(AND(A365&lt;&gt;"",B365&lt;&gt;""), A365&amp;" · "&amp;B365, "")</f>
        <v/>
      </c>
    </row>
    <row r="366">
      <c r="A366" s="6" t="inlineStr">
        <is>
          <t>FY26</t>
        </is>
      </c>
      <c r="B366" s="6" t="inlineStr">
        <is>
          <t>Jan</t>
        </is>
      </c>
      <c r="C366" s="6" t="inlineStr">
        <is>
          <t>TN</t>
        </is>
      </c>
      <c r="D366" s="7" t="inlineStr">
        <is>
          <t>TN49BH2248</t>
        </is>
      </c>
      <c r="E366" s="7" t="inlineStr">
        <is>
          <t>TATA</t>
        </is>
      </c>
      <c r="F366" s="7" t="inlineStr">
        <is>
          <t>Tiago</t>
        </is>
      </c>
      <c r="G366" s="7" t="inlineStr">
        <is>
          <t>JAIKRISHNAA AUTOSALES PRIVATE LIMITED</t>
        </is>
      </c>
      <c r="H366" s="7" t="inlineStr">
        <is>
          <t>Non-Captive</t>
        </is>
      </c>
      <c r="I366" s="7" t="inlineStr">
        <is>
          <t>MADHURA CARS</t>
        </is>
      </c>
      <c r="J366" s="8" t="n">
        <v>2014</v>
      </c>
      <c r="K366" s="9" t="n">
        <v>75000</v>
      </c>
      <c r="L366" s="10" t="n">
        <v>180000</v>
      </c>
      <c r="M366" s="10" t="n">
        <v>4237.29</v>
      </c>
      <c r="N366" s="11">
        <f>IF(M366="","",ROUND(M366*1.18,2))</f>
        <v/>
      </c>
      <c r="O366" s="12">
        <f>IF(M366="","",ROUND(N366-M366,2))</f>
        <v/>
      </c>
      <c r="P366" s="13">
        <f>IF(AND(A366&lt;&gt;"",B366&lt;&gt;""), A366&amp;" · "&amp;B366, "")</f>
        <v/>
      </c>
    </row>
    <row r="367">
      <c r="A367" s="6" t="inlineStr">
        <is>
          <t>FY26</t>
        </is>
      </c>
      <c r="B367" s="6" t="inlineStr">
        <is>
          <t>Jan</t>
        </is>
      </c>
      <c r="C367" s="6" t="inlineStr">
        <is>
          <t>TN</t>
        </is>
      </c>
      <c r="D367" s="7" t="inlineStr">
        <is>
          <t>TN49CB9829</t>
        </is>
      </c>
      <c r="E367" s="7" t="inlineStr">
        <is>
          <t>MARUTI SUZUKI</t>
        </is>
      </c>
      <c r="F367" s="7" t="inlineStr">
        <is>
          <t>Ertiga</t>
        </is>
      </c>
      <c r="G367" s="7" t="inlineStr">
        <is>
          <t>KHIVRAJ MOTOR</t>
        </is>
      </c>
      <c r="H367" s="7" t="inlineStr">
        <is>
          <t>Non-Captive</t>
        </is>
      </c>
      <c r="I367" s="7" t="inlineStr">
        <is>
          <t>Thiya Cars</t>
        </is>
      </c>
      <c r="J367" s="8" t="n">
        <v>2020</v>
      </c>
      <c r="K367" s="9" t="n">
        <v>51803</v>
      </c>
      <c r="L367" s="10" t="n">
        <v>700000</v>
      </c>
      <c r="M367" s="10" t="n">
        <v>8474.58</v>
      </c>
      <c r="N367" s="11">
        <f>IF(M367="","",ROUND(M367*1.18,2))</f>
        <v/>
      </c>
      <c r="O367" s="12">
        <f>IF(M367="","",ROUND(N367-M367,2))</f>
        <v/>
      </c>
      <c r="P367" s="13">
        <f>IF(AND(A367&lt;&gt;"",B367&lt;&gt;""), A367&amp;" · "&amp;B367, "")</f>
        <v/>
      </c>
    </row>
    <row r="368">
      <c r="A368" s="6" t="inlineStr">
        <is>
          <t>FY26</t>
        </is>
      </c>
      <c r="B368" s="6" t="inlineStr">
        <is>
          <t>Jan</t>
        </is>
      </c>
      <c r="C368" s="6" t="inlineStr">
        <is>
          <t>TN</t>
        </is>
      </c>
      <c r="D368" s="7" t="inlineStr">
        <is>
          <t>TN58AL1408</t>
        </is>
      </c>
      <c r="E368" s="7" t="inlineStr">
        <is>
          <t>MARUTI SUZUKI</t>
        </is>
      </c>
      <c r="F368" s="7" t="inlineStr">
        <is>
          <t>Ciaz</t>
        </is>
      </c>
      <c r="G368" s="7" t="inlineStr">
        <is>
          <t>EXCHANGE ROTN</t>
        </is>
      </c>
      <c r="H368" s="7" t="inlineStr">
        <is>
          <t>Captive</t>
        </is>
      </c>
      <c r="I368" s="7" t="inlineStr">
        <is>
          <t>GOWTHAM CARS</t>
        </is>
      </c>
      <c r="J368" s="8" t="n">
        <v>2016</v>
      </c>
      <c r="K368" s="9" t="n">
        <v>112291</v>
      </c>
      <c r="L368" s="10" t="n">
        <v>375000</v>
      </c>
      <c r="M368" s="10" t="n">
        <v>8474.58</v>
      </c>
      <c r="N368" s="11">
        <f>IF(M368="","",ROUND(M368*1.18,2))</f>
        <v/>
      </c>
      <c r="O368" s="12">
        <f>IF(M368="","",ROUND(N368-M368,2))</f>
        <v/>
      </c>
      <c r="P368" s="13">
        <f>IF(AND(A368&lt;&gt;"",B368&lt;&gt;""), A368&amp;" · "&amp;B368, "")</f>
        <v/>
      </c>
    </row>
    <row r="369">
      <c r="A369" s="6" t="inlineStr">
        <is>
          <t>FY26</t>
        </is>
      </c>
      <c r="B369" s="6" t="inlineStr">
        <is>
          <t>Jan</t>
        </is>
      </c>
      <c r="C369" s="6" t="inlineStr">
        <is>
          <t>TN</t>
        </is>
      </c>
      <c r="D369" s="7" t="inlineStr">
        <is>
          <t>TN58AU4124</t>
        </is>
      </c>
      <c r="E369" s="7" t="inlineStr">
        <is>
          <t>TATA</t>
        </is>
      </c>
      <c r="F369" s="7" t="inlineStr">
        <is>
          <t>Tiago</t>
        </is>
      </c>
      <c r="G369" s="7" t="inlineStr">
        <is>
          <t>EXCHANGE ROTN</t>
        </is>
      </c>
      <c r="H369" s="7" t="inlineStr">
        <is>
          <t>Captive</t>
        </is>
      </c>
      <c r="I369" s="7" t="inlineStr">
        <is>
          <t>Dheera Cars</t>
        </is>
      </c>
      <c r="J369" s="8" t="n">
        <v>2017</v>
      </c>
      <c r="K369" s="9" t="n">
        <v>92823</v>
      </c>
      <c r="L369" s="10" t="n">
        <v>285000</v>
      </c>
      <c r="M369" s="10" t="n">
        <v>12711.86</v>
      </c>
      <c r="N369" s="11">
        <f>IF(M369="","",ROUND(M369*1.18,2))</f>
        <v/>
      </c>
      <c r="O369" s="12">
        <f>IF(M369="","",ROUND(N369-M369,2))</f>
        <v/>
      </c>
      <c r="P369" s="13">
        <f>IF(AND(A369&lt;&gt;"",B369&lt;&gt;""), A369&amp;" · "&amp;B369, "")</f>
        <v/>
      </c>
    </row>
    <row r="370">
      <c r="A370" s="6" t="inlineStr">
        <is>
          <t>FY26</t>
        </is>
      </c>
      <c r="B370" s="6" t="inlineStr">
        <is>
          <t>Jan</t>
        </is>
      </c>
      <c r="C370" s="6" t="inlineStr">
        <is>
          <t>TN</t>
        </is>
      </c>
      <c r="D370" s="7" t="inlineStr">
        <is>
          <t>TN59BB7987</t>
        </is>
      </c>
      <c r="E370" s="7" t="inlineStr">
        <is>
          <t>HONDA</t>
        </is>
      </c>
      <c r="F370" s="7" t="inlineStr">
        <is>
          <t>Amaze</t>
        </is>
      </c>
      <c r="G370" s="7" t="inlineStr">
        <is>
          <t>EXCHANGE ROTN</t>
        </is>
      </c>
      <c r="H370" s="7" t="inlineStr">
        <is>
          <t>Captive</t>
        </is>
      </c>
      <c r="I370" s="7" t="inlineStr">
        <is>
          <t>Sai Cars</t>
        </is>
      </c>
      <c r="J370" s="8" t="n">
        <v>2013</v>
      </c>
      <c r="K370" s="9" t="n">
        <v>30552</v>
      </c>
      <c r="L370" s="10" t="n">
        <v>275000</v>
      </c>
      <c r="M370" s="10" t="n">
        <v>6779.66</v>
      </c>
      <c r="N370" s="11">
        <f>IF(M370="","",ROUND(M370*1.18,2))</f>
        <v/>
      </c>
      <c r="O370" s="12">
        <f>IF(M370="","",ROUND(N370-M370,2))</f>
        <v/>
      </c>
      <c r="P370" s="13">
        <f>IF(AND(A370&lt;&gt;"",B370&lt;&gt;""), A370&amp;" · "&amp;B370, "")</f>
        <v/>
      </c>
    </row>
    <row r="371">
      <c r="A371" s="6" t="inlineStr">
        <is>
          <t>FY26</t>
        </is>
      </c>
      <c r="B371" s="6" t="inlineStr">
        <is>
          <t>Jan</t>
        </is>
      </c>
      <c r="C371" s="6" t="inlineStr">
        <is>
          <t>TN</t>
        </is>
      </c>
      <c r="D371" s="7" t="inlineStr">
        <is>
          <t>TN59BH8394</t>
        </is>
      </c>
      <c r="E371" s="7" t="inlineStr">
        <is>
          <t>MARUTI SUZUKI</t>
        </is>
      </c>
      <c r="F371" s="7" t="inlineStr">
        <is>
          <t>Ciaz</t>
        </is>
      </c>
      <c r="G371" s="7" t="inlineStr">
        <is>
          <t>EXCHANGE ROTN</t>
        </is>
      </c>
      <c r="H371" s="7" t="inlineStr">
        <is>
          <t>Captive</t>
        </is>
      </c>
      <c r="I371" s="7" t="inlineStr">
        <is>
          <t>SELVA MOTORS</t>
        </is>
      </c>
      <c r="J371" s="8" t="n">
        <v>2015</v>
      </c>
      <c r="K371" s="9" t="n">
        <v>110535</v>
      </c>
      <c r="L371" s="10" t="n">
        <v>370000</v>
      </c>
      <c r="M371" s="10" t="n">
        <v>12711.86</v>
      </c>
      <c r="N371" s="11">
        <f>IF(M371="","",ROUND(M371*1.18,2))</f>
        <v/>
      </c>
      <c r="O371" s="12">
        <f>IF(M371="","",ROUND(N371-M371,2))</f>
        <v/>
      </c>
      <c r="P371" s="13">
        <f>IF(AND(A371&lt;&gt;"",B371&lt;&gt;""), A371&amp;" · "&amp;B371, "")</f>
        <v/>
      </c>
    </row>
    <row r="372">
      <c r="A372" s="6" t="inlineStr">
        <is>
          <t>FY26</t>
        </is>
      </c>
      <c r="B372" s="6" t="inlineStr">
        <is>
          <t>Jan</t>
        </is>
      </c>
      <c r="C372" s="6" t="inlineStr">
        <is>
          <t>TN</t>
        </is>
      </c>
      <c r="D372" s="7" t="inlineStr">
        <is>
          <t>TN59BU8635</t>
        </is>
      </c>
      <c r="E372" s="7" t="inlineStr">
        <is>
          <t>HONDA</t>
        </is>
      </c>
      <c r="F372" s="7" t="inlineStr">
        <is>
          <t>BR-V</t>
        </is>
      </c>
      <c r="G372" s="7" t="inlineStr">
        <is>
          <t>EXCHANGE ROTN</t>
        </is>
      </c>
      <c r="H372" s="7" t="inlineStr">
        <is>
          <t>Captive</t>
        </is>
      </c>
      <c r="I372" s="7" t="inlineStr">
        <is>
          <t>Dheera Cars</t>
        </is>
      </c>
      <c r="J372" s="8" t="n">
        <v>2016</v>
      </c>
      <c r="K372" s="9" t="n">
        <v>79692</v>
      </c>
      <c r="L372" s="10" t="n">
        <v>545000</v>
      </c>
      <c r="M372" s="10" t="n">
        <v>12711.86</v>
      </c>
      <c r="N372" s="11">
        <f>IF(M372="","",ROUND(M372*1.18,2))</f>
        <v/>
      </c>
      <c r="O372" s="12">
        <f>IF(M372="","",ROUND(N372-M372,2))</f>
        <v/>
      </c>
      <c r="P372" s="13">
        <f>IF(AND(A372&lt;&gt;"",B372&lt;&gt;""), A372&amp;" · "&amp;B372, "")</f>
        <v/>
      </c>
    </row>
    <row r="373">
      <c r="A373" s="6" t="inlineStr">
        <is>
          <t>FY26</t>
        </is>
      </c>
      <c r="B373" s="6" t="inlineStr">
        <is>
          <t>Jan</t>
        </is>
      </c>
      <c r="C373" s="6" t="inlineStr">
        <is>
          <t>TN</t>
        </is>
      </c>
      <c r="D373" s="7" t="inlineStr">
        <is>
          <t>TN60AB5422</t>
        </is>
      </c>
      <c r="E373" s="7" t="inlineStr">
        <is>
          <t>HONDA</t>
        </is>
      </c>
      <c r="F373" s="7" t="inlineStr">
        <is>
          <t>BR-V</t>
        </is>
      </c>
      <c r="G373" s="7" t="inlineStr">
        <is>
          <t>EXCHANGE ROTN</t>
        </is>
      </c>
      <c r="H373" s="7" t="inlineStr">
        <is>
          <t>Captive</t>
        </is>
      </c>
      <c r="I373" s="7" t="inlineStr">
        <is>
          <t>SELVA MOTORS</t>
        </is>
      </c>
      <c r="J373" s="8" t="n">
        <v>2016</v>
      </c>
      <c r="K373" s="9" t="n">
        <v>211641</v>
      </c>
      <c r="L373" s="10" t="n">
        <v>300000</v>
      </c>
      <c r="M373" s="10" t="n">
        <v>8474.58</v>
      </c>
      <c r="N373" s="11">
        <f>IF(M373="","",ROUND(M373*1.18,2))</f>
        <v/>
      </c>
      <c r="O373" s="12">
        <f>IF(M373="","",ROUND(N373-M373,2))</f>
        <v/>
      </c>
      <c r="P373" s="13">
        <f>IF(AND(A373&lt;&gt;"",B373&lt;&gt;""), A373&amp;" · "&amp;B373, "")</f>
        <v/>
      </c>
    </row>
    <row r="374">
      <c r="A374" s="6" t="inlineStr">
        <is>
          <t>FY26</t>
        </is>
      </c>
      <c r="B374" s="6" t="inlineStr">
        <is>
          <t>Jan</t>
        </is>
      </c>
      <c r="C374" s="6" t="inlineStr">
        <is>
          <t>TN</t>
        </is>
      </c>
      <c r="D374" s="7" t="inlineStr">
        <is>
          <t>TN60J9777</t>
        </is>
      </c>
      <c r="E374" s="7" t="inlineStr">
        <is>
          <t>NISSAN</t>
        </is>
      </c>
      <c r="F374" s="7" t="inlineStr">
        <is>
          <t>Sunny</t>
        </is>
      </c>
      <c r="G374" s="7" t="inlineStr">
        <is>
          <t>SAI CARS CBE</t>
        </is>
      </c>
      <c r="H374" s="7" t="inlineStr">
        <is>
          <t>Non-Captive</t>
        </is>
      </c>
      <c r="I374" s="7" t="inlineStr">
        <is>
          <t>GOWTHAM CARS</t>
        </is>
      </c>
      <c r="J374" s="8" t="n">
        <v>2012</v>
      </c>
      <c r="K374" s="9" t="n">
        <v>28596</v>
      </c>
      <c r="L374" s="10" t="n">
        <v>175000</v>
      </c>
      <c r="M374" s="10" t="n">
        <v>4237.29</v>
      </c>
      <c r="N374" s="11">
        <f>IF(M374="","",ROUND(M374*1.18,2))</f>
        <v/>
      </c>
      <c r="O374" s="12">
        <f>IF(M374="","",ROUND(N374-M374,2))</f>
        <v/>
      </c>
      <c r="P374" s="13">
        <f>IF(AND(A374&lt;&gt;"",B374&lt;&gt;""), A374&amp;" · "&amp;B374, "")</f>
        <v/>
      </c>
    </row>
    <row r="375">
      <c r="A375" s="6" t="inlineStr">
        <is>
          <t>FY26</t>
        </is>
      </c>
      <c r="B375" s="6" t="inlineStr">
        <is>
          <t>Jan</t>
        </is>
      </c>
      <c r="C375" s="6" t="inlineStr">
        <is>
          <t>TN</t>
        </is>
      </c>
      <c r="D375" s="7" t="inlineStr">
        <is>
          <t>TN66F5336</t>
        </is>
      </c>
      <c r="E375" s="7" t="inlineStr">
        <is>
          <t>MARUTI SUZUKI</t>
        </is>
      </c>
      <c r="F375" s="7" t="inlineStr">
        <is>
          <t>SX4</t>
        </is>
      </c>
      <c r="G375" s="7" t="inlineStr">
        <is>
          <t>NIRMAL</t>
        </is>
      </c>
      <c r="H375" s="7" t="inlineStr">
        <is>
          <t>Non-Captive</t>
        </is>
      </c>
      <c r="I375" s="7" t="inlineStr">
        <is>
          <t>Liyakath Ali</t>
        </is>
      </c>
      <c r="J375" s="8" t="n">
        <v>2013</v>
      </c>
      <c r="K375" s="9" t="n">
        <v>87980</v>
      </c>
      <c r="L375" s="10" t="n">
        <v>130000</v>
      </c>
      <c r="M375" s="10" t="n">
        <v>4237.29</v>
      </c>
      <c r="N375" s="11">
        <f>IF(M375="","",ROUND(M375*1.18,2))</f>
        <v/>
      </c>
      <c r="O375" s="12">
        <f>IF(M375="","",ROUND(N375-M375,2))</f>
        <v/>
      </c>
      <c r="P375" s="13">
        <f>IF(AND(A375&lt;&gt;"",B375&lt;&gt;""), A375&amp;" · "&amp;B375, "")</f>
        <v/>
      </c>
    </row>
    <row r="376">
      <c r="A376" s="6" t="inlineStr">
        <is>
          <t>FY26</t>
        </is>
      </c>
      <c r="B376" s="6" t="inlineStr">
        <is>
          <t>Jan</t>
        </is>
      </c>
      <c r="C376" s="6" t="inlineStr">
        <is>
          <t>TN</t>
        </is>
      </c>
      <c r="D376" s="7" t="inlineStr">
        <is>
          <t>TN66P3373</t>
        </is>
      </c>
      <c r="E376" s="7" t="inlineStr">
        <is>
          <t>MARUTI SUZUKI</t>
        </is>
      </c>
      <c r="F376" s="7" t="inlineStr">
        <is>
          <t>Wagon R</t>
        </is>
      </c>
      <c r="G376" s="7" t="inlineStr">
        <is>
          <t>JAIKRISHNAA AUTOSALES PRIVATE LIMITED</t>
        </is>
      </c>
      <c r="H376" s="7" t="inlineStr">
        <is>
          <t>Non-Captive</t>
        </is>
      </c>
      <c r="I376" s="7" t="inlineStr">
        <is>
          <t>PURUSOTHAMAN J CARS</t>
        </is>
      </c>
      <c r="J376" s="8" t="n">
        <v>2015</v>
      </c>
      <c r="K376" s="9" t="n">
        <v>45555</v>
      </c>
      <c r="L376" s="10" t="n">
        <v>190000</v>
      </c>
      <c r="M376" s="10" t="n">
        <v>4237.29</v>
      </c>
      <c r="N376" s="11">
        <f>IF(M376="","",ROUND(M376*1.18,2))</f>
        <v/>
      </c>
      <c r="O376" s="12">
        <f>IF(M376="","",ROUND(N376-M376,2))</f>
        <v/>
      </c>
      <c r="P376" s="13">
        <f>IF(AND(A376&lt;&gt;"",B376&lt;&gt;""), A376&amp;" · "&amp;B376, "")</f>
        <v/>
      </c>
    </row>
    <row r="377">
      <c r="A377" s="6" t="inlineStr">
        <is>
          <t>FY26</t>
        </is>
      </c>
      <c r="B377" s="6" t="inlineStr">
        <is>
          <t>Jan</t>
        </is>
      </c>
      <c r="C377" s="6" t="inlineStr">
        <is>
          <t>TN</t>
        </is>
      </c>
      <c r="D377" s="7" t="inlineStr">
        <is>
          <t>TN66R4773</t>
        </is>
      </c>
      <c r="E377" s="7" t="inlineStr">
        <is>
          <t>HONDA</t>
        </is>
      </c>
      <c r="F377" s="7" t="inlineStr">
        <is>
          <t>City</t>
        </is>
      </c>
      <c r="G377" s="7" t="inlineStr">
        <is>
          <t>EXCHANGE ROTN</t>
        </is>
      </c>
      <c r="H377" s="7" t="inlineStr">
        <is>
          <t>Captive</t>
        </is>
      </c>
      <c r="I377" s="7" t="inlineStr">
        <is>
          <t>Sai Cars</t>
        </is>
      </c>
      <c r="J377" s="8" t="n">
        <v>2015</v>
      </c>
      <c r="K377" s="9" t="n">
        <v>87520</v>
      </c>
      <c r="L377" s="10" t="n">
        <v>420000</v>
      </c>
      <c r="M377" s="10" t="n">
        <v>16949.15</v>
      </c>
      <c r="N377" s="11">
        <f>IF(M377="","",ROUND(M377*1.18,2))</f>
        <v/>
      </c>
      <c r="O377" s="12">
        <f>IF(M377="","",ROUND(N377-M377,2))</f>
        <v/>
      </c>
      <c r="P377" s="13">
        <f>IF(AND(A377&lt;&gt;"",B377&lt;&gt;""), A377&amp;" · "&amp;B377, "")</f>
        <v/>
      </c>
    </row>
    <row r="378">
      <c r="A378" s="6" t="inlineStr">
        <is>
          <t>FY26</t>
        </is>
      </c>
      <c r="B378" s="6" t="inlineStr">
        <is>
          <t>Jan</t>
        </is>
      </c>
      <c r="C378" s="6" t="inlineStr">
        <is>
          <t>TN</t>
        </is>
      </c>
      <c r="D378" s="7" t="inlineStr">
        <is>
          <t>TN69AM0085</t>
        </is>
      </c>
      <c r="E378" s="7" t="inlineStr">
        <is>
          <t>HONDA</t>
        </is>
      </c>
      <c r="F378" s="7" t="inlineStr">
        <is>
          <t>Brio</t>
        </is>
      </c>
      <c r="G378" s="7" t="inlineStr">
        <is>
          <t>EXCHANGE ROTN</t>
        </is>
      </c>
      <c r="H378" s="7" t="inlineStr">
        <is>
          <t>Captive</t>
        </is>
      </c>
      <c r="I378" s="7" t="inlineStr">
        <is>
          <t>Dheera Cars</t>
        </is>
      </c>
      <c r="J378" s="8" t="n">
        <v>2014</v>
      </c>
      <c r="K378" s="9" t="n">
        <v>72627</v>
      </c>
      <c r="L378" s="10" t="n">
        <v>240000</v>
      </c>
      <c r="M378" s="10" t="n">
        <v>8474.58</v>
      </c>
      <c r="N378" s="11">
        <f>IF(M378="","",ROUND(M378*1.18,2))</f>
        <v/>
      </c>
      <c r="O378" s="12">
        <f>IF(M378="","",ROUND(N378-M378,2))</f>
        <v/>
      </c>
      <c r="P378" s="13">
        <f>IF(AND(A378&lt;&gt;"",B378&lt;&gt;""), A378&amp;" · "&amp;B378, "")</f>
        <v/>
      </c>
    </row>
    <row r="379">
      <c r="A379" s="6" t="inlineStr">
        <is>
          <t>FY26</t>
        </is>
      </c>
      <c r="B379" s="6" t="inlineStr">
        <is>
          <t>Jan</t>
        </is>
      </c>
      <c r="C379" s="6" t="inlineStr">
        <is>
          <t>TN</t>
        </is>
      </c>
      <c r="D379" s="7" t="inlineStr">
        <is>
          <t>TN69BQ6541</t>
        </is>
      </c>
      <c r="E379" s="7" t="inlineStr">
        <is>
          <t>MARUTI SUZUKI</t>
        </is>
      </c>
      <c r="F379" s="7" t="inlineStr">
        <is>
          <t>Wagon R</t>
        </is>
      </c>
      <c r="G379" s="7" t="inlineStr">
        <is>
          <t>JAIKRISHNAA AUTOSALES PRIVATE LIMITED</t>
        </is>
      </c>
      <c r="H379" s="7" t="inlineStr">
        <is>
          <t>Non-Captive</t>
        </is>
      </c>
      <c r="I379" s="7" t="inlineStr">
        <is>
          <t>PURUSOTHAMAN J CARS</t>
        </is>
      </c>
      <c r="J379" s="8" t="n">
        <v>2022</v>
      </c>
      <c r="K379" s="9" t="n">
        <v>19411</v>
      </c>
      <c r="L379" s="10" t="n">
        <v>230000</v>
      </c>
      <c r="M379" s="10" t="n">
        <v>4237.29</v>
      </c>
      <c r="N379" s="11">
        <f>IF(M379="","",ROUND(M379*1.18,2))</f>
        <v/>
      </c>
      <c r="O379" s="12">
        <f>IF(M379="","",ROUND(N379-M379,2))</f>
        <v/>
      </c>
      <c r="P379" s="13">
        <f>IF(AND(A379&lt;&gt;"",B379&lt;&gt;""), A379&amp;" · "&amp;B379, "")</f>
        <v/>
      </c>
    </row>
    <row r="380">
      <c r="A380" s="6" t="inlineStr">
        <is>
          <t>FY26</t>
        </is>
      </c>
      <c r="B380" s="6" t="inlineStr">
        <is>
          <t>Jan</t>
        </is>
      </c>
      <c r="C380" s="6" t="inlineStr">
        <is>
          <t>TN</t>
        </is>
      </c>
      <c r="D380" s="7" t="inlineStr">
        <is>
          <t>TN72BA1515</t>
        </is>
      </c>
      <c r="E380" s="7" t="inlineStr">
        <is>
          <t>HONDA</t>
        </is>
      </c>
      <c r="F380" s="7" t="inlineStr">
        <is>
          <t>City</t>
        </is>
      </c>
      <c r="G380" s="7" t="inlineStr">
        <is>
          <t>EXCHANGE ROTN</t>
        </is>
      </c>
      <c r="H380" s="7" t="inlineStr">
        <is>
          <t>Captive</t>
        </is>
      </c>
      <c r="I380" s="7" t="inlineStr">
        <is>
          <t>Value Cars</t>
        </is>
      </c>
      <c r="J380" s="8" t="n">
        <v>2014</v>
      </c>
      <c r="K380" s="9" t="n">
        <v>143498</v>
      </c>
      <c r="L380" s="10" t="n">
        <v>375000</v>
      </c>
      <c r="M380" s="10" t="n">
        <v>12711.86</v>
      </c>
      <c r="N380" s="11">
        <f>IF(M380="","",ROUND(M380*1.18,2))</f>
        <v/>
      </c>
      <c r="O380" s="12">
        <f>IF(M380="","",ROUND(N380-M380,2))</f>
        <v/>
      </c>
      <c r="P380" s="13">
        <f>IF(AND(A380&lt;&gt;"",B380&lt;&gt;""), A380&amp;" · "&amp;B380, "")</f>
        <v/>
      </c>
    </row>
    <row r="381">
      <c r="A381" s="6" t="inlineStr">
        <is>
          <t>FY26</t>
        </is>
      </c>
      <c r="B381" s="6" t="inlineStr">
        <is>
          <t>Jan</t>
        </is>
      </c>
      <c r="C381" s="6" t="inlineStr">
        <is>
          <t>TN</t>
        </is>
      </c>
      <c r="D381" s="7" t="inlineStr">
        <is>
          <t>TN72L1717</t>
        </is>
      </c>
      <c r="E381" s="7" t="inlineStr">
        <is>
          <t>MARUTI SUZUKI</t>
        </is>
      </c>
      <c r="F381" s="7" t="inlineStr">
        <is>
          <t>Zen</t>
        </is>
      </c>
      <c r="G381" s="7" t="inlineStr">
        <is>
          <t>EXCHANGE ROTN</t>
        </is>
      </c>
      <c r="H381" s="7" t="inlineStr">
        <is>
          <t>Captive</t>
        </is>
      </c>
      <c r="I381" s="7" t="inlineStr">
        <is>
          <t>YUGA DHEERAN CARS</t>
        </is>
      </c>
      <c r="J381" s="8" t="n">
        <v>2004</v>
      </c>
      <c r="K381" s="9" t="n">
        <v>204648</v>
      </c>
      <c r="L381" s="10" t="n">
        <v>20000</v>
      </c>
      <c r="M381" s="10" t="n">
        <v>4237.29</v>
      </c>
      <c r="N381" s="11">
        <f>IF(M381="","",ROUND(M381*1.18,2))</f>
        <v/>
      </c>
      <c r="O381" s="12">
        <f>IF(M381="","",ROUND(N381-M381,2))</f>
        <v/>
      </c>
      <c r="P381" s="13">
        <f>IF(AND(A381&lt;&gt;"",B381&lt;&gt;""), A381&amp;" · "&amp;B381, "")</f>
        <v/>
      </c>
    </row>
    <row r="382">
      <c r="A382" s="6" t="inlineStr">
        <is>
          <t>FY26</t>
        </is>
      </c>
      <c r="B382" s="6" t="inlineStr">
        <is>
          <t>Jan</t>
        </is>
      </c>
      <c r="C382" s="6" t="inlineStr">
        <is>
          <t>TN</t>
        </is>
      </c>
      <c r="D382" s="7" t="inlineStr">
        <is>
          <t>TN73AX6348</t>
        </is>
      </c>
      <c r="E382" s="7" t="inlineStr">
        <is>
          <t>RENAULT</t>
        </is>
      </c>
      <c r="F382" s="7" t="inlineStr">
        <is>
          <t>Kwid</t>
        </is>
      </c>
      <c r="G382" s="7" t="inlineStr">
        <is>
          <t>KHIVRAJ MOTOR</t>
        </is>
      </c>
      <c r="H382" s="7" t="inlineStr">
        <is>
          <t>Non-Captive</t>
        </is>
      </c>
      <c r="I382" s="7" t="inlineStr">
        <is>
          <t>Essar Preowned Cars</t>
        </is>
      </c>
      <c r="J382" s="8" t="n">
        <v>2021</v>
      </c>
      <c r="K382" s="9" t="n">
        <v>16506</v>
      </c>
      <c r="L382" s="10" t="n">
        <v>300000</v>
      </c>
      <c r="M382" s="10" t="n">
        <v>2966.1</v>
      </c>
      <c r="N382" s="11">
        <f>IF(M382="","",ROUND(M382*1.18,2))</f>
        <v/>
      </c>
      <c r="O382" s="12">
        <f>IF(M382="","",ROUND(N382-M382,2))</f>
        <v/>
      </c>
      <c r="P382" s="13">
        <f>IF(AND(A382&lt;&gt;"",B382&lt;&gt;""), A382&amp;" · "&amp;B382, "")</f>
        <v/>
      </c>
    </row>
    <row r="383">
      <c r="A383" s="6" t="inlineStr">
        <is>
          <t>FY26</t>
        </is>
      </c>
      <c r="B383" s="6" t="inlineStr">
        <is>
          <t>Jan</t>
        </is>
      </c>
      <c r="C383" s="6" t="inlineStr">
        <is>
          <t>TN</t>
        </is>
      </c>
      <c r="D383" s="7" t="inlineStr">
        <is>
          <t>TN73AZ4311</t>
        </is>
      </c>
      <c r="E383" s="7" t="inlineStr">
        <is>
          <t>TOYOTA</t>
        </is>
      </c>
      <c r="F383" s="7" t="inlineStr">
        <is>
          <t>Etios</t>
        </is>
      </c>
      <c r="G383" s="7" t="inlineStr">
        <is>
          <t>INDUS</t>
        </is>
      </c>
      <c r="H383" s="7" t="inlineStr">
        <is>
          <t>Non-Captive</t>
        </is>
      </c>
      <c r="I383" s="7" t="inlineStr">
        <is>
          <t>AAA Cars</t>
        </is>
      </c>
      <c r="J383" s="8" t="n">
        <v>2018</v>
      </c>
      <c r="K383" s="9" t="n">
        <v>105473</v>
      </c>
      <c r="L383" s="10" t="n">
        <v>300000</v>
      </c>
      <c r="M383" s="10" t="n">
        <v>4237.29</v>
      </c>
      <c r="N383" s="11">
        <f>IF(M383="","",ROUND(M383*1.18,2))</f>
        <v/>
      </c>
      <c r="O383" s="12">
        <f>IF(M383="","",ROUND(N383-M383,2))</f>
        <v/>
      </c>
      <c r="P383" s="13">
        <f>IF(AND(A383&lt;&gt;"",B383&lt;&gt;""), A383&amp;" · "&amp;B383, "")</f>
        <v/>
      </c>
    </row>
    <row r="384">
      <c r="A384" s="6" t="inlineStr">
        <is>
          <t>FY26</t>
        </is>
      </c>
      <c r="B384" s="6" t="inlineStr">
        <is>
          <t>Jan</t>
        </is>
      </c>
      <c r="C384" s="6" t="inlineStr">
        <is>
          <t>TN</t>
        </is>
      </c>
      <c r="D384" s="7" t="inlineStr">
        <is>
          <t>TN75X9000</t>
        </is>
      </c>
      <c r="E384" s="7" t="inlineStr">
        <is>
          <t>VOLKSWAGEN</t>
        </is>
      </c>
      <c r="F384" s="7" t="inlineStr">
        <is>
          <t>Polo</t>
        </is>
      </c>
      <c r="G384" s="7" t="inlineStr">
        <is>
          <t>JAIKRISHNAA AUTOSALES PRIVATE LIMITED</t>
        </is>
      </c>
      <c r="H384" s="7" t="inlineStr">
        <is>
          <t>Non-Captive</t>
        </is>
      </c>
      <c r="I384" s="7" t="inlineStr">
        <is>
          <t>S.R.CARS</t>
        </is>
      </c>
      <c r="J384" s="8" t="n">
        <v>2016</v>
      </c>
      <c r="K384" s="9" t="n">
        <v>73917</v>
      </c>
      <c r="L384" s="10" t="n">
        <v>210000</v>
      </c>
      <c r="M384" s="10" t="n">
        <v>4237.29</v>
      </c>
      <c r="N384" s="11">
        <f>IF(M384="","",ROUND(M384*1.18,2))</f>
        <v/>
      </c>
      <c r="O384" s="12">
        <f>IF(M384="","",ROUND(N384-M384,2))</f>
        <v/>
      </c>
      <c r="P384" s="13">
        <f>IF(AND(A384&lt;&gt;"",B384&lt;&gt;""), A384&amp;" · "&amp;B384, "")</f>
        <v/>
      </c>
    </row>
    <row r="385">
      <c r="A385" s="6" t="inlineStr">
        <is>
          <t>FY26</t>
        </is>
      </c>
      <c r="B385" s="6" t="inlineStr">
        <is>
          <t>Jan</t>
        </is>
      </c>
      <c r="C385" s="6" t="inlineStr">
        <is>
          <t>TN</t>
        </is>
      </c>
      <c r="D385" s="7" t="inlineStr">
        <is>
          <t>TN83M7290</t>
        </is>
      </c>
      <c r="E385" s="7" t="inlineStr">
        <is>
          <t>MARUTI SUZUKI</t>
        </is>
      </c>
      <c r="F385" s="7" t="inlineStr">
        <is>
          <t>Celerio</t>
        </is>
      </c>
      <c r="G385" s="7" t="inlineStr">
        <is>
          <t>KHIVRAJ MOTOR</t>
        </is>
      </c>
      <c r="H385" s="7" t="inlineStr">
        <is>
          <t>Non-Captive</t>
        </is>
      </c>
      <c r="I385" s="7" t="inlineStr">
        <is>
          <t>Bhagavan Cars</t>
        </is>
      </c>
      <c r="J385" s="8" t="n">
        <v>2020</v>
      </c>
      <c r="K385" s="9" t="n">
        <v>75619</v>
      </c>
      <c r="L385" s="10" t="n">
        <v>340000</v>
      </c>
      <c r="M385" s="10" t="n">
        <v>2966.1</v>
      </c>
      <c r="N385" s="11">
        <f>IF(M385="","",ROUND(M385*1.18,2))</f>
        <v/>
      </c>
      <c r="O385" s="12">
        <f>IF(M385="","",ROUND(N385-M385,2))</f>
        <v/>
      </c>
      <c r="P385" s="13">
        <f>IF(AND(A385&lt;&gt;"",B385&lt;&gt;""), A385&amp;" · "&amp;B385, "")</f>
        <v/>
      </c>
    </row>
    <row r="386">
      <c r="A386" s="6" t="inlineStr">
        <is>
          <t>FY26</t>
        </is>
      </c>
      <c r="B386" s="6" t="inlineStr">
        <is>
          <t>Jan</t>
        </is>
      </c>
      <c r="C386" s="6" t="inlineStr">
        <is>
          <t>TN</t>
        </is>
      </c>
      <c r="D386" s="7" t="inlineStr">
        <is>
          <t>TN85P4219</t>
        </is>
      </c>
      <c r="E386" s="7" t="inlineStr">
        <is>
          <t>MARUTI SUZUKI</t>
        </is>
      </c>
      <c r="F386" s="7" t="inlineStr">
        <is>
          <t>Eeco</t>
        </is>
      </c>
      <c r="G386" s="7" t="inlineStr">
        <is>
          <t>INDUS</t>
        </is>
      </c>
      <c r="H386" s="7" t="inlineStr">
        <is>
          <t>Non-Captive</t>
        </is>
      </c>
      <c r="I386" s="7" t="inlineStr">
        <is>
          <t>AAA Cars</t>
        </is>
      </c>
      <c r="J386" s="8" t="n">
        <v>2021</v>
      </c>
      <c r="K386" s="9" t="n">
        <v>49905</v>
      </c>
      <c r="L386" s="10" t="n">
        <v>320000</v>
      </c>
      <c r="M386" s="10" t="n">
        <v>4237.29</v>
      </c>
      <c r="N386" s="11">
        <f>IF(M386="","",ROUND(M386*1.18,2))</f>
        <v/>
      </c>
      <c r="O386" s="12">
        <f>IF(M386="","",ROUND(N386-M386,2))</f>
        <v/>
      </c>
      <c r="P386" s="13">
        <f>IF(AND(A386&lt;&gt;"",B386&lt;&gt;""), A386&amp;" · "&amp;B386, "")</f>
        <v/>
      </c>
    </row>
    <row r="387">
      <c r="A387" s="6" t="inlineStr">
        <is>
          <t>FY26</t>
        </is>
      </c>
      <c r="B387" s="6" t="inlineStr">
        <is>
          <t>Jan</t>
        </is>
      </c>
      <c r="C387" s="6" t="inlineStr">
        <is>
          <t>TN</t>
        </is>
      </c>
      <c r="D387" s="7" t="inlineStr">
        <is>
          <t>TN91W8213</t>
        </is>
      </c>
      <c r="E387" s="7" t="inlineStr">
        <is>
          <t>MARUTI SUZUKI</t>
        </is>
      </c>
      <c r="F387" s="7" t="inlineStr">
        <is>
          <t>Alto</t>
        </is>
      </c>
      <c r="G387" s="7" t="inlineStr">
        <is>
          <t>SAI CARS CBE</t>
        </is>
      </c>
      <c r="H387" s="7" t="inlineStr">
        <is>
          <t>Non-Captive</t>
        </is>
      </c>
      <c r="I387" s="7" t="inlineStr">
        <is>
          <t>Dheera Cars</t>
        </is>
      </c>
      <c r="J387" s="8" t="n">
        <v>2018</v>
      </c>
      <c r="K387" s="9" t="n">
        <v>25663</v>
      </c>
      <c r="L387" s="10" t="n">
        <v>210000</v>
      </c>
      <c r="M387" s="10" t="n">
        <v>4237.29</v>
      </c>
      <c r="N387" s="11">
        <f>IF(M387="","",ROUND(M387*1.18,2))</f>
        <v/>
      </c>
      <c r="O387" s="12">
        <f>IF(M387="","",ROUND(N387-M387,2))</f>
        <v/>
      </c>
      <c r="P387" s="13">
        <f>IF(AND(A387&lt;&gt;"",B387&lt;&gt;""), A387&amp;" · "&amp;B387, "")</f>
        <v/>
      </c>
    </row>
    <row r="388">
      <c r="A388" s="6" t="inlineStr">
        <is>
          <t>FY26</t>
        </is>
      </c>
      <c r="B388" s="6" t="inlineStr">
        <is>
          <t>Jan</t>
        </is>
      </c>
      <c r="C388" s="6" t="inlineStr">
        <is>
          <t>TN</t>
        </is>
      </c>
      <c r="D388" s="7" t="inlineStr">
        <is>
          <t>TN99J7255</t>
        </is>
      </c>
      <c r="E388" s="7" t="inlineStr">
        <is>
          <t>HYUNDAI</t>
        </is>
      </c>
      <c r="F388" s="7" t="inlineStr">
        <is>
          <t>Eon</t>
        </is>
      </c>
      <c r="G388" s="7" t="inlineStr">
        <is>
          <t>JAIKRISHNAA AUTOSALES PRIVATE LIMITED</t>
        </is>
      </c>
      <c r="H388" s="7" t="inlineStr">
        <is>
          <t>Non-Captive</t>
        </is>
      </c>
      <c r="I388" s="7" t="inlineStr">
        <is>
          <t>THANGARAJ</t>
        </is>
      </c>
      <c r="J388" s="8" t="n">
        <v>2017</v>
      </c>
      <c r="K388" s="9" t="n">
        <v>20884</v>
      </c>
      <c r="L388" s="10" t="n">
        <v>165000</v>
      </c>
      <c r="M388" s="10" t="n">
        <v>4237.29</v>
      </c>
      <c r="N388" s="11">
        <f>IF(M388="","",ROUND(M388*1.18,2))</f>
        <v/>
      </c>
      <c r="O388" s="12">
        <f>IF(M388="","",ROUND(N388-M388,2))</f>
        <v/>
      </c>
      <c r="P388" s="13">
        <f>IF(AND(A388&lt;&gt;"",B388&lt;&gt;""), A388&amp;" · "&amp;B388, "")</f>
        <v/>
      </c>
    </row>
    <row r="389">
      <c r="A389" s="6" t="inlineStr">
        <is>
          <t>FY26</t>
        </is>
      </c>
      <c r="B389" s="6" t="inlineStr">
        <is>
          <t>Jan</t>
        </is>
      </c>
      <c r="C389" s="6" t="inlineStr">
        <is>
          <t>TN</t>
        </is>
      </c>
      <c r="D389" s="7" t="inlineStr">
        <is>
          <t>TN99L9672</t>
        </is>
      </c>
      <c r="E389" s="7" t="inlineStr">
        <is>
          <t>MARUTI SUZUKI</t>
        </is>
      </c>
      <c r="F389" s="7" t="inlineStr">
        <is>
          <t>Baleno</t>
        </is>
      </c>
      <c r="G389" s="7" t="inlineStr">
        <is>
          <t>EXCHANGE ROTN</t>
        </is>
      </c>
      <c r="H389" s="7" t="inlineStr">
        <is>
          <t>Captive</t>
        </is>
      </c>
      <c r="I389" s="7" t="inlineStr">
        <is>
          <t>CAP CARS</t>
        </is>
      </c>
      <c r="J389" s="8" t="n">
        <v>2018</v>
      </c>
      <c r="K389" s="9" t="n">
        <v>134933</v>
      </c>
      <c r="L389" s="10" t="n">
        <v>300000</v>
      </c>
      <c r="M389" s="10" t="n">
        <v>8474.58</v>
      </c>
      <c r="N389" s="11">
        <f>IF(M389="","",ROUND(M389*1.18,2))</f>
        <v/>
      </c>
      <c r="O389" s="12">
        <f>IF(M389="","",ROUND(N389-M389,2))</f>
        <v/>
      </c>
      <c r="P389" s="13">
        <f>IF(AND(A389&lt;&gt;"",B389&lt;&gt;""), A389&amp;" · "&amp;B389, "")</f>
        <v/>
      </c>
    </row>
    <row r="390">
      <c r="A390" s="6" t="inlineStr">
        <is>
          <t>FY26</t>
        </is>
      </c>
      <c r="B390" s="6" t="inlineStr">
        <is>
          <t>Feb</t>
        </is>
      </c>
      <c r="C390" s="6" t="inlineStr">
        <is>
          <t>AP/TS</t>
        </is>
      </c>
      <c r="D390" s="7" t="inlineStr">
        <is>
          <t>AP07AL0144</t>
        </is>
      </c>
      <c r="E390" s="7" t="inlineStr">
        <is>
          <t>MARUTI SUZUKI</t>
        </is>
      </c>
      <c r="F390" s="7" t="inlineStr">
        <is>
          <t>Swift</t>
        </is>
      </c>
      <c r="G390" s="7" t="inlineStr">
        <is>
          <t>GUTHI RAVI KRISHNA</t>
        </is>
      </c>
      <c r="H390" s="7" t="inlineStr">
        <is>
          <t>Non-Captive</t>
        </is>
      </c>
      <c r="I390" s="7" t="inlineStr">
        <is>
          <t>Vinod Kumar Murari</t>
        </is>
      </c>
      <c r="J390" s="8" t="n">
        <v>2008</v>
      </c>
      <c r="K390" s="9" t="n">
        <v>196085</v>
      </c>
      <c r="L390" s="10" t="n">
        <v>75000</v>
      </c>
      <c r="M390" s="10" t="n">
        <v>4237.29</v>
      </c>
      <c r="N390" s="11">
        <f>IF(M390="","",ROUND(M390*1.18,2))</f>
        <v/>
      </c>
      <c r="O390" s="12">
        <f>IF(M390="","",ROUND(N390-M390,2))</f>
        <v/>
      </c>
      <c r="P390" s="13">
        <f>IF(AND(A390&lt;&gt;"",B390&lt;&gt;""), A390&amp;" · "&amp;B390, "")</f>
        <v/>
      </c>
    </row>
    <row r="391">
      <c r="A391" s="6" t="inlineStr">
        <is>
          <t>FY26</t>
        </is>
      </c>
      <c r="B391" s="6" t="inlineStr">
        <is>
          <t>Feb</t>
        </is>
      </c>
      <c r="C391" s="6" t="inlineStr">
        <is>
          <t>AP/TS</t>
        </is>
      </c>
      <c r="D391" s="7" t="inlineStr">
        <is>
          <t>AP07BT4777</t>
        </is>
      </c>
      <c r="E391" s="7" t="inlineStr">
        <is>
          <t>HYUNDAI</t>
        </is>
      </c>
      <c r="F391" s="7" t="inlineStr">
        <is>
          <t>Verna</t>
        </is>
      </c>
      <c r="G391" s="7" t="inlineStr">
        <is>
          <t>EXCHANGE VIJAYAWADA</t>
        </is>
      </c>
      <c r="H391" s="7" t="inlineStr">
        <is>
          <t>Captive</t>
        </is>
      </c>
      <c r="I391" s="7" t="inlineStr">
        <is>
          <t>Mohammed Gouse Basha</t>
        </is>
      </c>
      <c r="J391" s="8" t="n">
        <v>2013</v>
      </c>
      <c r="K391" s="9" t="n">
        <v>105563</v>
      </c>
      <c r="L391" s="10" t="n">
        <v>280000</v>
      </c>
      <c r="M391" s="10" t="n">
        <v>8474.58</v>
      </c>
      <c r="N391" s="11">
        <f>IF(M391="","",ROUND(M391*1.18,2))</f>
        <v/>
      </c>
      <c r="O391" s="12">
        <f>IF(M391="","",ROUND(N391-M391,2))</f>
        <v/>
      </c>
      <c r="P391" s="13">
        <f>IF(AND(A391&lt;&gt;"",B391&lt;&gt;""), A391&amp;" · "&amp;B391, "")</f>
        <v/>
      </c>
    </row>
    <row r="392">
      <c r="A392" s="6" t="inlineStr">
        <is>
          <t>FY26</t>
        </is>
      </c>
      <c r="B392" s="6" t="inlineStr">
        <is>
          <t>Feb</t>
        </is>
      </c>
      <c r="C392" s="6" t="inlineStr">
        <is>
          <t>AP/TS</t>
        </is>
      </c>
      <c r="D392" s="7" t="inlineStr">
        <is>
          <t>AP07BV8570</t>
        </is>
      </c>
      <c r="E392" s="7" t="inlineStr">
        <is>
          <t>NISSAN</t>
        </is>
      </c>
      <c r="F392" s="7" t="inlineStr">
        <is>
          <t>Micra</t>
        </is>
      </c>
      <c r="G392" s="7" t="inlineStr">
        <is>
          <t>SESETTI MANOJ KUMAR</t>
        </is>
      </c>
      <c r="H392" s="7" t="inlineStr">
        <is>
          <t>Non-Captive</t>
        </is>
      </c>
      <c r="I392" s="7" t="inlineStr">
        <is>
          <t>Suresh Ginjupalli</t>
        </is>
      </c>
      <c r="J392" s="8" t="n">
        <v>2013</v>
      </c>
      <c r="K392" s="9" t="n">
        <v>165111</v>
      </c>
      <c r="L392" s="10" t="n">
        <v>97500</v>
      </c>
      <c r="M392" s="10" t="n">
        <v>6355.93</v>
      </c>
      <c r="N392" s="11">
        <f>IF(M392="","",ROUND(M392*1.18,2))</f>
        <v/>
      </c>
      <c r="O392" s="12">
        <f>IF(M392="","",ROUND(N392-M392,2))</f>
        <v/>
      </c>
      <c r="P392" s="13">
        <f>IF(AND(A392&lt;&gt;"",B392&lt;&gt;""), A392&amp;" · "&amp;B392, "")</f>
        <v/>
      </c>
    </row>
    <row r="393">
      <c r="A393" s="6" t="inlineStr">
        <is>
          <t>FY26</t>
        </is>
      </c>
      <c r="B393" s="6" t="inlineStr">
        <is>
          <t>Feb</t>
        </is>
      </c>
      <c r="C393" s="6" t="inlineStr">
        <is>
          <t>AP/TS</t>
        </is>
      </c>
      <c r="D393" s="7" t="inlineStr">
        <is>
          <t>AP09BU6464</t>
        </is>
      </c>
      <c r="E393" s="7" t="inlineStr">
        <is>
          <t>HYUNDAI</t>
        </is>
      </c>
      <c r="F393" s="7" t="inlineStr">
        <is>
          <t>i10</t>
        </is>
      </c>
      <c r="G393" s="7" t="inlineStr">
        <is>
          <t>EXCHANGE HYDERABAD</t>
        </is>
      </c>
      <c r="H393" s="7" t="inlineStr">
        <is>
          <t>Captive</t>
        </is>
      </c>
      <c r="I393" s="7" t="inlineStr">
        <is>
          <t>Katikala Jathin Sai</t>
        </is>
      </c>
      <c r="J393" s="8" t="n">
        <v>2009</v>
      </c>
      <c r="K393" s="9" t="n">
        <v>90908</v>
      </c>
      <c r="L393" s="10" t="n">
        <v>100000</v>
      </c>
      <c r="M393" s="10" t="n">
        <v>4237.29</v>
      </c>
      <c r="N393" s="11">
        <f>IF(M393="","",ROUND(M393*1.18,2))</f>
        <v/>
      </c>
      <c r="O393" s="12">
        <f>IF(M393="","",ROUND(N393-M393,2))</f>
        <v/>
      </c>
      <c r="P393" s="13">
        <f>IF(AND(A393&lt;&gt;"",B393&lt;&gt;""), A393&amp;" · "&amp;B393, "")</f>
        <v/>
      </c>
    </row>
    <row r="394">
      <c r="A394" s="6" t="inlineStr">
        <is>
          <t>FY26</t>
        </is>
      </c>
      <c r="B394" s="6" t="inlineStr">
        <is>
          <t>Feb</t>
        </is>
      </c>
      <c r="C394" s="6" t="inlineStr">
        <is>
          <t>AP/TS</t>
        </is>
      </c>
      <c r="D394" s="7" t="inlineStr">
        <is>
          <t>AP09CB4116</t>
        </is>
      </c>
      <c r="E394" s="7" t="inlineStr">
        <is>
          <t>VOLKSWAGEN</t>
        </is>
      </c>
      <c r="F394" s="7" t="inlineStr">
        <is>
          <t>Polo</t>
        </is>
      </c>
      <c r="G394" s="7" t="inlineStr">
        <is>
          <t>ABDUL MUGEES</t>
        </is>
      </c>
      <c r="H394" s="7" t="inlineStr">
        <is>
          <t>Non-Captive</t>
        </is>
      </c>
      <c r="I394" s="7" t="inlineStr">
        <is>
          <t>Uppari Sandeep Kumar</t>
        </is>
      </c>
      <c r="J394" s="8" t="n">
        <v>2010</v>
      </c>
      <c r="K394" s="9" t="n">
        <v>175525</v>
      </c>
      <c r="L394" s="10" t="n">
        <v>86000</v>
      </c>
      <c r="M394" s="10" t="n">
        <v>5084.75</v>
      </c>
      <c r="N394" s="11">
        <f>IF(M394="","",ROUND(M394*1.18,2))</f>
        <v/>
      </c>
      <c r="O394" s="12">
        <f>IF(M394="","",ROUND(N394-M394,2))</f>
        <v/>
      </c>
      <c r="P394" s="13">
        <f>IF(AND(A394&lt;&gt;"",B394&lt;&gt;""), A394&amp;" · "&amp;B394, "")</f>
        <v/>
      </c>
    </row>
    <row r="395">
      <c r="A395" s="6" t="inlineStr">
        <is>
          <t>FY26</t>
        </is>
      </c>
      <c r="B395" s="6" t="inlineStr">
        <is>
          <t>Feb</t>
        </is>
      </c>
      <c r="C395" s="6" t="inlineStr">
        <is>
          <t>AP/TS</t>
        </is>
      </c>
      <c r="D395" s="7" t="inlineStr">
        <is>
          <t>AP09CB9991</t>
        </is>
      </c>
      <c r="E395" s="7" t="inlineStr">
        <is>
          <t>HONDA</t>
        </is>
      </c>
      <c r="F395" s="7" t="inlineStr">
        <is>
          <t>City</t>
        </is>
      </c>
      <c r="G395" s="7" t="inlineStr">
        <is>
          <t>EXCHANGE HYDERABAD</t>
        </is>
      </c>
      <c r="H395" s="7" t="inlineStr">
        <is>
          <t>Captive</t>
        </is>
      </c>
      <c r="I395" s="7" t="inlineStr">
        <is>
          <t>Akash Akuthota</t>
        </is>
      </c>
      <c r="J395" s="8" t="n">
        <v>2010</v>
      </c>
      <c r="K395" s="9" t="n">
        <v>111996</v>
      </c>
      <c r="L395" s="10" t="n">
        <v>142000</v>
      </c>
      <c r="M395" s="10" t="n">
        <v>5932.2</v>
      </c>
      <c r="N395" s="11">
        <f>IF(M395="","",ROUND(M395*1.18,2))</f>
        <v/>
      </c>
      <c r="O395" s="12">
        <f>IF(M395="","",ROUND(N395-M395,2))</f>
        <v/>
      </c>
      <c r="P395" s="13">
        <f>IF(AND(A395&lt;&gt;"",B395&lt;&gt;""), A395&amp;" · "&amp;B395, "")</f>
        <v/>
      </c>
    </row>
    <row r="396">
      <c r="A396" s="6" t="inlineStr">
        <is>
          <t>FY26</t>
        </is>
      </c>
      <c r="B396" s="6" t="inlineStr">
        <is>
          <t>Feb</t>
        </is>
      </c>
      <c r="C396" s="6" t="inlineStr">
        <is>
          <t>AP/TS</t>
        </is>
      </c>
      <c r="D396" s="7" t="inlineStr">
        <is>
          <t>AP09CR9349</t>
        </is>
      </c>
      <c r="E396" s="7" t="inlineStr">
        <is>
          <t>FORD</t>
        </is>
      </c>
      <c r="F396" s="7" t="inlineStr">
        <is>
          <t>Figo</t>
        </is>
      </c>
      <c r="G396" s="7" t="inlineStr">
        <is>
          <t>PUNEET GUPTA</t>
        </is>
      </c>
      <c r="H396" s="7" t="inlineStr">
        <is>
          <t>Non-Captive</t>
        </is>
      </c>
      <c r="I396" s="7" t="inlineStr">
        <is>
          <t>Akash Akuthota</t>
        </is>
      </c>
      <c r="J396" s="8" t="n">
        <v>2013</v>
      </c>
      <c r="K396" s="9" t="n">
        <v>164588</v>
      </c>
      <c r="L396" s="10" t="n">
        <v>130000</v>
      </c>
      <c r="M396" s="10" t="n">
        <v>4237.29</v>
      </c>
      <c r="N396" s="11">
        <f>IF(M396="","",ROUND(M396*1.18,2))</f>
        <v/>
      </c>
      <c r="O396" s="12">
        <f>IF(M396="","",ROUND(N396-M396,2))</f>
        <v/>
      </c>
      <c r="P396" s="13">
        <f>IF(AND(A396&lt;&gt;"",B396&lt;&gt;""), A396&amp;" · "&amp;B396, "")</f>
        <v/>
      </c>
    </row>
    <row r="397">
      <c r="A397" s="6" t="inlineStr">
        <is>
          <t>FY26</t>
        </is>
      </c>
      <c r="B397" s="6" t="inlineStr">
        <is>
          <t>Feb</t>
        </is>
      </c>
      <c r="C397" s="6" t="inlineStr">
        <is>
          <t>AP/TS</t>
        </is>
      </c>
      <c r="D397" s="7" t="inlineStr">
        <is>
          <t>AP09CS4718</t>
        </is>
      </c>
      <c r="E397" s="7" t="inlineStr">
        <is>
          <t>HONDA</t>
        </is>
      </c>
      <c r="F397" s="7" t="inlineStr">
        <is>
          <t>Amaze</t>
        </is>
      </c>
      <c r="G397" s="7" t="inlineStr">
        <is>
          <t>EXCHANGE HYDERABAD</t>
        </is>
      </c>
      <c r="H397" s="7" t="inlineStr">
        <is>
          <t>Captive</t>
        </is>
      </c>
      <c r="I397" s="7" t="inlineStr">
        <is>
          <t>Gorenka Vinay Shravan</t>
        </is>
      </c>
      <c r="J397" s="8" t="n">
        <v>2013</v>
      </c>
      <c r="K397" s="9" t="n">
        <v>138764</v>
      </c>
      <c r="L397" s="10" t="n">
        <v>190000</v>
      </c>
      <c r="M397" s="10" t="n">
        <v>8474.58</v>
      </c>
      <c r="N397" s="11">
        <f>IF(M397="","",ROUND(M397*1.18,2))</f>
        <v/>
      </c>
      <c r="O397" s="12">
        <f>IF(M397="","",ROUND(N397-M397,2))</f>
        <v/>
      </c>
      <c r="P397" s="13">
        <f>IF(AND(A397&lt;&gt;"",B397&lt;&gt;""), A397&amp;" · "&amp;B397, "")</f>
        <v/>
      </c>
    </row>
    <row r="398">
      <c r="A398" s="6" t="inlineStr">
        <is>
          <t>FY26</t>
        </is>
      </c>
      <c r="B398" s="6" t="inlineStr">
        <is>
          <t>Feb</t>
        </is>
      </c>
      <c r="C398" s="6" t="inlineStr">
        <is>
          <t>AP/TS</t>
        </is>
      </c>
      <c r="D398" s="7" t="inlineStr">
        <is>
          <t>AP10AU4393</t>
        </is>
      </c>
      <c r="E398" s="7" t="inlineStr">
        <is>
          <t>MARUTI SUZUKI</t>
        </is>
      </c>
      <c r="F398" s="7" t="inlineStr">
        <is>
          <t>Wagon R</t>
        </is>
      </c>
      <c r="G398" s="7" t="inlineStr">
        <is>
          <t>BUKYA SANTHOSH NAIK</t>
        </is>
      </c>
      <c r="H398" s="7" t="inlineStr">
        <is>
          <t>Non-Captive</t>
        </is>
      </c>
      <c r="I398" s="7" t="inlineStr">
        <is>
          <t>Gorenka Vinay Shravan</t>
        </is>
      </c>
      <c r="J398" s="8" t="n">
        <v>2010</v>
      </c>
      <c r="K398" s="9" t="n">
        <v>115580</v>
      </c>
      <c r="L398" s="10" t="n">
        <v>120000</v>
      </c>
      <c r="M398" s="10" t="n">
        <v>4237.29</v>
      </c>
      <c r="N398" s="11">
        <f>IF(M398="","",ROUND(M398*1.18,2))</f>
        <v/>
      </c>
      <c r="O398" s="12">
        <f>IF(M398="","",ROUND(N398-M398,2))</f>
        <v/>
      </c>
      <c r="P398" s="13">
        <f>IF(AND(A398&lt;&gt;"",B398&lt;&gt;""), A398&amp;" · "&amp;B398, "")</f>
        <v/>
      </c>
    </row>
    <row r="399">
      <c r="A399" s="6" t="inlineStr">
        <is>
          <t>FY26</t>
        </is>
      </c>
      <c r="B399" s="6" t="inlineStr">
        <is>
          <t>Feb</t>
        </is>
      </c>
      <c r="C399" s="6" t="inlineStr">
        <is>
          <t>AP/TS</t>
        </is>
      </c>
      <c r="D399" s="7" t="inlineStr">
        <is>
          <t>AP11AP4627</t>
        </is>
      </c>
      <c r="E399" s="7" t="inlineStr">
        <is>
          <t>HONDA</t>
        </is>
      </c>
      <c r="F399" s="7" t="inlineStr">
        <is>
          <t>City</t>
        </is>
      </c>
      <c r="G399" s="7" t="inlineStr">
        <is>
          <t>EXCHANGE HYDERABAD</t>
        </is>
      </c>
      <c r="H399" s="7" t="inlineStr">
        <is>
          <t>Captive</t>
        </is>
      </c>
      <c r="I399" s="7" t="inlineStr">
        <is>
          <t>Puneet Gupta</t>
        </is>
      </c>
      <c r="J399" s="8" t="n">
        <v>2012</v>
      </c>
      <c r="K399" s="9" t="n">
        <v>110251</v>
      </c>
      <c r="L399" s="10" t="n">
        <v>200000</v>
      </c>
      <c r="M399" s="10" t="n">
        <v>8474.58</v>
      </c>
      <c r="N399" s="11">
        <f>IF(M399="","",ROUND(M399*1.18,2))</f>
        <v/>
      </c>
      <c r="O399" s="12">
        <f>IF(M399="","",ROUND(N399-M399,2))</f>
        <v/>
      </c>
      <c r="P399" s="13">
        <f>IF(AND(A399&lt;&gt;"",B399&lt;&gt;""), A399&amp;" · "&amp;B399, "")</f>
        <v/>
      </c>
    </row>
    <row r="400">
      <c r="A400" s="6" t="inlineStr">
        <is>
          <t>FY26</t>
        </is>
      </c>
      <c r="B400" s="6" t="inlineStr">
        <is>
          <t>Feb</t>
        </is>
      </c>
      <c r="C400" s="6" t="inlineStr">
        <is>
          <t>AP/TS</t>
        </is>
      </c>
      <c r="D400" s="7" t="inlineStr">
        <is>
          <t>AP13AB4730</t>
        </is>
      </c>
      <c r="E400" s="7" t="inlineStr">
        <is>
          <t>HONDA</t>
        </is>
      </c>
      <c r="F400" s="7" t="inlineStr">
        <is>
          <t>City</t>
        </is>
      </c>
      <c r="G400" s="7" t="inlineStr">
        <is>
          <t>EXCHANGE HYDERABAD</t>
        </is>
      </c>
      <c r="H400" s="7" t="inlineStr">
        <is>
          <t>Captive</t>
        </is>
      </c>
      <c r="I400" s="7" t="inlineStr">
        <is>
          <t>Uppari Sandeep Kumar</t>
        </is>
      </c>
      <c r="J400" s="8" t="n">
        <v>2011</v>
      </c>
      <c r="K400" s="9" t="n">
        <v>233250</v>
      </c>
      <c r="L400" s="10" t="n">
        <v>107000</v>
      </c>
      <c r="M400" s="10" t="n">
        <v>5932.2</v>
      </c>
      <c r="N400" s="11">
        <f>IF(M400="","",ROUND(M400*1.18,2))</f>
        <v/>
      </c>
      <c r="O400" s="12">
        <f>IF(M400="","",ROUND(N400-M400,2))</f>
        <v/>
      </c>
      <c r="P400" s="13">
        <f>IF(AND(A400&lt;&gt;"",B400&lt;&gt;""), A400&amp;" · "&amp;B400, "")</f>
        <v/>
      </c>
    </row>
    <row r="401">
      <c r="A401" s="6" t="inlineStr">
        <is>
          <t>FY26</t>
        </is>
      </c>
      <c r="B401" s="6" t="inlineStr">
        <is>
          <t>Feb</t>
        </is>
      </c>
      <c r="C401" s="6" t="inlineStr">
        <is>
          <t>AP/TS</t>
        </is>
      </c>
      <c r="D401" s="7" t="inlineStr">
        <is>
          <t>AP15AG7332</t>
        </is>
      </c>
      <c r="E401" s="7" t="inlineStr">
        <is>
          <t>MARUTI SUZUKI</t>
        </is>
      </c>
      <c r="F401" s="7" t="inlineStr">
        <is>
          <t>Zen Estilo</t>
        </is>
      </c>
      <c r="G401" s="7" t="inlineStr">
        <is>
          <t>ABDUL MUGEES</t>
        </is>
      </c>
      <c r="H401" s="7" t="inlineStr">
        <is>
          <t>Non-Captive</t>
        </is>
      </c>
      <c r="I401" s="7" t="inlineStr">
        <is>
          <t>Uppari Sandeep Kumar</t>
        </is>
      </c>
      <c r="J401" s="8" t="n">
        <v>2007</v>
      </c>
      <c r="K401" s="9" t="n">
        <v>149898</v>
      </c>
      <c r="L401" s="10" t="n">
        <v>35000</v>
      </c>
      <c r="M401" s="10" t="n">
        <v>4237.29</v>
      </c>
      <c r="N401" s="11">
        <f>IF(M401="","",ROUND(M401*1.18,2))</f>
        <v/>
      </c>
      <c r="O401" s="12">
        <f>IF(M401="","",ROUND(N401-M401,2))</f>
        <v/>
      </c>
      <c r="P401" s="13">
        <f>IF(AND(A401&lt;&gt;"",B401&lt;&gt;""), A401&amp;" · "&amp;B401, "")</f>
        <v/>
      </c>
    </row>
    <row r="402">
      <c r="A402" s="6" t="inlineStr">
        <is>
          <t>FY26</t>
        </is>
      </c>
      <c r="B402" s="6" t="inlineStr">
        <is>
          <t>Feb</t>
        </is>
      </c>
      <c r="C402" s="6" t="inlineStr">
        <is>
          <t>AP/TS</t>
        </is>
      </c>
      <c r="D402" s="7" t="inlineStr">
        <is>
          <t>AP16BG9288</t>
        </is>
      </c>
      <c r="E402" s="7" t="inlineStr">
        <is>
          <t>HONDA</t>
        </is>
      </c>
      <c r="F402" s="7" t="inlineStr">
        <is>
          <t>City</t>
        </is>
      </c>
      <c r="G402" s="7" t="inlineStr">
        <is>
          <t>GOPI NAGARAJU</t>
        </is>
      </c>
      <c r="H402" s="7" t="inlineStr">
        <is>
          <t>Non-Captive</t>
        </is>
      </c>
      <c r="I402" s="7" t="inlineStr">
        <is>
          <t>D Avinash</t>
        </is>
      </c>
      <c r="J402" s="8" t="n">
        <v>2008</v>
      </c>
      <c r="K402" s="9" t="n">
        <v>195862</v>
      </c>
      <c r="L402" s="10" t="n">
        <v>60000</v>
      </c>
      <c r="M402" s="10" t="n">
        <v>4237.29</v>
      </c>
      <c r="N402" s="11">
        <f>IF(M402="","",ROUND(M402*1.18,2))</f>
        <v/>
      </c>
      <c r="O402" s="12">
        <f>IF(M402="","",ROUND(N402-M402,2))</f>
        <v/>
      </c>
      <c r="P402" s="13">
        <f>IF(AND(A402&lt;&gt;"",B402&lt;&gt;""), A402&amp;" · "&amp;B402, "")</f>
        <v/>
      </c>
    </row>
    <row r="403">
      <c r="A403" s="6" t="inlineStr">
        <is>
          <t>FY26</t>
        </is>
      </c>
      <c r="B403" s="6" t="inlineStr">
        <is>
          <t>Feb</t>
        </is>
      </c>
      <c r="C403" s="6" t="inlineStr">
        <is>
          <t>AP/TS</t>
        </is>
      </c>
      <c r="D403" s="7" t="inlineStr">
        <is>
          <t>AP16BQ7777</t>
        </is>
      </c>
      <c r="E403" s="7" t="inlineStr">
        <is>
          <t>MARUTI SUZUKI</t>
        </is>
      </c>
      <c r="F403" s="7" t="inlineStr">
        <is>
          <t>i10</t>
        </is>
      </c>
      <c r="G403" s="7" t="inlineStr">
        <is>
          <t>T SRINIVAS</t>
        </is>
      </c>
      <c r="H403" s="7" t="inlineStr">
        <is>
          <t>Non-Captive</t>
        </is>
      </c>
      <c r="I403" s="7" t="inlineStr">
        <is>
          <t>Mohammed Gouse Basha</t>
        </is>
      </c>
      <c r="J403" s="8" t="n">
        <v>2009</v>
      </c>
      <c r="K403" s="9" t="n">
        <v>160213</v>
      </c>
      <c r="L403" s="10" t="n">
        <v>60000</v>
      </c>
      <c r="M403" s="10" t="n">
        <v>4237.29</v>
      </c>
      <c r="N403" s="11">
        <f>IF(M403="","",ROUND(M403*1.18,2))</f>
        <v/>
      </c>
      <c r="O403" s="12">
        <f>IF(M403="","",ROUND(N403-M403,2))</f>
        <v/>
      </c>
      <c r="P403" s="13">
        <f>IF(AND(A403&lt;&gt;"",B403&lt;&gt;""), A403&amp;" · "&amp;B403, "")</f>
        <v/>
      </c>
    </row>
    <row r="404">
      <c r="A404" s="6" t="inlineStr">
        <is>
          <t>FY26</t>
        </is>
      </c>
      <c r="B404" s="6" t="inlineStr">
        <is>
          <t>Feb</t>
        </is>
      </c>
      <c r="C404" s="6" t="inlineStr">
        <is>
          <t>AP/TS</t>
        </is>
      </c>
      <c r="D404" s="7" t="inlineStr">
        <is>
          <t>AP16BQ9979</t>
        </is>
      </c>
      <c r="E404" s="7" t="inlineStr">
        <is>
          <t>MARUTI SUZUKI</t>
        </is>
      </c>
      <c r="F404" s="7" t="inlineStr">
        <is>
          <t>Swift</t>
        </is>
      </c>
      <c r="G404" s="7" t="inlineStr">
        <is>
          <t>T SRINIVAS</t>
        </is>
      </c>
      <c r="H404" s="7" t="inlineStr">
        <is>
          <t>Non-Captive</t>
        </is>
      </c>
      <c r="I404" s="7" t="inlineStr">
        <is>
          <t>Guthi Ravi Krishna</t>
        </is>
      </c>
      <c r="J404" s="8" t="n">
        <v>2010</v>
      </c>
      <c r="K404" s="9" t="n">
        <v>195215</v>
      </c>
      <c r="L404" s="10" t="n">
        <v>110000</v>
      </c>
      <c r="M404" s="10" t="n">
        <v>4237.29</v>
      </c>
      <c r="N404" s="11">
        <f>IF(M404="","",ROUND(M404*1.18,2))</f>
        <v/>
      </c>
      <c r="O404" s="12">
        <f>IF(M404="","",ROUND(N404-M404,2))</f>
        <v/>
      </c>
      <c r="P404" s="13">
        <f>IF(AND(A404&lt;&gt;"",B404&lt;&gt;""), A404&amp;" · "&amp;B404, "")</f>
        <v/>
      </c>
    </row>
    <row r="405">
      <c r="A405" s="6" t="inlineStr">
        <is>
          <t>FY26</t>
        </is>
      </c>
      <c r="B405" s="6" t="inlineStr">
        <is>
          <t>Feb</t>
        </is>
      </c>
      <c r="C405" s="6" t="inlineStr">
        <is>
          <t>AP/TS</t>
        </is>
      </c>
      <c r="D405" s="7" t="inlineStr">
        <is>
          <t>AP16BR4142</t>
        </is>
      </c>
      <c r="E405" s="7" t="inlineStr">
        <is>
          <t>MARUTI SUZUKI</t>
        </is>
      </c>
      <c r="F405" s="7" t="inlineStr">
        <is>
          <t>Swift</t>
        </is>
      </c>
      <c r="G405" s="7" t="inlineStr">
        <is>
          <t>T SRINIVAS</t>
        </is>
      </c>
      <c r="H405" s="7" t="inlineStr">
        <is>
          <t>Non-Captive</t>
        </is>
      </c>
      <c r="I405" s="7" t="inlineStr">
        <is>
          <t>Mohammed Gouse Basha</t>
        </is>
      </c>
      <c r="J405" s="8" t="n">
        <v>2010</v>
      </c>
      <c r="K405" s="9" t="n">
        <v>198585</v>
      </c>
      <c r="L405" s="10" t="n">
        <v>100000</v>
      </c>
      <c r="M405" s="10" t="n">
        <v>4237.29</v>
      </c>
      <c r="N405" s="11">
        <f>IF(M405="","",ROUND(M405*1.18,2))</f>
        <v/>
      </c>
      <c r="O405" s="12">
        <f>IF(M405="","",ROUND(N405-M405,2))</f>
        <v/>
      </c>
      <c r="P405" s="13">
        <f>IF(AND(A405&lt;&gt;"",B405&lt;&gt;""), A405&amp;" · "&amp;B405, "")</f>
        <v/>
      </c>
    </row>
    <row r="406">
      <c r="A406" s="6" t="inlineStr">
        <is>
          <t>FY26</t>
        </is>
      </c>
      <c r="B406" s="6" t="inlineStr">
        <is>
          <t>Feb</t>
        </is>
      </c>
      <c r="C406" s="6" t="inlineStr">
        <is>
          <t>AP/TS</t>
        </is>
      </c>
      <c r="D406" s="7" t="inlineStr">
        <is>
          <t>AP16BT5517</t>
        </is>
      </c>
      <c r="E406" s="7" t="inlineStr">
        <is>
          <t>MARUTI SUZUKI</t>
        </is>
      </c>
      <c r="F406" s="7" t="inlineStr">
        <is>
          <t>Wagon R</t>
        </is>
      </c>
      <c r="G406" s="7" t="inlineStr">
        <is>
          <t>T SRINIVAS</t>
        </is>
      </c>
      <c r="H406" s="7" t="inlineStr">
        <is>
          <t>Non-Captive</t>
        </is>
      </c>
      <c r="I406" s="7" t="inlineStr">
        <is>
          <t>Guthi Ravi Krishna</t>
        </is>
      </c>
      <c r="J406" s="8" t="n">
        <v>2011</v>
      </c>
      <c r="K406" s="9" t="n">
        <v>182121</v>
      </c>
      <c r="L406" s="10" t="n">
        <v>115000</v>
      </c>
      <c r="M406" s="10" t="n">
        <v>4237.29</v>
      </c>
      <c r="N406" s="11">
        <f>IF(M406="","",ROUND(M406*1.18,2))</f>
        <v/>
      </c>
      <c r="O406" s="12">
        <f>IF(M406="","",ROUND(N406-M406,2))</f>
        <v/>
      </c>
      <c r="P406" s="13">
        <f>IF(AND(A406&lt;&gt;"",B406&lt;&gt;""), A406&amp;" · "&amp;B406, "")</f>
        <v/>
      </c>
    </row>
    <row r="407">
      <c r="A407" s="6" t="inlineStr">
        <is>
          <t>FY26</t>
        </is>
      </c>
      <c r="B407" s="6" t="inlineStr">
        <is>
          <t>Feb</t>
        </is>
      </c>
      <c r="C407" s="6" t="inlineStr">
        <is>
          <t>AP/TS</t>
        </is>
      </c>
      <c r="D407" s="7" t="inlineStr">
        <is>
          <t>AP16BW5032</t>
        </is>
      </c>
      <c r="E407" s="7" t="inlineStr">
        <is>
          <t>CHEVROLET</t>
        </is>
      </c>
      <c r="F407" s="7" t="inlineStr">
        <is>
          <t>Spark</t>
        </is>
      </c>
      <c r="G407" s="7" t="inlineStr">
        <is>
          <t>EXCHANGE VIJAYAWADA</t>
        </is>
      </c>
      <c r="H407" s="7" t="inlineStr">
        <is>
          <t>Captive</t>
        </is>
      </c>
      <c r="I407" s="7" t="inlineStr">
        <is>
          <t>Sesetti Manoj Kumar</t>
        </is>
      </c>
      <c r="J407" s="8" t="n">
        <v>2011</v>
      </c>
      <c r="K407" s="9" t="n">
        <v>69787</v>
      </c>
      <c r="L407" s="10" t="n">
        <v>50000</v>
      </c>
      <c r="M407" s="10" t="n">
        <v>4237.29</v>
      </c>
      <c r="N407" s="11">
        <f>IF(M407="","",ROUND(M407*1.18,2))</f>
        <v/>
      </c>
      <c r="O407" s="12">
        <f>IF(M407="","",ROUND(N407-M407,2))</f>
        <v/>
      </c>
      <c r="P407" s="13">
        <f>IF(AND(A407&lt;&gt;"",B407&lt;&gt;""), A407&amp;" · "&amp;B407, "")</f>
        <v/>
      </c>
    </row>
    <row r="408">
      <c r="A408" s="6" t="inlineStr">
        <is>
          <t>FY26</t>
        </is>
      </c>
      <c r="B408" s="6" t="inlineStr">
        <is>
          <t>Feb</t>
        </is>
      </c>
      <c r="C408" s="6" t="inlineStr">
        <is>
          <t>AP/TS</t>
        </is>
      </c>
      <c r="D408" s="7" t="inlineStr">
        <is>
          <t>AP16BZ2425</t>
        </is>
      </c>
      <c r="E408" s="7" t="inlineStr">
        <is>
          <t>MARUTI SUZUKI</t>
        </is>
      </c>
      <c r="F408" s="7" t="inlineStr">
        <is>
          <t>Ritz</t>
        </is>
      </c>
      <c r="G408" s="7" t="inlineStr">
        <is>
          <t>T SRINIVAS</t>
        </is>
      </c>
      <c r="H408" s="7" t="inlineStr">
        <is>
          <t>Non-Captive</t>
        </is>
      </c>
      <c r="I408" s="7" t="inlineStr">
        <is>
          <t>Mohammed Gouse Basha</t>
        </is>
      </c>
      <c r="J408" s="8" t="n">
        <v>2011</v>
      </c>
      <c r="K408" s="9" t="n">
        <v>168554</v>
      </c>
      <c r="L408" s="10" t="n">
        <v>125000</v>
      </c>
      <c r="M408" s="10" t="n">
        <v>4237.29</v>
      </c>
      <c r="N408" s="11">
        <f>IF(M408="","",ROUND(M408*1.18,2))</f>
        <v/>
      </c>
      <c r="O408" s="12">
        <f>IF(M408="","",ROUND(N408-M408,2))</f>
        <v/>
      </c>
      <c r="P408" s="13">
        <f>IF(AND(A408&lt;&gt;"",B408&lt;&gt;""), A408&amp;" · "&amp;B408, "")</f>
        <v/>
      </c>
    </row>
    <row r="409">
      <c r="A409" s="6" t="inlineStr">
        <is>
          <t>FY26</t>
        </is>
      </c>
      <c r="B409" s="6" t="inlineStr">
        <is>
          <t>Feb</t>
        </is>
      </c>
      <c r="C409" s="6" t="inlineStr">
        <is>
          <t>AP/TS</t>
        </is>
      </c>
      <c r="D409" s="7" t="inlineStr">
        <is>
          <t>AP16CE5576</t>
        </is>
      </c>
      <c r="E409" s="7" t="inlineStr">
        <is>
          <t>MARUTI SUZUKI</t>
        </is>
      </c>
      <c r="F409" s="7" t="inlineStr">
        <is>
          <t>Wagon R</t>
        </is>
      </c>
      <c r="G409" s="7" t="inlineStr">
        <is>
          <t>SESETTI MANOJ KUMAR</t>
        </is>
      </c>
      <c r="H409" s="7" t="inlineStr">
        <is>
          <t>Non-Captive</t>
        </is>
      </c>
      <c r="I409" s="7" t="inlineStr">
        <is>
          <t>Lakshmi Tirupatamma Kokkilagadda</t>
        </is>
      </c>
      <c r="J409" s="8" t="n">
        <v>2012</v>
      </c>
      <c r="K409" s="9" t="n">
        <v>136412</v>
      </c>
      <c r="L409" s="10" t="n">
        <v>97500</v>
      </c>
      <c r="M409" s="10" t="n">
        <v>6355.93</v>
      </c>
      <c r="N409" s="11">
        <f>IF(M409="","",ROUND(M409*1.18,2))</f>
        <v/>
      </c>
      <c r="O409" s="12">
        <f>IF(M409="","",ROUND(N409-M409,2))</f>
        <v/>
      </c>
      <c r="P409" s="13">
        <f>IF(AND(A409&lt;&gt;"",B409&lt;&gt;""), A409&amp;" · "&amp;B409, "")</f>
        <v/>
      </c>
    </row>
    <row r="410">
      <c r="A410" s="6" t="inlineStr">
        <is>
          <t>FY26</t>
        </is>
      </c>
      <c r="B410" s="6" t="inlineStr">
        <is>
          <t>Feb</t>
        </is>
      </c>
      <c r="C410" s="6" t="inlineStr">
        <is>
          <t>AP/TS</t>
        </is>
      </c>
      <c r="D410" s="7" t="inlineStr">
        <is>
          <t>AP16CE9118</t>
        </is>
      </c>
      <c r="E410" s="7" t="inlineStr">
        <is>
          <t>MARUTI SUZUKI</t>
        </is>
      </c>
      <c r="F410" s="7" t="inlineStr">
        <is>
          <t>Dzire</t>
        </is>
      </c>
      <c r="G410" s="7" t="inlineStr">
        <is>
          <t>EXCHANGE VIZAG</t>
        </is>
      </c>
      <c r="H410" s="7" t="inlineStr">
        <is>
          <t>Captive</t>
        </is>
      </c>
      <c r="I410" s="7" t="inlineStr">
        <is>
          <t>Gadi Sri Bharathi</t>
        </is>
      </c>
      <c r="J410" s="8" t="n">
        <v>2012</v>
      </c>
      <c r="K410" s="9" t="n">
        <v>172552</v>
      </c>
      <c r="L410" s="10" t="n">
        <v>193000</v>
      </c>
      <c r="M410" s="10" t="n">
        <v>6779.66</v>
      </c>
      <c r="N410" s="11">
        <f>IF(M410="","",ROUND(M410*1.18,2))</f>
        <v/>
      </c>
      <c r="O410" s="12">
        <f>IF(M410="","",ROUND(N410-M410,2))</f>
        <v/>
      </c>
      <c r="P410" s="13">
        <f>IF(AND(A410&lt;&gt;"",B410&lt;&gt;""), A410&amp;" · "&amp;B410, "")</f>
        <v/>
      </c>
    </row>
    <row r="411">
      <c r="A411" s="6" t="inlineStr">
        <is>
          <t>FY26</t>
        </is>
      </c>
      <c r="B411" s="6" t="inlineStr">
        <is>
          <t>Feb</t>
        </is>
      </c>
      <c r="C411" s="6" t="inlineStr">
        <is>
          <t>AP/TS</t>
        </is>
      </c>
      <c r="D411" s="7" t="inlineStr">
        <is>
          <t>AP16CF3934</t>
        </is>
      </c>
      <c r="E411" s="7" t="inlineStr">
        <is>
          <t>MARUTI SUZUKI</t>
        </is>
      </c>
      <c r="F411" s="7" t="inlineStr">
        <is>
          <t>Dzire</t>
        </is>
      </c>
      <c r="G411" s="7" t="inlineStr">
        <is>
          <t>T SRINIVAS</t>
        </is>
      </c>
      <c r="H411" s="7" t="inlineStr">
        <is>
          <t>Non-Captive</t>
        </is>
      </c>
      <c r="I411" s="7" t="inlineStr">
        <is>
          <t>Sesetti Manoj Kumar</t>
        </is>
      </c>
      <c r="J411" s="8" t="n">
        <v>2010</v>
      </c>
      <c r="K411" s="9" t="n">
        <v>202514</v>
      </c>
      <c r="L411" s="10" t="n">
        <v>85000</v>
      </c>
      <c r="M411" s="10" t="n">
        <v>4237.29</v>
      </c>
      <c r="N411" s="11">
        <f>IF(M411="","",ROUND(M411*1.18,2))</f>
        <v/>
      </c>
      <c r="O411" s="12">
        <f>IF(M411="","",ROUND(N411-M411,2))</f>
        <v/>
      </c>
      <c r="P411" s="13">
        <f>IF(AND(A411&lt;&gt;"",B411&lt;&gt;""), A411&amp;" · "&amp;B411, "")</f>
        <v/>
      </c>
    </row>
    <row r="412">
      <c r="A412" s="6" t="inlineStr">
        <is>
          <t>FY26</t>
        </is>
      </c>
      <c r="B412" s="6" t="inlineStr">
        <is>
          <t>Feb</t>
        </is>
      </c>
      <c r="C412" s="6" t="inlineStr">
        <is>
          <t>AP/TS</t>
        </is>
      </c>
      <c r="D412" s="7" t="inlineStr">
        <is>
          <t>AP16DM1140</t>
        </is>
      </c>
      <c r="E412" s="7" t="inlineStr">
        <is>
          <t>TATA</t>
        </is>
      </c>
      <c r="F412" s="7" t="inlineStr">
        <is>
          <t>Zest</t>
        </is>
      </c>
      <c r="G412" s="7" t="inlineStr">
        <is>
          <t>EXCHANGE VIJAYAWADA</t>
        </is>
      </c>
      <c r="H412" s="7" t="inlineStr">
        <is>
          <t>Captive</t>
        </is>
      </c>
      <c r="I412" s="7" t="inlineStr">
        <is>
          <t>Naga Suresh Polukonda</t>
        </is>
      </c>
      <c r="J412" s="8" t="n">
        <v>2016</v>
      </c>
      <c r="K412" s="9" t="n">
        <v>90332</v>
      </c>
      <c r="L412" s="10" t="n">
        <v>260000</v>
      </c>
      <c r="M412" s="10" t="n">
        <v>8474.58</v>
      </c>
      <c r="N412" s="11">
        <f>IF(M412="","",ROUND(M412*1.18,2))</f>
        <v/>
      </c>
      <c r="O412" s="12">
        <f>IF(M412="","",ROUND(N412-M412,2))</f>
        <v/>
      </c>
      <c r="P412" s="13">
        <f>IF(AND(A412&lt;&gt;"",B412&lt;&gt;""), A412&amp;" · "&amp;B412, "")</f>
        <v/>
      </c>
    </row>
    <row r="413">
      <c r="A413" s="6" t="inlineStr">
        <is>
          <t>FY26</t>
        </is>
      </c>
      <c r="B413" s="6" t="inlineStr">
        <is>
          <t>Feb</t>
        </is>
      </c>
      <c r="C413" s="6" t="inlineStr">
        <is>
          <t>AP/TS</t>
        </is>
      </c>
      <c r="D413" s="7" t="inlineStr">
        <is>
          <t>AP16DY5844</t>
        </is>
      </c>
      <c r="E413" s="7" t="inlineStr">
        <is>
          <t>TATA</t>
        </is>
      </c>
      <c r="F413" s="7" t="inlineStr">
        <is>
          <t>Tiago</t>
        </is>
      </c>
      <c r="G413" s="7" t="inlineStr">
        <is>
          <t>GUTHI RAVI KRISHNA</t>
        </is>
      </c>
      <c r="H413" s="7" t="inlineStr">
        <is>
          <t>Non-Captive</t>
        </is>
      </c>
      <c r="I413" s="7" t="inlineStr">
        <is>
          <t>Yarlagadda Sai Phanindra</t>
        </is>
      </c>
      <c r="J413" s="8" t="n">
        <v>2016</v>
      </c>
      <c r="K413" s="9" t="n">
        <v>136011</v>
      </c>
      <c r="L413" s="10" t="n">
        <v>95000</v>
      </c>
      <c r="M413" s="10" t="n">
        <v>4237.29</v>
      </c>
      <c r="N413" s="11">
        <f>IF(M413="","",ROUND(M413*1.18,2))</f>
        <v/>
      </c>
      <c r="O413" s="12">
        <f>IF(M413="","",ROUND(N413-M413,2))</f>
        <v/>
      </c>
      <c r="P413" s="13">
        <f>IF(AND(A413&lt;&gt;"",B413&lt;&gt;""), A413&amp;" · "&amp;B413, "")</f>
        <v/>
      </c>
    </row>
    <row r="414">
      <c r="A414" s="6" t="inlineStr">
        <is>
          <t>FY26</t>
        </is>
      </c>
      <c r="B414" s="6" t="inlineStr">
        <is>
          <t>Feb</t>
        </is>
      </c>
      <c r="C414" s="6" t="inlineStr">
        <is>
          <t>AP/TS</t>
        </is>
      </c>
      <c r="D414" s="7" t="inlineStr">
        <is>
          <t>AP26AW0070</t>
        </is>
      </c>
      <c r="E414" s="7" t="inlineStr">
        <is>
          <t>RENAULT</t>
        </is>
      </c>
      <c r="F414" s="7" t="inlineStr">
        <is>
          <t>Scala</t>
        </is>
      </c>
      <c r="G414" s="7" t="inlineStr">
        <is>
          <t>PUNEET GUPTA</t>
        </is>
      </c>
      <c r="H414" s="7" t="inlineStr">
        <is>
          <t>Non-Captive</t>
        </is>
      </c>
      <c r="I414" s="7" t="inlineStr">
        <is>
          <t>Akash Akuthota</t>
        </is>
      </c>
      <c r="J414" s="8" t="n">
        <v>2013</v>
      </c>
      <c r="K414" s="9" t="n">
        <v>249087</v>
      </c>
      <c r="L414" s="10" t="n">
        <v>105000</v>
      </c>
      <c r="M414" s="10" t="n">
        <v>4237.29</v>
      </c>
      <c r="N414" s="11">
        <f>IF(M414="","",ROUND(M414*1.18,2))</f>
        <v/>
      </c>
      <c r="O414" s="12">
        <f>IF(M414="","",ROUND(N414-M414,2))</f>
        <v/>
      </c>
      <c r="P414" s="13">
        <f>IF(AND(A414&lt;&gt;"",B414&lt;&gt;""), A414&amp;" · "&amp;B414, "")</f>
        <v/>
      </c>
    </row>
    <row r="415">
      <c r="A415" s="6" t="inlineStr">
        <is>
          <t>FY26</t>
        </is>
      </c>
      <c r="B415" s="6" t="inlineStr">
        <is>
          <t>Feb</t>
        </is>
      </c>
      <c r="C415" s="6" t="inlineStr">
        <is>
          <t>AP/TS</t>
        </is>
      </c>
      <c r="D415" s="7" t="inlineStr">
        <is>
          <t>AP26BE4126</t>
        </is>
      </c>
      <c r="E415" s="7" t="inlineStr">
        <is>
          <t>HYUNDAI</t>
        </is>
      </c>
      <c r="F415" s="7" t="inlineStr">
        <is>
          <t>i10</t>
        </is>
      </c>
      <c r="G415" s="7" t="inlineStr">
        <is>
          <t>GUTHI RAVI KRISHNA</t>
        </is>
      </c>
      <c r="H415" s="7" t="inlineStr">
        <is>
          <t>Non-Captive</t>
        </is>
      </c>
      <c r="I415" s="7" t="inlineStr">
        <is>
          <t>Gopi Nagaraju</t>
        </is>
      </c>
      <c r="J415" s="8" t="n">
        <v>2015</v>
      </c>
      <c r="K415" s="9" t="n">
        <v>251225</v>
      </c>
      <c r="L415" s="10" t="n">
        <v>150000</v>
      </c>
      <c r="M415" s="10" t="n">
        <v>4237.29</v>
      </c>
      <c r="N415" s="11">
        <f>IF(M415="","",ROUND(M415*1.18,2))</f>
        <v/>
      </c>
      <c r="O415" s="12">
        <f>IF(M415="","",ROUND(N415-M415,2))</f>
        <v/>
      </c>
      <c r="P415" s="13">
        <f>IF(AND(A415&lt;&gt;"",B415&lt;&gt;""), A415&amp;" · "&amp;B415, "")</f>
        <v/>
      </c>
    </row>
    <row r="416">
      <c r="A416" s="6" t="inlineStr">
        <is>
          <t>FY26</t>
        </is>
      </c>
      <c r="B416" s="6" t="inlineStr">
        <is>
          <t>Feb</t>
        </is>
      </c>
      <c r="C416" s="6" t="inlineStr">
        <is>
          <t>AP/TS</t>
        </is>
      </c>
      <c r="D416" s="7" t="inlineStr">
        <is>
          <t>AP26BZ2007</t>
        </is>
      </c>
      <c r="E416" s="7" t="inlineStr">
        <is>
          <t>HONDA</t>
        </is>
      </c>
      <c r="F416" s="7" t="inlineStr">
        <is>
          <t>City</t>
        </is>
      </c>
      <c r="G416" s="7" t="inlineStr">
        <is>
          <t>EXCHANGE VIJAYAWADA</t>
        </is>
      </c>
      <c r="H416" s="7" t="inlineStr">
        <is>
          <t>Captive</t>
        </is>
      </c>
      <c r="I416" s="7" t="inlineStr">
        <is>
          <t>Mohammed Gouse Basha</t>
        </is>
      </c>
      <c r="J416" s="8" t="n">
        <v>2017</v>
      </c>
      <c r="K416" s="9" t="n">
        <v>88012</v>
      </c>
      <c r="L416" s="10" t="n">
        <v>426500</v>
      </c>
      <c r="M416" s="10" t="n">
        <v>5508.47</v>
      </c>
      <c r="N416" s="11">
        <f>IF(M416="","",ROUND(M416*1.18,2))</f>
        <v/>
      </c>
      <c r="O416" s="12">
        <f>IF(M416="","",ROUND(N416-M416,2))</f>
        <v/>
      </c>
      <c r="P416" s="13">
        <f>IF(AND(A416&lt;&gt;"",B416&lt;&gt;""), A416&amp;" · "&amp;B416, "")</f>
        <v/>
      </c>
    </row>
    <row r="417">
      <c r="A417" s="6" t="inlineStr">
        <is>
          <t>FY26</t>
        </is>
      </c>
      <c r="B417" s="6" t="inlineStr">
        <is>
          <t>Feb</t>
        </is>
      </c>
      <c r="C417" s="6" t="inlineStr">
        <is>
          <t>AP/TS</t>
        </is>
      </c>
      <c r="D417" s="7" t="inlineStr">
        <is>
          <t>AP27AW6103</t>
        </is>
      </c>
      <c r="E417" s="7" t="inlineStr">
        <is>
          <t>MARUTI SUZUKI</t>
        </is>
      </c>
      <c r="F417" s="7" t="inlineStr">
        <is>
          <t>Alto</t>
        </is>
      </c>
      <c r="G417" s="7" t="inlineStr">
        <is>
          <t>EXCHANGE VIJAYAWADA</t>
        </is>
      </c>
      <c r="H417" s="7" t="inlineStr">
        <is>
          <t>Captive</t>
        </is>
      </c>
      <c r="I417" s="7" t="inlineStr">
        <is>
          <t>Mohammed Gouse Basha</t>
        </is>
      </c>
      <c r="J417" s="8" t="n">
        <v>2013</v>
      </c>
      <c r="K417" s="9" t="n">
        <v>74021</v>
      </c>
      <c r="L417" s="10" t="n">
        <v>132000</v>
      </c>
      <c r="M417" s="10" t="n">
        <v>5932.2</v>
      </c>
      <c r="N417" s="11">
        <f>IF(M417="","",ROUND(M417*1.18,2))</f>
        <v/>
      </c>
      <c r="O417" s="12">
        <f>IF(M417="","",ROUND(N417-M417,2))</f>
        <v/>
      </c>
      <c r="P417" s="13">
        <f>IF(AND(A417&lt;&gt;"",B417&lt;&gt;""), A417&amp;" · "&amp;B417, "")</f>
        <v/>
      </c>
    </row>
    <row r="418">
      <c r="A418" s="6" t="inlineStr">
        <is>
          <t>FY26</t>
        </is>
      </c>
      <c r="B418" s="6" t="inlineStr">
        <is>
          <t>Feb</t>
        </is>
      </c>
      <c r="C418" s="6" t="inlineStr">
        <is>
          <t>AP/TS</t>
        </is>
      </c>
      <c r="D418" s="7" t="inlineStr">
        <is>
          <t>AP28BL5612</t>
        </is>
      </c>
      <c r="E418" s="7" t="inlineStr">
        <is>
          <t>HYUNDAI</t>
        </is>
      </c>
      <c r="F418" s="7" t="inlineStr">
        <is>
          <t>Santro</t>
        </is>
      </c>
      <c r="G418" s="7" t="inlineStr">
        <is>
          <t>ABDUL MUGEES</t>
        </is>
      </c>
      <c r="H418" s="7" t="inlineStr">
        <is>
          <t>Non-Captive</t>
        </is>
      </c>
      <c r="I418" s="7" t="inlineStr">
        <is>
          <t>Uppari Sandeep Kumar</t>
        </is>
      </c>
      <c r="J418" s="8" t="n">
        <v>2009</v>
      </c>
      <c r="K418" s="9" t="n">
        <v>151089</v>
      </c>
      <c r="L418" s="10" t="n">
        <v>77000</v>
      </c>
      <c r="M418" s="10" t="n">
        <v>5932.2</v>
      </c>
      <c r="N418" s="11">
        <f>IF(M418="","",ROUND(M418*1.18,2))</f>
        <v/>
      </c>
      <c r="O418" s="12">
        <f>IF(M418="","",ROUND(N418-M418,2))</f>
        <v/>
      </c>
      <c r="P418" s="13">
        <f>IF(AND(A418&lt;&gt;"",B418&lt;&gt;""), A418&amp;" · "&amp;B418, "")</f>
        <v/>
      </c>
    </row>
    <row r="419">
      <c r="A419" s="6" t="inlineStr">
        <is>
          <t>FY26</t>
        </is>
      </c>
      <c r="B419" s="6" t="inlineStr">
        <is>
          <t>Feb</t>
        </is>
      </c>
      <c r="C419" s="6" t="inlineStr">
        <is>
          <t>AP/TS</t>
        </is>
      </c>
      <c r="D419" s="7" t="inlineStr">
        <is>
          <t>AP28CA6336</t>
        </is>
      </c>
      <c r="E419" s="7" t="inlineStr">
        <is>
          <t>HYUNDAI</t>
        </is>
      </c>
      <c r="F419" s="7" t="inlineStr">
        <is>
          <t>Getz</t>
        </is>
      </c>
      <c r="G419" s="7" t="inlineStr">
        <is>
          <t>TIYYAGURA VENKATA REDDY</t>
        </is>
      </c>
      <c r="H419" s="7" t="inlineStr">
        <is>
          <t>Non-Captive</t>
        </is>
      </c>
      <c r="I419" s="7" t="inlineStr">
        <is>
          <t>Gadi Sri Bharathi</t>
        </is>
      </c>
      <c r="J419" s="8" t="n">
        <v>2008</v>
      </c>
      <c r="K419" s="9" t="n">
        <v>185899</v>
      </c>
      <c r="L419" s="10" t="n">
        <v>35000</v>
      </c>
      <c r="M419" s="10" t="n">
        <v>4237.29</v>
      </c>
      <c r="N419" s="11">
        <f>IF(M419="","",ROUND(M419*1.18,2))</f>
        <v/>
      </c>
      <c r="O419" s="12">
        <f>IF(M419="","",ROUND(N419-M419,2))</f>
        <v/>
      </c>
      <c r="P419" s="13">
        <f>IF(AND(A419&lt;&gt;"",B419&lt;&gt;""), A419&amp;" · "&amp;B419, "")</f>
        <v/>
      </c>
    </row>
    <row r="420">
      <c r="A420" s="6" t="inlineStr">
        <is>
          <t>FY26</t>
        </is>
      </c>
      <c r="B420" s="6" t="inlineStr">
        <is>
          <t>Feb</t>
        </is>
      </c>
      <c r="C420" s="6" t="inlineStr">
        <is>
          <t>AP/TS</t>
        </is>
      </c>
      <c r="D420" s="7" t="inlineStr">
        <is>
          <t>AP28DT4590</t>
        </is>
      </c>
      <c r="E420" s="7" t="inlineStr">
        <is>
          <t>MAHINDRA</t>
        </is>
      </c>
      <c r="F420" s="7" t="inlineStr">
        <is>
          <t>XUV500</t>
        </is>
      </c>
      <c r="G420" s="7" t="inlineStr">
        <is>
          <t>EXCHANGE HYDERABAD</t>
        </is>
      </c>
      <c r="H420" s="7" t="inlineStr">
        <is>
          <t>Captive</t>
        </is>
      </c>
      <c r="I420" s="7" t="inlineStr">
        <is>
          <t>Prabjyoth Singh Wasu</t>
        </is>
      </c>
      <c r="J420" s="8" t="n">
        <v>2013</v>
      </c>
      <c r="K420" s="9" t="n">
        <v>169887</v>
      </c>
      <c r="L420" s="10" t="n">
        <v>310000</v>
      </c>
      <c r="M420" s="10" t="n">
        <v>8474.58</v>
      </c>
      <c r="N420" s="11">
        <f>IF(M420="","",ROUND(M420*1.18,2))</f>
        <v/>
      </c>
      <c r="O420" s="12">
        <f>IF(M420="","",ROUND(N420-M420,2))</f>
        <v/>
      </c>
      <c r="P420" s="13">
        <f>IF(AND(A420&lt;&gt;"",B420&lt;&gt;""), A420&amp;" · "&amp;B420, "")</f>
        <v/>
      </c>
    </row>
    <row r="421">
      <c r="A421" s="6" t="inlineStr">
        <is>
          <t>FY26</t>
        </is>
      </c>
      <c r="B421" s="6" t="inlineStr">
        <is>
          <t>Feb</t>
        </is>
      </c>
      <c r="C421" s="6" t="inlineStr">
        <is>
          <t>AP/TS</t>
        </is>
      </c>
      <c r="D421" s="7" t="inlineStr">
        <is>
          <t>AP28K5858</t>
        </is>
      </c>
      <c r="E421" s="7" t="inlineStr">
        <is>
          <t>HONDA</t>
        </is>
      </c>
      <c r="F421" s="7" t="inlineStr">
        <is>
          <t>City</t>
        </is>
      </c>
      <c r="G421" s="7" t="inlineStr">
        <is>
          <t>PUNEET GUPTA</t>
        </is>
      </c>
      <c r="H421" s="7" t="inlineStr">
        <is>
          <t>Non-Captive</t>
        </is>
      </c>
      <c r="I421" s="7" t="inlineStr">
        <is>
          <t>Uppari Sandeep Kumar</t>
        </is>
      </c>
      <c r="J421" s="8" t="n">
        <v>1998</v>
      </c>
      <c r="K421" s="9" t="n">
        <v>195856</v>
      </c>
      <c r="L421" s="10" t="n">
        <v>45000</v>
      </c>
      <c r="M421" s="10" t="n">
        <v>4237.29</v>
      </c>
      <c r="N421" s="11">
        <f>IF(M421="","",ROUND(M421*1.18,2))</f>
        <v/>
      </c>
      <c r="O421" s="12">
        <f>IF(M421="","",ROUND(N421-M421,2))</f>
        <v/>
      </c>
      <c r="P421" s="13">
        <f>IF(AND(A421&lt;&gt;"",B421&lt;&gt;""), A421&amp;" · "&amp;B421, "")</f>
        <v/>
      </c>
    </row>
    <row r="422">
      <c r="A422" s="6" t="inlineStr">
        <is>
          <t>FY26</t>
        </is>
      </c>
      <c r="B422" s="6" t="inlineStr">
        <is>
          <t>Feb</t>
        </is>
      </c>
      <c r="C422" s="6" t="inlineStr">
        <is>
          <t>AP/TS</t>
        </is>
      </c>
      <c r="D422" s="7" t="inlineStr">
        <is>
          <t>AP29AL5220</t>
        </is>
      </c>
      <c r="E422" s="7" t="inlineStr">
        <is>
          <t>MARUTI SUZUKI</t>
        </is>
      </c>
      <c r="F422" s="7" t="inlineStr">
        <is>
          <t>Wagon R</t>
        </is>
      </c>
      <c r="G422" s="7" t="inlineStr">
        <is>
          <t>PUNEET GUPTA</t>
        </is>
      </c>
      <c r="H422" s="7" t="inlineStr">
        <is>
          <t>Non-Captive</t>
        </is>
      </c>
      <c r="I422" s="7" t="inlineStr">
        <is>
          <t>Abdul Razzaq</t>
        </is>
      </c>
      <c r="J422" s="8" t="n">
        <v>2010</v>
      </c>
      <c r="K422" s="9" t="n">
        <v>186538</v>
      </c>
      <c r="L422" s="10" t="n">
        <v>95000</v>
      </c>
      <c r="M422" s="10" t="n">
        <v>4237.29</v>
      </c>
      <c r="N422" s="11">
        <f>IF(M422="","",ROUND(M422*1.18,2))</f>
        <v/>
      </c>
      <c r="O422" s="12">
        <f>IF(M422="","",ROUND(N422-M422,2))</f>
        <v/>
      </c>
      <c r="P422" s="13">
        <f>IF(AND(A422&lt;&gt;"",B422&lt;&gt;""), A422&amp;" · "&amp;B422, "")</f>
        <v/>
      </c>
    </row>
    <row r="423">
      <c r="A423" s="6" t="inlineStr">
        <is>
          <t>FY26</t>
        </is>
      </c>
      <c r="B423" s="6" t="inlineStr">
        <is>
          <t>Feb</t>
        </is>
      </c>
      <c r="C423" s="6" t="inlineStr">
        <is>
          <t>AP/TS</t>
        </is>
      </c>
      <c r="D423" s="7" t="inlineStr">
        <is>
          <t>AP29BE3232</t>
        </is>
      </c>
      <c r="E423" s="7" t="inlineStr">
        <is>
          <t>HONDA</t>
        </is>
      </c>
      <c r="F423" s="7" t="inlineStr">
        <is>
          <t>City</t>
        </is>
      </c>
      <c r="G423" s="7" t="inlineStr">
        <is>
          <t>PUNEET GUPTA</t>
        </is>
      </c>
      <c r="H423" s="7" t="inlineStr">
        <is>
          <t>Non-Captive</t>
        </is>
      </c>
      <c r="I423" s="7" t="inlineStr">
        <is>
          <t>Katikala Jathin Sai</t>
        </is>
      </c>
      <c r="J423" s="8" t="n">
        <v>2008</v>
      </c>
      <c r="K423" s="9" t="n">
        <v>180112</v>
      </c>
      <c r="L423" s="10" t="n">
        <v>65000</v>
      </c>
      <c r="M423" s="10" t="n">
        <v>4237.29</v>
      </c>
      <c r="N423" s="11">
        <f>IF(M423="","",ROUND(M423*1.18,2))</f>
        <v/>
      </c>
      <c r="O423" s="12">
        <f>IF(M423="","",ROUND(N423-M423,2))</f>
        <v/>
      </c>
      <c r="P423" s="13">
        <f>IF(AND(A423&lt;&gt;"",B423&lt;&gt;""), A423&amp;" · "&amp;B423, "")</f>
        <v/>
      </c>
    </row>
    <row r="424">
      <c r="A424" s="6" t="inlineStr">
        <is>
          <t>FY26</t>
        </is>
      </c>
      <c r="B424" s="6" t="inlineStr">
        <is>
          <t>Feb</t>
        </is>
      </c>
      <c r="C424" s="6" t="inlineStr">
        <is>
          <t>AP/TS</t>
        </is>
      </c>
      <c r="D424" s="7" t="inlineStr">
        <is>
          <t>AP31BP3355</t>
        </is>
      </c>
      <c r="E424" s="7" t="inlineStr">
        <is>
          <t>FIAT</t>
        </is>
      </c>
      <c r="F424" s="7" t="inlineStr">
        <is>
          <t>Linea</t>
        </is>
      </c>
      <c r="G424" s="7" t="inlineStr">
        <is>
          <t>EXCHANGE VIZAG</t>
        </is>
      </c>
      <c r="H424" s="7" t="inlineStr">
        <is>
          <t>Captive</t>
        </is>
      </c>
      <c r="I424" s="7" t="inlineStr">
        <is>
          <t>Kaki Dinesh Kumar</t>
        </is>
      </c>
      <c r="J424" s="8" t="n">
        <v>2011</v>
      </c>
      <c r="K424" s="9" t="n">
        <v>157689</v>
      </c>
      <c r="L424" s="10" t="n">
        <v>35000</v>
      </c>
      <c r="M424" s="10" t="n">
        <v>4237.29</v>
      </c>
      <c r="N424" s="11">
        <f>IF(M424="","",ROUND(M424*1.18,2))</f>
        <v/>
      </c>
      <c r="O424" s="12">
        <f>IF(M424="","",ROUND(N424-M424,2))</f>
        <v/>
      </c>
      <c r="P424" s="13">
        <f>IF(AND(A424&lt;&gt;"",B424&lt;&gt;""), A424&amp;" · "&amp;B424, "")</f>
        <v/>
      </c>
    </row>
    <row r="425">
      <c r="A425" s="6" t="inlineStr">
        <is>
          <t>FY26</t>
        </is>
      </c>
      <c r="B425" s="6" t="inlineStr">
        <is>
          <t>Feb</t>
        </is>
      </c>
      <c r="C425" s="6" t="inlineStr">
        <is>
          <t>AP/TS</t>
        </is>
      </c>
      <c r="D425" s="7" t="inlineStr">
        <is>
          <t>AP31BW7937</t>
        </is>
      </c>
      <c r="E425" s="7" t="inlineStr">
        <is>
          <t>MARUTI SUZUKI</t>
        </is>
      </c>
      <c r="F425" s="7" t="inlineStr">
        <is>
          <t>Wagon R</t>
        </is>
      </c>
      <c r="G425" s="7" t="inlineStr">
        <is>
          <t>EXCHANGE VIZAG</t>
        </is>
      </c>
      <c r="H425" s="7" t="inlineStr">
        <is>
          <t>Captive</t>
        </is>
      </c>
      <c r="I425" s="7" t="inlineStr">
        <is>
          <t>Garaga Venkat Nagababu</t>
        </is>
      </c>
      <c r="J425" s="8" t="n">
        <v>2012</v>
      </c>
      <c r="K425" s="9" t="n">
        <v>126346</v>
      </c>
      <c r="L425" s="10" t="n">
        <v>152000</v>
      </c>
      <c r="M425" s="10" t="n">
        <v>5932.2</v>
      </c>
      <c r="N425" s="11">
        <f>IF(M425="","",ROUND(M425*1.18,2))</f>
        <v/>
      </c>
      <c r="O425" s="12">
        <f>IF(M425="","",ROUND(N425-M425,2))</f>
        <v/>
      </c>
      <c r="P425" s="13">
        <f>IF(AND(A425&lt;&gt;"",B425&lt;&gt;""), A425&amp;" · "&amp;B425, "")</f>
        <v/>
      </c>
    </row>
    <row r="426">
      <c r="A426" s="6" t="inlineStr">
        <is>
          <t>FY26</t>
        </is>
      </c>
      <c r="B426" s="6" t="inlineStr">
        <is>
          <t>Feb</t>
        </is>
      </c>
      <c r="C426" s="6" t="inlineStr">
        <is>
          <t>AP/TS</t>
        </is>
      </c>
      <c r="D426" s="7" t="inlineStr">
        <is>
          <t>AP31BY6080</t>
        </is>
      </c>
      <c r="E426" s="7" t="inlineStr">
        <is>
          <t>TATA</t>
        </is>
      </c>
      <c r="F426" s="7" t="inlineStr">
        <is>
          <t>Nano</t>
        </is>
      </c>
      <c r="G426" s="7" t="inlineStr">
        <is>
          <t>TIYYAGURA VENKATA REDDY</t>
        </is>
      </c>
      <c r="H426" s="7" t="inlineStr">
        <is>
          <t>Non-Captive</t>
        </is>
      </c>
      <c r="I426" s="7" t="inlineStr">
        <is>
          <t>Gadi Sri Bharathi</t>
        </is>
      </c>
      <c r="J426" s="8" t="n">
        <v>2011</v>
      </c>
      <c r="K426" s="9" t="n">
        <v>153152</v>
      </c>
      <c r="L426" s="10" t="n">
        <v>35000</v>
      </c>
      <c r="M426" s="10" t="n">
        <v>4237.29</v>
      </c>
      <c r="N426" s="11">
        <f>IF(M426="","",ROUND(M426*1.18,2))</f>
        <v/>
      </c>
      <c r="O426" s="12">
        <f>IF(M426="","",ROUND(N426-M426,2))</f>
        <v/>
      </c>
      <c r="P426" s="13">
        <f>IF(AND(A426&lt;&gt;"",B426&lt;&gt;""), A426&amp;" · "&amp;B426, "")</f>
        <v/>
      </c>
    </row>
    <row r="427">
      <c r="A427" s="6" t="inlineStr">
        <is>
          <t>FY26</t>
        </is>
      </c>
      <c r="B427" s="6" t="inlineStr">
        <is>
          <t>Feb</t>
        </is>
      </c>
      <c r="C427" s="6" t="inlineStr">
        <is>
          <t>AP/TS</t>
        </is>
      </c>
      <c r="D427" s="7" t="inlineStr">
        <is>
          <t>AP31CM0270</t>
        </is>
      </c>
      <c r="E427" s="7" t="inlineStr">
        <is>
          <t>HONDA</t>
        </is>
      </c>
      <c r="F427" s="7" t="inlineStr">
        <is>
          <t>Amaze</t>
        </is>
      </c>
      <c r="G427" s="7" t="inlineStr">
        <is>
          <t>EXCHANGE VIZAG</t>
        </is>
      </c>
      <c r="H427" s="7" t="inlineStr">
        <is>
          <t>Captive</t>
        </is>
      </c>
      <c r="I427" s="7" t="inlineStr">
        <is>
          <t>Gadi Sri Bharathi</t>
        </is>
      </c>
      <c r="J427" s="8" t="n">
        <v>2013</v>
      </c>
      <c r="K427" s="9" t="n">
        <v>61072</v>
      </c>
      <c r="L427" s="10" t="n">
        <v>160000</v>
      </c>
      <c r="M427" s="10" t="n">
        <v>6779.66</v>
      </c>
      <c r="N427" s="11">
        <f>IF(M427="","",ROUND(M427*1.18,2))</f>
        <v/>
      </c>
      <c r="O427" s="12">
        <f>IF(M427="","",ROUND(N427-M427,2))</f>
        <v/>
      </c>
      <c r="P427" s="13">
        <f>IF(AND(A427&lt;&gt;"",B427&lt;&gt;""), A427&amp;" · "&amp;B427, "")</f>
        <v/>
      </c>
    </row>
    <row r="428">
      <c r="A428" s="6" t="inlineStr">
        <is>
          <t>FY26</t>
        </is>
      </c>
      <c r="B428" s="6" t="inlineStr">
        <is>
          <t>Feb</t>
        </is>
      </c>
      <c r="C428" s="6" t="inlineStr">
        <is>
          <t>AP/TS</t>
        </is>
      </c>
      <c r="D428" s="7" t="inlineStr">
        <is>
          <t>AP35J4689</t>
        </is>
      </c>
      <c r="E428" s="7" t="inlineStr">
        <is>
          <t>MARUTI SUZUKI</t>
        </is>
      </c>
      <c r="F428" s="7" t="inlineStr">
        <is>
          <t>A-Star</t>
        </is>
      </c>
      <c r="G428" s="7" t="inlineStr">
        <is>
          <t>SANTHOSH KUMAR</t>
        </is>
      </c>
      <c r="H428" s="7" t="inlineStr">
        <is>
          <t>Non-Captive</t>
        </is>
      </c>
      <c r="I428" s="7" t="inlineStr">
        <is>
          <t>Kaki Dinesh Kumar</t>
        </is>
      </c>
      <c r="J428" s="8" t="n">
        <v>2009</v>
      </c>
      <c r="K428" s="9" t="n">
        <v>187320</v>
      </c>
      <c r="L428" s="10" t="n">
        <v>35000</v>
      </c>
      <c r="M428" s="10" t="n">
        <v>4237.29</v>
      </c>
      <c r="N428" s="11">
        <f>IF(M428="","",ROUND(M428*1.18,2))</f>
        <v/>
      </c>
      <c r="O428" s="12">
        <f>IF(M428="","",ROUND(N428-M428,2))</f>
        <v/>
      </c>
      <c r="P428" s="13">
        <f>IF(AND(A428&lt;&gt;"",B428&lt;&gt;""), A428&amp;" · "&amp;B428, "")</f>
        <v/>
      </c>
    </row>
    <row r="429">
      <c r="A429" s="6" t="inlineStr">
        <is>
          <t>FY26</t>
        </is>
      </c>
      <c r="B429" s="6" t="inlineStr">
        <is>
          <t>Feb</t>
        </is>
      </c>
      <c r="C429" s="6" t="inlineStr">
        <is>
          <t>AP/TS</t>
        </is>
      </c>
      <c r="D429" s="7" t="inlineStr">
        <is>
          <t>AP39BR4057</t>
        </is>
      </c>
      <c r="E429" s="7" t="inlineStr">
        <is>
          <t>HYUNDAI</t>
        </is>
      </c>
      <c r="F429" s="7" t="inlineStr">
        <is>
          <t>Eon</t>
        </is>
      </c>
      <c r="G429" s="7" t="inlineStr">
        <is>
          <t>GUTHI RAVI KRISHNA</t>
        </is>
      </c>
      <c r="H429" s="7" t="inlineStr">
        <is>
          <t>Non-Captive</t>
        </is>
      </c>
      <c r="I429" s="7" t="inlineStr">
        <is>
          <t>Vinod Kumar Murari</t>
        </is>
      </c>
      <c r="J429" s="8" t="n">
        <v>2018</v>
      </c>
      <c r="K429" s="9" t="n">
        <v>128001</v>
      </c>
      <c r="L429" s="10" t="n">
        <v>150000</v>
      </c>
      <c r="M429" s="10" t="n">
        <v>4237.29</v>
      </c>
      <c r="N429" s="11">
        <f>IF(M429="","",ROUND(M429*1.18,2))</f>
        <v/>
      </c>
      <c r="O429" s="12">
        <f>IF(M429="","",ROUND(N429-M429,2))</f>
        <v/>
      </c>
      <c r="P429" s="13">
        <f>IF(AND(A429&lt;&gt;"",B429&lt;&gt;""), A429&amp;" · "&amp;B429, "")</f>
        <v/>
      </c>
    </row>
    <row r="430">
      <c r="A430" s="6" t="inlineStr">
        <is>
          <t>FY26</t>
        </is>
      </c>
      <c r="B430" s="6" t="inlineStr">
        <is>
          <t>Feb</t>
        </is>
      </c>
      <c r="C430" s="6" t="inlineStr">
        <is>
          <t>AP/TS</t>
        </is>
      </c>
      <c r="D430" s="7" t="inlineStr">
        <is>
          <t>AP39HY2022</t>
        </is>
      </c>
      <c r="E430" s="7" t="inlineStr">
        <is>
          <t>HONDA</t>
        </is>
      </c>
      <c r="F430" s="7" t="inlineStr">
        <is>
          <t>City</t>
        </is>
      </c>
      <c r="G430" s="7" t="inlineStr">
        <is>
          <t>EXCHANGE VIZAG</t>
        </is>
      </c>
      <c r="H430" s="7" t="inlineStr">
        <is>
          <t>Captive</t>
        </is>
      </c>
      <c r="I430" s="7" t="inlineStr">
        <is>
          <t>Kaki Dinesh Kumar</t>
        </is>
      </c>
      <c r="J430" s="8" t="n">
        <v>2021</v>
      </c>
      <c r="K430" s="9" t="n">
        <v>58022</v>
      </c>
      <c r="L430" s="10" t="n">
        <v>640000</v>
      </c>
      <c r="M430" s="10" t="n">
        <v>16949.15</v>
      </c>
      <c r="N430" s="11">
        <f>IF(M430="","",ROUND(M430*1.18,2))</f>
        <v/>
      </c>
      <c r="O430" s="12">
        <f>IF(M430="","",ROUND(N430-M430,2))</f>
        <v/>
      </c>
      <c r="P430" s="13">
        <f>IF(AND(A430&lt;&gt;"",B430&lt;&gt;""), A430&amp;" · "&amp;B430, "")</f>
        <v/>
      </c>
    </row>
    <row r="431">
      <c r="A431" s="6" t="inlineStr">
        <is>
          <t>FY26</t>
        </is>
      </c>
      <c r="B431" s="6" t="inlineStr">
        <is>
          <t>Feb</t>
        </is>
      </c>
      <c r="C431" s="6" t="inlineStr">
        <is>
          <t>AP/TS</t>
        </is>
      </c>
      <c r="D431" s="7" t="inlineStr">
        <is>
          <t>AP39JR0459</t>
        </is>
      </c>
      <c r="E431" s="7" t="inlineStr">
        <is>
          <t>HYUNDAI</t>
        </is>
      </c>
      <c r="F431" s="7" t="inlineStr">
        <is>
          <t>i20</t>
        </is>
      </c>
      <c r="G431" s="7" t="inlineStr">
        <is>
          <t>EXCHANGE VIJAYAWADA</t>
        </is>
      </c>
      <c r="H431" s="7" t="inlineStr">
        <is>
          <t>Captive</t>
        </is>
      </c>
      <c r="I431" s="7" t="inlineStr">
        <is>
          <t>Suresh Ginjupalli</t>
        </is>
      </c>
      <c r="J431" s="8" t="n">
        <v>2021</v>
      </c>
      <c r="K431" s="9" t="n">
        <v>51140</v>
      </c>
      <c r="L431" s="10" t="n">
        <v>535000</v>
      </c>
      <c r="M431" s="10" t="n">
        <v>12711.86</v>
      </c>
      <c r="N431" s="11">
        <f>IF(M431="","",ROUND(M431*1.18,2))</f>
        <v/>
      </c>
      <c r="O431" s="12">
        <f>IF(M431="","",ROUND(N431-M431,2))</f>
        <v/>
      </c>
      <c r="P431" s="13">
        <f>IF(AND(A431&lt;&gt;"",B431&lt;&gt;""), A431&amp;" · "&amp;B431, "")</f>
        <v/>
      </c>
    </row>
    <row r="432">
      <c r="A432" s="6" t="inlineStr">
        <is>
          <t>FY26</t>
        </is>
      </c>
      <c r="B432" s="6" t="inlineStr">
        <is>
          <t>Feb</t>
        </is>
      </c>
      <c r="C432" s="6" t="inlineStr">
        <is>
          <t>AP/TS</t>
        </is>
      </c>
      <c r="D432" s="7" t="inlineStr">
        <is>
          <t>AP39MY8487</t>
        </is>
      </c>
      <c r="E432" s="7" t="inlineStr">
        <is>
          <t>MARUTI SUZUKI</t>
        </is>
      </c>
      <c r="F432" s="7" t="inlineStr">
        <is>
          <t>Vitara Brezza</t>
        </is>
      </c>
      <c r="G432" s="7" t="inlineStr">
        <is>
          <t>SESETTI MANOJ KUMAR</t>
        </is>
      </c>
      <c r="H432" s="7" t="inlineStr">
        <is>
          <t>Non-Captive</t>
        </is>
      </c>
      <c r="I432" s="7" t="inlineStr">
        <is>
          <t>Suresh Ginjupalli</t>
        </is>
      </c>
      <c r="J432" s="8" t="n">
        <v>2022</v>
      </c>
      <c r="K432" s="9" t="n">
        <v>55726</v>
      </c>
      <c r="L432" s="10" t="n">
        <v>660000</v>
      </c>
      <c r="M432" s="10" t="n">
        <v>8474.58</v>
      </c>
      <c r="N432" s="11">
        <f>IF(M432="","",ROUND(M432*1.18,2))</f>
        <v/>
      </c>
      <c r="O432" s="12">
        <f>IF(M432="","",ROUND(N432-M432,2))</f>
        <v/>
      </c>
      <c r="P432" s="13">
        <f>IF(AND(A432&lt;&gt;"",B432&lt;&gt;""), A432&amp;" · "&amp;B432, "")</f>
        <v/>
      </c>
    </row>
    <row r="433">
      <c r="A433" s="6" t="inlineStr">
        <is>
          <t>FY26</t>
        </is>
      </c>
      <c r="B433" s="6" t="inlineStr">
        <is>
          <t>Feb</t>
        </is>
      </c>
      <c r="C433" s="6" t="inlineStr">
        <is>
          <t>AP/TS</t>
        </is>
      </c>
      <c r="D433" s="7" t="inlineStr">
        <is>
          <t>TS01EH6073</t>
        </is>
      </c>
      <c r="E433" s="7" t="inlineStr">
        <is>
          <t>HONDA</t>
        </is>
      </c>
      <c r="F433" s="7" t="inlineStr">
        <is>
          <t>Jazz</t>
        </is>
      </c>
      <c r="G433" s="7" t="inlineStr">
        <is>
          <t>EXCHANGE HYDERABAD</t>
        </is>
      </c>
      <c r="H433" s="7" t="inlineStr">
        <is>
          <t>Captive</t>
        </is>
      </c>
      <c r="I433" s="7" t="inlineStr">
        <is>
          <t>Gorenka Vinay Shravan</t>
        </is>
      </c>
      <c r="J433" s="8" t="n">
        <v>2016</v>
      </c>
      <c r="K433" s="9" t="n">
        <v>111819</v>
      </c>
      <c r="L433" s="10" t="n">
        <v>205000</v>
      </c>
      <c r="M433" s="10" t="n">
        <v>8474.58</v>
      </c>
      <c r="N433" s="11">
        <f>IF(M433="","",ROUND(M433*1.18,2))</f>
        <v/>
      </c>
      <c r="O433" s="12">
        <f>IF(M433="","",ROUND(N433-M433,2))</f>
        <v/>
      </c>
      <c r="P433" s="13">
        <f>IF(AND(A433&lt;&gt;"",B433&lt;&gt;""), A433&amp;" · "&amp;B433, "")</f>
        <v/>
      </c>
    </row>
    <row r="434">
      <c r="A434" s="6" t="inlineStr">
        <is>
          <t>FY26</t>
        </is>
      </c>
      <c r="B434" s="6" t="inlineStr">
        <is>
          <t>Feb</t>
        </is>
      </c>
      <c r="C434" s="6" t="inlineStr">
        <is>
          <t>AP/TS</t>
        </is>
      </c>
      <c r="D434" s="7" t="inlineStr">
        <is>
          <t>TS03EH4112</t>
        </is>
      </c>
      <c r="E434" s="7" t="inlineStr">
        <is>
          <t>RENAULT</t>
        </is>
      </c>
      <c r="F434" s="7" t="inlineStr">
        <is>
          <t>Kwid</t>
        </is>
      </c>
      <c r="G434" s="7" t="inlineStr">
        <is>
          <t>BUKYA SANTHOSH NAIK</t>
        </is>
      </c>
      <c r="H434" s="7" t="inlineStr">
        <is>
          <t>Non-Captive</t>
        </is>
      </c>
      <c r="I434" s="7" t="inlineStr">
        <is>
          <t>Prabjyoth Singh Wasu</t>
        </is>
      </c>
      <c r="J434" s="8" t="n">
        <v>2016</v>
      </c>
      <c r="K434" s="9" t="n">
        <v>145852</v>
      </c>
      <c r="L434" s="10" t="n">
        <v>130000</v>
      </c>
      <c r="M434" s="10" t="n">
        <v>4237.29</v>
      </c>
      <c r="N434" s="11">
        <f>IF(M434="","",ROUND(M434*1.18,2))</f>
        <v/>
      </c>
      <c r="O434" s="12">
        <f>IF(M434="","",ROUND(N434-M434,2))</f>
        <v/>
      </c>
      <c r="P434" s="13">
        <f>IF(AND(A434&lt;&gt;"",B434&lt;&gt;""), A434&amp;" · "&amp;B434, "")</f>
        <v/>
      </c>
    </row>
    <row r="435">
      <c r="A435" s="6" t="inlineStr">
        <is>
          <t>FY26</t>
        </is>
      </c>
      <c r="B435" s="6" t="inlineStr">
        <is>
          <t>Feb</t>
        </is>
      </c>
      <c r="C435" s="6" t="inlineStr">
        <is>
          <t>AP/TS</t>
        </is>
      </c>
      <c r="D435" s="7" t="inlineStr">
        <is>
          <t>TS07EC3601</t>
        </is>
      </c>
      <c r="E435" s="7" t="inlineStr">
        <is>
          <t>HONDA</t>
        </is>
      </c>
      <c r="F435" s="7" t="inlineStr">
        <is>
          <t>City</t>
        </is>
      </c>
      <c r="G435" s="7" t="inlineStr">
        <is>
          <t>ABDUL MUGEES</t>
        </is>
      </c>
      <c r="H435" s="7" t="inlineStr">
        <is>
          <t>Non-Captive</t>
        </is>
      </c>
      <c r="I435" s="7" t="inlineStr">
        <is>
          <t>Uppari Sandeep Kumar</t>
        </is>
      </c>
      <c r="J435" s="8" t="n">
        <v>2014</v>
      </c>
      <c r="K435" s="9" t="n">
        <v>190267</v>
      </c>
      <c r="L435" s="10" t="n">
        <v>155000</v>
      </c>
      <c r="M435" s="10" t="n">
        <v>4237.29</v>
      </c>
      <c r="N435" s="11">
        <f>IF(M435="","",ROUND(M435*1.18,2))</f>
        <v/>
      </c>
      <c r="O435" s="12">
        <f>IF(M435="","",ROUND(N435-M435,2))</f>
        <v/>
      </c>
      <c r="P435" s="13">
        <f>IF(AND(A435&lt;&gt;"",B435&lt;&gt;""), A435&amp;" · "&amp;B435, "")</f>
        <v/>
      </c>
    </row>
    <row r="436">
      <c r="A436" s="6" t="inlineStr">
        <is>
          <t>FY26</t>
        </is>
      </c>
      <c r="B436" s="6" t="inlineStr">
        <is>
          <t>Feb</t>
        </is>
      </c>
      <c r="C436" s="6" t="inlineStr">
        <is>
          <t>AP/TS</t>
        </is>
      </c>
      <c r="D436" s="7" t="inlineStr">
        <is>
          <t>TS07EU3566</t>
        </is>
      </c>
      <c r="E436" s="7" t="inlineStr">
        <is>
          <t>MARUTI SUZUKI</t>
        </is>
      </c>
      <c r="F436" s="7" t="inlineStr">
        <is>
          <t>Alto</t>
        </is>
      </c>
      <c r="G436" s="7" t="inlineStr">
        <is>
          <t>PUDARI BABU</t>
        </is>
      </c>
      <c r="H436" s="7" t="inlineStr">
        <is>
          <t>Non-Captive</t>
        </is>
      </c>
      <c r="I436" s="7" t="inlineStr">
        <is>
          <t>Puneet Gupta</t>
        </is>
      </c>
      <c r="J436" s="8" t="n">
        <v>2015</v>
      </c>
      <c r="K436" s="9" t="n">
        <v>162521</v>
      </c>
      <c r="L436" s="10" t="n">
        <v>125000</v>
      </c>
      <c r="M436" s="10" t="n">
        <v>4237.29</v>
      </c>
      <c r="N436" s="11">
        <f>IF(M436="","",ROUND(M436*1.18,2))</f>
        <v/>
      </c>
      <c r="O436" s="12">
        <f>IF(M436="","",ROUND(N436-M436,2))</f>
        <v/>
      </c>
      <c r="P436" s="13">
        <f>IF(AND(A436&lt;&gt;"",B436&lt;&gt;""), A436&amp;" · "&amp;B436, "")</f>
        <v/>
      </c>
    </row>
    <row r="437">
      <c r="A437" s="6" t="inlineStr">
        <is>
          <t>FY26</t>
        </is>
      </c>
      <c r="B437" s="6" t="inlineStr">
        <is>
          <t>Feb</t>
        </is>
      </c>
      <c r="C437" s="6" t="inlineStr">
        <is>
          <t>AP/TS</t>
        </is>
      </c>
      <c r="D437" s="7" t="inlineStr">
        <is>
          <t>TS07EV6918</t>
        </is>
      </c>
      <c r="E437" s="7" t="inlineStr">
        <is>
          <t>RENAULT</t>
        </is>
      </c>
      <c r="F437" s="7" t="inlineStr">
        <is>
          <t>Kwid</t>
        </is>
      </c>
      <c r="G437" s="7" t="inlineStr">
        <is>
          <t>BUKYA SANTHOSH NAIK</t>
        </is>
      </c>
      <c r="H437" s="7" t="inlineStr">
        <is>
          <t>Non-Captive</t>
        </is>
      </c>
      <c r="I437" s="7" t="inlineStr">
        <is>
          <t>Prabjyoth Singh Wasu</t>
        </is>
      </c>
      <c r="J437" s="8" t="n">
        <v>2015</v>
      </c>
      <c r="K437" s="9" t="n">
        <v>189650</v>
      </c>
      <c r="L437" s="10" t="n">
        <v>110000</v>
      </c>
      <c r="M437" s="10" t="n">
        <v>4237.29</v>
      </c>
      <c r="N437" s="11">
        <f>IF(M437="","",ROUND(M437*1.18,2))</f>
        <v/>
      </c>
      <c r="O437" s="12">
        <f>IF(M437="","",ROUND(N437-M437,2))</f>
        <v/>
      </c>
      <c r="P437" s="13">
        <f>IF(AND(A437&lt;&gt;"",B437&lt;&gt;""), A437&amp;" · "&amp;B437, "")</f>
        <v/>
      </c>
    </row>
    <row r="438">
      <c r="A438" s="6" t="inlineStr">
        <is>
          <t>FY26</t>
        </is>
      </c>
      <c r="B438" s="6" t="inlineStr">
        <is>
          <t>Feb</t>
        </is>
      </c>
      <c r="C438" s="6" t="inlineStr">
        <is>
          <t>AP/TS</t>
        </is>
      </c>
      <c r="D438" s="7" t="inlineStr">
        <is>
          <t>TS08EL1213</t>
        </is>
      </c>
      <c r="E438" s="7" t="inlineStr">
        <is>
          <t>MARUTI SUZUKI</t>
        </is>
      </c>
      <c r="F438" s="7" t="inlineStr">
        <is>
          <t>Alto</t>
        </is>
      </c>
      <c r="G438" s="7" t="inlineStr">
        <is>
          <t>PUDARI BABU</t>
        </is>
      </c>
      <c r="H438" s="7" t="inlineStr">
        <is>
          <t>Non-Captive</t>
        </is>
      </c>
      <c r="I438" s="7" t="inlineStr">
        <is>
          <t>Puneet Gupta</t>
        </is>
      </c>
      <c r="J438" s="8" t="n">
        <v>2015</v>
      </c>
      <c r="K438" s="9" t="n">
        <v>175212</v>
      </c>
      <c r="L438" s="10" t="n">
        <v>110000</v>
      </c>
      <c r="M438" s="10" t="n">
        <v>4237.29</v>
      </c>
      <c r="N438" s="11">
        <f>IF(M438="","",ROUND(M438*1.18,2))</f>
        <v/>
      </c>
      <c r="O438" s="12">
        <f>IF(M438="","",ROUND(N438-M438,2))</f>
        <v/>
      </c>
      <c r="P438" s="13">
        <f>IF(AND(A438&lt;&gt;"",B438&lt;&gt;""), A438&amp;" · "&amp;B438, "")</f>
        <v/>
      </c>
    </row>
    <row r="439">
      <c r="A439" s="6" t="inlineStr">
        <is>
          <t>FY26</t>
        </is>
      </c>
      <c r="B439" s="6" t="inlineStr">
        <is>
          <t>Feb</t>
        </is>
      </c>
      <c r="C439" s="6" t="inlineStr">
        <is>
          <t>AP/TS</t>
        </is>
      </c>
      <c r="D439" s="7" t="inlineStr">
        <is>
          <t>TS09ES6218</t>
        </is>
      </c>
      <c r="E439" s="7" t="inlineStr">
        <is>
          <t>HONDA</t>
        </is>
      </c>
      <c r="F439" s="7" t="inlineStr">
        <is>
          <t>Amaze</t>
        </is>
      </c>
      <c r="G439" s="7" t="inlineStr">
        <is>
          <t>EXCHANGE HYDERABAD</t>
        </is>
      </c>
      <c r="H439" s="7" t="inlineStr">
        <is>
          <t>Captive</t>
        </is>
      </c>
      <c r="I439" s="7" t="inlineStr">
        <is>
          <t>Abdul Razzaq</t>
        </is>
      </c>
      <c r="J439" s="8" t="n">
        <v>2017</v>
      </c>
      <c r="K439" s="9" t="n">
        <v>148646</v>
      </c>
      <c r="L439" s="10" t="n">
        <v>295000</v>
      </c>
      <c r="M439" s="10" t="n">
        <v>8474.58</v>
      </c>
      <c r="N439" s="11">
        <f>IF(M439="","",ROUND(M439*1.18,2))</f>
        <v/>
      </c>
      <c r="O439" s="12">
        <f>IF(M439="","",ROUND(N439-M439,2))</f>
        <v/>
      </c>
      <c r="P439" s="13">
        <f>IF(AND(A439&lt;&gt;"",B439&lt;&gt;""), A439&amp;" · "&amp;B439, "")</f>
        <v/>
      </c>
    </row>
    <row r="440">
      <c r="A440" s="6" t="inlineStr">
        <is>
          <t>FY26</t>
        </is>
      </c>
      <c r="B440" s="6" t="inlineStr">
        <is>
          <t>Feb</t>
        </is>
      </c>
      <c r="C440" s="6" t="inlineStr">
        <is>
          <t>AP/TS</t>
        </is>
      </c>
      <c r="D440" s="7" t="inlineStr">
        <is>
          <t>TS09EU9099</t>
        </is>
      </c>
      <c r="E440" s="7" t="inlineStr">
        <is>
          <t>VOLKSWAGEN</t>
        </is>
      </c>
      <c r="F440" s="7" t="inlineStr">
        <is>
          <t>Vento</t>
        </is>
      </c>
      <c r="G440" s="7" t="inlineStr">
        <is>
          <t>EXCHANGE HYDERABAD</t>
        </is>
      </c>
      <c r="H440" s="7" t="inlineStr">
        <is>
          <t>Captive</t>
        </is>
      </c>
      <c r="I440" s="7" t="inlineStr">
        <is>
          <t>Prabjyoth Singh Wasu</t>
        </is>
      </c>
      <c r="J440" s="8" t="n">
        <v>2016</v>
      </c>
      <c r="K440" s="9" t="n">
        <v>86648</v>
      </c>
      <c r="L440" s="10" t="n">
        <v>390000</v>
      </c>
      <c r="M440" s="10" t="n">
        <v>8474.58</v>
      </c>
      <c r="N440" s="11">
        <f>IF(M440="","",ROUND(M440*1.18,2))</f>
        <v/>
      </c>
      <c r="O440" s="12">
        <f>IF(M440="","",ROUND(N440-M440,2))</f>
        <v/>
      </c>
      <c r="P440" s="13">
        <f>IF(AND(A440&lt;&gt;"",B440&lt;&gt;""), A440&amp;" · "&amp;B440, "")</f>
        <v/>
      </c>
    </row>
    <row r="441">
      <c r="A441" s="6" t="inlineStr">
        <is>
          <t>FY26</t>
        </is>
      </c>
      <c r="B441" s="6" t="inlineStr">
        <is>
          <t>Feb</t>
        </is>
      </c>
      <c r="C441" s="6" t="inlineStr">
        <is>
          <t>AP/TS</t>
        </is>
      </c>
      <c r="D441" s="7" t="inlineStr">
        <is>
          <t>TS10EG5429</t>
        </is>
      </c>
      <c r="E441" s="7" t="inlineStr">
        <is>
          <t>HONDA</t>
        </is>
      </c>
      <c r="F441" s="7" t="inlineStr">
        <is>
          <t>Amaze</t>
        </is>
      </c>
      <c r="G441" s="7" t="inlineStr">
        <is>
          <t>EXCHANGE HYDERABAD</t>
        </is>
      </c>
      <c r="H441" s="7" t="inlineStr">
        <is>
          <t>Captive</t>
        </is>
      </c>
      <c r="I441" s="7" t="inlineStr">
        <is>
          <t>Gorenka Vinay Shravan</t>
        </is>
      </c>
      <c r="J441" s="8" t="n">
        <v>2016</v>
      </c>
      <c r="K441" s="9" t="n">
        <v>115617</v>
      </c>
      <c r="L441" s="10" t="n">
        <v>255000</v>
      </c>
      <c r="M441" s="10" t="n">
        <v>8474.58</v>
      </c>
      <c r="N441" s="11">
        <f>IF(M441="","",ROUND(M441*1.18,2))</f>
        <v/>
      </c>
      <c r="O441" s="12">
        <f>IF(M441="","",ROUND(N441-M441,2))</f>
        <v/>
      </c>
      <c r="P441" s="13">
        <f>IF(AND(A441&lt;&gt;"",B441&lt;&gt;""), A441&amp;" · "&amp;B441, "")</f>
        <v/>
      </c>
    </row>
    <row r="442">
      <c r="A442" s="6" t="inlineStr">
        <is>
          <t>FY26</t>
        </is>
      </c>
      <c r="B442" s="6" t="inlineStr">
        <is>
          <t>Feb</t>
        </is>
      </c>
      <c r="C442" s="6" t="inlineStr">
        <is>
          <t>AP/TS</t>
        </is>
      </c>
      <c r="D442" s="7" t="inlineStr">
        <is>
          <t>TS36E5258</t>
        </is>
      </c>
      <c r="E442" s="7" t="inlineStr">
        <is>
          <t>RENAULT</t>
        </is>
      </c>
      <c r="F442" s="7" t="inlineStr">
        <is>
          <t>Kwid</t>
        </is>
      </c>
      <c r="G442" s="7" t="inlineStr">
        <is>
          <t>BUKYA SANTHOSH NAIK</t>
        </is>
      </c>
      <c r="H442" s="7" t="inlineStr">
        <is>
          <t>Non-Captive</t>
        </is>
      </c>
      <c r="I442" s="7" t="inlineStr">
        <is>
          <t>Prabjyoth Singh Wasu</t>
        </is>
      </c>
      <c r="J442" s="8" t="n">
        <v>2019</v>
      </c>
      <c r="K442" s="9" t="n">
        <v>161247</v>
      </c>
      <c r="L442" s="10" t="n">
        <v>170000</v>
      </c>
      <c r="M442" s="10" t="n">
        <v>4237.29</v>
      </c>
      <c r="N442" s="11">
        <f>IF(M442="","",ROUND(M442*1.18,2))</f>
        <v/>
      </c>
      <c r="O442" s="12">
        <f>IF(M442="","",ROUND(N442-M442,2))</f>
        <v/>
      </c>
      <c r="P442" s="13">
        <f>IF(AND(A442&lt;&gt;"",B442&lt;&gt;""), A442&amp;" · "&amp;B442, "")</f>
        <v/>
      </c>
    </row>
    <row r="443">
      <c r="A443" s="6" t="inlineStr">
        <is>
          <t>FY26</t>
        </is>
      </c>
      <c r="B443" s="6" t="inlineStr">
        <is>
          <t>Feb</t>
        </is>
      </c>
      <c r="C443" s="6" t="inlineStr">
        <is>
          <t>Kerala</t>
        </is>
      </c>
      <c r="D443" s="7" t="inlineStr">
        <is>
          <t>KL01AQ9403</t>
        </is>
      </c>
      <c r="E443" s="7" t="inlineStr">
        <is>
          <t>MARUTI SUZUKI</t>
        </is>
      </c>
      <c r="F443" s="7" t="inlineStr">
        <is>
          <t>Wagon R</t>
        </is>
      </c>
      <c r="G443" s="7" t="inlineStr">
        <is>
          <t>RAHUL</t>
        </is>
      </c>
      <c r="H443" s="7" t="inlineStr">
        <is>
          <t>Non-Captive</t>
        </is>
      </c>
      <c r="I443" s="7" t="inlineStr">
        <is>
          <t>POPULAR HYUNDAI</t>
        </is>
      </c>
      <c r="J443" s="8" t="n"/>
      <c r="K443" s="9" t="n">
        <v>96550</v>
      </c>
      <c r="L443" s="10" t="n">
        <v>75000</v>
      </c>
      <c r="M443" s="10" t="n">
        <v>5932.2</v>
      </c>
      <c r="N443" s="11">
        <f>IF(M443="","",ROUND(M443*1.18,2))</f>
        <v/>
      </c>
      <c r="O443" s="12">
        <f>IF(M443="","",ROUND(N443-M443,2))</f>
        <v/>
      </c>
      <c r="P443" s="13">
        <f>IF(AND(A443&lt;&gt;"",B443&lt;&gt;""), A443&amp;" · "&amp;B443, "")</f>
        <v/>
      </c>
    </row>
    <row r="444">
      <c r="A444" s="6" t="inlineStr">
        <is>
          <t>FY26</t>
        </is>
      </c>
      <c r="B444" s="6" t="inlineStr">
        <is>
          <t>Feb</t>
        </is>
      </c>
      <c r="C444" s="6" t="inlineStr">
        <is>
          <t>Kerala</t>
        </is>
      </c>
      <c r="D444" s="7" t="inlineStr">
        <is>
          <t>KL01AT7560</t>
        </is>
      </c>
      <c r="E444" s="7" t="inlineStr">
        <is>
          <t>HYUNDAI</t>
        </is>
      </c>
      <c r="F444" s="7" t="inlineStr">
        <is>
          <t>Santro</t>
        </is>
      </c>
      <c r="G444" s="7" t="inlineStr">
        <is>
          <t>ARAVIND</t>
        </is>
      </c>
      <c r="H444" s="7" t="inlineStr">
        <is>
          <t>Non-Captive</t>
        </is>
      </c>
      <c r="I444" s="7" t="inlineStr">
        <is>
          <t>PPS SKODA</t>
        </is>
      </c>
      <c r="J444" s="8" t="n"/>
      <c r="K444" s="9" t="n">
        <v>30500</v>
      </c>
      <c r="L444" s="10" t="n">
        <v>60000</v>
      </c>
      <c r="M444" s="10" t="n">
        <v>5084.75</v>
      </c>
      <c r="N444" s="11">
        <f>IF(M444="","",ROUND(M444*1.18,2))</f>
        <v/>
      </c>
      <c r="O444" s="12">
        <f>IF(M444="","",ROUND(N444-M444,2))</f>
        <v/>
      </c>
      <c r="P444" s="13">
        <f>IF(AND(A444&lt;&gt;"",B444&lt;&gt;""), A444&amp;" · "&amp;B444, "")</f>
        <v/>
      </c>
    </row>
    <row r="445">
      <c r="A445" s="6" t="inlineStr">
        <is>
          <t>FY26</t>
        </is>
      </c>
      <c r="B445" s="6" t="inlineStr">
        <is>
          <t>Feb</t>
        </is>
      </c>
      <c r="C445" s="6" t="inlineStr">
        <is>
          <t>Kerala</t>
        </is>
      </c>
      <c r="D445" s="7" t="inlineStr">
        <is>
          <t>KL01AT8748</t>
        </is>
      </c>
      <c r="E445" s="7" t="inlineStr">
        <is>
          <t>HYUNDAI</t>
        </is>
      </c>
      <c r="F445" s="7" t="inlineStr">
        <is>
          <t>Santro</t>
        </is>
      </c>
      <c r="G445" s="7" t="inlineStr">
        <is>
          <t>SANTHOSH</t>
        </is>
      </c>
      <c r="H445" s="7" t="inlineStr">
        <is>
          <t>Non-Captive</t>
        </is>
      </c>
      <c r="I445" s="7" t="inlineStr">
        <is>
          <t>REFERENCE</t>
        </is>
      </c>
      <c r="J445" s="8" t="n"/>
      <c r="K445" s="9" t="n">
        <v>88900</v>
      </c>
      <c r="L445" s="10" t="n">
        <v>39000</v>
      </c>
      <c r="M445" s="10" t="n">
        <v>5084.75</v>
      </c>
      <c r="N445" s="11">
        <f>IF(M445="","",ROUND(M445*1.18,2))</f>
        <v/>
      </c>
      <c r="O445" s="12">
        <f>IF(M445="","",ROUND(N445-M445,2))</f>
        <v/>
      </c>
      <c r="P445" s="13">
        <f>IF(AND(A445&lt;&gt;"",B445&lt;&gt;""), A445&amp;" · "&amp;B445, "")</f>
        <v/>
      </c>
    </row>
    <row r="446">
      <c r="A446" s="6" t="inlineStr">
        <is>
          <t>FY26</t>
        </is>
      </c>
      <c r="B446" s="6" t="inlineStr">
        <is>
          <t>Feb</t>
        </is>
      </c>
      <c r="C446" s="6" t="inlineStr">
        <is>
          <t>Kerala</t>
        </is>
      </c>
      <c r="D446" s="7" t="inlineStr">
        <is>
          <t>KL01BA5230</t>
        </is>
      </c>
      <c r="E446" s="7" t="inlineStr">
        <is>
          <t>MARUTI SUZUKI</t>
        </is>
      </c>
      <c r="F446" s="7" t="inlineStr">
        <is>
          <t>Alto</t>
        </is>
      </c>
      <c r="G446" s="7" t="inlineStr">
        <is>
          <t>ABHISHEK</t>
        </is>
      </c>
      <c r="H446" s="7" t="inlineStr">
        <is>
          <t>Non-Captive</t>
        </is>
      </c>
      <c r="I446" s="7" t="inlineStr">
        <is>
          <t>PPS SKODA</t>
        </is>
      </c>
      <c r="J446" s="8" t="n"/>
      <c r="K446" s="9" t="n">
        <v>6000</v>
      </c>
      <c r="L446" s="10" t="n">
        <v>145000</v>
      </c>
      <c r="M446" s="10" t="n">
        <v>4237.29</v>
      </c>
      <c r="N446" s="11">
        <f>IF(M446="","",ROUND(M446*1.18,2))</f>
        <v/>
      </c>
      <c r="O446" s="12">
        <f>IF(M446="","",ROUND(N446-M446,2))</f>
        <v/>
      </c>
      <c r="P446" s="13">
        <f>IF(AND(A446&lt;&gt;"",B446&lt;&gt;""), A446&amp;" · "&amp;B446, "")</f>
        <v/>
      </c>
    </row>
    <row r="447">
      <c r="A447" s="6" t="inlineStr">
        <is>
          <t>FY26</t>
        </is>
      </c>
      <c r="B447" s="6" t="inlineStr">
        <is>
          <t>Feb</t>
        </is>
      </c>
      <c r="C447" s="6" t="inlineStr">
        <is>
          <t>Kerala</t>
        </is>
      </c>
      <c r="D447" s="7" t="inlineStr">
        <is>
          <t>KL01BD3165</t>
        </is>
      </c>
      <c r="E447" s="7" t="inlineStr">
        <is>
          <t>MARUTI SUZUKI</t>
        </is>
      </c>
      <c r="F447" s="7" t="inlineStr">
        <is>
          <t>Dzire</t>
        </is>
      </c>
      <c r="G447" s="7" t="inlineStr">
        <is>
          <t>ABHISHEK</t>
        </is>
      </c>
      <c r="H447" s="7" t="inlineStr">
        <is>
          <t>Non-Captive</t>
        </is>
      </c>
      <c r="I447" s="7" t="inlineStr">
        <is>
          <t>POPULAR MARUTI</t>
        </is>
      </c>
      <c r="J447" s="8" t="n"/>
      <c r="K447" s="9" t="n">
        <v>117500</v>
      </c>
      <c r="L447" s="10" t="n">
        <v>125000</v>
      </c>
      <c r="M447" s="10" t="n">
        <v>5932.2</v>
      </c>
      <c r="N447" s="11">
        <f>IF(M447="","",ROUND(M447*1.18,2))</f>
        <v/>
      </c>
      <c r="O447" s="12">
        <f>IF(M447="","",ROUND(N447-M447,2))</f>
        <v/>
      </c>
      <c r="P447" s="13">
        <f>IF(AND(A447&lt;&gt;"",B447&lt;&gt;""), A447&amp;" · "&amp;B447, "")</f>
        <v/>
      </c>
    </row>
    <row r="448">
      <c r="A448" s="6" t="inlineStr">
        <is>
          <t>FY26</t>
        </is>
      </c>
      <c r="B448" s="6" t="inlineStr">
        <is>
          <t>Feb</t>
        </is>
      </c>
      <c r="C448" s="6" t="inlineStr">
        <is>
          <t>Kerala</t>
        </is>
      </c>
      <c r="D448" s="7" t="inlineStr">
        <is>
          <t>KL01CF1636</t>
        </is>
      </c>
      <c r="E448" s="7" t="inlineStr">
        <is>
          <t>MARUTI SUZUKI</t>
        </is>
      </c>
      <c r="F448" s="7" t="inlineStr">
        <is>
          <t>Swift</t>
        </is>
      </c>
      <c r="G448" s="7" t="inlineStr">
        <is>
          <t>ABHISHEK</t>
        </is>
      </c>
      <c r="H448" s="7" t="inlineStr">
        <is>
          <t>Non-Captive</t>
        </is>
      </c>
      <c r="I448" s="7" t="inlineStr">
        <is>
          <t>PPS KIA</t>
        </is>
      </c>
      <c r="J448" s="8" t="n"/>
      <c r="K448" s="9" t="n">
        <v>77000</v>
      </c>
      <c r="L448" s="10" t="n">
        <v>420000</v>
      </c>
      <c r="M448" s="10" t="n">
        <v>5084.75</v>
      </c>
      <c r="N448" s="11">
        <f>IF(M448="","",ROUND(M448*1.18,2))</f>
        <v/>
      </c>
      <c r="O448" s="12">
        <f>IF(M448="","",ROUND(N448-M448,2))</f>
        <v/>
      </c>
      <c r="P448" s="13">
        <f>IF(AND(A448&lt;&gt;"",B448&lt;&gt;""), A448&amp;" · "&amp;B448, "")</f>
        <v/>
      </c>
    </row>
    <row r="449">
      <c r="A449" s="6" t="inlineStr">
        <is>
          <t>FY26</t>
        </is>
      </c>
      <c r="B449" s="6" t="inlineStr">
        <is>
          <t>Feb</t>
        </is>
      </c>
      <c r="C449" s="6" t="inlineStr">
        <is>
          <t>Kerala</t>
        </is>
      </c>
      <c r="D449" s="7" t="inlineStr">
        <is>
          <t>KL01CQ6864</t>
        </is>
      </c>
      <c r="E449" s="7" t="inlineStr">
        <is>
          <t>MARUTI SUZUKI</t>
        </is>
      </c>
      <c r="F449" s="7" t="inlineStr">
        <is>
          <t>Wagon R</t>
        </is>
      </c>
      <c r="G449" s="7" t="inlineStr">
        <is>
          <t>PRAJOSH</t>
        </is>
      </c>
      <c r="H449" s="7" t="inlineStr">
        <is>
          <t>Non-Captive</t>
        </is>
      </c>
      <c r="I449" s="7" t="inlineStr">
        <is>
          <t>KAIRALI TOYOTA</t>
        </is>
      </c>
      <c r="J449" s="8" t="n"/>
      <c r="K449" s="9" t="n">
        <v>85000</v>
      </c>
      <c r="L449" s="10" t="n">
        <v>325000</v>
      </c>
      <c r="M449" s="10" t="n">
        <v>5084.75</v>
      </c>
      <c r="N449" s="11">
        <f>IF(M449="","",ROUND(M449*1.18,2))</f>
        <v/>
      </c>
      <c r="O449" s="12">
        <f>IF(M449="","",ROUND(N449-M449,2))</f>
        <v/>
      </c>
      <c r="P449" s="13">
        <f>IF(AND(A449&lt;&gt;"",B449&lt;&gt;""), A449&amp;" · "&amp;B449, "")</f>
        <v/>
      </c>
    </row>
    <row r="450">
      <c r="A450" s="6" t="inlineStr">
        <is>
          <t>FY26</t>
        </is>
      </c>
      <c r="B450" s="6" t="inlineStr">
        <is>
          <t>Feb</t>
        </is>
      </c>
      <c r="C450" s="6" t="inlineStr">
        <is>
          <t>Kerala</t>
        </is>
      </c>
      <c r="D450" s="7" t="inlineStr">
        <is>
          <t>KL01CU9461</t>
        </is>
      </c>
      <c r="E450" s="7" t="inlineStr">
        <is>
          <t>TATA</t>
        </is>
      </c>
      <c r="F450" s="7" t="inlineStr">
        <is>
          <t>Tiago</t>
        </is>
      </c>
      <c r="G450" s="7" t="inlineStr">
        <is>
          <t>KANNUR PLATINUM</t>
        </is>
      </c>
      <c r="H450" s="7" t="inlineStr">
        <is>
          <t>Non-Captive</t>
        </is>
      </c>
      <c r="I450" s="7" t="inlineStr">
        <is>
          <t>BIMAL</t>
        </is>
      </c>
      <c r="J450" s="8" t="n"/>
      <c r="K450" s="9" t="n">
        <v>41000</v>
      </c>
      <c r="L450" s="10" t="n">
        <v>405000</v>
      </c>
      <c r="M450" s="10" t="n">
        <v>5932.2</v>
      </c>
      <c r="N450" s="11">
        <f>IF(M450="","",ROUND(M450*1.18,2))</f>
        <v/>
      </c>
      <c r="O450" s="12">
        <f>IF(M450="","",ROUND(N450-M450,2))</f>
        <v/>
      </c>
      <c r="P450" s="13">
        <f>IF(AND(A450&lt;&gt;"",B450&lt;&gt;""), A450&amp;" · "&amp;B450, "")</f>
        <v/>
      </c>
    </row>
    <row r="451">
      <c r="A451" s="6" t="inlineStr">
        <is>
          <t>FY26</t>
        </is>
      </c>
      <c r="B451" s="6" t="inlineStr">
        <is>
          <t>Feb</t>
        </is>
      </c>
      <c r="C451" s="6" t="inlineStr">
        <is>
          <t>Kerala</t>
        </is>
      </c>
      <c r="D451" s="7" t="inlineStr">
        <is>
          <t>KL02AS4643</t>
        </is>
      </c>
      <c r="E451" s="7" t="inlineStr">
        <is>
          <t>MARUTI SUZUKI</t>
        </is>
      </c>
      <c r="F451" s="7" t="inlineStr">
        <is>
          <t>Alto</t>
        </is>
      </c>
      <c r="G451" s="7" t="inlineStr">
        <is>
          <t>SHAHAR T</t>
        </is>
      </c>
      <c r="H451" s="7" t="inlineStr">
        <is>
          <t>Non-Captive</t>
        </is>
      </c>
      <c r="I451" s="7" t="inlineStr">
        <is>
          <t>REMIL MARUTI NEXA</t>
        </is>
      </c>
      <c r="J451" s="8" t="n"/>
      <c r="K451" s="9" t="n">
        <v>54322</v>
      </c>
      <c r="L451" s="10" t="n">
        <v>135000</v>
      </c>
      <c r="M451" s="10" t="n">
        <v>4237.29</v>
      </c>
      <c r="N451" s="11">
        <f>IF(M451="","",ROUND(M451*1.18,2))</f>
        <v/>
      </c>
      <c r="O451" s="12">
        <f>IF(M451="","",ROUND(N451-M451,2))</f>
        <v/>
      </c>
      <c r="P451" s="13">
        <f>IF(AND(A451&lt;&gt;"",B451&lt;&gt;""), A451&amp;" · "&amp;B451, "")</f>
        <v/>
      </c>
    </row>
    <row r="452">
      <c r="A452" s="6" t="inlineStr">
        <is>
          <t>FY26</t>
        </is>
      </c>
      <c r="B452" s="6" t="inlineStr">
        <is>
          <t>Feb</t>
        </is>
      </c>
      <c r="C452" s="6" t="inlineStr">
        <is>
          <t>Kerala</t>
        </is>
      </c>
      <c r="D452" s="7" t="inlineStr">
        <is>
          <t>KL02AU6760</t>
        </is>
      </c>
      <c r="E452" s="7" t="inlineStr">
        <is>
          <t>FORD</t>
        </is>
      </c>
      <c r="F452" s="7" t="inlineStr">
        <is>
          <t>EcoSport</t>
        </is>
      </c>
      <c r="G452" s="7" t="inlineStr">
        <is>
          <t>SANOOP</t>
        </is>
      </c>
      <c r="H452" s="7" t="inlineStr">
        <is>
          <t>Non-Captive</t>
        </is>
      </c>
      <c r="I452" s="7" t="inlineStr">
        <is>
          <t>UCD SANTHOSH</t>
        </is>
      </c>
      <c r="J452" s="8" t="n"/>
      <c r="K452" s="9" t="n">
        <v>106000</v>
      </c>
      <c r="L452" s="10" t="n">
        <v>400000</v>
      </c>
      <c r="M452" s="10" t="n">
        <v>8474.58</v>
      </c>
      <c r="N452" s="11">
        <f>IF(M452="","",ROUND(M452*1.18,2))</f>
        <v/>
      </c>
      <c r="O452" s="12">
        <f>IF(M452="","",ROUND(N452-M452,2))</f>
        <v/>
      </c>
      <c r="P452" s="13">
        <f>IF(AND(A452&lt;&gt;"",B452&lt;&gt;""), A452&amp;" · "&amp;B452, "")</f>
        <v/>
      </c>
    </row>
    <row r="453">
      <c r="A453" s="6" t="inlineStr">
        <is>
          <t>FY26</t>
        </is>
      </c>
      <c r="B453" s="6" t="inlineStr">
        <is>
          <t>Feb</t>
        </is>
      </c>
      <c r="C453" s="6" t="inlineStr">
        <is>
          <t>Kerala</t>
        </is>
      </c>
      <c r="D453" s="7" t="inlineStr">
        <is>
          <t>KL02BP2641</t>
        </is>
      </c>
      <c r="E453" s="7" t="inlineStr">
        <is>
          <t>MARUTI SUZUKI</t>
        </is>
      </c>
      <c r="F453" s="7" t="inlineStr">
        <is>
          <t>Ignis</t>
        </is>
      </c>
      <c r="G453" s="7" t="inlineStr">
        <is>
          <t>AKHILNATH</t>
        </is>
      </c>
      <c r="H453" s="7" t="inlineStr">
        <is>
          <t>Non-Captive</t>
        </is>
      </c>
      <c r="I453" s="7" t="inlineStr">
        <is>
          <t>RENSON SPRICE HYUNDAI</t>
        </is>
      </c>
      <c r="J453" s="8" t="n"/>
      <c r="K453" s="9" t="n">
        <v>30310</v>
      </c>
      <c r="L453" s="10" t="n">
        <v>450000</v>
      </c>
      <c r="M453" s="10" t="n">
        <v>4237.29</v>
      </c>
      <c r="N453" s="11">
        <f>IF(M453="","",ROUND(M453*1.18,2))</f>
        <v/>
      </c>
      <c r="O453" s="12">
        <f>IF(M453="","",ROUND(N453-M453,2))</f>
        <v/>
      </c>
      <c r="P453" s="13">
        <f>IF(AND(A453&lt;&gt;"",B453&lt;&gt;""), A453&amp;" · "&amp;B453, "")</f>
        <v/>
      </c>
    </row>
    <row r="454">
      <c r="A454" s="6" t="inlineStr">
        <is>
          <t>FY26</t>
        </is>
      </c>
      <c r="B454" s="6" t="inlineStr">
        <is>
          <t>Feb</t>
        </is>
      </c>
      <c r="C454" s="6" t="inlineStr">
        <is>
          <t>Kerala</t>
        </is>
      </c>
      <c r="D454" s="7" t="inlineStr">
        <is>
          <t>KL03S7779</t>
        </is>
      </c>
      <c r="E454" s="7" t="inlineStr">
        <is>
          <t>MARUTI SUZUKI</t>
        </is>
      </c>
      <c r="F454" s="7" t="inlineStr">
        <is>
          <t>Wagon R</t>
        </is>
      </c>
      <c r="G454" s="7" t="inlineStr">
        <is>
          <t>ANAS HAMEED</t>
        </is>
      </c>
      <c r="H454" s="7" t="inlineStr">
        <is>
          <t>Non-Captive</t>
        </is>
      </c>
      <c r="I454" s="7" t="inlineStr">
        <is>
          <t>SUDHEESH K SATHYAN</t>
        </is>
      </c>
      <c r="J454" s="8" t="n"/>
      <c r="K454" s="9" t="n">
        <v>79879</v>
      </c>
      <c r="L454" s="10" t="n">
        <v>135000</v>
      </c>
      <c r="M454" s="10" t="n">
        <v>8474.58</v>
      </c>
      <c r="N454" s="11">
        <f>IF(M454="","",ROUND(M454*1.18,2))</f>
        <v/>
      </c>
      <c r="O454" s="12">
        <f>IF(M454="","",ROUND(N454-M454,2))</f>
        <v/>
      </c>
      <c r="P454" s="13">
        <f>IF(AND(A454&lt;&gt;"",B454&lt;&gt;""), A454&amp;" · "&amp;B454, "")</f>
        <v/>
      </c>
    </row>
    <row r="455">
      <c r="A455" s="6" t="inlineStr">
        <is>
          <t>FY26</t>
        </is>
      </c>
      <c r="B455" s="6" t="inlineStr">
        <is>
          <t>Feb</t>
        </is>
      </c>
      <c r="C455" s="6" t="inlineStr">
        <is>
          <t>Kerala</t>
        </is>
      </c>
      <c r="D455" s="7" t="inlineStr">
        <is>
          <t>KL04AD0797</t>
        </is>
      </c>
      <c r="E455" s="7" t="inlineStr">
        <is>
          <t>MARUTI SUZUKI</t>
        </is>
      </c>
      <c r="F455" s="7" t="inlineStr">
        <is>
          <t>Wagon R</t>
        </is>
      </c>
      <c r="G455" s="7" t="inlineStr">
        <is>
          <t>MUHAMMAD SHAJI</t>
        </is>
      </c>
      <c r="H455" s="7" t="inlineStr">
        <is>
          <t>Non-Captive</t>
        </is>
      </c>
      <c r="I455" s="7" t="inlineStr">
        <is>
          <t>DREAM DRIVE</t>
        </is>
      </c>
      <c r="J455" s="8" t="n"/>
      <c r="K455" s="9" t="n">
        <v>29870</v>
      </c>
      <c r="L455" s="10" t="n">
        <v>235000</v>
      </c>
      <c r="M455" s="10" t="n">
        <v>8474.58</v>
      </c>
      <c r="N455" s="11">
        <f>IF(M455="","",ROUND(M455*1.18,2))</f>
        <v/>
      </c>
      <c r="O455" s="12">
        <f>IF(M455="","",ROUND(N455-M455,2))</f>
        <v/>
      </c>
      <c r="P455" s="13">
        <f>IF(AND(A455&lt;&gt;"",B455&lt;&gt;""), A455&amp;" · "&amp;B455, "")</f>
        <v/>
      </c>
    </row>
    <row r="456">
      <c r="A456" s="6" t="inlineStr">
        <is>
          <t>FY26</t>
        </is>
      </c>
      <c r="B456" s="6" t="inlineStr">
        <is>
          <t>Feb</t>
        </is>
      </c>
      <c r="C456" s="6" t="inlineStr">
        <is>
          <t>Kerala</t>
        </is>
      </c>
      <c r="D456" s="7" t="inlineStr">
        <is>
          <t>KL04V5860</t>
        </is>
      </c>
      <c r="E456" s="7" t="inlineStr">
        <is>
          <t>MARUTI SUZUKI</t>
        </is>
      </c>
      <c r="F456" s="7" t="inlineStr">
        <is>
          <t>Swift</t>
        </is>
      </c>
      <c r="G456" s="7" t="inlineStr">
        <is>
          <t>CARS24</t>
        </is>
      </c>
      <c r="H456" s="7" t="inlineStr">
        <is>
          <t>Non-Captive</t>
        </is>
      </c>
      <c r="I456" s="7" t="inlineStr">
        <is>
          <t>4 WHEEL DRIVE</t>
        </is>
      </c>
      <c r="J456" s="8" t="n"/>
      <c r="K456" s="9" t="n">
        <v>89000</v>
      </c>
      <c r="L456" s="10" t="n">
        <v>30000</v>
      </c>
      <c r="M456" s="10" t="n">
        <v>8474.58</v>
      </c>
      <c r="N456" s="11">
        <f>IF(M456="","",ROUND(M456*1.18,2))</f>
        <v/>
      </c>
      <c r="O456" s="12">
        <f>IF(M456="","",ROUND(N456-M456,2))</f>
        <v/>
      </c>
      <c r="P456" s="13">
        <f>IF(AND(A456&lt;&gt;"",B456&lt;&gt;""), A456&amp;" · "&amp;B456, "")</f>
        <v/>
      </c>
    </row>
    <row r="457">
      <c r="A457" s="6" t="inlineStr">
        <is>
          <t>FY26</t>
        </is>
      </c>
      <c r="B457" s="6" t="inlineStr">
        <is>
          <t>Feb</t>
        </is>
      </c>
      <c r="C457" s="6" t="inlineStr">
        <is>
          <t>Kerala</t>
        </is>
      </c>
      <c r="D457" s="7" t="inlineStr">
        <is>
          <t>KL04Y7588</t>
        </is>
      </c>
      <c r="E457" s="7" t="inlineStr">
        <is>
          <t>HYUNDAI</t>
        </is>
      </c>
      <c r="F457" s="7" t="inlineStr">
        <is>
          <t>i10</t>
        </is>
      </c>
      <c r="G457" s="7" t="inlineStr">
        <is>
          <t>EVM CITROEN</t>
        </is>
      </c>
      <c r="H457" s="7" t="inlineStr">
        <is>
          <t>Non-Captive</t>
        </is>
      </c>
      <c r="I457" s="7" t="inlineStr">
        <is>
          <t>ASHRAF T A</t>
        </is>
      </c>
      <c r="J457" s="8" t="n"/>
      <c r="K457" s="9" t="n">
        <v>67204</v>
      </c>
      <c r="L457" s="10" t="n">
        <v>60000</v>
      </c>
      <c r="M457" s="10" t="n">
        <v>8474.58</v>
      </c>
      <c r="N457" s="11">
        <f>IF(M457="","",ROUND(M457*1.18,2))</f>
        <v/>
      </c>
      <c r="O457" s="12">
        <f>IF(M457="","",ROUND(N457-M457,2))</f>
        <v/>
      </c>
      <c r="P457" s="13">
        <f>IF(AND(A457&lt;&gt;"",B457&lt;&gt;""), A457&amp;" · "&amp;B457, "")</f>
        <v/>
      </c>
    </row>
    <row r="458">
      <c r="A458" s="6" t="inlineStr">
        <is>
          <t>FY26</t>
        </is>
      </c>
      <c r="B458" s="6" t="inlineStr">
        <is>
          <t>Feb</t>
        </is>
      </c>
      <c r="C458" s="6" t="inlineStr">
        <is>
          <t>Kerala</t>
        </is>
      </c>
      <c r="D458" s="7" t="inlineStr">
        <is>
          <t>KL05T8953</t>
        </is>
      </c>
      <c r="E458" s="7" t="inlineStr">
        <is>
          <t>MARUTI SUZUKI</t>
        </is>
      </c>
      <c r="F458" s="7" t="inlineStr">
        <is>
          <t>Alto</t>
        </is>
      </c>
      <c r="G458" s="7" t="inlineStr">
        <is>
          <t>MUHAMMAD SHAJI</t>
        </is>
      </c>
      <c r="H458" s="7" t="inlineStr">
        <is>
          <t>Non-Captive</t>
        </is>
      </c>
      <c r="I458" s="7" t="inlineStr">
        <is>
          <t>ANAS VH</t>
        </is>
      </c>
      <c r="J458" s="8" t="n"/>
      <c r="K458" s="9" t="n">
        <v>78689</v>
      </c>
      <c r="L458" s="10" t="n">
        <v>66000</v>
      </c>
      <c r="M458" s="10" t="n">
        <v>5932.2</v>
      </c>
      <c r="N458" s="11">
        <f>IF(M458="","",ROUND(M458*1.18,2))</f>
        <v/>
      </c>
      <c r="O458" s="12">
        <f>IF(M458="","",ROUND(N458-M458,2))</f>
        <v/>
      </c>
      <c r="P458" s="13">
        <f>IF(AND(A458&lt;&gt;"",B458&lt;&gt;""), A458&amp;" · "&amp;B458, "")</f>
        <v/>
      </c>
    </row>
    <row r="459">
      <c r="A459" s="6" t="inlineStr">
        <is>
          <t>FY26</t>
        </is>
      </c>
      <c r="B459" s="6" t="inlineStr">
        <is>
          <t>Feb</t>
        </is>
      </c>
      <c r="C459" s="6" t="inlineStr">
        <is>
          <t>Kerala</t>
        </is>
      </c>
      <c r="D459" s="7" t="inlineStr">
        <is>
          <t>KL07BN0257</t>
        </is>
      </c>
      <c r="E459" s="7" t="inlineStr">
        <is>
          <t>MARUTI SUZUKI</t>
        </is>
      </c>
      <c r="F459" s="7" t="inlineStr">
        <is>
          <t>Zen</t>
        </is>
      </c>
      <c r="G459" s="7" t="inlineStr">
        <is>
          <t>POPULAR MARUTI</t>
        </is>
      </c>
      <c r="H459" s="7" t="inlineStr">
        <is>
          <t>Non-Captive</t>
        </is>
      </c>
      <c r="I459" s="7" t="inlineStr">
        <is>
          <t>VTJ</t>
        </is>
      </c>
      <c r="J459" s="8" t="n"/>
      <c r="K459" s="9" t="n">
        <v>55942</v>
      </c>
      <c r="L459" s="10" t="n">
        <v>70000</v>
      </c>
      <c r="M459" s="10" t="n">
        <v>8474.58</v>
      </c>
      <c r="N459" s="11">
        <f>IF(M459="","",ROUND(M459*1.18,2))</f>
        <v/>
      </c>
      <c r="O459" s="12">
        <f>IF(M459="","",ROUND(N459-M459,2))</f>
        <v/>
      </c>
      <c r="P459" s="13">
        <f>IF(AND(A459&lt;&gt;"",B459&lt;&gt;""), A459&amp;" · "&amp;B459, "")</f>
        <v/>
      </c>
    </row>
    <row r="460">
      <c r="A460" s="6" t="inlineStr">
        <is>
          <t>FY26</t>
        </is>
      </c>
      <c r="B460" s="6" t="inlineStr">
        <is>
          <t>Feb</t>
        </is>
      </c>
      <c r="C460" s="6" t="inlineStr">
        <is>
          <t>Kerala</t>
        </is>
      </c>
      <c r="D460" s="7" t="inlineStr">
        <is>
          <t>KL07BQ6871</t>
        </is>
      </c>
      <c r="E460" s="7" t="inlineStr">
        <is>
          <t>MARUTI SUZUKI</t>
        </is>
      </c>
      <c r="F460" s="7" t="inlineStr">
        <is>
          <t>Omni</t>
        </is>
      </c>
      <c r="G460" s="7" t="inlineStr">
        <is>
          <t>POPULAR MARUTI</t>
        </is>
      </c>
      <c r="H460" s="7" t="inlineStr">
        <is>
          <t>Non-Captive</t>
        </is>
      </c>
      <c r="I460" s="7" t="inlineStr">
        <is>
          <t>RAJEEV A C</t>
        </is>
      </c>
      <c r="J460" s="8" t="n"/>
      <c r="K460" s="9" t="n">
        <v>75756</v>
      </c>
      <c r="L460" s="10" t="n">
        <v>30000</v>
      </c>
      <c r="M460" s="10" t="n">
        <v>5084.75</v>
      </c>
      <c r="N460" s="11">
        <f>IF(M460="","",ROUND(M460*1.18,2))</f>
        <v/>
      </c>
      <c r="O460" s="12">
        <f>IF(M460="","",ROUND(N460-M460,2))</f>
        <v/>
      </c>
      <c r="P460" s="13">
        <f>IF(AND(A460&lt;&gt;"",B460&lt;&gt;""), A460&amp;" · "&amp;B460, "")</f>
        <v/>
      </c>
    </row>
    <row r="461">
      <c r="A461" s="6" t="inlineStr">
        <is>
          <t>FY26</t>
        </is>
      </c>
      <c r="B461" s="6" t="inlineStr">
        <is>
          <t>Feb</t>
        </is>
      </c>
      <c r="C461" s="6" t="inlineStr">
        <is>
          <t>Kerala</t>
        </is>
      </c>
      <c r="D461" s="7" t="inlineStr">
        <is>
          <t>KL07BR7989</t>
        </is>
      </c>
      <c r="E461" s="7" t="inlineStr">
        <is>
          <t>MARUTI SUZUKI</t>
        </is>
      </c>
      <c r="F461" s="7" t="inlineStr">
        <is>
          <t>Alto K10</t>
        </is>
      </c>
      <c r="G461" s="7" t="inlineStr">
        <is>
          <t>POPULAR MARUTI</t>
        </is>
      </c>
      <c r="H461" s="7" t="inlineStr">
        <is>
          <t>Non-Captive</t>
        </is>
      </c>
      <c r="I461" s="7" t="inlineStr">
        <is>
          <t>FABITH</t>
        </is>
      </c>
      <c r="J461" s="8" t="n"/>
      <c r="K461" s="9" t="n">
        <v>79468</v>
      </c>
      <c r="L461" s="10" t="n">
        <v>88500</v>
      </c>
      <c r="M461" s="10" t="n">
        <v>8474.58</v>
      </c>
      <c r="N461" s="11">
        <f>IF(M461="","",ROUND(M461*1.18,2))</f>
        <v/>
      </c>
      <c r="O461" s="12">
        <f>IF(M461="","",ROUND(N461-M461,2))</f>
        <v/>
      </c>
      <c r="P461" s="13">
        <f>IF(AND(A461&lt;&gt;"",B461&lt;&gt;""), A461&amp;" · "&amp;B461, "")</f>
        <v/>
      </c>
    </row>
    <row r="462">
      <c r="A462" s="6" t="inlineStr">
        <is>
          <t>FY26</t>
        </is>
      </c>
      <c r="B462" s="6" t="inlineStr">
        <is>
          <t>Feb</t>
        </is>
      </c>
      <c r="C462" s="6" t="inlineStr">
        <is>
          <t>Kerala</t>
        </is>
      </c>
      <c r="D462" s="7" t="inlineStr">
        <is>
          <t>KL07BT3871</t>
        </is>
      </c>
      <c r="E462" s="7" t="inlineStr">
        <is>
          <t>CHEVROLET</t>
        </is>
      </c>
      <c r="F462" s="7" t="inlineStr">
        <is>
          <t>Spark</t>
        </is>
      </c>
      <c r="G462" s="7" t="inlineStr">
        <is>
          <t>JISHNU PRIYAN</t>
        </is>
      </c>
      <c r="H462" s="7" t="inlineStr">
        <is>
          <t>Non-Captive</t>
        </is>
      </c>
      <c r="I462" s="7" t="inlineStr">
        <is>
          <t>HUSSAIN O E</t>
        </is>
      </c>
      <c r="J462" s="8" t="n"/>
      <c r="K462" s="9" t="n">
        <v>36857</v>
      </c>
      <c r="L462" s="10" t="n">
        <v>42000</v>
      </c>
      <c r="M462" s="10" t="n">
        <v>5932.2</v>
      </c>
      <c r="N462" s="11">
        <f>IF(M462="","",ROUND(M462*1.18,2))</f>
        <v/>
      </c>
      <c r="O462" s="12">
        <f>IF(M462="","",ROUND(N462-M462,2))</f>
        <v/>
      </c>
      <c r="P462" s="13">
        <f>IF(AND(A462&lt;&gt;"",B462&lt;&gt;""), A462&amp;" · "&amp;B462, "")</f>
        <v/>
      </c>
    </row>
    <row r="463">
      <c r="A463" s="6" t="inlineStr">
        <is>
          <t>FY26</t>
        </is>
      </c>
      <c r="B463" s="6" t="inlineStr">
        <is>
          <t>Feb</t>
        </is>
      </c>
      <c r="C463" s="6" t="inlineStr">
        <is>
          <t>Kerala</t>
        </is>
      </c>
      <c r="D463" s="7" t="inlineStr">
        <is>
          <t>KL07BY4466</t>
        </is>
      </c>
      <c r="E463" s="7" t="inlineStr">
        <is>
          <t>MARUTI SUZUKI</t>
        </is>
      </c>
      <c r="F463" s="7" t="inlineStr">
        <is>
          <t>A-Star</t>
        </is>
      </c>
      <c r="G463" s="7" t="inlineStr">
        <is>
          <t>JISHNU PRIYAN</t>
        </is>
      </c>
      <c r="H463" s="7" t="inlineStr">
        <is>
          <t>Non-Captive</t>
        </is>
      </c>
      <c r="I463" s="7" t="inlineStr">
        <is>
          <t>HUSSAIN O E</t>
        </is>
      </c>
      <c r="J463" s="8" t="n"/>
      <c r="K463" s="9" t="n">
        <v>51806</v>
      </c>
      <c r="L463" s="10" t="n">
        <v>165000</v>
      </c>
      <c r="M463" s="10" t="n">
        <v>8474.58</v>
      </c>
      <c r="N463" s="11">
        <f>IF(M463="","",ROUND(M463*1.18,2))</f>
        <v/>
      </c>
      <c r="O463" s="12">
        <f>IF(M463="","",ROUND(N463-M463,2))</f>
        <v/>
      </c>
      <c r="P463" s="13">
        <f>IF(AND(A463&lt;&gt;"",B463&lt;&gt;""), A463&amp;" · "&amp;B463, "")</f>
        <v/>
      </c>
    </row>
    <row r="464">
      <c r="A464" s="6" t="inlineStr">
        <is>
          <t>FY26</t>
        </is>
      </c>
      <c r="B464" s="6" t="inlineStr">
        <is>
          <t>Feb</t>
        </is>
      </c>
      <c r="C464" s="6" t="inlineStr">
        <is>
          <t>Kerala</t>
        </is>
      </c>
      <c r="D464" s="7" t="inlineStr">
        <is>
          <t>KL07CD8020</t>
        </is>
      </c>
      <c r="E464" s="7" t="inlineStr">
        <is>
          <t>RENAULT</t>
        </is>
      </c>
      <c r="F464" s="7" t="inlineStr">
        <is>
          <t>Duster</t>
        </is>
      </c>
      <c r="G464" s="7" t="inlineStr">
        <is>
          <t>JISHNU PRIYAN</t>
        </is>
      </c>
      <c r="H464" s="7" t="inlineStr">
        <is>
          <t>Non-Captive</t>
        </is>
      </c>
      <c r="I464" s="7" t="inlineStr">
        <is>
          <t>HUSSAIN O E</t>
        </is>
      </c>
      <c r="J464" s="8" t="n"/>
      <c r="K464" s="9" t="n">
        <v>86444</v>
      </c>
      <c r="L464" s="10" t="n">
        <v>100000</v>
      </c>
      <c r="M464" s="10" t="n">
        <v>8474.58</v>
      </c>
      <c r="N464" s="11">
        <f>IF(M464="","",ROUND(M464*1.18,2))</f>
        <v/>
      </c>
      <c r="O464" s="12">
        <f>IF(M464="","",ROUND(N464-M464,2))</f>
        <v/>
      </c>
      <c r="P464" s="13">
        <f>IF(AND(A464&lt;&gt;"",B464&lt;&gt;""), A464&amp;" · "&amp;B464, "")</f>
        <v/>
      </c>
    </row>
    <row r="465">
      <c r="A465" s="6" t="inlineStr">
        <is>
          <t>FY26</t>
        </is>
      </c>
      <c r="B465" s="6" t="inlineStr">
        <is>
          <t>Feb</t>
        </is>
      </c>
      <c r="C465" s="6" t="inlineStr">
        <is>
          <t>Kerala</t>
        </is>
      </c>
      <c r="D465" s="7" t="inlineStr">
        <is>
          <t>KL07CX7784</t>
        </is>
      </c>
      <c r="E465" s="7" t="inlineStr">
        <is>
          <t>MAHINDRA</t>
        </is>
      </c>
      <c r="F465" s="7" t="inlineStr">
        <is>
          <t>Furio 11</t>
        </is>
      </c>
      <c r="G465" s="7" t="inlineStr">
        <is>
          <t>MTBL</t>
        </is>
      </c>
      <c r="H465" s="7" t="inlineStr">
        <is>
          <t>Non-Captive</t>
        </is>
      </c>
      <c r="I465" s="7" t="inlineStr">
        <is>
          <t>Ali Happy Drive</t>
        </is>
      </c>
      <c r="J465" s="8" t="n"/>
      <c r="K465" s="9" t="n">
        <v>42000</v>
      </c>
      <c r="L465" s="10" t="n">
        <v>600000</v>
      </c>
      <c r="M465" s="10" t="n">
        <v>8474.58</v>
      </c>
      <c r="N465" s="11">
        <f>IF(M465="","",ROUND(M465*1.18,2))</f>
        <v/>
      </c>
      <c r="O465" s="12">
        <f>IF(M465="","",ROUND(N465-M465,2))</f>
        <v/>
      </c>
      <c r="P465" s="13">
        <f>IF(AND(A465&lt;&gt;"",B465&lt;&gt;""), A465&amp;" · "&amp;B465, "")</f>
        <v/>
      </c>
    </row>
    <row r="466">
      <c r="A466" s="6" t="inlineStr">
        <is>
          <t>FY26</t>
        </is>
      </c>
      <c r="B466" s="6" t="inlineStr">
        <is>
          <t>Feb</t>
        </is>
      </c>
      <c r="C466" s="6" t="inlineStr">
        <is>
          <t>Kerala</t>
        </is>
      </c>
      <c r="D466" s="7" t="inlineStr">
        <is>
          <t>KL07CZ2167</t>
        </is>
      </c>
      <c r="E466" s="7" t="inlineStr">
        <is>
          <t>MAHINDRA</t>
        </is>
      </c>
      <c r="F466" s="7" t="inlineStr">
        <is>
          <t>Furio 7</t>
        </is>
      </c>
      <c r="G466" s="7" t="inlineStr">
        <is>
          <t>MTBL</t>
        </is>
      </c>
      <c r="H466" s="7" t="inlineStr">
        <is>
          <t>Non-Captive</t>
        </is>
      </c>
      <c r="I466" s="7" t="inlineStr">
        <is>
          <t>Ali Happy Drive</t>
        </is>
      </c>
      <c r="J466" s="8" t="n"/>
      <c r="K466" s="9" t="n">
        <v>20000</v>
      </c>
      <c r="L466" s="10" t="n">
        <v>510000</v>
      </c>
      <c r="M466" s="10" t="n">
        <v>8474.58</v>
      </c>
      <c r="N466" s="11">
        <f>IF(M466="","",ROUND(M466*1.18,2))</f>
        <v/>
      </c>
      <c r="O466" s="12">
        <f>IF(M466="","",ROUND(N466-M466,2))</f>
        <v/>
      </c>
      <c r="P466" s="13">
        <f>IF(AND(A466&lt;&gt;"",B466&lt;&gt;""), A466&amp;" · "&amp;B466, "")</f>
        <v/>
      </c>
    </row>
    <row r="467">
      <c r="A467" s="6" t="inlineStr">
        <is>
          <t>FY26</t>
        </is>
      </c>
      <c r="B467" s="6" t="inlineStr">
        <is>
          <t>Feb</t>
        </is>
      </c>
      <c r="C467" s="6" t="inlineStr">
        <is>
          <t>Kerala</t>
        </is>
      </c>
      <c r="D467" s="7" t="inlineStr">
        <is>
          <t>KL07CZ2831</t>
        </is>
      </c>
      <c r="E467" s="7" t="inlineStr">
        <is>
          <t>MAHINDRA</t>
        </is>
      </c>
      <c r="F467" s="7" t="inlineStr">
        <is>
          <t>Furio 7</t>
        </is>
      </c>
      <c r="G467" s="7" t="inlineStr">
        <is>
          <t>MTBL</t>
        </is>
      </c>
      <c r="H467" s="7" t="inlineStr">
        <is>
          <t>Non-Captive</t>
        </is>
      </c>
      <c r="I467" s="7" t="inlineStr">
        <is>
          <t>Ali Happy Drive</t>
        </is>
      </c>
      <c r="J467" s="8" t="n"/>
      <c r="K467" s="9" t="n">
        <v>40000</v>
      </c>
      <c r="L467" s="10" t="n">
        <v>570000</v>
      </c>
      <c r="M467" s="10" t="n">
        <v>8474.58</v>
      </c>
      <c r="N467" s="11">
        <f>IF(M467="","",ROUND(M467*1.18,2))</f>
        <v/>
      </c>
      <c r="O467" s="12">
        <f>IF(M467="","",ROUND(N467-M467,2))</f>
        <v/>
      </c>
      <c r="P467" s="13">
        <f>IF(AND(A467&lt;&gt;"",B467&lt;&gt;""), A467&amp;" · "&amp;B467, "")</f>
        <v/>
      </c>
    </row>
    <row r="468">
      <c r="A468" s="6" t="inlineStr">
        <is>
          <t>FY26</t>
        </is>
      </c>
      <c r="B468" s="6" t="inlineStr">
        <is>
          <t>Feb</t>
        </is>
      </c>
      <c r="C468" s="6" t="inlineStr">
        <is>
          <t>Kerala</t>
        </is>
      </c>
      <c r="D468" s="7" t="inlineStr">
        <is>
          <t>KL08AZ7203</t>
        </is>
      </c>
      <c r="E468" s="7" t="inlineStr">
        <is>
          <t>VOLKSWAGEN</t>
        </is>
      </c>
      <c r="F468" s="7" t="inlineStr">
        <is>
          <t>Vento</t>
        </is>
      </c>
      <c r="G468" s="7" t="inlineStr">
        <is>
          <t>PHOENIX VOLKSWAGEN</t>
        </is>
      </c>
      <c r="H468" s="7" t="inlineStr">
        <is>
          <t>Non-Captive</t>
        </is>
      </c>
      <c r="I468" s="7" t="inlineStr">
        <is>
          <t>MUHAMMAD SHAJI</t>
        </is>
      </c>
      <c r="J468" s="8" t="n"/>
      <c r="K468" s="9" t="n">
        <v>56506</v>
      </c>
      <c r="L468" s="10" t="n">
        <v>89000</v>
      </c>
      <c r="M468" s="10" t="n">
        <v>8474.58</v>
      </c>
      <c r="N468" s="11">
        <f>IF(M468="","",ROUND(M468*1.18,2))</f>
        <v/>
      </c>
      <c r="O468" s="12">
        <f>IF(M468="","",ROUND(N468-M468,2))</f>
        <v/>
      </c>
      <c r="P468" s="13">
        <f>IF(AND(A468&lt;&gt;"",B468&lt;&gt;""), A468&amp;" · "&amp;B468, "")</f>
        <v/>
      </c>
    </row>
    <row r="469">
      <c r="A469" s="6" t="inlineStr">
        <is>
          <t>FY26</t>
        </is>
      </c>
      <c r="B469" s="6" t="inlineStr">
        <is>
          <t>Feb</t>
        </is>
      </c>
      <c r="C469" s="6" t="inlineStr">
        <is>
          <t>Kerala</t>
        </is>
      </c>
      <c r="D469" s="7" t="inlineStr">
        <is>
          <t>KL08BG2606</t>
        </is>
      </c>
      <c r="E469" s="7" t="inlineStr">
        <is>
          <t>HONDA</t>
        </is>
      </c>
      <c r="F469" s="7" t="inlineStr">
        <is>
          <t>Jazz</t>
        </is>
      </c>
      <c r="G469" s="7" t="inlineStr">
        <is>
          <t>JAYANTH PK</t>
        </is>
      </c>
      <c r="H469" s="7" t="inlineStr">
        <is>
          <t>Non-Captive</t>
        </is>
      </c>
      <c r="I469" s="7" t="inlineStr">
        <is>
          <t>UCD NADIR</t>
        </is>
      </c>
      <c r="J469" s="8" t="n"/>
      <c r="K469" s="9" t="n">
        <v>79000</v>
      </c>
      <c r="L469" s="10" t="n">
        <v>415000</v>
      </c>
      <c r="M469" s="10" t="n">
        <v>4237.29</v>
      </c>
      <c r="N469" s="11">
        <f>IF(M469="","",ROUND(M469*1.18,2))</f>
        <v/>
      </c>
      <c r="O469" s="12">
        <f>IF(M469="","",ROUND(N469-M469,2))</f>
        <v/>
      </c>
      <c r="P469" s="13">
        <f>IF(AND(A469&lt;&gt;"",B469&lt;&gt;""), A469&amp;" · "&amp;B469, "")</f>
        <v/>
      </c>
    </row>
    <row r="470">
      <c r="A470" s="6" t="inlineStr">
        <is>
          <t>FY26</t>
        </is>
      </c>
      <c r="B470" s="6" t="inlineStr">
        <is>
          <t>Feb</t>
        </is>
      </c>
      <c r="C470" s="6" t="inlineStr">
        <is>
          <t>Kerala</t>
        </is>
      </c>
      <c r="D470" s="7" t="inlineStr">
        <is>
          <t>KL08BR0302</t>
        </is>
      </c>
      <c r="E470" s="7" t="inlineStr">
        <is>
          <t>NISSAN</t>
        </is>
      </c>
      <c r="F470" s="7" t="inlineStr">
        <is>
          <t>Redi-GO</t>
        </is>
      </c>
      <c r="G470" s="7" t="inlineStr">
        <is>
          <t>EVM CITROEN</t>
        </is>
      </c>
      <c r="H470" s="7" t="inlineStr">
        <is>
          <t>Non-Captive</t>
        </is>
      </c>
      <c r="I470" s="7" t="inlineStr">
        <is>
          <t>Aitos Cars</t>
        </is>
      </c>
      <c r="J470" s="8" t="n"/>
      <c r="K470" s="9" t="n">
        <v>65326</v>
      </c>
      <c r="L470" s="10" t="n">
        <v>117500</v>
      </c>
      <c r="M470" s="10" t="n">
        <v>6355.93</v>
      </c>
      <c r="N470" s="11">
        <f>IF(M470="","",ROUND(M470*1.18,2))</f>
        <v/>
      </c>
      <c r="O470" s="12">
        <f>IF(M470="","",ROUND(N470-M470,2))</f>
        <v/>
      </c>
      <c r="P470" s="13">
        <f>IF(AND(A470&lt;&gt;"",B470&lt;&gt;""), A470&amp;" · "&amp;B470, "")</f>
        <v/>
      </c>
    </row>
    <row r="471">
      <c r="A471" s="6" t="inlineStr">
        <is>
          <t>FY26</t>
        </is>
      </c>
      <c r="B471" s="6" t="inlineStr">
        <is>
          <t>Feb</t>
        </is>
      </c>
      <c r="C471" s="6" t="inlineStr">
        <is>
          <t>Kerala</t>
        </is>
      </c>
      <c r="D471" s="7" t="inlineStr">
        <is>
          <t>KL08BV0073</t>
        </is>
      </c>
      <c r="E471" s="7" t="inlineStr">
        <is>
          <t>TATA</t>
        </is>
      </c>
      <c r="F471" s="7" t="inlineStr">
        <is>
          <t>Nexon</t>
        </is>
      </c>
      <c r="G471" s="7" t="inlineStr">
        <is>
          <t>JOHNS HONDA CARS</t>
        </is>
      </c>
      <c r="H471" s="7" t="inlineStr">
        <is>
          <t>Non-Captive</t>
        </is>
      </c>
      <c r="I471" s="7" t="inlineStr">
        <is>
          <t>Aitos Cars</t>
        </is>
      </c>
      <c r="J471" s="8" t="n"/>
      <c r="K471" s="9" t="n">
        <v>76500</v>
      </c>
      <c r="L471" s="10" t="n">
        <v>540000</v>
      </c>
      <c r="M471" s="10" t="n">
        <v>8474.58</v>
      </c>
      <c r="N471" s="11">
        <f>IF(M471="","",ROUND(M471*1.18,2))</f>
        <v/>
      </c>
      <c r="O471" s="12">
        <f>IF(M471="","",ROUND(N471-M471,2))</f>
        <v/>
      </c>
      <c r="P471" s="13">
        <f>IF(AND(A471&lt;&gt;"",B471&lt;&gt;""), A471&amp;" · "&amp;B471, "")</f>
        <v/>
      </c>
    </row>
    <row r="472">
      <c r="A472" s="6" t="inlineStr">
        <is>
          <t>FY26</t>
        </is>
      </c>
      <c r="B472" s="6" t="inlineStr">
        <is>
          <t>Feb</t>
        </is>
      </c>
      <c r="C472" s="6" t="inlineStr">
        <is>
          <t>Kerala</t>
        </is>
      </c>
      <c r="D472" s="7" t="inlineStr">
        <is>
          <t>KL09AW9693</t>
        </is>
      </c>
      <c r="E472" s="7" t="inlineStr">
        <is>
          <t>VOLKSWAGEN</t>
        </is>
      </c>
      <c r="F472" s="7" t="inlineStr">
        <is>
          <t>Virtus</t>
        </is>
      </c>
      <c r="G472" s="7" t="inlineStr">
        <is>
          <t>PHOENIX VOLKSWAGEN</t>
        </is>
      </c>
      <c r="H472" s="7" t="inlineStr">
        <is>
          <t>Non-Captive</t>
        </is>
      </c>
      <c r="I472" s="7" t="inlineStr">
        <is>
          <t>Umesh Kumar T U</t>
        </is>
      </c>
      <c r="J472" s="8" t="n"/>
      <c r="K472" s="9" t="n">
        <v>8834</v>
      </c>
      <c r="L472" s="10" t="n">
        <v>900000</v>
      </c>
      <c r="M472" s="10" t="n">
        <v>8474.58</v>
      </c>
      <c r="N472" s="11">
        <f>IF(M472="","",ROUND(M472*1.18,2))</f>
        <v/>
      </c>
      <c r="O472" s="12">
        <f>IF(M472="","",ROUND(N472-M472,2))</f>
        <v/>
      </c>
      <c r="P472" s="13">
        <f>IF(AND(A472&lt;&gt;"",B472&lt;&gt;""), A472&amp;" · "&amp;B472, "")</f>
        <v/>
      </c>
    </row>
    <row r="473">
      <c r="A473" s="6" t="inlineStr">
        <is>
          <t>FY26</t>
        </is>
      </c>
      <c r="B473" s="6" t="inlineStr">
        <is>
          <t>Feb</t>
        </is>
      </c>
      <c r="C473" s="6" t="inlineStr">
        <is>
          <t>Kerala</t>
        </is>
      </c>
      <c r="D473" s="7" t="inlineStr">
        <is>
          <t>KL11AH8842</t>
        </is>
      </c>
      <c r="E473" s="7" t="inlineStr">
        <is>
          <t>HYUNDAI</t>
        </is>
      </c>
      <c r="F473" s="7" t="inlineStr">
        <is>
          <t>i10</t>
        </is>
      </c>
      <c r="G473" s="7" t="inlineStr">
        <is>
          <t>ARJID</t>
        </is>
      </c>
      <c r="H473" s="7" t="inlineStr">
        <is>
          <t>Non-Captive</t>
        </is>
      </c>
      <c r="I473" s="7" t="inlineStr">
        <is>
          <t>DKH KIA</t>
        </is>
      </c>
      <c r="J473" s="8" t="n"/>
      <c r="K473" s="9" t="n">
        <v>110000</v>
      </c>
      <c r="L473" s="10" t="n">
        <v>117000</v>
      </c>
      <c r="M473" s="10" t="n">
        <v>4237.29</v>
      </c>
      <c r="N473" s="11">
        <f>IF(M473="","",ROUND(M473*1.18,2))</f>
        <v/>
      </c>
      <c r="O473" s="12">
        <f>IF(M473="","",ROUND(N473-M473,2))</f>
        <v/>
      </c>
      <c r="P473" s="13">
        <f>IF(AND(A473&lt;&gt;"",B473&lt;&gt;""), A473&amp;" · "&amp;B473, "")</f>
        <v/>
      </c>
    </row>
    <row r="474">
      <c r="A474" s="6" t="inlineStr">
        <is>
          <t>FY26</t>
        </is>
      </c>
      <c r="B474" s="6" t="inlineStr">
        <is>
          <t>Feb</t>
        </is>
      </c>
      <c r="C474" s="6" t="inlineStr">
        <is>
          <t>Kerala</t>
        </is>
      </c>
      <c r="D474" s="7" t="inlineStr">
        <is>
          <t>KL11AT5571</t>
        </is>
      </c>
      <c r="E474" s="7" t="inlineStr">
        <is>
          <t>MARUTI SUZUKI</t>
        </is>
      </c>
      <c r="F474" s="7" t="inlineStr">
        <is>
          <t>Dzire</t>
        </is>
      </c>
      <c r="G474" s="7" t="inlineStr">
        <is>
          <t>POPULAR MARUTI</t>
        </is>
      </c>
      <c r="H474" s="7" t="inlineStr">
        <is>
          <t>Non-Captive</t>
        </is>
      </c>
      <c r="I474" s="7" t="inlineStr">
        <is>
          <t>ASHRAF T A</t>
        </is>
      </c>
      <c r="J474" s="8" t="n"/>
      <c r="K474" s="9" t="n">
        <v>102267</v>
      </c>
      <c r="L474" s="10" t="n">
        <v>240000</v>
      </c>
      <c r="M474" s="10" t="n">
        <v>8474.58</v>
      </c>
      <c r="N474" s="11">
        <f>IF(M474="","",ROUND(M474*1.18,2))</f>
        <v/>
      </c>
      <c r="O474" s="12">
        <f>IF(M474="","",ROUND(N474-M474,2))</f>
        <v/>
      </c>
      <c r="P474" s="13">
        <f>IF(AND(A474&lt;&gt;"",B474&lt;&gt;""), A474&amp;" · "&amp;B474, "")</f>
        <v/>
      </c>
    </row>
    <row r="475">
      <c r="A475" s="6" t="inlineStr">
        <is>
          <t>FY26</t>
        </is>
      </c>
      <c r="B475" s="6" t="inlineStr">
        <is>
          <t>Feb</t>
        </is>
      </c>
      <c r="C475" s="6" t="inlineStr">
        <is>
          <t>Kerala</t>
        </is>
      </c>
      <c r="D475" s="7" t="inlineStr">
        <is>
          <t>KL11BM0509</t>
        </is>
      </c>
      <c r="E475" s="7" t="inlineStr">
        <is>
          <t>FORD</t>
        </is>
      </c>
      <c r="F475" s="7" t="inlineStr">
        <is>
          <t>Freestyle</t>
        </is>
      </c>
      <c r="G475" s="7" t="inlineStr">
        <is>
          <t>ANIL</t>
        </is>
      </c>
      <c r="H475" s="7" t="inlineStr">
        <is>
          <t>Non-Captive</t>
        </is>
      </c>
      <c r="I475" s="7" t="inlineStr">
        <is>
          <t>EVM SKODA</t>
        </is>
      </c>
      <c r="J475" s="8" t="n"/>
      <c r="K475" s="9" t="n">
        <v>105000</v>
      </c>
      <c r="L475" s="10" t="n">
        <v>392000</v>
      </c>
      <c r="M475" s="10" t="n">
        <v>8474.58</v>
      </c>
      <c r="N475" s="11">
        <f>IF(M475="","",ROUND(M475*1.18,2))</f>
        <v/>
      </c>
      <c r="O475" s="12">
        <f>IF(M475="","",ROUND(N475-M475,2))</f>
        <v/>
      </c>
      <c r="P475" s="13">
        <f>IF(AND(A475&lt;&gt;"",B475&lt;&gt;""), A475&amp;" · "&amp;B475, "")</f>
        <v/>
      </c>
    </row>
    <row r="476">
      <c r="A476" s="6" t="inlineStr">
        <is>
          <t>FY26</t>
        </is>
      </c>
      <c r="B476" s="6" t="inlineStr">
        <is>
          <t>Feb</t>
        </is>
      </c>
      <c r="C476" s="6" t="inlineStr">
        <is>
          <t>Kerala</t>
        </is>
      </c>
      <c r="D476" s="7" t="inlineStr">
        <is>
          <t>KL11BV7821</t>
        </is>
      </c>
      <c r="E476" s="7" t="inlineStr">
        <is>
          <t>RENAULT</t>
        </is>
      </c>
      <c r="F476" s="7" t="inlineStr">
        <is>
          <t>Kiger</t>
        </is>
      </c>
      <c r="G476" s="7" t="inlineStr">
        <is>
          <t>POPULAR MARUTI</t>
        </is>
      </c>
      <c r="H476" s="7" t="inlineStr">
        <is>
          <t>Non-Captive</t>
        </is>
      </c>
      <c r="I476" s="7" t="inlineStr">
        <is>
          <t>CIRIL SEBASTIAN</t>
        </is>
      </c>
      <c r="J476" s="8" t="n"/>
      <c r="K476" s="9" t="n">
        <v>23417</v>
      </c>
      <c r="L476" s="10" t="n">
        <v>500000</v>
      </c>
      <c r="M476" s="10" t="n">
        <v>6355.93</v>
      </c>
      <c r="N476" s="11">
        <f>IF(M476="","",ROUND(M476*1.18,2))</f>
        <v/>
      </c>
      <c r="O476" s="12">
        <f>IF(M476="","",ROUND(N476-M476,2))</f>
        <v/>
      </c>
      <c r="P476" s="13">
        <f>IF(AND(A476&lt;&gt;"",B476&lt;&gt;""), A476&amp;" · "&amp;B476, "")</f>
        <v/>
      </c>
    </row>
    <row r="477">
      <c r="A477" s="6" t="inlineStr">
        <is>
          <t>FY26</t>
        </is>
      </c>
      <c r="B477" s="6" t="inlineStr">
        <is>
          <t>Feb</t>
        </is>
      </c>
      <c r="C477" s="6" t="inlineStr">
        <is>
          <t>Kerala</t>
        </is>
      </c>
      <c r="D477" s="7" t="inlineStr">
        <is>
          <t>KL13AA7164</t>
        </is>
      </c>
      <c r="E477" s="7" t="inlineStr">
        <is>
          <t>CHEVROLET</t>
        </is>
      </c>
      <c r="F477" s="7" t="inlineStr">
        <is>
          <t>Beat</t>
        </is>
      </c>
      <c r="G477" s="7" t="inlineStr">
        <is>
          <t>VIJIL MARVEL CARS</t>
        </is>
      </c>
      <c r="H477" s="7" t="inlineStr">
        <is>
          <t>Non-Captive</t>
        </is>
      </c>
      <c r="I477" s="7" t="inlineStr">
        <is>
          <t>AUTOTRUST</t>
        </is>
      </c>
      <c r="J477" s="8" t="n"/>
      <c r="K477" s="9" t="n">
        <v>150000</v>
      </c>
      <c r="L477" s="10" t="n">
        <v>20000</v>
      </c>
      <c r="M477" s="10" t="n">
        <v>4237.29</v>
      </c>
      <c r="N477" s="11">
        <f>IF(M477="","",ROUND(M477*1.18,2))</f>
        <v/>
      </c>
      <c r="O477" s="12">
        <f>IF(M477="","",ROUND(N477-M477,2))</f>
        <v/>
      </c>
      <c r="P477" s="13">
        <f>IF(AND(A477&lt;&gt;"",B477&lt;&gt;""), A477&amp;" · "&amp;B477, "")</f>
        <v/>
      </c>
    </row>
    <row r="478">
      <c r="A478" s="6" t="inlineStr">
        <is>
          <t>FY26</t>
        </is>
      </c>
      <c r="B478" s="6" t="inlineStr">
        <is>
          <t>Feb</t>
        </is>
      </c>
      <c r="C478" s="6" t="inlineStr">
        <is>
          <t>Kerala</t>
        </is>
      </c>
      <c r="D478" s="7" t="inlineStr">
        <is>
          <t>KL13AB2050</t>
        </is>
      </c>
      <c r="E478" s="7" t="inlineStr">
        <is>
          <t>TATA</t>
        </is>
      </c>
      <c r="F478" s="7" t="inlineStr">
        <is>
          <t>Nexon</t>
        </is>
      </c>
      <c r="G478" s="7" t="inlineStr">
        <is>
          <t>SIVAPRASAD</t>
        </is>
      </c>
      <c r="H478" s="7" t="inlineStr">
        <is>
          <t>Non-Captive</t>
        </is>
      </c>
      <c r="I478" s="7" t="inlineStr">
        <is>
          <t>KVR TATA</t>
        </is>
      </c>
      <c r="J478" s="8" t="n"/>
      <c r="K478" s="9" t="n">
        <v>90000</v>
      </c>
      <c r="L478" s="10" t="n">
        <v>900000</v>
      </c>
      <c r="M478" s="10" t="n">
        <v>8474.58</v>
      </c>
      <c r="N478" s="11">
        <f>IF(M478="","",ROUND(M478*1.18,2))</f>
        <v/>
      </c>
      <c r="O478" s="12">
        <f>IF(M478="","",ROUND(N478-M478,2))</f>
        <v/>
      </c>
      <c r="P478" s="13">
        <f>IF(AND(A478&lt;&gt;"",B478&lt;&gt;""), A478&amp;" · "&amp;B478, "")</f>
        <v/>
      </c>
    </row>
    <row r="479">
      <c r="A479" s="6" t="inlineStr">
        <is>
          <t>FY26</t>
        </is>
      </c>
      <c r="B479" s="6" t="inlineStr">
        <is>
          <t>Feb</t>
        </is>
      </c>
      <c r="C479" s="6" t="inlineStr">
        <is>
          <t>Kerala</t>
        </is>
      </c>
      <c r="D479" s="7" t="inlineStr">
        <is>
          <t>KL13AC3041</t>
        </is>
      </c>
      <c r="E479" s="7" t="inlineStr">
        <is>
          <t>HYUNDAI</t>
        </is>
      </c>
      <c r="F479" s="7" t="inlineStr">
        <is>
          <t>i10</t>
        </is>
      </c>
      <c r="G479" s="7" t="inlineStr">
        <is>
          <t>VIJIL MARVEL CARS</t>
        </is>
      </c>
      <c r="H479" s="7" t="inlineStr">
        <is>
          <t>Non-Captive</t>
        </is>
      </c>
      <c r="I479" s="7" t="inlineStr">
        <is>
          <t>APCO HYUNDAI</t>
        </is>
      </c>
      <c r="J479" s="8" t="n"/>
      <c r="K479" s="9" t="n">
        <v>84000</v>
      </c>
      <c r="L479" s="10" t="n">
        <v>250000</v>
      </c>
      <c r="M479" s="10" t="n">
        <v>4237.29</v>
      </c>
      <c r="N479" s="11">
        <f>IF(M479="","",ROUND(M479*1.18,2))</f>
        <v/>
      </c>
      <c r="O479" s="12">
        <f>IF(M479="","",ROUND(N479-M479,2))</f>
        <v/>
      </c>
      <c r="P479" s="13">
        <f>IF(AND(A479&lt;&gt;"",B479&lt;&gt;""), A479&amp;" · "&amp;B479, "")</f>
        <v/>
      </c>
    </row>
    <row r="480">
      <c r="A480" s="6" t="inlineStr">
        <is>
          <t>FY26</t>
        </is>
      </c>
      <c r="B480" s="6" t="inlineStr">
        <is>
          <t>Feb</t>
        </is>
      </c>
      <c r="C480" s="6" t="inlineStr">
        <is>
          <t>Kerala</t>
        </is>
      </c>
      <c r="D480" s="7" t="inlineStr">
        <is>
          <t>KL13AC5137</t>
        </is>
      </c>
      <c r="E480" s="7" t="inlineStr">
        <is>
          <t>NISSAN</t>
        </is>
      </c>
      <c r="F480" s="7" t="inlineStr">
        <is>
          <t>Micra</t>
        </is>
      </c>
      <c r="G480" s="7" t="inlineStr">
        <is>
          <t>KANNUR PLATINUM</t>
        </is>
      </c>
      <c r="H480" s="7" t="inlineStr">
        <is>
          <t>Non-Captive</t>
        </is>
      </c>
      <c r="I480" s="7" t="inlineStr">
        <is>
          <t>KVR TATA</t>
        </is>
      </c>
      <c r="J480" s="8" t="n"/>
      <c r="K480" s="9" t="n">
        <v>84000</v>
      </c>
      <c r="L480" s="10" t="n">
        <v>120000</v>
      </c>
      <c r="M480" s="10" t="n">
        <v>4237.29</v>
      </c>
      <c r="N480" s="11">
        <f>IF(M480="","",ROUND(M480*1.18,2))</f>
        <v/>
      </c>
      <c r="O480" s="12">
        <f>IF(M480="","",ROUND(N480-M480,2))</f>
        <v/>
      </c>
      <c r="P480" s="13">
        <f>IF(AND(A480&lt;&gt;"",B480&lt;&gt;""), A480&amp;" · "&amp;B480, "")</f>
        <v/>
      </c>
    </row>
    <row r="481">
      <c r="A481" s="6" t="inlineStr">
        <is>
          <t>FY26</t>
        </is>
      </c>
      <c r="B481" s="6" t="inlineStr">
        <is>
          <t>Feb</t>
        </is>
      </c>
      <c r="C481" s="6" t="inlineStr">
        <is>
          <t>Kerala</t>
        </is>
      </c>
      <c r="D481" s="7" t="inlineStr">
        <is>
          <t>KL13AD0984</t>
        </is>
      </c>
      <c r="E481" s="7" t="inlineStr">
        <is>
          <t>HYUNDAI</t>
        </is>
      </c>
      <c r="F481" s="7" t="inlineStr">
        <is>
          <t>i10</t>
        </is>
      </c>
      <c r="G481" s="7" t="inlineStr">
        <is>
          <t>PRAJOSH</t>
        </is>
      </c>
      <c r="H481" s="7" t="inlineStr">
        <is>
          <t>Non-Captive</t>
        </is>
      </c>
      <c r="I481" s="7" t="inlineStr">
        <is>
          <t>DKH KIA</t>
        </is>
      </c>
      <c r="J481" s="8" t="n"/>
      <c r="K481" s="9" t="n">
        <v>77000</v>
      </c>
      <c r="L481" s="10" t="n">
        <v>200000</v>
      </c>
      <c r="M481" s="10" t="n">
        <v>4237.29</v>
      </c>
      <c r="N481" s="11">
        <f>IF(M481="","",ROUND(M481*1.18,2))</f>
        <v/>
      </c>
      <c r="O481" s="12">
        <f>IF(M481="","",ROUND(N481-M481,2))</f>
        <v/>
      </c>
      <c r="P481" s="13">
        <f>IF(AND(A481&lt;&gt;"",B481&lt;&gt;""), A481&amp;" · "&amp;B481, "")</f>
        <v/>
      </c>
    </row>
    <row r="482">
      <c r="A482" s="6" t="inlineStr">
        <is>
          <t>FY26</t>
        </is>
      </c>
      <c r="B482" s="6" t="inlineStr">
        <is>
          <t>Feb</t>
        </is>
      </c>
      <c r="C482" s="6" t="inlineStr">
        <is>
          <t>Kerala</t>
        </is>
      </c>
      <c r="D482" s="7" t="inlineStr">
        <is>
          <t>KL13AH3933</t>
        </is>
      </c>
      <c r="E482" s="7" t="inlineStr">
        <is>
          <t>TATA</t>
        </is>
      </c>
      <c r="F482" s="7" t="inlineStr">
        <is>
          <t>Tiago</t>
        </is>
      </c>
      <c r="G482" s="7" t="inlineStr">
        <is>
          <t>HARI NK</t>
        </is>
      </c>
      <c r="H482" s="7" t="inlineStr">
        <is>
          <t>Non-Captive</t>
        </is>
      </c>
      <c r="I482" s="7" t="inlineStr">
        <is>
          <t>EVM NISSAN</t>
        </is>
      </c>
      <c r="J482" s="8" t="n"/>
      <c r="K482" s="9" t="n">
        <v>42000</v>
      </c>
      <c r="L482" s="10" t="n">
        <v>195000</v>
      </c>
      <c r="M482" s="10" t="n">
        <v>4237.29</v>
      </c>
      <c r="N482" s="11">
        <f>IF(M482="","",ROUND(M482*1.18,2))</f>
        <v/>
      </c>
      <c r="O482" s="12">
        <f>IF(M482="","",ROUND(N482-M482,2))</f>
        <v/>
      </c>
      <c r="P482" s="13">
        <f>IF(AND(A482&lt;&gt;"",B482&lt;&gt;""), A482&amp;" · "&amp;B482, "")</f>
        <v/>
      </c>
    </row>
    <row r="483">
      <c r="A483" s="6" t="inlineStr">
        <is>
          <t>FY26</t>
        </is>
      </c>
      <c r="B483" s="6" t="inlineStr">
        <is>
          <t>Feb</t>
        </is>
      </c>
      <c r="C483" s="6" t="inlineStr">
        <is>
          <t>Kerala</t>
        </is>
      </c>
      <c r="D483" s="7" t="inlineStr">
        <is>
          <t>KL13AM3190</t>
        </is>
      </c>
      <c r="E483" s="7" t="inlineStr">
        <is>
          <t>MARUTI SUZUKI</t>
        </is>
      </c>
      <c r="F483" s="7" t="inlineStr">
        <is>
          <t>Wagon R</t>
        </is>
      </c>
      <c r="G483" s="7" t="inlineStr">
        <is>
          <t>SARITH</t>
        </is>
      </c>
      <c r="H483" s="7" t="inlineStr">
        <is>
          <t>Non-Captive</t>
        </is>
      </c>
      <c r="I483" s="7" t="inlineStr">
        <is>
          <t>INDUS MARUTI</t>
        </is>
      </c>
      <c r="J483" s="8" t="n"/>
      <c r="K483" s="9" t="n">
        <v>180000</v>
      </c>
      <c r="L483" s="10" t="n">
        <v>20000</v>
      </c>
      <c r="M483" s="10" t="n">
        <v>4237.29</v>
      </c>
      <c r="N483" s="11">
        <f>IF(M483="","",ROUND(M483*1.18,2))</f>
        <v/>
      </c>
      <c r="O483" s="12">
        <f>IF(M483="","",ROUND(N483-M483,2))</f>
        <v/>
      </c>
      <c r="P483" s="13">
        <f>IF(AND(A483&lt;&gt;"",B483&lt;&gt;""), A483&amp;" · "&amp;B483, "")</f>
        <v/>
      </c>
    </row>
    <row r="484">
      <c r="A484" s="6" t="inlineStr">
        <is>
          <t>FY26</t>
        </is>
      </c>
      <c r="B484" s="6" t="inlineStr">
        <is>
          <t>Feb</t>
        </is>
      </c>
      <c r="C484" s="6" t="inlineStr">
        <is>
          <t>Kerala</t>
        </is>
      </c>
      <c r="D484" s="7" t="inlineStr">
        <is>
          <t>KL13L8839</t>
        </is>
      </c>
      <c r="E484" s="7" t="inlineStr">
        <is>
          <t>MARUTI SUZUKI</t>
        </is>
      </c>
      <c r="F484" s="7" t="inlineStr">
        <is>
          <t>Wagon R</t>
        </is>
      </c>
      <c r="G484" s="7" t="inlineStr">
        <is>
          <t>SARITH</t>
        </is>
      </c>
      <c r="H484" s="7" t="inlineStr">
        <is>
          <t>Non-Captive</t>
        </is>
      </c>
      <c r="I484" s="7" t="inlineStr">
        <is>
          <t>KVR TATA</t>
        </is>
      </c>
      <c r="J484" s="8" t="n"/>
      <c r="K484" s="9" t="n">
        <v>98000</v>
      </c>
      <c r="L484" s="10" t="n">
        <v>30000</v>
      </c>
      <c r="M484" s="10" t="n">
        <v>4237.29</v>
      </c>
      <c r="N484" s="11">
        <f>IF(M484="","",ROUND(M484*1.18,2))</f>
        <v/>
      </c>
      <c r="O484" s="12">
        <f>IF(M484="","",ROUND(N484-M484,2))</f>
        <v/>
      </c>
      <c r="P484" s="13">
        <f>IF(AND(A484&lt;&gt;"",B484&lt;&gt;""), A484&amp;" · "&amp;B484, "")</f>
        <v/>
      </c>
    </row>
    <row r="485">
      <c r="A485" s="6" t="inlineStr">
        <is>
          <t>FY26</t>
        </is>
      </c>
      <c r="B485" s="6" t="inlineStr">
        <is>
          <t>Feb</t>
        </is>
      </c>
      <c r="C485" s="6" t="inlineStr">
        <is>
          <t>Kerala</t>
        </is>
      </c>
      <c r="D485" s="7" t="inlineStr">
        <is>
          <t>KL13R6477</t>
        </is>
      </c>
      <c r="E485" s="7" t="inlineStr">
        <is>
          <t>MARUTI SUZUKI</t>
        </is>
      </c>
      <c r="F485" s="7" t="inlineStr">
        <is>
          <t>Zen</t>
        </is>
      </c>
      <c r="G485" s="7" t="inlineStr">
        <is>
          <t>SARITH</t>
        </is>
      </c>
      <c r="H485" s="7" t="inlineStr">
        <is>
          <t>Non-Captive</t>
        </is>
      </c>
      <c r="I485" s="7" t="inlineStr">
        <is>
          <t>AMANA TOYOTA</t>
        </is>
      </c>
      <c r="J485" s="8" t="n"/>
      <c r="K485" s="9" t="n">
        <v>41000</v>
      </c>
      <c r="L485" s="10" t="n">
        <v>70000</v>
      </c>
      <c r="M485" s="10" t="n">
        <v>4237.29</v>
      </c>
      <c r="N485" s="11">
        <f>IF(M485="","",ROUND(M485*1.18,2))</f>
        <v/>
      </c>
      <c r="O485" s="12">
        <f>IF(M485="","",ROUND(N485-M485,2))</f>
        <v/>
      </c>
      <c r="P485" s="13">
        <f>IF(AND(A485&lt;&gt;"",B485&lt;&gt;""), A485&amp;" · "&amp;B485, "")</f>
        <v/>
      </c>
    </row>
    <row r="486">
      <c r="A486" s="6" t="inlineStr">
        <is>
          <t>FY26</t>
        </is>
      </c>
      <c r="B486" s="6" t="inlineStr">
        <is>
          <t>Feb</t>
        </is>
      </c>
      <c r="C486" s="6" t="inlineStr">
        <is>
          <t>Kerala</t>
        </is>
      </c>
      <c r="D486" s="7" t="inlineStr">
        <is>
          <t>KL14AE3707</t>
        </is>
      </c>
      <c r="E486" s="7" t="inlineStr">
        <is>
          <t>TATA</t>
        </is>
      </c>
      <c r="F486" s="7" t="inlineStr">
        <is>
          <t>Tiago</t>
        </is>
      </c>
      <c r="G486" s="7" t="inlineStr">
        <is>
          <t>AUGUSTIN THOMAS</t>
        </is>
      </c>
      <c r="H486" s="7" t="inlineStr">
        <is>
          <t>Non-Captive</t>
        </is>
      </c>
      <c r="I486" s="7" t="inlineStr">
        <is>
          <t>KVR TATA</t>
        </is>
      </c>
      <c r="J486" s="8" t="n"/>
      <c r="K486" s="9" t="n">
        <v>45563</v>
      </c>
      <c r="L486" s="10" t="n">
        <v>610000</v>
      </c>
      <c r="M486" s="10" t="n">
        <v>8474.58</v>
      </c>
      <c r="N486" s="11">
        <f>IF(M486="","",ROUND(M486*1.18,2))</f>
        <v/>
      </c>
      <c r="O486" s="12">
        <f>IF(M486="","",ROUND(N486-M486,2))</f>
        <v/>
      </c>
      <c r="P486" s="13">
        <f>IF(AND(A486&lt;&gt;"",B486&lt;&gt;""), A486&amp;" · "&amp;B486, "")</f>
        <v/>
      </c>
    </row>
    <row r="487">
      <c r="A487" s="6" t="inlineStr">
        <is>
          <t>FY26</t>
        </is>
      </c>
      <c r="B487" s="6" t="inlineStr">
        <is>
          <t>Feb</t>
        </is>
      </c>
      <c r="C487" s="6" t="inlineStr">
        <is>
          <t>Kerala</t>
        </is>
      </c>
      <c r="D487" s="7" t="inlineStr">
        <is>
          <t>KL16R5099</t>
        </is>
      </c>
      <c r="E487" s="7" t="inlineStr">
        <is>
          <t>MARUTI SUZUKI</t>
        </is>
      </c>
      <c r="F487" s="7" t="inlineStr">
        <is>
          <t>Wagon R</t>
        </is>
      </c>
      <c r="G487" s="7" t="inlineStr">
        <is>
          <t>PRAMOD</t>
        </is>
      </c>
      <c r="H487" s="7" t="inlineStr">
        <is>
          <t>Non-Captive</t>
        </is>
      </c>
      <c r="I487" s="7" t="inlineStr">
        <is>
          <t>NOUFAL LUXON TATA</t>
        </is>
      </c>
      <c r="J487" s="8" t="n"/>
      <c r="K487" s="9" t="n">
        <v>19868</v>
      </c>
      <c r="L487" s="10" t="n">
        <v>270000</v>
      </c>
      <c r="M487" s="10" t="n">
        <v>4237.29</v>
      </c>
      <c r="N487" s="11">
        <f>IF(M487="","",ROUND(M487*1.18,2))</f>
        <v/>
      </c>
      <c r="O487" s="12">
        <f>IF(M487="","",ROUND(N487-M487,2))</f>
        <v/>
      </c>
      <c r="P487" s="13">
        <f>IF(AND(A487&lt;&gt;"",B487&lt;&gt;""), A487&amp;" · "&amp;B487, "")</f>
        <v/>
      </c>
    </row>
    <row r="488">
      <c r="A488" s="6" t="inlineStr">
        <is>
          <t>FY26</t>
        </is>
      </c>
      <c r="B488" s="6" t="inlineStr">
        <is>
          <t>Feb</t>
        </is>
      </c>
      <c r="C488" s="6" t="inlineStr">
        <is>
          <t>Kerala</t>
        </is>
      </c>
      <c r="D488" s="7" t="inlineStr">
        <is>
          <t>KL16X9007</t>
        </is>
      </c>
      <c r="E488" s="7" t="inlineStr">
        <is>
          <t>RENAULT</t>
        </is>
      </c>
      <c r="F488" s="7" t="inlineStr">
        <is>
          <t>Triber</t>
        </is>
      </c>
      <c r="G488" s="7" t="inlineStr">
        <is>
          <t>ABHISHEK</t>
        </is>
      </c>
      <c r="H488" s="7" t="inlineStr">
        <is>
          <t>Non-Captive</t>
        </is>
      </c>
      <c r="I488" s="7" t="inlineStr">
        <is>
          <t>DERIK TATA</t>
        </is>
      </c>
      <c r="J488" s="8" t="n"/>
      <c r="K488" s="9" t="n">
        <v>57000</v>
      </c>
      <c r="L488" s="10" t="n">
        <v>335000</v>
      </c>
      <c r="M488" s="10" t="n">
        <v>4237.29</v>
      </c>
      <c r="N488" s="11">
        <f>IF(M488="","",ROUND(M488*1.18,2))</f>
        <v/>
      </c>
      <c r="O488" s="12">
        <f>IF(M488="","",ROUND(N488-M488,2))</f>
        <v/>
      </c>
      <c r="P488" s="13">
        <f>IF(AND(A488&lt;&gt;"",B488&lt;&gt;""), A488&amp;" · "&amp;B488, "")</f>
        <v/>
      </c>
    </row>
    <row r="489">
      <c r="A489" s="6" t="inlineStr">
        <is>
          <t>FY26</t>
        </is>
      </c>
      <c r="B489" s="6" t="inlineStr">
        <is>
          <t>Feb</t>
        </is>
      </c>
      <c r="C489" s="6" t="inlineStr">
        <is>
          <t>Kerala</t>
        </is>
      </c>
      <c r="D489" s="7" t="inlineStr">
        <is>
          <t>KL17Q8093</t>
        </is>
      </c>
      <c r="E489" s="7" t="inlineStr">
        <is>
          <t>MAHINDRA</t>
        </is>
      </c>
      <c r="F489" s="7" t="inlineStr">
        <is>
          <t>KUV100</t>
        </is>
      </c>
      <c r="G489" s="7" t="inlineStr">
        <is>
          <t>ABBAS</t>
        </is>
      </c>
      <c r="H489" s="7" t="inlineStr">
        <is>
          <t>Non-Captive</t>
        </is>
      </c>
      <c r="I489" s="7" t="inlineStr">
        <is>
          <t>SANTHOSH</t>
        </is>
      </c>
      <c r="J489" s="8" t="n"/>
      <c r="K489" s="9" t="n">
        <v>86000</v>
      </c>
      <c r="L489" s="10" t="n">
        <v>220000</v>
      </c>
      <c r="M489" s="10" t="n">
        <v>6355.93</v>
      </c>
      <c r="N489" s="11">
        <f>IF(M489="","",ROUND(M489*1.18,2))</f>
        <v/>
      </c>
      <c r="O489" s="12">
        <f>IF(M489="","",ROUND(N489-M489,2))</f>
        <v/>
      </c>
      <c r="P489" s="13">
        <f>IF(AND(A489&lt;&gt;"",B489&lt;&gt;""), A489&amp;" · "&amp;B489, "")</f>
        <v/>
      </c>
    </row>
    <row r="490">
      <c r="A490" s="6" t="inlineStr">
        <is>
          <t>FY26</t>
        </is>
      </c>
      <c r="B490" s="6" t="inlineStr">
        <is>
          <t>Feb</t>
        </is>
      </c>
      <c r="C490" s="6" t="inlineStr">
        <is>
          <t>Kerala</t>
        </is>
      </c>
      <c r="D490" s="7" t="inlineStr">
        <is>
          <t>KL17T7840</t>
        </is>
      </c>
      <c r="E490" s="7" t="inlineStr">
        <is>
          <t>DATSUN</t>
        </is>
      </c>
      <c r="F490" s="7" t="inlineStr">
        <is>
          <t>Redi-GO</t>
        </is>
      </c>
      <c r="G490" s="7" t="inlineStr">
        <is>
          <t>NIDEESH MOHAN</t>
        </is>
      </c>
      <c r="H490" s="7" t="inlineStr">
        <is>
          <t>Non-Captive</t>
        </is>
      </c>
      <c r="I490" s="7" t="inlineStr">
        <is>
          <t>BIMAL</t>
        </is>
      </c>
      <c r="J490" s="8" t="n"/>
      <c r="K490" s="9" t="n">
        <v>69000</v>
      </c>
      <c r="L490" s="10" t="n">
        <v>130000</v>
      </c>
      <c r="M490" s="10" t="n">
        <v>4237.29</v>
      </c>
      <c r="N490" s="11">
        <f>IF(M490="","",ROUND(M490*1.18,2))</f>
        <v/>
      </c>
      <c r="O490" s="12">
        <f>IF(M490="","",ROUND(N490-M490,2))</f>
        <v/>
      </c>
      <c r="P490" s="13">
        <f>IF(AND(A490&lt;&gt;"",B490&lt;&gt;""), A490&amp;" · "&amp;B490, "")</f>
        <v/>
      </c>
    </row>
    <row r="491">
      <c r="A491" s="6" t="inlineStr">
        <is>
          <t>FY26</t>
        </is>
      </c>
      <c r="B491" s="6" t="inlineStr">
        <is>
          <t>Feb</t>
        </is>
      </c>
      <c r="C491" s="6" t="inlineStr">
        <is>
          <t>Kerala</t>
        </is>
      </c>
      <c r="D491" s="7" t="inlineStr">
        <is>
          <t>KL18W9303</t>
        </is>
      </c>
      <c r="E491" s="7" t="inlineStr">
        <is>
          <t>HYUNDAI</t>
        </is>
      </c>
      <c r="F491" s="7" t="inlineStr">
        <is>
          <t>i10</t>
        </is>
      </c>
      <c r="G491" s="7" t="inlineStr">
        <is>
          <t>PRAJOSH</t>
        </is>
      </c>
      <c r="H491" s="7" t="inlineStr">
        <is>
          <t>Non-Captive</t>
        </is>
      </c>
      <c r="I491" s="7" t="inlineStr">
        <is>
          <t>AM MOTORS</t>
        </is>
      </c>
      <c r="J491" s="8" t="n"/>
      <c r="K491" s="9" t="n">
        <v>70000</v>
      </c>
      <c r="L491" s="10" t="n">
        <v>310000</v>
      </c>
      <c r="M491" s="10" t="n">
        <v>4237.29</v>
      </c>
      <c r="N491" s="11">
        <f>IF(M491="","",ROUND(M491*1.18,2))</f>
        <v/>
      </c>
      <c r="O491" s="12">
        <f>IF(M491="","",ROUND(N491-M491,2))</f>
        <v/>
      </c>
      <c r="P491" s="13">
        <f>IF(AND(A491&lt;&gt;"",B491&lt;&gt;""), A491&amp;" · "&amp;B491, "")</f>
        <v/>
      </c>
    </row>
    <row r="492">
      <c r="A492" s="6" t="inlineStr">
        <is>
          <t>FY26</t>
        </is>
      </c>
      <c r="B492" s="6" t="inlineStr">
        <is>
          <t>Feb</t>
        </is>
      </c>
      <c r="C492" s="6" t="inlineStr">
        <is>
          <t>Kerala</t>
        </is>
      </c>
      <c r="D492" s="7" t="inlineStr">
        <is>
          <t>KL19B0502</t>
        </is>
      </c>
      <c r="E492" s="7" t="inlineStr">
        <is>
          <t>MARUTI SUZUKI</t>
        </is>
      </c>
      <c r="F492" s="7" t="inlineStr">
        <is>
          <t>Swift</t>
        </is>
      </c>
      <c r="G492" s="7" t="inlineStr">
        <is>
          <t>ABHISHEK</t>
        </is>
      </c>
      <c r="H492" s="7" t="inlineStr">
        <is>
          <t>Non-Captive</t>
        </is>
      </c>
      <c r="I492" s="7" t="inlineStr">
        <is>
          <t>POPULAR MARUTI</t>
        </is>
      </c>
      <c r="J492" s="8" t="n"/>
      <c r="K492" s="9" t="n">
        <v>168000</v>
      </c>
      <c r="L492" s="10" t="n">
        <v>130000</v>
      </c>
      <c r="M492" s="10" t="n">
        <v>6779.66</v>
      </c>
      <c r="N492" s="11">
        <f>IF(M492="","",ROUND(M492*1.18,2))</f>
        <v/>
      </c>
      <c r="O492" s="12">
        <f>IF(M492="","",ROUND(N492-M492,2))</f>
        <v/>
      </c>
      <c r="P492" s="13">
        <f>IF(AND(A492&lt;&gt;"",B492&lt;&gt;""), A492&amp;" · "&amp;B492, "")</f>
        <v/>
      </c>
    </row>
    <row r="493">
      <c r="A493" s="6" t="inlineStr">
        <is>
          <t>FY26</t>
        </is>
      </c>
      <c r="B493" s="6" t="inlineStr">
        <is>
          <t>Feb</t>
        </is>
      </c>
      <c r="C493" s="6" t="inlineStr">
        <is>
          <t>Kerala</t>
        </is>
      </c>
      <c r="D493" s="7" t="inlineStr">
        <is>
          <t>KL20C3658</t>
        </is>
      </c>
      <c r="E493" s="7" t="inlineStr">
        <is>
          <t>CHEVROLET</t>
        </is>
      </c>
      <c r="F493" s="7" t="inlineStr">
        <is>
          <t>Beat</t>
        </is>
      </c>
      <c r="G493" s="7" t="inlineStr">
        <is>
          <t>VIJIL MARVEL CARS</t>
        </is>
      </c>
      <c r="H493" s="7" t="inlineStr">
        <is>
          <t>Non-Captive</t>
        </is>
      </c>
      <c r="I493" s="7" t="inlineStr">
        <is>
          <t>AMANA TOYOTA</t>
        </is>
      </c>
      <c r="J493" s="8" t="n"/>
      <c r="K493" s="9" t="n">
        <v>80000</v>
      </c>
      <c r="L493" s="10" t="n">
        <v>40000</v>
      </c>
      <c r="M493" s="10" t="n">
        <v>4237.29</v>
      </c>
      <c r="N493" s="11">
        <f>IF(M493="","",ROUND(M493*1.18,2))</f>
        <v/>
      </c>
      <c r="O493" s="12">
        <f>IF(M493="","",ROUND(N493-M493,2))</f>
        <v/>
      </c>
      <c r="P493" s="13">
        <f>IF(AND(A493&lt;&gt;"",B493&lt;&gt;""), A493&amp;" · "&amp;B493, "")</f>
        <v/>
      </c>
    </row>
    <row r="494">
      <c r="A494" s="6" t="inlineStr">
        <is>
          <t>FY26</t>
        </is>
      </c>
      <c r="B494" s="6" t="inlineStr">
        <is>
          <t>Feb</t>
        </is>
      </c>
      <c r="C494" s="6" t="inlineStr">
        <is>
          <t>Kerala</t>
        </is>
      </c>
      <c r="D494" s="7" t="inlineStr">
        <is>
          <t>KL20R9128</t>
        </is>
      </c>
      <c r="E494" s="7" t="inlineStr">
        <is>
          <t>MARUTI SUZUKI</t>
        </is>
      </c>
      <c r="F494" s="7" t="inlineStr">
        <is>
          <t>Alto</t>
        </is>
      </c>
      <c r="G494" s="7" t="inlineStr">
        <is>
          <t>AUTOBOT</t>
        </is>
      </c>
      <c r="H494" s="7" t="inlineStr">
        <is>
          <t>Non-Captive</t>
        </is>
      </c>
      <c r="I494" s="7" t="inlineStr">
        <is>
          <t>LUXON TATA</t>
        </is>
      </c>
      <c r="J494" s="8" t="n"/>
      <c r="K494" s="9" t="n">
        <v>37600</v>
      </c>
      <c r="L494" s="10" t="n">
        <v>305000</v>
      </c>
      <c r="M494" s="10" t="n">
        <v>4237.29</v>
      </c>
      <c r="N494" s="11">
        <f>IF(M494="","",ROUND(M494*1.18,2))</f>
        <v/>
      </c>
      <c r="O494" s="12">
        <f>IF(M494="","",ROUND(N494-M494,2))</f>
        <v/>
      </c>
      <c r="P494" s="13">
        <f>IF(AND(A494&lt;&gt;"",B494&lt;&gt;""), A494&amp;" · "&amp;B494, "")</f>
        <v/>
      </c>
    </row>
    <row r="495">
      <c r="A495" s="6" t="inlineStr">
        <is>
          <t>FY26</t>
        </is>
      </c>
      <c r="B495" s="6" t="inlineStr">
        <is>
          <t>Feb</t>
        </is>
      </c>
      <c r="C495" s="6" t="inlineStr">
        <is>
          <t>Kerala</t>
        </is>
      </c>
      <c r="D495" s="7" t="inlineStr">
        <is>
          <t>KL21G2143</t>
        </is>
      </c>
      <c r="E495" s="7" t="inlineStr">
        <is>
          <t>VOLKSWAGEN</t>
        </is>
      </c>
      <c r="F495" s="7" t="inlineStr">
        <is>
          <t>Polo</t>
        </is>
      </c>
      <c r="G495" s="7" t="inlineStr">
        <is>
          <t>AKHILNATH</t>
        </is>
      </c>
      <c r="H495" s="7" t="inlineStr">
        <is>
          <t>Non-Captive</t>
        </is>
      </c>
      <c r="I495" s="7" t="inlineStr">
        <is>
          <t>INDUS MARUTI</t>
        </is>
      </c>
      <c r="J495" s="8" t="n"/>
      <c r="K495" s="9" t="n">
        <v>91000</v>
      </c>
      <c r="L495" s="10" t="n">
        <v>170000</v>
      </c>
      <c r="M495" s="10" t="n">
        <v>6779.66</v>
      </c>
      <c r="N495" s="11">
        <f>IF(M495="","",ROUND(M495*1.18,2))</f>
        <v/>
      </c>
      <c r="O495" s="12">
        <f>IF(M495="","",ROUND(N495-M495,2))</f>
        <v/>
      </c>
      <c r="P495" s="13">
        <f>IF(AND(A495&lt;&gt;"",B495&lt;&gt;""), A495&amp;" · "&amp;B495, "")</f>
        <v/>
      </c>
    </row>
    <row r="496">
      <c r="A496" s="6" t="inlineStr">
        <is>
          <t>FY26</t>
        </is>
      </c>
      <c r="B496" s="6" t="inlineStr">
        <is>
          <t>Feb</t>
        </is>
      </c>
      <c r="C496" s="6" t="inlineStr">
        <is>
          <t>Kerala</t>
        </is>
      </c>
      <c r="D496" s="7" t="inlineStr">
        <is>
          <t>KL22L4890</t>
        </is>
      </c>
      <c r="E496" s="7" t="inlineStr">
        <is>
          <t>TATA</t>
        </is>
      </c>
      <c r="F496" s="7" t="inlineStr">
        <is>
          <t>Tiago</t>
        </is>
      </c>
      <c r="G496" s="7" t="inlineStr">
        <is>
          <t>EVM CITROEN</t>
        </is>
      </c>
      <c r="H496" s="7" t="inlineStr">
        <is>
          <t>Non-Captive</t>
        </is>
      </c>
      <c r="I496" s="7" t="inlineStr">
        <is>
          <t>VTJ</t>
        </is>
      </c>
      <c r="J496" s="8" t="n"/>
      <c r="K496" s="9" t="n">
        <v>20872</v>
      </c>
      <c r="L496" s="10" t="n">
        <v>310000</v>
      </c>
      <c r="M496" s="10" t="n">
        <v>8474.58</v>
      </c>
      <c r="N496" s="11">
        <f>IF(M496="","",ROUND(M496*1.18,2))</f>
        <v/>
      </c>
      <c r="O496" s="12">
        <f>IF(M496="","",ROUND(N496-M496,2))</f>
        <v/>
      </c>
      <c r="P496" s="13">
        <f>IF(AND(A496&lt;&gt;"",B496&lt;&gt;""), A496&amp;" · "&amp;B496, "")</f>
        <v/>
      </c>
    </row>
    <row r="497">
      <c r="A497" s="6" t="inlineStr">
        <is>
          <t>FY26</t>
        </is>
      </c>
      <c r="B497" s="6" t="inlineStr">
        <is>
          <t>Feb</t>
        </is>
      </c>
      <c r="C497" s="6" t="inlineStr">
        <is>
          <t>Kerala</t>
        </is>
      </c>
      <c r="D497" s="7" t="inlineStr">
        <is>
          <t>KL22L8780</t>
        </is>
      </c>
      <c r="E497" s="7" t="inlineStr">
        <is>
          <t>MARUTI SUZUKI</t>
        </is>
      </c>
      <c r="F497" s="7" t="inlineStr">
        <is>
          <t>Celerio</t>
        </is>
      </c>
      <c r="G497" s="7" t="inlineStr">
        <is>
          <t>RAHUL</t>
        </is>
      </c>
      <c r="H497" s="7" t="inlineStr">
        <is>
          <t>Non-Captive</t>
        </is>
      </c>
      <c r="I497" s="7" t="inlineStr">
        <is>
          <t>TRIVANDRUM MOTORS</t>
        </is>
      </c>
      <c r="J497" s="8" t="n"/>
      <c r="K497" s="9" t="n">
        <v>84000</v>
      </c>
      <c r="L497" s="10" t="n">
        <v>250000</v>
      </c>
      <c r="M497" s="10" t="n">
        <v>5932.2</v>
      </c>
      <c r="N497" s="11">
        <f>IF(M497="","",ROUND(M497*1.18,2))</f>
        <v/>
      </c>
      <c r="O497" s="12">
        <f>IF(M497="","",ROUND(N497-M497,2))</f>
        <v/>
      </c>
      <c r="P497" s="13">
        <f>IF(AND(A497&lt;&gt;"",B497&lt;&gt;""), A497&amp;" · "&amp;B497, "")</f>
        <v/>
      </c>
    </row>
    <row r="498">
      <c r="A498" s="6" t="inlineStr">
        <is>
          <t>FY26</t>
        </is>
      </c>
      <c r="B498" s="6" t="inlineStr">
        <is>
          <t>Feb</t>
        </is>
      </c>
      <c r="C498" s="6" t="inlineStr">
        <is>
          <t>Kerala</t>
        </is>
      </c>
      <c r="D498" s="7" t="inlineStr">
        <is>
          <t>KL23B5200</t>
        </is>
      </c>
      <c r="E498" s="7" t="inlineStr">
        <is>
          <t>MARUTI SUZUKI</t>
        </is>
      </c>
      <c r="F498" s="7" t="inlineStr">
        <is>
          <t>Wagon R</t>
        </is>
      </c>
      <c r="G498" s="7" t="inlineStr">
        <is>
          <t>MIDHUN</t>
        </is>
      </c>
      <c r="H498" s="7" t="inlineStr">
        <is>
          <t>Non-Captive</t>
        </is>
      </c>
      <c r="I498" s="7" t="inlineStr">
        <is>
          <t>INDUS MARUTI</t>
        </is>
      </c>
      <c r="J498" s="8" t="n"/>
      <c r="K498" s="9" t="n">
        <v>88000</v>
      </c>
      <c r="L498" s="10" t="n">
        <v>120000</v>
      </c>
      <c r="M498" s="10" t="n">
        <v>6779.66</v>
      </c>
      <c r="N498" s="11">
        <f>IF(M498="","",ROUND(M498*1.18,2))</f>
        <v/>
      </c>
      <c r="O498" s="12">
        <f>IF(M498="","",ROUND(N498-M498,2))</f>
        <v/>
      </c>
      <c r="P498" s="13">
        <f>IF(AND(A498&lt;&gt;"",B498&lt;&gt;""), A498&amp;" · "&amp;B498, "")</f>
        <v/>
      </c>
    </row>
    <row r="499">
      <c r="A499" s="6" t="inlineStr">
        <is>
          <t>FY26</t>
        </is>
      </c>
      <c r="B499" s="6" t="inlineStr">
        <is>
          <t>Feb</t>
        </is>
      </c>
      <c r="C499" s="6" t="inlineStr">
        <is>
          <t>Kerala</t>
        </is>
      </c>
      <c r="D499" s="7" t="inlineStr">
        <is>
          <t>KL25J3389</t>
        </is>
      </c>
      <c r="E499" s="7" t="inlineStr">
        <is>
          <t>RENAULT</t>
        </is>
      </c>
      <c r="F499" s="7" t="inlineStr">
        <is>
          <t>Kwid</t>
        </is>
      </c>
      <c r="G499" s="7" t="inlineStr">
        <is>
          <t>PRAMOD</t>
        </is>
      </c>
      <c r="H499" s="7" t="inlineStr">
        <is>
          <t>Non-Captive</t>
        </is>
      </c>
      <c r="I499" s="7" t="inlineStr">
        <is>
          <t>MUTHOOT TATA</t>
        </is>
      </c>
      <c r="J499" s="8" t="n"/>
      <c r="K499" s="9" t="n">
        <v>103345</v>
      </c>
      <c r="L499" s="10" t="n">
        <v>93000</v>
      </c>
      <c r="M499" s="10" t="n">
        <v>5932.2</v>
      </c>
      <c r="N499" s="11">
        <f>IF(M499="","",ROUND(M499*1.18,2))</f>
        <v/>
      </c>
      <c r="O499" s="12">
        <f>IF(M499="","",ROUND(N499-M499,2))</f>
        <v/>
      </c>
      <c r="P499" s="13">
        <f>IF(AND(A499&lt;&gt;"",B499&lt;&gt;""), A499&amp;" · "&amp;B499, "")</f>
        <v/>
      </c>
    </row>
    <row r="500">
      <c r="A500" s="6" t="inlineStr">
        <is>
          <t>FY26</t>
        </is>
      </c>
      <c r="B500" s="6" t="inlineStr">
        <is>
          <t>Feb</t>
        </is>
      </c>
      <c r="C500" s="6" t="inlineStr">
        <is>
          <t>Kerala</t>
        </is>
      </c>
      <c r="D500" s="7" t="inlineStr">
        <is>
          <t>KL25L0066</t>
        </is>
      </c>
      <c r="E500" s="7" t="inlineStr">
        <is>
          <t>MARUTI SUZUKI</t>
        </is>
      </c>
      <c r="F500" s="7" t="inlineStr">
        <is>
          <t>Baleno</t>
        </is>
      </c>
      <c r="G500" s="7" t="inlineStr">
        <is>
          <t>POPULAR MARUTI</t>
        </is>
      </c>
      <c r="H500" s="7" t="inlineStr">
        <is>
          <t>Non-Captive</t>
        </is>
      </c>
      <c r="I500" s="7" t="inlineStr">
        <is>
          <t>RAFEEK T A</t>
        </is>
      </c>
      <c r="J500" s="8" t="n"/>
      <c r="K500" s="9" t="n">
        <v>119591</v>
      </c>
      <c r="L500" s="10" t="n">
        <v>395000</v>
      </c>
      <c r="M500" s="10" t="n">
        <v>8474.58</v>
      </c>
      <c r="N500" s="11">
        <f>IF(M500="","",ROUND(M500*1.18,2))</f>
        <v/>
      </c>
      <c r="O500" s="12">
        <f>IF(M500="","",ROUND(N500-M500,2))</f>
        <v/>
      </c>
      <c r="P500" s="13">
        <f>IF(AND(A500&lt;&gt;"",B500&lt;&gt;""), A500&amp;" · "&amp;B500, "")</f>
        <v/>
      </c>
    </row>
    <row r="501">
      <c r="A501" s="6" t="inlineStr">
        <is>
          <t>FY26</t>
        </is>
      </c>
      <c r="B501" s="6" t="inlineStr">
        <is>
          <t>Feb</t>
        </is>
      </c>
      <c r="C501" s="6" t="inlineStr">
        <is>
          <t>Kerala</t>
        </is>
      </c>
      <c r="D501" s="7" t="inlineStr">
        <is>
          <t>KL263681</t>
        </is>
      </c>
      <c r="E501" s="7" t="inlineStr">
        <is>
          <t>MARUTI SUZUKI</t>
        </is>
      </c>
      <c r="F501" s="7" t="inlineStr">
        <is>
          <t>800</t>
        </is>
      </c>
      <c r="G501" s="7" t="inlineStr">
        <is>
          <t>POPULAR MARUTI</t>
        </is>
      </c>
      <c r="H501" s="7" t="inlineStr">
        <is>
          <t>Non-Captive</t>
        </is>
      </c>
      <c r="I501" s="7" t="inlineStr">
        <is>
          <t>MUHAMMAD SHAJI</t>
        </is>
      </c>
      <c r="J501" s="8" t="n"/>
      <c r="K501" s="9" t="n">
        <v>123243</v>
      </c>
      <c r="L501" s="10" t="n">
        <v>30000</v>
      </c>
      <c r="M501" s="10" t="n">
        <v>8474.58</v>
      </c>
      <c r="N501" s="11">
        <f>IF(M501="","",ROUND(M501*1.18,2))</f>
        <v/>
      </c>
      <c r="O501" s="12">
        <f>IF(M501="","",ROUND(N501-M501,2))</f>
        <v/>
      </c>
      <c r="P501" s="13">
        <f>IF(AND(A501&lt;&gt;"",B501&lt;&gt;""), A501&amp;" · "&amp;B501, "")</f>
        <v/>
      </c>
    </row>
    <row r="502">
      <c r="A502" s="6" t="inlineStr">
        <is>
          <t>FY26</t>
        </is>
      </c>
      <c r="B502" s="6" t="inlineStr">
        <is>
          <t>Feb</t>
        </is>
      </c>
      <c r="C502" s="6" t="inlineStr">
        <is>
          <t>Kerala</t>
        </is>
      </c>
      <c r="D502" s="7" t="inlineStr">
        <is>
          <t>KL30B3578</t>
        </is>
      </c>
      <c r="E502" s="7" t="inlineStr">
        <is>
          <t>HYUNDAI</t>
        </is>
      </c>
      <c r="F502" s="7" t="inlineStr">
        <is>
          <t>Santro</t>
        </is>
      </c>
      <c r="G502" s="7" t="inlineStr">
        <is>
          <t>ARAVIND</t>
        </is>
      </c>
      <c r="H502" s="7" t="inlineStr">
        <is>
          <t>Non-Captive</t>
        </is>
      </c>
      <c r="I502" s="7" t="inlineStr">
        <is>
          <t>TRIVANDRUM MOTORS</t>
        </is>
      </c>
      <c r="J502" s="8" t="n"/>
      <c r="K502" s="9" t="n">
        <v>108000</v>
      </c>
      <c r="L502" s="10" t="n">
        <v>50000</v>
      </c>
      <c r="M502" s="10" t="n">
        <v>5084.75</v>
      </c>
      <c r="N502" s="11">
        <f>IF(M502="","",ROUND(M502*1.18,2))</f>
        <v/>
      </c>
      <c r="O502" s="12">
        <f>IF(M502="","",ROUND(N502-M502,2))</f>
        <v/>
      </c>
      <c r="P502" s="13">
        <f>IF(AND(A502&lt;&gt;"",B502&lt;&gt;""), A502&amp;" · "&amp;B502, "")</f>
        <v/>
      </c>
    </row>
    <row r="503">
      <c r="A503" s="6" t="inlineStr">
        <is>
          <t>FY26</t>
        </is>
      </c>
      <c r="B503" s="6" t="inlineStr">
        <is>
          <t>Feb</t>
        </is>
      </c>
      <c r="C503" s="6" t="inlineStr">
        <is>
          <t>Kerala</t>
        </is>
      </c>
      <c r="D503" s="7" t="inlineStr">
        <is>
          <t>KL30F3711</t>
        </is>
      </c>
      <c r="E503" s="7" t="inlineStr">
        <is>
          <t>MARUTI SUZUKI</t>
        </is>
      </c>
      <c r="F503" s="7" t="inlineStr">
        <is>
          <t>Wagon R</t>
        </is>
      </c>
      <c r="G503" s="7" t="inlineStr">
        <is>
          <t>POPULAR MARUTI</t>
        </is>
      </c>
      <c r="H503" s="7" t="inlineStr">
        <is>
          <t>Non-Captive</t>
        </is>
      </c>
      <c r="I503" s="7" t="inlineStr">
        <is>
          <t>RAFEEK T A</t>
        </is>
      </c>
      <c r="J503" s="8" t="n"/>
      <c r="K503" s="9" t="n">
        <v>57490</v>
      </c>
      <c r="L503" s="10" t="n">
        <v>350000</v>
      </c>
      <c r="M503" s="10" t="n">
        <v>8474.58</v>
      </c>
      <c r="N503" s="11">
        <f>IF(M503="","",ROUND(M503*1.18,2))</f>
        <v/>
      </c>
      <c r="O503" s="12">
        <f>IF(M503="","",ROUND(N503-M503,2))</f>
        <v/>
      </c>
      <c r="P503" s="13">
        <f>IF(AND(A503&lt;&gt;"",B503&lt;&gt;""), A503&amp;" · "&amp;B503, "")</f>
        <v/>
      </c>
    </row>
    <row r="504">
      <c r="A504" s="6" t="inlineStr">
        <is>
          <t>FY26</t>
        </is>
      </c>
      <c r="B504" s="6" t="inlineStr">
        <is>
          <t>Feb</t>
        </is>
      </c>
      <c r="C504" s="6" t="inlineStr">
        <is>
          <t>Kerala</t>
        </is>
      </c>
      <c r="D504" s="7" t="inlineStr">
        <is>
          <t>KL31K2122</t>
        </is>
      </c>
      <c r="E504" s="7" t="inlineStr">
        <is>
          <t>MARUTI SUZUKI</t>
        </is>
      </c>
      <c r="F504" s="7" t="inlineStr">
        <is>
          <t>Celerio</t>
        </is>
      </c>
      <c r="G504" s="7" t="inlineStr">
        <is>
          <t>POPULAR MARUTI</t>
        </is>
      </c>
      <c r="H504" s="7" t="inlineStr">
        <is>
          <t>Non-Captive</t>
        </is>
      </c>
      <c r="I504" s="7" t="inlineStr">
        <is>
          <t>MUHAMMAD SHAJI</t>
        </is>
      </c>
      <c r="J504" s="8" t="n"/>
      <c r="K504" s="9" t="n">
        <v>78696</v>
      </c>
      <c r="L504" s="10" t="n">
        <v>330000</v>
      </c>
      <c r="M504" s="10" t="n">
        <v>8474.58</v>
      </c>
      <c r="N504" s="11">
        <f>IF(M504="","",ROUND(M504*1.18,2))</f>
        <v/>
      </c>
      <c r="O504" s="12">
        <f>IF(M504="","",ROUND(N504-M504,2))</f>
        <v/>
      </c>
      <c r="P504" s="13">
        <f>IF(AND(A504&lt;&gt;"",B504&lt;&gt;""), A504&amp;" · "&amp;B504, "")</f>
        <v/>
      </c>
    </row>
    <row r="505">
      <c r="A505" s="6" t="inlineStr">
        <is>
          <t>FY26</t>
        </is>
      </c>
      <c r="B505" s="6" t="inlineStr">
        <is>
          <t>Feb</t>
        </is>
      </c>
      <c r="C505" s="6" t="inlineStr">
        <is>
          <t>Kerala</t>
        </is>
      </c>
      <c r="D505" s="7" t="inlineStr">
        <is>
          <t>KL31K4959</t>
        </is>
      </c>
      <c r="E505" s="7" t="inlineStr">
        <is>
          <t>RENAULT</t>
        </is>
      </c>
      <c r="F505" s="7" t="inlineStr">
        <is>
          <t>Kwid</t>
        </is>
      </c>
      <c r="G505" s="7" t="inlineStr">
        <is>
          <t>VARUN B</t>
        </is>
      </c>
      <c r="H505" s="7" t="inlineStr">
        <is>
          <t>Non-Captive</t>
        </is>
      </c>
      <c r="I505" s="7" t="inlineStr">
        <is>
          <t>REMIL SARATHY NEXA</t>
        </is>
      </c>
      <c r="J505" s="8" t="n"/>
      <c r="K505" s="9" t="n">
        <v>44753</v>
      </c>
      <c r="L505" s="10" t="n">
        <v>120000</v>
      </c>
      <c r="M505" s="10" t="n">
        <v>4237.29</v>
      </c>
      <c r="N505" s="11">
        <f>IF(M505="","",ROUND(M505*1.18,2))</f>
        <v/>
      </c>
      <c r="O505" s="12">
        <f>IF(M505="","",ROUND(N505-M505,2))</f>
        <v/>
      </c>
      <c r="P505" s="13">
        <f>IF(AND(A505&lt;&gt;"",B505&lt;&gt;""), A505&amp;" · "&amp;B505, "")</f>
        <v/>
      </c>
    </row>
    <row r="506">
      <c r="A506" s="6" t="inlineStr">
        <is>
          <t>FY26</t>
        </is>
      </c>
      <c r="B506" s="6" t="inlineStr">
        <is>
          <t>Feb</t>
        </is>
      </c>
      <c r="C506" s="6" t="inlineStr">
        <is>
          <t>Kerala</t>
        </is>
      </c>
      <c r="D506" s="7" t="inlineStr">
        <is>
          <t>KL32C7999</t>
        </is>
      </c>
      <c r="E506" s="7" t="inlineStr">
        <is>
          <t>MAHINDRA</t>
        </is>
      </c>
      <c r="F506" s="7" t="inlineStr">
        <is>
          <t>Bolero</t>
        </is>
      </c>
      <c r="G506" s="7" t="inlineStr">
        <is>
          <t>SANOOP</t>
        </is>
      </c>
      <c r="H506" s="7" t="inlineStr">
        <is>
          <t>Non-Captive</t>
        </is>
      </c>
      <c r="I506" s="7" t="inlineStr">
        <is>
          <t>MARVEL</t>
        </is>
      </c>
      <c r="J506" s="8" t="n"/>
      <c r="K506" s="9" t="n">
        <v>140000</v>
      </c>
      <c r="L506" s="10" t="n">
        <v>165000</v>
      </c>
      <c r="M506" s="10" t="n">
        <v>4237.29</v>
      </c>
      <c r="N506" s="11">
        <f>IF(M506="","",ROUND(M506*1.18,2))</f>
        <v/>
      </c>
      <c r="O506" s="12">
        <f>IF(M506="","",ROUND(N506-M506,2))</f>
        <v/>
      </c>
      <c r="P506" s="13">
        <f>IF(AND(A506&lt;&gt;"",B506&lt;&gt;""), A506&amp;" · "&amp;B506, "")</f>
        <v/>
      </c>
    </row>
    <row r="507">
      <c r="A507" s="6" t="inlineStr">
        <is>
          <t>FY26</t>
        </is>
      </c>
      <c r="B507" s="6" t="inlineStr">
        <is>
          <t>Feb</t>
        </is>
      </c>
      <c r="C507" s="6" t="inlineStr">
        <is>
          <t>Kerala</t>
        </is>
      </c>
      <c r="D507" s="7" t="inlineStr">
        <is>
          <t>KL32H4325</t>
        </is>
      </c>
      <c r="E507" s="7" t="inlineStr">
        <is>
          <t>HYUNDAI</t>
        </is>
      </c>
      <c r="F507" s="7" t="inlineStr">
        <is>
          <t>i20</t>
        </is>
      </c>
      <c r="G507" s="7" t="inlineStr">
        <is>
          <t>ANAS HAMEED</t>
        </is>
      </c>
      <c r="H507" s="7" t="inlineStr">
        <is>
          <t>Non-Captive</t>
        </is>
      </c>
      <c r="I507" s="7" t="inlineStr">
        <is>
          <t>MUHAMMAD SHAJI</t>
        </is>
      </c>
      <c r="J507" s="8" t="n"/>
      <c r="K507" s="9" t="n">
        <v>130298</v>
      </c>
      <c r="L507" s="10" t="n">
        <v>360000</v>
      </c>
      <c r="M507" s="10" t="n">
        <v>4237.29</v>
      </c>
      <c r="N507" s="11">
        <f>IF(M507="","",ROUND(M507*1.18,2))</f>
        <v/>
      </c>
      <c r="O507" s="12">
        <f>IF(M507="","",ROUND(N507-M507,2))</f>
        <v/>
      </c>
      <c r="P507" s="13">
        <f>IF(AND(A507&lt;&gt;"",B507&lt;&gt;""), A507&amp;" · "&amp;B507, "")</f>
        <v/>
      </c>
    </row>
    <row r="508">
      <c r="A508" s="6" t="inlineStr">
        <is>
          <t>FY26</t>
        </is>
      </c>
      <c r="B508" s="6" t="inlineStr">
        <is>
          <t>Feb</t>
        </is>
      </c>
      <c r="C508" s="6" t="inlineStr">
        <is>
          <t>Kerala</t>
        </is>
      </c>
      <c r="D508" s="7" t="inlineStr">
        <is>
          <t>KL33F8905</t>
        </is>
      </c>
      <c r="E508" s="7" t="inlineStr">
        <is>
          <t>MARUTI SUZUKI</t>
        </is>
      </c>
      <c r="F508" s="7" t="inlineStr">
        <is>
          <t>Dzire</t>
        </is>
      </c>
      <c r="G508" s="7" t="inlineStr">
        <is>
          <t>AMRITH V CHANDY</t>
        </is>
      </c>
      <c r="H508" s="7" t="inlineStr">
        <is>
          <t>Non-Captive</t>
        </is>
      </c>
      <c r="I508" s="7" t="inlineStr">
        <is>
          <t>MUHAMMAD SHAJI</t>
        </is>
      </c>
      <c r="J508" s="8" t="n"/>
      <c r="K508" s="9" t="n">
        <v>107897</v>
      </c>
      <c r="L508" s="10" t="n">
        <v>320000</v>
      </c>
      <c r="M508" s="10" t="n">
        <v>8474.58</v>
      </c>
      <c r="N508" s="11">
        <f>IF(M508="","",ROUND(M508*1.18,2))</f>
        <v/>
      </c>
      <c r="O508" s="12">
        <f>IF(M508="","",ROUND(N508-M508,2))</f>
        <v/>
      </c>
      <c r="P508" s="13">
        <f>IF(AND(A508&lt;&gt;"",B508&lt;&gt;""), A508&amp;" · "&amp;B508, "")</f>
        <v/>
      </c>
    </row>
    <row r="509">
      <c r="A509" s="6" t="inlineStr">
        <is>
          <t>FY26</t>
        </is>
      </c>
      <c r="B509" s="6" t="inlineStr">
        <is>
          <t>Feb</t>
        </is>
      </c>
      <c r="C509" s="6" t="inlineStr">
        <is>
          <t>Kerala</t>
        </is>
      </c>
      <c r="D509" s="7" t="inlineStr">
        <is>
          <t>KL33P1680</t>
        </is>
      </c>
      <c r="E509" s="7" t="inlineStr">
        <is>
          <t>TATA</t>
        </is>
      </c>
      <c r="F509" s="7" t="inlineStr">
        <is>
          <t>Triber</t>
        </is>
      </c>
      <c r="G509" s="7" t="inlineStr">
        <is>
          <t>EVM SKODA</t>
        </is>
      </c>
      <c r="H509" s="7" t="inlineStr">
        <is>
          <t>Non-Captive</t>
        </is>
      </c>
      <c r="I509" s="7" t="inlineStr">
        <is>
          <t>Aitos Cars</t>
        </is>
      </c>
      <c r="J509" s="8" t="n"/>
      <c r="K509" s="9" t="n">
        <v>17500</v>
      </c>
      <c r="L509" s="10" t="n">
        <v>490000</v>
      </c>
      <c r="M509" s="10" t="n">
        <v>8474.58</v>
      </c>
      <c r="N509" s="11">
        <f>IF(M509="","",ROUND(M509*1.18,2))</f>
        <v/>
      </c>
      <c r="O509" s="12">
        <f>IF(M509="","",ROUND(N509-M509,2))</f>
        <v/>
      </c>
      <c r="P509" s="13">
        <f>IF(AND(A509&lt;&gt;"",B509&lt;&gt;""), A509&amp;" · "&amp;B509, "")</f>
        <v/>
      </c>
    </row>
    <row r="510">
      <c r="A510" s="6" t="inlineStr">
        <is>
          <t>FY26</t>
        </is>
      </c>
      <c r="B510" s="6" t="inlineStr">
        <is>
          <t>Feb</t>
        </is>
      </c>
      <c r="C510" s="6" t="inlineStr">
        <is>
          <t>Kerala</t>
        </is>
      </c>
      <c r="D510" s="7" t="inlineStr">
        <is>
          <t>KL35D7032</t>
        </is>
      </c>
      <c r="E510" s="7" t="inlineStr">
        <is>
          <t>HYUNDAI</t>
        </is>
      </c>
      <c r="F510" s="7" t="inlineStr">
        <is>
          <t>Eon</t>
        </is>
      </c>
      <c r="G510" s="7" t="inlineStr">
        <is>
          <t>LUXON TATA</t>
        </is>
      </c>
      <c r="H510" s="7" t="inlineStr">
        <is>
          <t>Non-Captive</t>
        </is>
      </c>
      <c r="I510" s="7" t="inlineStr">
        <is>
          <t>MUHAMMAD SHAJI</t>
        </is>
      </c>
      <c r="J510" s="8" t="n"/>
      <c r="K510" s="9" t="n">
        <v>96000</v>
      </c>
      <c r="L510" s="10" t="n">
        <v>89000</v>
      </c>
      <c r="M510" s="10" t="n">
        <v>4237.29</v>
      </c>
      <c r="N510" s="11">
        <f>IF(M510="","",ROUND(M510*1.18,2))</f>
        <v/>
      </c>
      <c r="O510" s="12">
        <f>IF(M510="","",ROUND(N510-M510,2))</f>
        <v/>
      </c>
      <c r="P510" s="13">
        <f>IF(AND(A510&lt;&gt;"",B510&lt;&gt;""), A510&amp;" · "&amp;B510, "")</f>
        <v/>
      </c>
    </row>
    <row r="511">
      <c r="A511" s="6" t="inlineStr">
        <is>
          <t>FY26</t>
        </is>
      </c>
      <c r="B511" s="6" t="inlineStr">
        <is>
          <t>Feb</t>
        </is>
      </c>
      <c r="C511" s="6" t="inlineStr">
        <is>
          <t>Kerala</t>
        </is>
      </c>
      <c r="D511" s="7" t="inlineStr">
        <is>
          <t>KL35F9122</t>
        </is>
      </c>
      <c r="E511" s="7" t="inlineStr">
        <is>
          <t>TATA</t>
        </is>
      </c>
      <c r="F511" s="7" t="inlineStr">
        <is>
          <t>Nano</t>
        </is>
      </c>
      <c r="G511" s="7" t="inlineStr">
        <is>
          <t>ANAS VH</t>
        </is>
      </c>
      <c r="H511" s="7" t="inlineStr">
        <is>
          <t>Non-Captive</t>
        </is>
      </c>
      <c r="I511" s="7" t="inlineStr">
        <is>
          <t>SUDHEESH K SATHYAN</t>
        </is>
      </c>
      <c r="J511" s="8" t="n"/>
      <c r="K511" s="9" t="n">
        <v>53464</v>
      </c>
      <c r="L511" s="10" t="n">
        <v>155000</v>
      </c>
      <c r="M511" s="10" t="n">
        <v>7627.12</v>
      </c>
      <c r="N511" s="11">
        <f>IF(M511="","",ROUND(M511*1.18,2))</f>
        <v/>
      </c>
      <c r="O511" s="12">
        <f>IF(M511="","",ROUND(N511-M511,2))</f>
        <v/>
      </c>
      <c r="P511" s="13">
        <f>IF(AND(A511&lt;&gt;"",B511&lt;&gt;""), A511&amp;" · "&amp;B511, "")</f>
        <v/>
      </c>
    </row>
    <row r="512">
      <c r="A512" s="6" t="inlineStr">
        <is>
          <t>FY26</t>
        </is>
      </c>
      <c r="B512" s="6" t="inlineStr">
        <is>
          <t>Feb</t>
        </is>
      </c>
      <c r="C512" s="6" t="inlineStr">
        <is>
          <t>Kerala</t>
        </is>
      </c>
      <c r="D512" s="7" t="inlineStr">
        <is>
          <t>KL35K7695</t>
        </is>
      </c>
      <c r="E512" s="7" t="inlineStr">
        <is>
          <t>FORD</t>
        </is>
      </c>
      <c r="F512" s="7" t="inlineStr">
        <is>
          <t>EcoSport</t>
        </is>
      </c>
      <c r="G512" s="7" t="inlineStr">
        <is>
          <t>KESHVIN HYUNDAI</t>
        </is>
      </c>
      <c r="H512" s="7" t="inlineStr">
        <is>
          <t>Non-Captive</t>
        </is>
      </c>
      <c r="I512" s="7" t="inlineStr">
        <is>
          <t>HUSSAIN O E</t>
        </is>
      </c>
      <c r="J512" s="8" t="n"/>
      <c r="K512" s="9" t="n">
        <v>87000</v>
      </c>
      <c r="L512" s="10" t="n">
        <v>625000</v>
      </c>
      <c r="M512" s="10" t="n">
        <v>8474.58</v>
      </c>
      <c r="N512" s="11">
        <f>IF(M512="","",ROUND(M512*1.18,2))</f>
        <v/>
      </c>
      <c r="O512" s="12">
        <f>IF(M512="","",ROUND(N512-M512,2))</f>
        <v/>
      </c>
      <c r="P512" s="13">
        <f>IF(AND(A512&lt;&gt;"",B512&lt;&gt;""), A512&amp;" · "&amp;B512, "")</f>
        <v/>
      </c>
    </row>
    <row r="513">
      <c r="A513" s="6" t="inlineStr">
        <is>
          <t>FY26</t>
        </is>
      </c>
      <c r="B513" s="6" t="inlineStr">
        <is>
          <t>Feb</t>
        </is>
      </c>
      <c r="C513" s="6" t="inlineStr">
        <is>
          <t>Kerala</t>
        </is>
      </c>
      <c r="D513" s="7" t="inlineStr">
        <is>
          <t>KL35M6853</t>
        </is>
      </c>
      <c r="E513" s="7" t="inlineStr">
        <is>
          <t>TOYOTA</t>
        </is>
      </c>
      <c r="F513" s="7" t="inlineStr">
        <is>
          <t>Innova</t>
        </is>
      </c>
      <c r="G513" s="7" t="inlineStr">
        <is>
          <t>MUHAMMAD SHAJI</t>
        </is>
      </c>
      <c r="H513" s="7" t="inlineStr">
        <is>
          <t>Non-Captive</t>
        </is>
      </c>
      <c r="I513" s="7" t="inlineStr">
        <is>
          <t>ANAS VH</t>
        </is>
      </c>
      <c r="J513" s="8" t="n"/>
      <c r="K513" s="9" t="n">
        <v>169877</v>
      </c>
      <c r="L513" s="10" t="n">
        <v>585000</v>
      </c>
      <c r="M513" s="10" t="n">
        <v>8474.58</v>
      </c>
      <c r="N513" s="11">
        <f>IF(M513="","",ROUND(M513*1.18,2))</f>
        <v/>
      </c>
      <c r="O513" s="12">
        <f>IF(M513="","",ROUND(N513-M513,2))</f>
        <v/>
      </c>
      <c r="P513" s="13">
        <f>IF(AND(A513&lt;&gt;"",B513&lt;&gt;""), A513&amp;" · "&amp;B513, "")</f>
        <v/>
      </c>
    </row>
    <row r="514">
      <c r="A514" s="6" t="inlineStr">
        <is>
          <t>FY26</t>
        </is>
      </c>
      <c r="B514" s="6" t="inlineStr">
        <is>
          <t>Feb</t>
        </is>
      </c>
      <c r="C514" s="6" t="inlineStr">
        <is>
          <t>Kerala</t>
        </is>
      </c>
      <c r="D514" s="7" t="inlineStr">
        <is>
          <t>KL36E7608</t>
        </is>
      </c>
      <c r="E514" s="7" t="inlineStr">
        <is>
          <t>MARUTI SUZUKI</t>
        </is>
      </c>
      <c r="F514" s="7" t="inlineStr">
        <is>
          <t>Celerio</t>
        </is>
      </c>
      <c r="G514" s="7" t="inlineStr">
        <is>
          <t>POPULAR MARUTI</t>
        </is>
      </c>
      <c r="H514" s="7" t="inlineStr">
        <is>
          <t>Non-Captive</t>
        </is>
      </c>
      <c r="I514" s="7" t="inlineStr">
        <is>
          <t>HAVEN MOTORS</t>
        </is>
      </c>
      <c r="J514" s="8" t="n"/>
      <c r="K514" s="9" t="n">
        <v>108594</v>
      </c>
      <c r="L514" s="10" t="n">
        <v>220000</v>
      </c>
      <c r="M514" s="10" t="n">
        <v>8474.58</v>
      </c>
      <c r="N514" s="11">
        <f>IF(M514="","",ROUND(M514*1.18,2))</f>
        <v/>
      </c>
      <c r="O514" s="12">
        <f>IF(M514="","",ROUND(N514-M514,2))</f>
        <v/>
      </c>
      <c r="P514" s="13">
        <f>IF(AND(A514&lt;&gt;"",B514&lt;&gt;""), A514&amp;" · "&amp;B514, "")</f>
        <v/>
      </c>
    </row>
    <row r="515">
      <c r="A515" s="6" t="inlineStr">
        <is>
          <t>FY26</t>
        </is>
      </c>
      <c r="B515" s="6" t="inlineStr">
        <is>
          <t>Feb</t>
        </is>
      </c>
      <c r="C515" s="6" t="inlineStr">
        <is>
          <t>Kerala</t>
        </is>
      </c>
      <c r="D515" s="7" t="inlineStr">
        <is>
          <t>KL37D4248</t>
        </is>
      </c>
      <c r="E515" s="7" t="inlineStr">
        <is>
          <t>MARUTI SUZUKI</t>
        </is>
      </c>
      <c r="F515" s="7" t="inlineStr">
        <is>
          <t>Alto</t>
        </is>
      </c>
      <c r="G515" s="7" t="inlineStr">
        <is>
          <t>POPULAR MARUTI</t>
        </is>
      </c>
      <c r="H515" s="7" t="inlineStr">
        <is>
          <t>Non-Captive</t>
        </is>
      </c>
      <c r="I515" s="7" t="inlineStr">
        <is>
          <t>MUHAMMAD SHAJI</t>
        </is>
      </c>
      <c r="J515" s="8" t="n"/>
      <c r="K515" s="9" t="n">
        <v>57980</v>
      </c>
      <c r="L515" s="10" t="n">
        <v>260000</v>
      </c>
      <c r="M515" s="10" t="n">
        <v>11016.95</v>
      </c>
      <c r="N515" s="11">
        <f>IF(M515="","",ROUND(M515*1.18,2))</f>
        <v/>
      </c>
      <c r="O515" s="12">
        <f>IF(M515="","",ROUND(N515-M515,2))</f>
        <v/>
      </c>
      <c r="P515" s="13">
        <f>IF(AND(A515&lt;&gt;"",B515&lt;&gt;""), A515&amp;" · "&amp;B515, "")</f>
        <v/>
      </c>
    </row>
    <row r="516">
      <c r="A516" s="6" t="inlineStr">
        <is>
          <t>FY26</t>
        </is>
      </c>
      <c r="B516" s="6" t="inlineStr">
        <is>
          <t>Feb</t>
        </is>
      </c>
      <c r="C516" s="6" t="inlineStr">
        <is>
          <t>Kerala</t>
        </is>
      </c>
      <c r="D516" s="7" t="inlineStr">
        <is>
          <t>KL389473</t>
        </is>
      </c>
      <c r="E516" s="7" t="inlineStr">
        <is>
          <t>HYUNDAI</t>
        </is>
      </c>
      <c r="F516" s="7" t="inlineStr">
        <is>
          <t>Santro</t>
        </is>
      </c>
      <c r="G516" s="7" t="inlineStr">
        <is>
          <t>TINU P SOMAN</t>
        </is>
      </c>
      <c r="H516" s="7" t="inlineStr">
        <is>
          <t>Non-Captive</t>
        </is>
      </c>
      <c r="I516" s="7" t="inlineStr">
        <is>
          <t>SUDHEESH K SATHYAN</t>
        </is>
      </c>
      <c r="J516" s="8" t="n"/>
      <c r="K516" s="9" t="n">
        <v>116000</v>
      </c>
      <c r="L516" s="10" t="n">
        <v>89000</v>
      </c>
      <c r="M516" s="10" t="n">
        <v>8474.58</v>
      </c>
      <c r="N516" s="11">
        <f>IF(M516="","",ROUND(M516*1.18,2))</f>
        <v/>
      </c>
      <c r="O516" s="12">
        <f>IF(M516="","",ROUND(N516-M516,2))</f>
        <v/>
      </c>
      <c r="P516" s="13">
        <f>IF(AND(A516&lt;&gt;"",B516&lt;&gt;""), A516&amp;" · "&amp;B516, "")</f>
        <v/>
      </c>
    </row>
    <row r="517">
      <c r="A517" s="6" t="inlineStr">
        <is>
          <t>FY26</t>
        </is>
      </c>
      <c r="B517" s="6" t="inlineStr">
        <is>
          <t>Feb</t>
        </is>
      </c>
      <c r="C517" s="6" t="inlineStr">
        <is>
          <t>Kerala</t>
        </is>
      </c>
      <c r="D517" s="7" t="inlineStr">
        <is>
          <t>KL38B3341</t>
        </is>
      </c>
      <c r="E517" s="7" t="inlineStr">
        <is>
          <t>MARUTI SUZUKI</t>
        </is>
      </c>
      <c r="F517" s="7" t="inlineStr">
        <is>
          <t>A-Star</t>
        </is>
      </c>
      <c r="G517" s="7" t="inlineStr">
        <is>
          <t>MAIJO MARUTI</t>
        </is>
      </c>
      <c r="H517" s="7" t="inlineStr">
        <is>
          <t>Non-Captive</t>
        </is>
      </c>
      <c r="I517" s="7" t="inlineStr">
        <is>
          <t>ABITH M S</t>
        </is>
      </c>
      <c r="J517" s="8" t="n"/>
      <c r="K517" s="9" t="n">
        <v>93570</v>
      </c>
      <c r="L517" s="10" t="n">
        <v>50000</v>
      </c>
      <c r="M517" s="10" t="n">
        <v>8474.58</v>
      </c>
      <c r="N517" s="11">
        <f>IF(M517="","",ROUND(M517*1.18,2))</f>
        <v/>
      </c>
      <c r="O517" s="12">
        <f>IF(M517="","",ROUND(N517-M517,2))</f>
        <v/>
      </c>
      <c r="P517" s="13">
        <f>IF(AND(A517&lt;&gt;"",B517&lt;&gt;""), A517&amp;" · "&amp;B517, "")</f>
        <v/>
      </c>
    </row>
    <row r="518">
      <c r="A518" s="6" t="inlineStr">
        <is>
          <t>FY26</t>
        </is>
      </c>
      <c r="B518" s="6" t="inlineStr">
        <is>
          <t>Feb</t>
        </is>
      </c>
      <c r="C518" s="6" t="inlineStr">
        <is>
          <t>Kerala</t>
        </is>
      </c>
      <c r="D518" s="7" t="inlineStr">
        <is>
          <t>KL38F7287</t>
        </is>
      </c>
      <c r="E518" s="7" t="inlineStr">
        <is>
          <t>RENAULT</t>
        </is>
      </c>
      <c r="F518" s="7" t="inlineStr">
        <is>
          <t>Kwid</t>
        </is>
      </c>
      <c r="G518" s="7" t="inlineStr">
        <is>
          <t>GOKULAM TATA</t>
        </is>
      </c>
      <c r="H518" s="7" t="inlineStr">
        <is>
          <t>Non-Captive</t>
        </is>
      </c>
      <c r="I518" s="7" t="inlineStr">
        <is>
          <t>MANOJ</t>
        </is>
      </c>
      <c r="J518" s="8" t="n"/>
      <c r="K518" s="9" t="n">
        <v>48353</v>
      </c>
      <c r="L518" s="10" t="n">
        <v>237500</v>
      </c>
      <c r="M518" s="10" t="n">
        <v>6355.93</v>
      </c>
      <c r="N518" s="11">
        <f>IF(M518="","",ROUND(M518*1.18,2))</f>
        <v/>
      </c>
      <c r="O518" s="12">
        <f>IF(M518="","",ROUND(N518-M518,2))</f>
        <v/>
      </c>
      <c r="P518" s="13">
        <f>IF(AND(A518&lt;&gt;"",B518&lt;&gt;""), A518&amp;" · "&amp;B518, "")</f>
        <v/>
      </c>
    </row>
    <row r="519">
      <c r="A519" s="6" t="inlineStr">
        <is>
          <t>FY26</t>
        </is>
      </c>
      <c r="B519" s="6" t="inlineStr">
        <is>
          <t>Feb</t>
        </is>
      </c>
      <c r="C519" s="6" t="inlineStr">
        <is>
          <t>Kerala</t>
        </is>
      </c>
      <c r="D519" s="7" t="inlineStr">
        <is>
          <t>KL39L8506</t>
        </is>
      </c>
      <c r="E519" s="7" t="inlineStr">
        <is>
          <t>HONDA</t>
        </is>
      </c>
      <c r="F519" s="7" t="inlineStr">
        <is>
          <t>Jazz</t>
        </is>
      </c>
      <c r="G519" s="7" t="inlineStr">
        <is>
          <t>INCHEON KIA</t>
        </is>
      </c>
      <c r="H519" s="7" t="inlineStr">
        <is>
          <t>Non-Captive</t>
        </is>
      </c>
      <c r="I519" s="7" t="inlineStr">
        <is>
          <t>DINESH P S</t>
        </is>
      </c>
      <c r="J519" s="8" t="n"/>
      <c r="K519" s="9" t="n">
        <v>72367</v>
      </c>
      <c r="L519" s="10" t="n">
        <v>350000</v>
      </c>
      <c r="M519" s="10" t="n">
        <v>8474.58</v>
      </c>
      <c r="N519" s="11">
        <f>IF(M519="","",ROUND(M519*1.18,2))</f>
        <v/>
      </c>
      <c r="O519" s="12">
        <f>IF(M519="","",ROUND(N519-M519,2))</f>
        <v/>
      </c>
      <c r="P519" s="13">
        <f>IF(AND(A519&lt;&gt;"",B519&lt;&gt;""), A519&amp;" · "&amp;B519, "")</f>
        <v/>
      </c>
    </row>
    <row r="520">
      <c r="A520" s="6" t="inlineStr">
        <is>
          <t>FY26</t>
        </is>
      </c>
      <c r="B520" s="6" t="inlineStr">
        <is>
          <t>Feb</t>
        </is>
      </c>
      <c r="C520" s="6" t="inlineStr">
        <is>
          <t>Kerala</t>
        </is>
      </c>
      <c r="D520" s="7" t="inlineStr">
        <is>
          <t>KL39N1171</t>
        </is>
      </c>
      <c r="E520" s="7" t="inlineStr">
        <is>
          <t>FORD</t>
        </is>
      </c>
      <c r="F520" s="7" t="inlineStr">
        <is>
          <t>EcoSport</t>
        </is>
      </c>
      <c r="G520" s="7" t="inlineStr">
        <is>
          <t>INCHEON KIA</t>
        </is>
      </c>
      <c r="H520" s="7" t="inlineStr">
        <is>
          <t>Non-Captive</t>
        </is>
      </c>
      <c r="I520" s="7" t="inlineStr">
        <is>
          <t>HAVEN MOTORS</t>
        </is>
      </c>
      <c r="J520" s="8" t="n"/>
      <c r="K520" s="9" t="n">
        <v>121581</v>
      </c>
      <c r="L520" s="10" t="n">
        <v>530000</v>
      </c>
      <c r="M520" s="10" t="n">
        <v>8474.58</v>
      </c>
      <c r="N520" s="11">
        <f>IF(M520="","",ROUND(M520*1.18,2))</f>
        <v/>
      </c>
      <c r="O520" s="12">
        <f>IF(M520="","",ROUND(N520-M520,2))</f>
        <v/>
      </c>
      <c r="P520" s="13">
        <f>IF(AND(A520&lt;&gt;"",B520&lt;&gt;""), A520&amp;" · "&amp;B520, "")</f>
        <v/>
      </c>
    </row>
    <row r="521">
      <c r="A521" s="6" t="inlineStr">
        <is>
          <t>FY26</t>
        </is>
      </c>
      <c r="B521" s="6" t="inlineStr">
        <is>
          <t>Feb</t>
        </is>
      </c>
      <c r="C521" s="6" t="inlineStr">
        <is>
          <t>Kerala</t>
        </is>
      </c>
      <c r="D521" s="7" t="inlineStr">
        <is>
          <t>KL39N4145</t>
        </is>
      </c>
      <c r="E521" s="7" t="inlineStr">
        <is>
          <t>MARUTI SUZUKI</t>
        </is>
      </c>
      <c r="F521" s="7" t="inlineStr">
        <is>
          <t>Swift</t>
        </is>
      </c>
      <c r="G521" s="7" t="inlineStr">
        <is>
          <t>EVM SKODA</t>
        </is>
      </c>
      <c r="H521" s="7" t="inlineStr">
        <is>
          <t>Non-Captive</t>
        </is>
      </c>
      <c r="I521" s="7" t="inlineStr">
        <is>
          <t>ASHRAF T A</t>
        </is>
      </c>
      <c r="J521" s="8" t="n"/>
      <c r="K521" s="9" t="n">
        <v>26890</v>
      </c>
      <c r="L521" s="10" t="n">
        <v>515000</v>
      </c>
      <c r="M521" s="10" t="n">
        <v>8474.58</v>
      </c>
      <c r="N521" s="11">
        <f>IF(M521="","",ROUND(M521*1.18,2))</f>
        <v/>
      </c>
      <c r="O521" s="12">
        <f>IF(M521="","",ROUND(N521-M521,2))</f>
        <v/>
      </c>
      <c r="P521" s="13">
        <f>IF(AND(A521&lt;&gt;"",B521&lt;&gt;""), A521&amp;" · "&amp;B521, "")</f>
        <v/>
      </c>
    </row>
    <row r="522">
      <c r="A522" s="6" t="inlineStr">
        <is>
          <t>FY26</t>
        </is>
      </c>
      <c r="B522" s="6" t="inlineStr">
        <is>
          <t>Feb</t>
        </is>
      </c>
      <c r="C522" s="6" t="inlineStr">
        <is>
          <t>Kerala</t>
        </is>
      </c>
      <c r="D522" s="7" t="inlineStr">
        <is>
          <t>KL39R2947</t>
        </is>
      </c>
      <c r="E522" s="7" t="inlineStr">
        <is>
          <t>TATA</t>
        </is>
      </c>
      <c r="F522" s="7" t="inlineStr">
        <is>
          <t>Altroz</t>
        </is>
      </c>
      <c r="G522" s="7" t="inlineStr">
        <is>
          <t>MAIJO MARUTI</t>
        </is>
      </c>
      <c r="H522" s="7" t="inlineStr">
        <is>
          <t>Non-Captive</t>
        </is>
      </c>
      <c r="I522" s="7" t="inlineStr">
        <is>
          <t>HUSSAIN O E</t>
        </is>
      </c>
      <c r="J522" s="8" t="n"/>
      <c r="K522" s="9" t="n">
        <v>85382</v>
      </c>
      <c r="L522" s="10" t="n">
        <v>450000</v>
      </c>
      <c r="M522" s="10" t="n">
        <v>8474.58</v>
      </c>
      <c r="N522" s="11">
        <f>IF(M522="","",ROUND(M522*1.18,2))</f>
        <v/>
      </c>
      <c r="O522" s="12">
        <f>IF(M522="","",ROUND(N522-M522,2))</f>
        <v/>
      </c>
      <c r="P522" s="13">
        <f>IF(AND(A522&lt;&gt;"",B522&lt;&gt;""), A522&amp;" · "&amp;B522, "")</f>
        <v/>
      </c>
    </row>
    <row r="523">
      <c r="A523" s="6" t="inlineStr">
        <is>
          <t>FY26</t>
        </is>
      </c>
      <c r="B523" s="6" t="inlineStr">
        <is>
          <t>Feb</t>
        </is>
      </c>
      <c r="C523" s="6" t="inlineStr">
        <is>
          <t>Kerala</t>
        </is>
      </c>
      <c r="D523" s="7" t="inlineStr">
        <is>
          <t>KL39T7329</t>
        </is>
      </c>
      <c r="E523" s="7" t="inlineStr">
        <is>
          <t>MARUTI SUZUKI</t>
        </is>
      </c>
      <c r="F523" s="7" t="inlineStr">
        <is>
          <t>Wagon R</t>
        </is>
      </c>
      <c r="G523" s="7" t="inlineStr">
        <is>
          <t>EVM CITROEN</t>
        </is>
      </c>
      <c r="H523" s="7" t="inlineStr">
        <is>
          <t>Non-Captive</t>
        </is>
      </c>
      <c r="I523" s="7" t="inlineStr">
        <is>
          <t>RAFEEK T A</t>
        </is>
      </c>
      <c r="J523" s="8" t="n"/>
      <c r="K523" s="9" t="n">
        <v>40000</v>
      </c>
      <c r="L523" s="10" t="n">
        <v>395000</v>
      </c>
      <c r="M523" s="10" t="n">
        <v>8474.58</v>
      </c>
      <c r="N523" s="11">
        <f>IF(M523="","",ROUND(M523*1.18,2))</f>
        <v/>
      </c>
      <c r="O523" s="12">
        <f>IF(M523="","",ROUND(N523-M523,2))</f>
        <v/>
      </c>
      <c r="P523" s="13">
        <f>IF(AND(A523&lt;&gt;"",B523&lt;&gt;""), A523&amp;" · "&amp;B523, "")</f>
        <v/>
      </c>
    </row>
    <row r="524">
      <c r="A524" s="6" t="inlineStr">
        <is>
          <t>FY26</t>
        </is>
      </c>
      <c r="B524" s="6" t="inlineStr">
        <is>
          <t>Feb</t>
        </is>
      </c>
      <c r="C524" s="6" t="inlineStr">
        <is>
          <t>Kerala</t>
        </is>
      </c>
      <c r="D524" s="7" t="inlineStr">
        <is>
          <t>KL40M4684</t>
        </is>
      </c>
      <c r="E524" s="7" t="inlineStr">
        <is>
          <t>MARUTI SUZUKI</t>
        </is>
      </c>
      <c r="F524" s="7" t="inlineStr">
        <is>
          <t>Swift</t>
        </is>
      </c>
      <c r="G524" s="7" t="inlineStr">
        <is>
          <t>POPULAR MARUTI</t>
        </is>
      </c>
      <c r="H524" s="7" t="inlineStr">
        <is>
          <t>Non-Captive</t>
        </is>
      </c>
      <c r="I524" s="7" t="inlineStr">
        <is>
          <t>RAFEEK T A</t>
        </is>
      </c>
      <c r="J524" s="8" t="n"/>
      <c r="K524" s="9" t="n">
        <v>105600</v>
      </c>
      <c r="L524" s="10" t="n">
        <v>340000</v>
      </c>
      <c r="M524" s="10" t="n">
        <v>8474.58</v>
      </c>
      <c r="N524" s="11">
        <f>IF(M524="","",ROUND(M524*1.18,2))</f>
        <v/>
      </c>
      <c r="O524" s="12">
        <f>IF(M524="","",ROUND(N524-M524,2))</f>
        <v/>
      </c>
      <c r="P524" s="13">
        <f>IF(AND(A524&lt;&gt;"",B524&lt;&gt;""), A524&amp;" · "&amp;B524, "")</f>
        <v/>
      </c>
    </row>
    <row r="525">
      <c r="A525" s="6" t="inlineStr">
        <is>
          <t>FY26</t>
        </is>
      </c>
      <c r="B525" s="6" t="inlineStr">
        <is>
          <t>Feb</t>
        </is>
      </c>
      <c r="C525" s="6" t="inlineStr">
        <is>
          <t>Kerala</t>
        </is>
      </c>
      <c r="D525" s="7" t="inlineStr">
        <is>
          <t>KL41N2482</t>
        </is>
      </c>
      <c r="E525" s="7" t="inlineStr">
        <is>
          <t>RENAULT</t>
        </is>
      </c>
      <c r="F525" s="7" t="inlineStr">
        <is>
          <t>Kwid</t>
        </is>
      </c>
      <c r="G525" s="7" t="inlineStr">
        <is>
          <t>NASSIMKUNJU</t>
        </is>
      </c>
      <c r="H525" s="7" t="inlineStr">
        <is>
          <t>Non-Captive</t>
        </is>
      </c>
      <c r="I525" s="7" t="inlineStr">
        <is>
          <t>MUTHOOT TATA</t>
        </is>
      </c>
      <c r="J525" s="8" t="n"/>
      <c r="K525" s="9" t="n">
        <v>24443</v>
      </c>
      <c r="L525" s="10" t="n">
        <v>210000</v>
      </c>
      <c r="M525" s="10" t="n">
        <v>5932.2</v>
      </c>
      <c r="N525" s="11">
        <f>IF(M525="","",ROUND(M525*1.18,2))</f>
        <v/>
      </c>
      <c r="O525" s="12">
        <f>IF(M525="","",ROUND(N525-M525,2))</f>
        <v/>
      </c>
      <c r="P525" s="13">
        <f>IF(AND(A525&lt;&gt;"",B525&lt;&gt;""), A525&amp;" · "&amp;B525, "")</f>
        <v/>
      </c>
    </row>
    <row r="526">
      <c r="A526" s="6" t="inlineStr">
        <is>
          <t>FY26</t>
        </is>
      </c>
      <c r="B526" s="6" t="inlineStr">
        <is>
          <t>Feb</t>
        </is>
      </c>
      <c r="C526" s="6" t="inlineStr">
        <is>
          <t>Kerala</t>
        </is>
      </c>
      <c r="D526" s="7" t="inlineStr">
        <is>
          <t>KL43N4838</t>
        </is>
      </c>
      <c r="E526" s="7" t="inlineStr">
        <is>
          <t>RENAULT</t>
        </is>
      </c>
      <c r="F526" s="7" t="inlineStr">
        <is>
          <t>Triber</t>
        </is>
      </c>
      <c r="G526" s="7" t="inlineStr">
        <is>
          <t>POPULAR MARUTI</t>
        </is>
      </c>
      <c r="H526" s="7" t="inlineStr">
        <is>
          <t>Non-Captive</t>
        </is>
      </c>
      <c r="I526" s="7" t="inlineStr">
        <is>
          <t>HUSSAIN O E</t>
        </is>
      </c>
      <c r="J526" s="8" t="n"/>
      <c r="K526" s="9" t="n">
        <v>21600</v>
      </c>
      <c r="L526" s="10" t="n">
        <v>350000</v>
      </c>
      <c r="M526" s="10" t="n">
        <v>8474.58</v>
      </c>
      <c r="N526" s="11">
        <f>IF(M526="","",ROUND(M526*1.18,2))</f>
        <v/>
      </c>
      <c r="O526" s="12">
        <f>IF(M526="","",ROUND(N526-M526,2))</f>
        <v/>
      </c>
      <c r="P526" s="13">
        <f>IF(AND(A526&lt;&gt;"",B526&lt;&gt;""), A526&amp;" · "&amp;B526, "")</f>
        <v/>
      </c>
    </row>
    <row r="527">
      <c r="A527" s="6" t="inlineStr">
        <is>
          <t>FY26</t>
        </is>
      </c>
      <c r="B527" s="6" t="inlineStr">
        <is>
          <t>Feb</t>
        </is>
      </c>
      <c r="C527" s="6" t="inlineStr">
        <is>
          <t>Kerala</t>
        </is>
      </c>
      <c r="D527" s="7" t="inlineStr">
        <is>
          <t>KL45T6950</t>
        </is>
      </c>
      <c r="E527" s="7" t="inlineStr">
        <is>
          <t>TATA</t>
        </is>
      </c>
      <c r="F527" s="7" t="inlineStr">
        <is>
          <t>Altroz</t>
        </is>
      </c>
      <c r="G527" s="7" t="inlineStr">
        <is>
          <t>PHOENIX VOLKSWAGEN</t>
        </is>
      </c>
      <c r="H527" s="7" t="inlineStr">
        <is>
          <t>Non-Captive</t>
        </is>
      </c>
      <c r="I527" s="7" t="inlineStr">
        <is>
          <t>Aitos Cars</t>
        </is>
      </c>
      <c r="J527" s="8" t="n"/>
      <c r="K527" s="9" t="n">
        <v>50618</v>
      </c>
      <c r="L527" s="10" t="n">
        <v>310000</v>
      </c>
      <c r="M527" s="10" t="n">
        <v>8474.58</v>
      </c>
      <c r="N527" s="11">
        <f>IF(M527="","",ROUND(M527*1.18,2))</f>
        <v/>
      </c>
      <c r="O527" s="12">
        <f>IF(M527="","",ROUND(N527-M527,2))</f>
        <v/>
      </c>
      <c r="P527" s="13">
        <f>IF(AND(A527&lt;&gt;"",B527&lt;&gt;""), A527&amp;" · "&amp;B527, "")</f>
        <v/>
      </c>
    </row>
    <row r="528">
      <c r="A528" s="6" t="inlineStr">
        <is>
          <t>FY26</t>
        </is>
      </c>
      <c r="B528" s="6" t="inlineStr">
        <is>
          <t>Feb</t>
        </is>
      </c>
      <c r="C528" s="6" t="inlineStr">
        <is>
          <t>Kerala</t>
        </is>
      </c>
      <c r="D528" s="7" t="inlineStr">
        <is>
          <t>KL45V3467</t>
        </is>
      </c>
      <c r="E528" s="7" t="inlineStr">
        <is>
          <t>MARUTI SUZUKI</t>
        </is>
      </c>
      <c r="F528" s="7" t="inlineStr">
        <is>
          <t>Swift</t>
        </is>
      </c>
      <c r="G528" s="7" t="inlineStr">
        <is>
          <t>POPULAR MARUTI</t>
        </is>
      </c>
      <c r="H528" s="7" t="inlineStr">
        <is>
          <t>Non-Captive</t>
        </is>
      </c>
      <c r="I528" s="7" t="inlineStr">
        <is>
          <t>Aitos Cars</t>
        </is>
      </c>
      <c r="J528" s="8" t="n"/>
      <c r="K528" s="9" t="n">
        <v>37000</v>
      </c>
      <c r="L528" s="10" t="n">
        <v>490000</v>
      </c>
      <c r="M528" s="10" t="n">
        <v>8474.58</v>
      </c>
      <c r="N528" s="11">
        <f>IF(M528="","",ROUND(M528*1.18,2))</f>
        <v/>
      </c>
      <c r="O528" s="12">
        <f>IF(M528="","",ROUND(N528-M528,2))</f>
        <v/>
      </c>
      <c r="P528" s="13">
        <f>IF(AND(A528&lt;&gt;"",B528&lt;&gt;""), A528&amp;" · "&amp;B528, "")</f>
        <v/>
      </c>
    </row>
    <row r="529">
      <c r="A529" s="6" t="inlineStr">
        <is>
          <t>FY26</t>
        </is>
      </c>
      <c r="B529" s="6" t="inlineStr">
        <is>
          <t>Feb</t>
        </is>
      </c>
      <c r="C529" s="6" t="inlineStr">
        <is>
          <t>Kerala</t>
        </is>
      </c>
      <c r="D529" s="7" t="inlineStr">
        <is>
          <t>KL45X0194</t>
        </is>
      </c>
      <c r="E529" s="7" t="inlineStr">
        <is>
          <t>MARUTI SUZUKI</t>
        </is>
      </c>
      <c r="F529" s="7" t="inlineStr">
        <is>
          <t>Wagon R</t>
        </is>
      </c>
      <c r="G529" s="7" t="inlineStr">
        <is>
          <t>ROYAL DRIVE</t>
        </is>
      </c>
      <c r="H529" s="7" t="inlineStr">
        <is>
          <t>Non-Captive</t>
        </is>
      </c>
      <c r="I529" s="7" t="inlineStr">
        <is>
          <t>UCD HARIS</t>
        </is>
      </c>
      <c r="J529" s="8" t="n"/>
      <c r="K529" s="9" t="n">
        <v>45000</v>
      </c>
      <c r="L529" s="10" t="n">
        <v>550000</v>
      </c>
      <c r="M529" s="10" t="n">
        <v>4237.29</v>
      </c>
      <c r="N529" s="11">
        <f>IF(M529="","",ROUND(M529*1.18,2))</f>
        <v/>
      </c>
      <c r="O529" s="12">
        <f>IF(M529="","",ROUND(N529-M529,2))</f>
        <v/>
      </c>
      <c r="P529" s="13">
        <f>IF(AND(A529&lt;&gt;"",B529&lt;&gt;""), A529&amp;" · "&amp;B529, "")</f>
        <v/>
      </c>
    </row>
    <row r="530">
      <c r="A530" s="6" t="inlineStr">
        <is>
          <t>FY26</t>
        </is>
      </c>
      <c r="B530" s="6" t="inlineStr">
        <is>
          <t>Feb</t>
        </is>
      </c>
      <c r="C530" s="6" t="inlineStr">
        <is>
          <t>Kerala</t>
        </is>
      </c>
      <c r="D530" s="7" t="inlineStr">
        <is>
          <t>KL46F3157</t>
        </is>
      </c>
      <c r="E530" s="7" t="inlineStr">
        <is>
          <t>TOYOTA</t>
        </is>
      </c>
      <c r="F530" s="7" t="inlineStr">
        <is>
          <t>Etios</t>
        </is>
      </c>
      <c r="G530" s="7" t="inlineStr">
        <is>
          <t>EVM CITROEN</t>
        </is>
      </c>
      <c r="H530" s="7" t="inlineStr">
        <is>
          <t>Non-Captive</t>
        </is>
      </c>
      <c r="I530" s="7" t="inlineStr">
        <is>
          <t>FABITH</t>
        </is>
      </c>
      <c r="J530" s="8" t="n"/>
      <c r="K530" s="9" t="n">
        <v>111525</v>
      </c>
      <c r="L530" s="10" t="n">
        <v>340000</v>
      </c>
      <c r="M530" s="10" t="n">
        <v>8474.58</v>
      </c>
      <c r="N530" s="11">
        <f>IF(M530="","",ROUND(M530*1.18,2))</f>
        <v/>
      </c>
      <c r="O530" s="12">
        <f>IF(M530="","",ROUND(N530-M530,2))</f>
        <v/>
      </c>
      <c r="P530" s="13">
        <f>IF(AND(A530&lt;&gt;"",B530&lt;&gt;""), A530&amp;" · "&amp;B530, "")</f>
        <v/>
      </c>
    </row>
    <row r="531">
      <c r="A531" s="6" t="inlineStr">
        <is>
          <t>FY26</t>
        </is>
      </c>
      <c r="B531" s="6" t="inlineStr">
        <is>
          <t>Feb</t>
        </is>
      </c>
      <c r="C531" s="6" t="inlineStr">
        <is>
          <t>Kerala</t>
        </is>
      </c>
      <c r="D531" s="7" t="inlineStr">
        <is>
          <t>KL46Z9001</t>
        </is>
      </c>
      <c r="E531" s="7" t="inlineStr">
        <is>
          <t>CITROEN</t>
        </is>
      </c>
      <c r="F531" s="7" t="inlineStr">
        <is>
          <t>C3</t>
        </is>
      </c>
      <c r="G531" s="7" t="inlineStr">
        <is>
          <t>EVM CITROEN</t>
        </is>
      </c>
      <c r="H531" s="7" t="inlineStr">
        <is>
          <t>Non-Captive</t>
        </is>
      </c>
      <c r="I531" s="7" t="inlineStr">
        <is>
          <t>VTJ</t>
        </is>
      </c>
      <c r="J531" s="8" t="n"/>
      <c r="K531" s="9" t="n">
        <v>10344</v>
      </c>
      <c r="L531" s="10" t="n">
        <v>500000</v>
      </c>
      <c r="M531" s="10" t="n">
        <v>8474.58</v>
      </c>
      <c r="N531" s="11">
        <f>IF(M531="","",ROUND(M531*1.18,2))</f>
        <v/>
      </c>
      <c r="O531" s="12">
        <f>IF(M531="","",ROUND(N531-M531,2))</f>
        <v/>
      </c>
      <c r="P531" s="13">
        <f>IF(AND(A531&lt;&gt;"",B531&lt;&gt;""), A531&amp;" · "&amp;B531, "")</f>
        <v/>
      </c>
    </row>
    <row r="532">
      <c r="A532" s="6" t="inlineStr">
        <is>
          <t>FY26</t>
        </is>
      </c>
      <c r="B532" s="6" t="inlineStr">
        <is>
          <t>Feb</t>
        </is>
      </c>
      <c r="C532" s="6" t="inlineStr">
        <is>
          <t>Kerala</t>
        </is>
      </c>
      <c r="D532" s="7" t="inlineStr">
        <is>
          <t>KL48F4554</t>
        </is>
      </c>
      <c r="E532" s="7" t="inlineStr">
        <is>
          <t>SKODA</t>
        </is>
      </c>
      <c r="F532" s="7" t="inlineStr">
        <is>
          <t>Rapid</t>
        </is>
      </c>
      <c r="G532" s="7" t="inlineStr">
        <is>
          <t>EVM SKODA</t>
        </is>
      </c>
      <c r="H532" s="7" t="inlineStr">
        <is>
          <t>Non-Captive</t>
        </is>
      </c>
      <c r="I532" s="7" t="inlineStr">
        <is>
          <t>MUHAMMAD SHAJI</t>
        </is>
      </c>
      <c r="J532" s="8" t="n"/>
      <c r="K532" s="9" t="n">
        <v>76666</v>
      </c>
      <c r="L532" s="10" t="n">
        <v>185000</v>
      </c>
      <c r="M532" s="10" t="n">
        <v>12711.86</v>
      </c>
      <c r="N532" s="11">
        <f>IF(M532="","",ROUND(M532*1.18,2))</f>
        <v/>
      </c>
      <c r="O532" s="12">
        <f>IF(M532="","",ROUND(N532-M532,2))</f>
        <v/>
      </c>
      <c r="P532" s="13">
        <f>IF(AND(A532&lt;&gt;"",B532&lt;&gt;""), A532&amp;" · "&amp;B532, "")</f>
        <v/>
      </c>
    </row>
    <row r="533">
      <c r="A533" s="6" t="inlineStr">
        <is>
          <t>FY26</t>
        </is>
      </c>
      <c r="B533" s="6" t="inlineStr">
        <is>
          <t>Feb</t>
        </is>
      </c>
      <c r="C533" s="6" t="inlineStr">
        <is>
          <t>Kerala</t>
        </is>
      </c>
      <c r="D533" s="7" t="inlineStr">
        <is>
          <t>KL48F5980</t>
        </is>
      </c>
      <c r="E533" s="7" t="inlineStr">
        <is>
          <t>TOYOTA</t>
        </is>
      </c>
      <c r="F533" s="7" t="inlineStr">
        <is>
          <t>Etios</t>
        </is>
      </c>
      <c r="G533" s="7" t="inlineStr">
        <is>
          <t>JOHNS HONDA CARS</t>
        </is>
      </c>
      <c r="H533" s="7" t="inlineStr">
        <is>
          <t>Non-Captive</t>
        </is>
      </c>
      <c r="I533" s="7" t="inlineStr">
        <is>
          <t>Aitos Cars</t>
        </is>
      </c>
      <c r="J533" s="8" t="n"/>
      <c r="K533" s="9" t="n">
        <v>108000</v>
      </c>
      <c r="L533" s="10" t="n">
        <v>270000</v>
      </c>
      <c r="M533" s="10" t="n">
        <v>8474.58</v>
      </c>
      <c r="N533" s="11">
        <f>IF(M533="","",ROUND(M533*1.18,2))</f>
        <v/>
      </c>
      <c r="O533" s="12">
        <f>IF(M533="","",ROUND(N533-M533,2))</f>
        <v/>
      </c>
      <c r="P533" s="13">
        <f>IF(AND(A533&lt;&gt;"",B533&lt;&gt;""), A533&amp;" · "&amp;B533, "")</f>
        <v/>
      </c>
    </row>
    <row r="534">
      <c r="A534" s="6" t="inlineStr">
        <is>
          <t>FY26</t>
        </is>
      </c>
      <c r="B534" s="6" t="inlineStr">
        <is>
          <t>Feb</t>
        </is>
      </c>
      <c r="C534" s="6" t="inlineStr">
        <is>
          <t>Kerala</t>
        </is>
      </c>
      <c r="D534" s="7" t="inlineStr">
        <is>
          <t>KL52L5979</t>
        </is>
      </c>
      <c r="E534" s="7" t="inlineStr">
        <is>
          <t>HYUNDAI</t>
        </is>
      </c>
      <c r="F534" s="7" t="inlineStr">
        <is>
          <t>Creta</t>
        </is>
      </c>
      <c r="G534" s="7" t="inlineStr">
        <is>
          <t>M S NOUSHAD</t>
        </is>
      </c>
      <c r="H534" s="7" t="inlineStr">
        <is>
          <t>Non-Captive</t>
        </is>
      </c>
      <c r="I534" s="7" t="inlineStr">
        <is>
          <t>CLASSIC HYUNDAI</t>
        </is>
      </c>
      <c r="J534" s="8" t="n"/>
      <c r="K534" s="9" t="n">
        <v>97000</v>
      </c>
      <c r="L534" s="10" t="n">
        <v>550000</v>
      </c>
      <c r="M534" s="10" t="n">
        <v>6355.93</v>
      </c>
      <c r="N534" s="11">
        <f>IF(M534="","",ROUND(M534*1.18,2))</f>
        <v/>
      </c>
      <c r="O534" s="12">
        <f>IF(M534="","",ROUND(N534-M534,2))</f>
        <v/>
      </c>
      <c r="P534" s="13">
        <f>IF(AND(A534&lt;&gt;"",B534&lt;&gt;""), A534&amp;" · "&amp;B534, "")</f>
        <v/>
      </c>
    </row>
    <row r="535">
      <c r="A535" s="6" t="inlineStr">
        <is>
          <t>FY26</t>
        </is>
      </c>
      <c r="B535" s="6" t="inlineStr">
        <is>
          <t>Feb</t>
        </is>
      </c>
      <c r="C535" s="6" t="inlineStr">
        <is>
          <t>Kerala</t>
        </is>
      </c>
      <c r="D535" s="7" t="inlineStr">
        <is>
          <t>KL55A8792</t>
        </is>
      </c>
      <c r="E535" s="7" t="inlineStr">
        <is>
          <t>TOYOTA</t>
        </is>
      </c>
      <c r="F535" s="7" t="inlineStr">
        <is>
          <t>Innova</t>
        </is>
      </c>
      <c r="G535" s="7" t="inlineStr">
        <is>
          <t>MUHAMMAD SHAJI</t>
        </is>
      </c>
      <c r="H535" s="7" t="inlineStr">
        <is>
          <t>Non-Captive</t>
        </is>
      </c>
      <c r="I535" s="7" t="inlineStr">
        <is>
          <t>ANAS VH</t>
        </is>
      </c>
      <c r="J535" s="8" t="n"/>
      <c r="K535" s="9" t="n">
        <v>345768</v>
      </c>
      <c r="L535" s="10" t="n">
        <v>325000</v>
      </c>
      <c r="M535" s="10" t="n">
        <v>8474.58</v>
      </c>
      <c r="N535" s="11">
        <f>IF(M535="","",ROUND(M535*1.18,2))</f>
        <v/>
      </c>
      <c r="O535" s="12">
        <f>IF(M535="","",ROUND(N535-M535,2))</f>
        <v/>
      </c>
      <c r="P535" s="13">
        <f>IF(AND(A535&lt;&gt;"",B535&lt;&gt;""), A535&amp;" · "&amp;B535, "")</f>
        <v/>
      </c>
    </row>
    <row r="536">
      <c r="A536" s="6" t="inlineStr">
        <is>
          <t>FY26</t>
        </is>
      </c>
      <c r="B536" s="6" t="inlineStr">
        <is>
          <t>Feb</t>
        </is>
      </c>
      <c r="C536" s="6" t="inlineStr">
        <is>
          <t>Kerala</t>
        </is>
      </c>
      <c r="D536" s="7" t="inlineStr">
        <is>
          <t>KL55B1566</t>
        </is>
      </c>
      <c r="E536" s="7" t="inlineStr">
        <is>
          <t>MARUTI SUZUKI</t>
        </is>
      </c>
      <c r="F536" s="7" t="inlineStr">
        <is>
          <t>800</t>
        </is>
      </c>
      <c r="G536" s="7" t="inlineStr">
        <is>
          <t>SANOOP</t>
        </is>
      </c>
      <c r="H536" s="7" t="inlineStr">
        <is>
          <t>Non-Captive</t>
        </is>
      </c>
      <c r="I536" s="7" t="inlineStr">
        <is>
          <t>BIMAL</t>
        </is>
      </c>
      <c r="J536" s="8" t="n"/>
      <c r="K536" s="9" t="n">
        <v>160000</v>
      </c>
      <c r="L536" s="10" t="n">
        <v>30000</v>
      </c>
      <c r="M536" s="10" t="n">
        <v>4237.29</v>
      </c>
      <c r="N536" s="11">
        <f>IF(M536="","",ROUND(M536*1.18,2))</f>
        <v/>
      </c>
      <c r="O536" s="12">
        <f>IF(M536="","",ROUND(N536-M536,2))</f>
        <v/>
      </c>
      <c r="P536" s="13">
        <f>IF(AND(A536&lt;&gt;"",B536&lt;&gt;""), A536&amp;" · "&amp;B536, "")</f>
        <v/>
      </c>
    </row>
    <row r="537">
      <c r="A537" s="6" t="inlineStr">
        <is>
          <t>FY26</t>
        </is>
      </c>
      <c r="B537" s="6" t="inlineStr">
        <is>
          <t>Feb</t>
        </is>
      </c>
      <c r="C537" s="6" t="inlineStr">
        <is>
          <t>Kerala</t>
        </is>
      </c>
      <c r="D537" s="7" t="inlineStr">
        <is>
          <t>KL55B6891</t>
        </is>
      </c>
      <c r="E537" s="7" t="inlineStr">
        <is>
          <t>MARUTI SUZUKI</t>
        </is>
      </c>
      <c r="F537" s="7" t="inlineStr">
        <is>
          <t>Zen Estilo</t>
        </is>
      </c>
      <c r="G537" s="7" t="inlineStr">
        <is>
          <t>BASITH</t>
        </is>
      </c>
      <c r="H537" s="7" t="inlineStr">
        <is>
          <t>Non-Captive</t>
        </is>
      </c>
      <c r="I537" s="7" t="inlineStr">
        <is>
          <t>BIMAL</t>
        </is>
      </c>
      <c r="J537" s="8" t="n"/>
      <c r="K537" s="9" t="n">
        <v>173000</v>
      </c>
      <c r="L537" s="10" t="n">
        <v>30000</v>
      </c>
      <c r="M537" s="10" t="n">
        <v>4237.29</v>
      </c>
      <c r="N537" s="11">
        <f>IF(M537="","",ROUND(M537*1.18,2))</f>
        <v/>
      </c>
      <c r="O537" s="12">
        <f>IF(M537="","",ROUND(N537-M537,2))</f>
        <v/>
      </c>
      <c r="P537" s="13">
        <f>IF(AND(A537&lt;&gt;"",B537&lt;&gt;""), A537&amp;" · "&amp;B537, "")</f>
        <v/>
      </c>
    </row>
    <row r="538">
      <c r="A538" s="6" t="inlineStr">
        <is>
          <t>FY26</t>
        </is>
      </c>
      <c r="B538" s="6" t="inlineStr">
        <is>
          <t>Feb</t>
        </is>
      </c>
      <c r="C538" s="6" t="inlineStr">
        <is>
          <t>Kerala</t>
        </is>
      </c>
      <c r="D538" s="7" t="inlineStr">
        <is>
          <t>KL56A1600</t>
        </is>
      </c>
      <c r="E538" s="7" t="inlineStr">
        <is>
          <t>TOYOTA</t>
        </is>
      </c>
      <c r="F538" s="7" t="inlineStr">
        <is>
          <t>Innova</t>
        </is>
      </c>
      <c r="G538" s="7" t="inlineStr">
        <is>
          <t>NISHA</t>
        </is>
      </c>
      <c r="H538" s="7" t="inlineStr">
        <is>
          <t>Non-Captive</t>
        </is>
      </c>
      <c r="I538" s="7" t="inlineStr">
        <is>
          <t>AMANA TOYOTA</t>
        </is>
      </c>
      <c r="J538" s="8" t="n"/>
      <c r="K538" s="9" t="n">
        <v>280000</v>
      </c>
      <c r="L538" s="10" t="n">
        <v>285000</v>
      </c>
      <c r="M538" s="10" t="n">
        <v>4237.29</v>
      </c>
      <c r="N538" s="11">
        <f>IF(M538="","",ROUND(M538*1.18,2))</f>
        <v/>
      </c>
      <c r="O538" s="12">
        <f>IF(M538="","",ROUND(N538-M538,2))</f>
        <v/>
      </c>
      <c r="P538" s="13">
        <f>IF(AND(A538&lt;&gt;"",B538&lt;&gt;""), A538&amp;" · "&amp;B538, "")</f>
        <v/>
      </c>
    </row>
    <row r="539">
      <c r="A539" s="6" t="inlineStr">
        <is>
          <t>FY26</t>
        </is>
      </c>
      <c r="B539" s="6" t="inlineStr">
        <is>
          <t>Feb</t>
        </is>
      </c>
      <c r="C539" s="6" t="inlineStr">
        <is>
          <t>Kerala</t>
        </is>
      </c>
      <c r="D539" s="7" t="inlineStr">
        <is>
          <t>KL56P3737</t>
        </is>
      </c>
      <c r="E539" s="7" t="inlineStr">
        <is>
          <t>HYUNDAI</t>
        </is>
      </c>
      <c r="F539" s="7" t="inlineStr">
        <is>
          <t>i10</t>
        </is>
      </c>
      <c r="G539" s="7" t="inlineStr">
        <is>
          <t>BASITH</t>
        </is>
      </c>
      <c r="H539" s="7" t="inlineStr">
        <is>
          <t>Non-Captive</t>
        </is>
      </c>
      <c r="I539" s="7" t="inlineStr">
        <is>
          <t>AM MOTORS</t>
        </is>
      </c>
      <c r="J539" s="8" t="n"/>
      <c r="K539" s="9" t="n">
        <v>43000</v>
      </c>
      <c r="L539" s="10" t="n">
        <v>260000</v>
      </c>
      <c r="M539" s="10" t="n">
        <v>8474.58</v>
      </c>
      <c r="N539" s="11">
        <f>IF(M539="","",ROUND(M539*1.18,2))</f>
        <v/>
      </c>
      <c r="O539" s="12">
        <f>IF(M539="","",ROUND(N539-M539,2))</f>
        <v/>
      </c>
      <c r="P539" s="13">
        <f>IF(AND(A539&lt;&gt;"",B539&lt;&gt;""), A539&amp;" · "&amp;B539, "")</f>
        <v/>
      </c>
    </row>
    <row r="540">
      <c r="A540" s="6" t="inlineStr">
        <is>
          <t>FY26</t>
        </is>
      </c>
      <c r="B540" s="6" t="inlineStr">
        <is>
          <t>Feb</t>
        </is>
      </c>
      <c r="C540" s="6" t="inlineStr">
        <is>
          <t>Kerala</t>
        </is>
      </c>
      <c r="D540" s="7" t="inlineStr">
        <is>
          <t>KL56T8925</t>
        </is>
      </c>
      <c r="E540" s="7" t="inlineStr">
        <is>
          <t>RENAULT</t>
        </is>
      </c>
      <c r="F540" s="7" t="inlineStr">
        <is>
          <t>Kwid</t>
        </is>
      </c>
      <c r="G540" s="7" t="inlineStr">
        <is>
          <t>SHINOOJ</t>
        </is>
      </c>
      <c r="H540" s="7" t="inlineStr">
        <is>
          <t>Non-Captive</t>
        </is>
      </c>
      <c r="I540" s="7" t="inlineStr">
        <is>
          <t>BIMAL</t>
        </is>
      </c>
      <c r="J540" s="8" t="n"/>
      <c r="K540" s="9" t="n">
        <v>18000</v>
      </c>
      <c r="L540" s="10" t="n">
        <v>275000</v>
      </c>
      <c r="M540" s="10" t="n">
        <v>4237.29</v>
      </c>
      <c r="N540" s="11">
        <f>IF(M540="","",ROUND(M540*1.18,2))</f>
        <v/>
      </c>
      <c r="O540" s="12">
        <f>IF(M540="","",ROUND(N540-M540,2))</f>
        <v/>
      </c>
      <c r="P540" s="13">
        <f>IF(AND(A540&lt;&gt;"",B540&lt;&gt;""), A540&amp;" · "&amp;B540, "")</f>
        <v/>
      </c>
    </row>
    <row r="541">
      <c r="A541" s="6" t="inlineStr">
        <is>
          <t>FY26</t>
        </is>
      </c>
      <c r="B541" s="6" t="inlineStr">
        <is>
          <t>Feb</t>
        </is>
      </c>
      <c r="C541" s="6" t="inlineStr">
        <is>
          <t>Kerala</t>
        </is>
      </c>
      <c r="D541" s="7" t="inlineStr">
        <is>
          <t>KL57P1708</t>
        </is>
      </c>
      <c r="E541" s="7" t="inlineStr">
        <is>
          <t>HONDA</t>
        </is>
      </c>
      <c r="F541" s="7" t="inlineStr">
        <is>
          <t>Jazz</t>
        </is>
      </c>
      <c r="G541" s="7" t="inlineStr">
        <is>
          <t>INCHEON KIA</t>
        </is>
      </c>
      <c r="H541" s="7" t="inlineStr">
        <is>
          <t>Non-Captive</t>
        </is>
      </c>
      <c r="I541" s="7" t="inlineStr">
        <is>
          <t>DINESH P S</t>
        </is>
      </c>
      <c r="J541" s="8" t="n"/>
      <c r="K541" s="9" t="n">
        <v>85760</v>
      </c>
      <c r="L541" s="10" t="n">
        <v>380000</v>
      </c>
      <c r="M541" s="10" t="n">
        <v>8474.58</v>
      </c>
      <c r="N541" s="11">
        <f>IF(M541="","",ROUND(M541*1.18,2))</f>
        <v/>
      </c>
      <c r="O541" s="12">
        <f>IF(M541="","",ROUND(N541-M541,2))</f>
        <v/>
      </c>
      <c r="P541" s="13">
        <f>IF(AND(A541&lt;&gt;"",B541&lt;&gt;""), A541&amp;" · "&amp;B541, "")</f>
        <v/>
      </c>
    </row>
    <row r="542">
      <c r="A542" s="6" t="inlineStr">
        <is>
          <t>FY26</t>
        </is>
      </c>
      <c r="B542" s="6" t="inlineStr">
        <is>
          <t>Feb</t>
        </is>
      </c>
      <c r="C542" s="6" t="inlineStr">
        <is>
          <t>Kerala</t>
        </is>
      </c>
      <c r="D542" s="7" t="inlineStr">
        <is>
          <t>KL58F300</t>
        </is>
      </c>
      <c r="E542" s="7" t="inlineStr">
        <is>
          <t>HYUNDAI</t>
        </is>
      </c>
      <c r="F542" s="7" t="inlineStr">
        <is>
          <t>i20</t>
        </is>
      </c>
      <c r="G542" s="7" t="inlineStr">
        <is>
          <t>NADIR</t>
        </is>
      </c>
      <c r="H542" s="7" t="inlineStr">
        <is>
          <t>Non-Captive</t>
        </is>
      </c>
      <c r="I542" s="7" t="inlineStr">
        <is>
          <t>APCO HYUNDAI</t>
        </is>
      </c>
      <c r="J542" s="8" t="n"/>
      <c r="K542" s="9" t="n">
        <v>71000</v>
      </c>
      <c r="L542" s="10" t="n">
        <v>125000</v>
      </c>
      <c r="M542" s="10" t="n">
        <v>5084.75</v>
      </c>
      <c r="N542" s="11">
        <f>IF(M542="","",ROUND(M542*1.18,2))</f>
        <v/>
      </c>
      <c r="O542" s="12">
        <f>IF(M542="","",ROUND(N542-M542,2))</f>
        <v/>
      </c>
      <c r="P542" s="13">
        <f>IF(AND(A542&lt;&gt;"",B542&lt;&gt;""), A542&amp;" · "&amp;B542, "")</f>
        <v/>
      </c>
    </row>
    <row r="543">
      <c r="A543" s="6" t="inlineStr">
        <is>
          <t>FY26</t>
        </is>
      </c>
      <c r="B543" s="6" t="inlineStr">
        <is>
          <t>Feb</t>
        </is>
      </c>
      <c r="C543" s="6" t="inlineStr">
        <is>
          <t>Kerala</t>
        </is>
      </c>
      <c r="D543" s="7" t="inlineStr">
        <is>
          <t>KL58F9089</t>
        </is>
      </c>
      <c r="E543" s="7" t="inlineStr">
        <is>
          <t>MARUTI SUZUKI</t>
        </is>
      </c>
      <c r="F543" s="7" t="inlineStr">
        <is>
          <t>Ritz</t>
        </is>
      </c>
      <c r="G543" s="7" t="inlineStr">
        <is>
          <t>THNSEER</t>
        </is>
      </c>
      <c r="H543" s="7" t="inlineStr">
        <is>
          <t>Non-Captive</t>
        </is>
      </c>
      <c r="I543" s="7" t="inlineStr">
        <is>
          <t>NIKESH APCO</t>
        </is>
      </c>
      <c r="J543" s="8" t="n"/>
      <c r="K543" s="9" t="n">
        <v>160000</v>
      </c>
      <c r="L543" s="10" t="n">
        <v>143000</v>
      </c>
      <c r="M543" s="10" t="n">
        <v>4237.29</v>
      </c>
      <c r="N543" s="11">
        <f>IF(M543="","",ROUND(M543*1.18,2))</f>
        <v/>
      </c>
      <c r="O543" s="12">
        <f>IF(M543="","",ROUND(N543-M543,2))</f>
        <v/>
      </c>
      <c r="P543" s="13">
        <f>IF(AND(A543&lt;&gt;"",B543&lt;&gt;""), A543&amp;" · "&amp;B543, "")</f>
        <v/>
      </c>
    </row>
    <row r="544">
      <c r="A544" s="6" t="inlineStr">
        <is>
          <t>FY26</t>
        </is>
      </c>
      <c r="B544" s="6" t="inlineStr">
        <is>
          <t>Feb</t>
        </is>
      </c>
      <c r="C544" s="6" t="inlineStr">
        <is>
          <t>Kerala</t>
        </is>
      </c>
      <c r="D544" s="7" t="inlineStr">
        <is>
          <t>KL58M5553</t>
        </is>
      </c>
      <c r="E544" s="7" t="inlineStr">
        <is>
          <t>HYUNDAI</t>
        </is>
      </c>
      <c r="F544" s="7" t="inlineStr">
        <is>
          <t>Grand i10</t>
        </is>
      </c>
      <c r="G544" s="7" t="inlineStr">
        <is>
          <t>VIJIL MARVEL CARS</t>
        </is>
      </c>
      <c r="H544" s="7" t="inlineStr">
        <is>
          <t>Non-Captive</t>
        </is>
      </c>
      <c r="I544" s="7" t="inlineStr">
        <is>
          <t>AMANA TOYOTA</t>
        </is>
      </c>
      <c r="J544" s="8" t="n"/>
      <c r="K544" s="9" t="n">
        <v>84000</v>
      </c>
      <c r="L544" s="10" t="n">
        <v>297000</v>
      </c>
      <c r="M544" s="10" t="n">
        <v>5932.2</v>
      </c>
      <c r="N544" s="11">
        <f>IF(M544="","",ROUND(M544*1.18,2))</f>
        <v/>
      </c>
      <c r="O544" s="12">
        <f>IF(M544="","",ROUND(N544-M544,2))</f>
        <v/>
      </c>
      <c r="P544" s="13">
        <f>IF(AND(A544&lt;&gt;"",B544&lt;&gt;""), A544&amp;" · "&amp;B544, "")</f>
        <v/>
      </c>
    </row>
    <row r="545">
      <c r="A545" s="6" t="inlineStr">
        <is>
          <t>FY26</t>
        </is>
      </c>
      <c r="B545" s="6" t="inlineStr">
        <is>
          <t>Feb</t>
        </is>
      </c>
      <c r="C545" s="6" t="inlineStr">
        <is>
          <t>Kerala</t>
        </is>
      </c>
      <c r="D545" s="7" t="inlineStr">
        <is>
          <t>KL58N2833</t>
        </is>
      </c>
      <c r="E545" s="7" t="inlineStr">
        <is>
          <t>MARUTI SUZUKI</t>
        </is>
      </c>
      <c r="F545" s="7" t="inlineStr">
        <is>
          <t>Celerio</t>
        </is>
      </c>
      <c r="G545" s="7" t="inlineStr">
        <is>
          <t>SANOOP KM</t>
        </is>
      </c>
      <c r="H545" s="7" t="inlineStr">
        <is>
          <t>Non-Captive</t>
        </is>
      </c>
      <c r="I545" s="7" t="inlineStr">
        <is>
          <t>KVR TATA</t>
        </is>
      </c>
      <c r="J545" s="8" t="n"/>
      <c r="K545" s="9" t="n">
        <v>132000</v>
      </c>
      <c r="L545" s="10" t="n">
        <v>230000</v>
      </c>
      <c r="M545" s="10" t="n">
        <v>4237.29</v>
      </c>
      <c r="N545" s="11">
        <f>IF(M545="","",ROUND(M545*1.18,2))</f>
        <v/>
      </c>
      <c r="O545" s="12">
        <f>IF(M545="","",ROUND(N545-M545,2))</f>
        <v/>
      </c>
      <c r="P545" s="13">
        <f>IF(AND(A545&lt;&gt;"",B545&lt;&gt;""), A545&amp;" · "&amp;B545, "")</f>
        <v/>
      </c>
    </row>
    <row r="546">
      <c r="A546" s="6" t="inlineStr">
        <is>
          <t>FY26</t>
        </is>
      </c>
      <c r="B546" s="6" t="inlineStr">
        <is>
          <t>Feb</t>
        </is>
      </c>
      <c r="C546" s="6" t="inlineStr">
        <is>
          <t>Kerala</t>
        </is>
      </c>
      <c r="D546" s="7" t="inlineStr">
        <is>
          <t>KL58N8181</t>
        </is>
      </c>
      <c r="E546" s="7" t="inlineStr">
        <is>
          <t>HYUNDAI</t>
        </is>
      </c>
      <c r="F546" s="7" t="inlineStr">
        <is>
          <t>Tucson</t>
        </is>
      </c>
      <c r="G546" s="7" t="inlineStr">
        <is>
          <t>HISHAM</t>
        </is>
      </c>
      <c r="H546" s="7" t="inlineStr">
        <is>
          <t>Non-Captive</t>
        </is>
      </c>
      <c r="I546" s="7" t="inlineStr">
        <is>
          <t>UCD KPD</t>
        </is>
      </c>
      <c r="J546" s="8" t="n"/>
      <c r="K546" s="9" t="n">
        <v>24000</v>
      </c>
      <c r="L546" s="10" t="n">
        <v>980000</v>
      </c>
      <c r="M546" s="10" t="n">
        <v>12711.86</v>
      </c>
      <c r="N546" s="11">
        <f>IF(M546="","",ROUND(M546*1.18,2))</f>
        <v/>
      </c>
      <c r="O546" s="12">
        <f>IF(M546="","",ROUND(N546-M546,2))</f>
        <v/>
      </c>
      <c r="P546" s="13">
        <f>IF(AND(A546&lt;&gt;"",B546&lt;&gt;""), A546&amp;" · "&amp;B546, "")</f>
        <v/>
      </c>
    </row>
    <row r="547">
      <c r="A547" s="6" t="inlineStr">
        <is>
          <t>FY26</t>
        </is>
      </c>
      <c r="B547" s="6" t="inlineStr">
        <is>
          <t>Feb</t>
        </is>
      </c>
      <c r="C547" s="6" t="inlineStr">
        <is>
          <t>Kerala</t>
        </is>
      </c>
      <c r="D547" s="7" t="inlineStr">
        <is>
          <t>KL58S1441</t>
        </is>
      </c>
      <c r="E547" s="7" t="inlineStr">
        <is>
          <t>MARUTI SUZUKI</t>
        </is>
      </c>
      <c r="F547" s="7" t="inlineStr">
        <is>
          <t>Baleno</t>
        </is>
      </c>
      <c r="G547" s="7" t="inlineStr">
        <is>
          <t>SANOOP KM</t>
        </is>
      </c>
      <c r="H547" s="7" t="inlineStr">
        <is>
          <t>Non-Captive</t>
        </is>
      </c>
      <c r="I547" s="7" t="inlineStr">
        <is>
          <t>APCO HYUNDAI</t>
        </is>
      </c>
      <c r="J547" s="8" t="n"/>
      <c r="K547" s="9" t="n">
        <v>80000</v>
      </c>
      <c r="L547" s="10" t="n">
        <v>420000</v>
      </c>
      <c r="M547" s="10" t="n">
        <v>6186.44</v>
      </c>
      <c r="N547" s="11">
        <f>IF(M547="","",ROUND(M547*1.18,2))</f>
        <v/>
      </c>
      <c r="O547" s="12">
        <f>IF(M547="","",ROUND(N547-M547,2))</f>
        <v/>
      </c>
      <c r="P547" s="13">
        <f>IF(AND(A547&lt;&gt;"",B547&lt;&gt;""), A547&amp;" · "&amp;B547, "")</f>
        <v/>
      </c>
    </row>
    <row r="548">
      <c r="A548" s="6" t="inlineStr">
        <is>
          <t>FY26</t>
        </is>
      </c>
      <c r="B548" s="6" t="inlineStr">
        <is>
          <t>Feb</t>
        </is>
      </c>
      <c r="C548" s="6" t="inlineStr">
        <is>
          <t>Kerala</t>
        </is>
      </c>
      <c r="D548" s="7" t="inlineStr">
        <is>
          <t>KL59P300</t>
        </is>
      </c>
      <c r="E548" s="7" t="inlineStr">
        <is>
          <t>MARUTI SUZUKI</t>
        </is>
      </c>
      <c r="F548" s="7" t="inlineStr">
        <is>
          <t>Dzire</t>
        </is>
      </c>
      <c r="G548" s="7" t="inlineStr">
        <is>
          <t>ARJID</t>
        </is>
      </c>
      <c r="H548" s="7" t="inlineStr">
        <is>
          <t>Non-Captive</t>
        </is>
      </c>
      <c r="I548" s="7" t="inlineStr">
        <is>
          <t>DKH KIA</t>
        </is>
      </c>
      <c r="J548" s="8" t="n"/>
      <c r="K548" s="9" t="n">
        <v>80000</v>
      </c>
      <c r="L548" s="10" t="n">
        <v>370000</v>
      </c>
      <c r="M548" s="10" t="n">
        <v>4237.29</v>
      </c>
      <c r="N548" s="11">
        <f>IF(M548="","",ROUND(M548*1.18,2))</f>
        <v/>
      </c>
      <c r="O548" s="12">
        <f>IF(M548="","",ROUND(N548-M548,2))</f>
        <v/>
      </c>
      <c r="P548" s="13">
        <f>IF(AND(A548&lt;&gt;"",B548&lt;&gt;""), A548&amp;" · "&amp;B548, "")</f>
        <v/>
      </c>
    </row>
    <row r="549">
      <c r="A549" s="6" t="inlineStr">
        <is>
          <t>FY26</t>
        </is>
      </c>
      <c r="B549" s="6" t="inlineStr">
        <is>
          <t>Feb</t>
        </is>
      </c>
      <c r="C549" s="6" t="inlineStr">
        <is>
          <t>Kerala</t>
        </is>
      </c>
      <c r="D549" s="7" t="inlineStr">
        <is>
          <t>KL60M8073</t>
        </is>
      </c>
      <c r="E549" s="7" t="inlineStr">
        <is>
          <t>MARUTI SUZUKI</t>
        </is>
      </c>
      <c r="F549" s="7" t="inlineStr">
        <is>
          <t>Alto</t>
        </is>
      </c>
      <c r="G549" s="7" t="inlineStr">
        <is>
          <t>NOUSHAD</t>
        </is>
      </c>
      <c r="H549" s="7" t="inlineStr">
        <is>
          <t>Non-Captive</t>
        </is>
      </c>
      <c r="I549" s="7" t="inlineStr">
        <is>
          <t>KPD UCD</t>
        </is>
      </c>
      <c r="J549" s="8" t="n"/>
      <c r="K549" s="9" t="n">
        <v>57000</v>
      </c>
      <c r="L549" s="10" t="n">
        <v>220000</v>
      </c>
      <c r="M549" s="10" t="n">
        <v>6355.93</v>
      </c>
      <c r="N549" s="11">
        <f>IF(M549="","",ROUND(M549*1.18,2))</f>
        <v/>
      </c>
      <c r="O549" s="12">
        <f>IF(M549="","",ROUND(N549-M549,2))</f>
        <v/>
      </c>
      <c r="P549" s="13">
        <f>IF(AND(A549&lt;&gt;"",B549&lt;&gt;""), A549&amp;" · "&amp;B549, "")</f>
        <v/>
      </c>
    </row>
    <row r="550">
      <c r="A550" s="6" t="inlineStr">
        <is>
          <t>FY26</t>
        </is>
      </c>
      <c r="B550" s="6" t="inlineStr">
        <is>
          <t>Feb</t>
        </is>
      </c>
      <c r="C550" s="6" t="inlineStr">
        <is>
          <t>Kerala</t>
        </is>
      </c>
      <c r="D550" s="7" t="inlineStr">
        <is>
          <t>KL60V2378</t>
        </is>
      </c>
      <c r="E550" s="7" t="inlineStr">
        <is>
          <t>TATA</t>
        </is>
      </c>
      <c r="F550" s="7" t="inlineStr">
        <is>
          <t>Tiago</t>
        </is>
      </c>
      <c r="G550" s="7" t="inlineStr">
        <is>
          <t>AUGUSTHY M J</t>
        </is>
      </c>
      <c r="H550" s="7" t="inlineStr">
        <is>
          <t>Non-Captive</t>
        </is>
      </c>
      <c r="I550" s="7" t="inlineStr">
        <is>
          <t>KVR TATA</t>
        </is>
      </c>
      <c r="J550" s="8" t="n"/>
      <c r="K550" s="9" t="n">
        <v>71000</v>
      </c>
      <c r="L550" s="10" t="n">
        <v>730000</v>
      </c>
      <c r="M550" s="10" t="n">
        <v>8474.58</v>
      </c>
      <c r="N550" s="11">
        <f>IF(M550="","",ROUND(M550*1.18,2))</f>
        <v/>
      </c>
      <c r="O550" s="12">
        <f>IF(M550="","",ROUND(N550-M550,2))</f>
        <v/>
      </c>
      <c r="P550" s="13">
        <f>IF(AND(A550&lt;&gt;"",B550&lt;&gt;""), A550&amp;" · "&amp;B550, "")</f>
        <v/>
      </c>
    </row>
    <row r="551">
      <c r="A551" s="6" t="inlineStr">
        <is>
          <t>FY26</t>
        </is>
      </c>
      <c r="B551" s="6" t="inlineStr">
        <is>
          <t>Feb</t>
        </is>
      </c>
      <c r="C551" s="6" t="inlineStr">
        <is>
          <t>Kerala</t>
        </is>
      </c>
      <c r="D551" s="7" t="inlineStr">
        <is>
          <t>KL63D5455</t>
        </is>
      </c>
      <c r="E551" s="7" t="inlineStr">
        <is>
          <t>MARUTI SUZUKI</t>
        </is>
      </c>
      <c r="F551" s="7" t="inlineStr">
        <is>
          <t>Dzire</t>
        </is>
      </c>
      <c r="G551" s="7" t="inlineStr">
        <is>
          <t>INCHEON KIA</t>
        </is>
      </c>
      <c r="H551" s="7" t="inlineStr">
        <is>
          <t>Non-Captive</t>
        </is>
      </c>
      <c r="I551" s="7" t="inlineStr">
        <is>
          <t>SHAMSUDEEN C E</t>
        </is>
      </c>
      <c r="J551" s="8" t="n"/>
      <c r="K551" s="9" t="n">
        <v>104000</v>
      </c>
      <c r="L551" s="10" t="n">
        <v>300000</v>
      </c>
      <c r="M551" s="10" t="n">
        <v>8474.58</v>
      </c>
      <c r="N551" s="11">
        <f>IF(M551="","",ROUND(M551*1.18,2))</f>
        <v/>
      </c>
      <c r="O551" s="12">
        <f>IF(M551="","",ROUND(N551-M551,2))</f>
        <v/>
      </c>
      <c r="P551" s="13">
        <f>IF(AND(A551&lt;&gt;"",B551&lt;&gt;""), A551&amp;" · "&amp;B551, "")</f>
        <v/>
      </c>
    </row>
    <row r="552">
      <c r="A552" s="6" t="inlineStr">
        <is>
          <t>FY26</t>
        </is>
      </c>
      <c r="B552" s="6" t="inlineStr">
        <is>
          <t>Feb</t>
        </is>
      </c>
      <c r="C552" s="6" t="inlineStr">
        <is>
          <t>Kerala</t>
        </is>
      </c>
      <c r="D552" s="7" t="inlineStr">
        <is>
          <t>KL63E7738</t>
        </is>
      </c>
      <c r="E552" s="7" t="inlineStr">
        <is>
          <t>MARUTI SUZUKI</t>
        </is>
      </c>
      <c r="F552" s="7" t="inlineStr">
        <is>
          <t>Dzire</t>
        </is>
      </c>
      <c r="G552" s="7" t="inlineStr">
        <is>
          <t>EVM SKODA</t>
        </is>
      </c>
      <c r="H552" s="7" t="inlineStr">
        <is>
          <t>Non-Captive</t>
        </is>
      </c>
      <c r="I552" s="7" t="inlineStr">
        <is>
          <t>HUSSAIN O E</t>
        </is>
      </c>
      <c r="J552" s="8" t="n"/>
      <c r="K552" s="9" t="n">
        <v>31849</v>
      </c>
      <c r="L552" s="10" t="n">
        <v>540000</v>
      </c>
      <c r="M552" s="10" t="n">
        <v>8474.58</v>
      </c>
      <c r="N552" s="11">
        <f>IF(M552="","",ROUND(M552*1.18,2))</f>
        <v/>
      </c>
      <c r="O552" s="12">
        <f>IF(M552="","",ROUND(N552-M552,2))</f>
        <v/>
      </c>
      <c r="P552" s="13">
        <f>IF(AND(A552&lt;&gt;"",B552&lt;&gt;""), A552&amp;" · "&amp;B552, "")</f>
        <v/>
      </c>
    </row>
    <row r="553">
      <c r="A553" s="6" t="inlineStr">
        <is>
          <t>FY26</t>
        </is>
      </c>
      <c r="B553" s="6" t="inlineStr">
        <is>
          <t>Feb</t>
        </is>
      </c>
      <c r="C553" s="6" t="inlineStr">
        <is>
          <t>Kerala</t>
        </is>
      </c>
      <c r="D553" s="7" t="inlineStr">
        <is>
          <t>KL64G8616</t>
        </is>
      </c>
      <c r="E553" s="7" t="inlineStr">
        <is>
          <t>MARUTI SUZUKI</t>
        </is>
      </c>
      <c r="F553" s="7" t="inlineStr">
        <is>
          <t>Swift</t>
        </is>
      </c>
      <c r="G553" s="7" t="inlineStr">
        <is>
          <t>INCHEON KIA</t>
        </is>
      </c>
      <c r="H553" s="7" t="inlineStr">
        <is>
          <t>Non-Captive</t>
        </is>
      </c>
      <c r="I553" s="7" t="inlineStr">
        <is>
          <t>Aitos Cars</t>
        </is>
      </c>
      <c r="J553" s="8" t="n"/>
      <c r="K553" s="9" t="n">
        <v>77315</v>
      </c>
      <c r="L553" s="10" t="n">
        <v>425000</v>
      </c>
      <c r="M553" s="10" t="n">
        <v>8474.58</v>
      </c>
      <c r="N553" s="11">
        <f>IF(M553="","",ROUND(M553*1.18,2))</f>
        <v/>
      </c>
      <c r="O553" s="12">
        <f>IF(M553="","",ROUND(N553-M553,2))</f>
        <v/>
      </c>
      <c r="P553" s="13">
        <f>IF(AND(A553&lt;&gt;"",B553&lt;&gt;""), A553&amp;" · "&amp;B553, "")</f>
        <v/>
      </c>
    </row>
    <row r="554">
      <c r="A554" s="6" t="inlineStr">
        <is>
          <t>FY26</t>
        </is>
      </c>
      <c r="B554" s="6" t="inlineStr">
        <is>
          <t>Feb</t>
        </is>
      </c>
      <c r="C554" s="6" t="inlineStr">
        <is>
          <t>Kerala</t>
        </is>
      </c>
      <c r="D554" s="7" t="inlineStr">
        <is>
          <t>KL67D4954</t>
        </is>
      </c>
      <c r="E554" s="7" t="inlineStr">
        <is>
          <t>MARUTI SUZUKI</t>
        </is>
      </c>
      <c r="F554" s="7" t="inlineStr">
        <is>
          <t>Ignis</t>
        </is>
      </c>
      <c r="G554" s="7" t="inlineStr">
        <is>
          <t>POPULAR MARUTI</t>
        </is>
      </c>
      <c r="H554" s="7" t="inlineStr">
        <is>
          <t>Non-Captive</t>
        </is>
      </c>
      <c r="I554" s="7" t="inlineStr">
        <is>
          <t>SUDHEESH K SATHYAN</t>
        </is>
      </c>
      <c r="J554" s="8" t="n"/>
      <c r="K554" s="9" t="n">
        <v>26578</v>
      </c>
      <c r="L554" s="10" t="n">
        <v>598000</v>
      </c>
      <c r="M554" s="10" t="n">
        <v>8474.58</v>
      </c>
      <c r="N554" s="11">
        <f>IF(M554="","",ROUND(M554*1.18,2))</f>
        <v/>
      </c>
      <c r="O554" s="12">
        <f>IF(M554="","",ROUND(N554-M554,2))</f>
        <v/>
      </c>
      <c r="P554" s="13">
        <f>IF(AND(A554&lt;&gt;"",B554&lt;&gt;""), A554&amp;" · "&amp;B554, "")</f>
        <v/>
      </c>
    </row>
    <row r="555">
      <c r="A555" s="6" t="inlineStr">
        <is>
          <t>FY26</t>
        </is>
      </c>
      <c r="B555" s="6" t="inlineStr">
        <is>
          <t>Feb</t>
        </is>
      </c>
      <c r="C555" s="6" t="inlineStr">
        <is>
          <t>Kerala</t>
        </is>
      </c>
      <c r="D555" s="7" t="inlineStr">
        <is>
          <t>KL69C8969</t>
        </is>
      </c>
      <c r="E555" s="7" t="inlineStr">
        <is>
          <t>TATA</t>
        </is>
      </c>
      <c r="F555" s="7" t="inlineStr">
        <is>
          <t>Punch</t>
        </is>
      </c>
      <c r="G555" s="7" t="inlineStr">
        <is>
          <t>JANI MOHAN</t>
        </is>
      </c>
      <c r="H555" s="7" t="inlineStr">
        <is>
          <t>Non-Captive</t>
        </is>
      </c>
      <c r="I555" s="7" t="inlineStr">
        <is>
          <t>MUHAMMAD SHAJI</t>
        </is>
      </c>
      <c r="J555" s="8" t="n"/>
      <c r="K555" s="9" t="n">
        <v>106900</v>
      </c>
      <c r="L555" s="10" t="n">
        <v>350000</v>
      </c>
      <c r="M555" s="10" t="n">
        <v>12711.86</v>
      </c>
      <c r="N555" s="11">
        <f>IF(M555="","",ROUND(M555*1.18,2))</f>
        <v/>
      </c>
      <c r="O555" s="12">
        <f>IF(M555="","",ROUND(N555-M555,2))</f>
        <v/>
      </c>
      <c r="P555" s="13">
        <f>IF(AND(A555&lt;&gt;"",B555&lt;&gt;""), A555&amp;" · "&amp;B555, "")</f>
        <v/>
      </c>
    </row>
    <row r="556">
      <c r="A556" s="6" t="inlineStr">
        <is>
          <t>FY26</t>
        </is>
      </c>
      <c r="B556" s="6" t="inlineStr">
        <is>
          <t>Feb</t>
        </is>
      </c>
      <c r="C556" s="6" t="inlineStr">
        <is>
          <t>Kerala</t>
        </is>
      </c>
      <c r="D556" s="7" t="inlineStr">
        <is>
          <t>KL71D8517</t>
        </is>
      </c>
      <c r="E556" s="7" t="inlineStr">
        <is>
          <t>HYUNDAI</t>
        </is>
      </c>
      <c r="F556" s="7" t="inlineStr">
        <is>
          <t>Creta</t>
        </is>
      </c>
      <c r="G556" s="7" t="inlineStr">
        <is>
          <t>CAPS</t>
        </is>
      </c>
      <c r="H556" s="7" t="inlineStr">
        <is>
          <t>Non-Captive</t>
        </is>
      </c>
      <c r="I556" s="7" t="inlineStr">
        <is>
          <t>CLASSIC HYUNDAI</t>
        </is>
      </c>
      <c r="J556" s="8" t="n"/>
      <c r="K556" s="9" t="n">
        <v>110000</v>
      </c>
      <c r="L556" s="10" t="n">
        <v>655000</v>
      </c>
      <c r="M556" s="10" t="n">
        <v>4237.29</v>
      </c>
      <c r="N556" s="11">
        <f>IF(M556="","",ROUND(M556*1.18,2))</f>
        <v/>
      </c>
      <c r="O556" s="12">
        <f>IF(M556="","",ROUND(N556-M556,2))</f>
        <v/>
      </c>
      <c r="P556" s="13">
        <f>IF(AND(A556&lt;&gt;"",B556&lt;&gt;""), A556&amp;" · "&amp;B556, "")</f>
        <v/>
      </c>
    </row>
    <row r="557">
      <c r="A557" s="6" t="inlineStr">
        <is>
          <t>FY26</t>
        </is>
      </c>
      <c r="B557" s="6" t="inlineStr">
        <is>
          <t>Feb</t>
        </is>
      </c>
      <c r="C557" s="6" t="inlineStr">
        <is>
          <t>Kerala</t>
        </is>
      </c>
      <c r="D557" s="7" t="inlineStr">
        <is>
          <t>KL72C6764</t>
        </is>
      </c>
      <c r="E557" s="7" t="inlineStr">
        <is>
          <t>TATA</t>
        </is>
      </c>
      <c r="F557" s="7" t="inlineStr">
        <is>
          <t>Tiago</t>
        </is>
      </c>
      <c r="G557" s="7" t="inlineStr">
        <is>
          <t>ABBAS</t>
        </is>
      </c>
      <c r="H557" s="7" t="inlineStr">
        <is>
          <t>Non-Captive</t>
        </is>
      </c>
      <c r="I557" s="7" t="inlineStr">
        <is>
          <t>EVM SKODA</t>
        </is>
      </c>
      <c r="J557" s="8" t="n"/>
      <c r="K557" s="9" t="n">
        <v>50000</v>
      </c>
      <c r="L557" s="10" t="n">
        <v>400000</v>
      </c>
      <c r="M557" s="10" t="n">
        <v>6355.93</v>
      </c>
      <c r="N557" s="11">
        <f>IF(M557="","",ROUND(M557*1.18,2))</f>
        <v/>
      </c>
      <c r="O557" s="12">
        <f>IF(M557="","",ROUND(N557-M557,2))</f>
        <v/>
      </c>
      <c r="P557" s="13">
        <f>IF(AND(A557&lt;&gt;"",B557&lt;&gt;""), A557&amp;" · "&amp;B557, "")</f>
        <v/>
      </c>
    </row>
    <row r="558">
      <c r="A558" s="6" t="inlineStr">
        <is>
          <t>FY26</t>
        </is>
      </c>
      <c r="B558" s="6" t="inlineStr">
        <is>
          <t>Feb</t>
        </is>
      </c>
      <c r="C558" s="6" t="inlineStr">
        <is>
          <t>Kerala</t>
        </is>
      </c>
      <c r="D558" s="7" t="inlineStr">
        <is>
          <t>KL75A6157</t>
        </is>
      </c>
      <c r="E558" s="7" t="inlineStr">
        <is>
          <t>MARUTI SUZUKI</t>
        </is>
      </c>
      <c r="F558" s="7" t="inlineStr">
        <is>
          <t>XL6</t>
        </is>
      </c>
      <c r="G558" s="7" t="inlineStr">
        <is>
          <t>EVM CITROEN</t>
        </is>
      </c>
      <c r="H558" s="7" t="inlineStr">
        <is>
          <t>Non-Captive</t>
        </is>
      </c>
      <c r="I558" s="7" t="inlineStr">
        <is>
          <t>KAPS CARS</t>
        </is>
      </c>
      <c r="J558" s="8" t="n"/>
      <c r="K558" s="9" t="n">
        <v>23756</v>
      </c>
      <c r="L558" s="10" t="n">
        <v>860000</v>
      </c>
      <c r="M558" s="10" t="n">
        <v>8474.58</v>
      </c>
      <c r="N558" s="11">
        <f>IF(M558="","",ROUND(M558*1.18,2))</f>
        <v/>
      </c>
      <c r="O558" s="12">
        <f>IF(M558="","",ROUND(N558-M558,2))</f>
        <v/>
      </c>
      <c r="P558" s="13">
        <f>IF(AND(A558&lt;&gt;"",B558&lt;&gt;""), A558&amp;" · "&amp;B558, "")</f>
        <v/>
      </c>
    </row>
    <row r="559">
      <c r="A559" s="6" t="inlineStr">
        <is>
          <t>FY26</t>
        </is>
      </c>
      <c r="B559" s="6" t="inlineStr">
        <is>
          <t>Feb</t>
        </is>
      </c>
      <c r="C559" s="6" t="inlineStr">
        <is>
          <t>Kerala</t>
        </is>
      </c>
      <c r="D559" s="7" t="inlineStr">
        <is>
          <t>KL78A4978</t>
        </is>
      </c>
      <c r="E559" s="7" t="inlineStr">
        <is>
          <t>MARUTI SUZUKI</t>
        </is>
      </c>
      <c r="F559" s="7" t="inlineStr">
        <is>
          <t>Celerio</t>
        </is>
      </c>
      <c r="G559" s="7" t="inlineStr">
        <is>
          <t>NIDEESH MOHAN</t>
        </is>
      </c>
      <c r="H559" s="7" t="inlineStr">
        <is>
          <t>Non-Captive</t>
        </is>
      </c>
      <c r="I559" s="7" t="inlineStr">
        <is>
          <t>APCO HYUNDAI</t>
        </is>
      </c>
      <c r="J559" s="8" t="n"/>
      <c r="K559" s="9" t="n">
        <v>32000</v>
      </c>
      <c r="L559" s="10" t="n">
        <v>395000</v>
      </c>
      <c r="M559" s="10" t="n">
        <v>4237.29</v>
      </c>
      <c r="N559" s="11">
        <f>IF(M559="","",ROUND(M559*1.18,2))</f>
        <v/>
      </c>
      <c r="O559" s="12">
        <f>IF(M559="","",ROUND(N559-M559,2))</f>
        <v/>
      </c>
      <c r="P559" s="13">
        <f>IF(AND(A559&lt;&gt;"",B559&lt;&gt;""), A559&amp;" · "&amp;B559, "")</f>
        <v/>
      </c>
    </row>
    <row r="560">
      <c r="A560" s="6" t="inlineStr">
        <is>
          <t>FY26</t>
        </is>
      </c>
      <c r="B560" s="6" t="inlineStr">
        <is>
          <t>Feb</t>
        </is>
      </c>
      <c r="C560" s="6" t="inlineStr">
        <is>
          <t>Kerala</t>
        </is>
      </c>
      <c r="D560" s="7" t="inlineStr">
        <is>
          <t>KL78B6099</t>
        </is>
      </c>
      <c r="E560" s="7" t="inlineStr">
        <is>
          <t>TATA</t>
        </is>
      </c>
      <c r="F560" s="7" t="inlineStr">
        <is>
          <t>Harrier</t>
        </is>
      </c>
      <c r="G560" s="7" t="inlineStr">
        <is>
          <t>AUGUSTHY M J</t>
        </is>
      </c>
      <c r="H560" s="7" t="inlineStr">
        <is>
          <t>Non-Captive</t>
        </is>
      </c>
      <c r="I560" s="7" t="inlineStr">
        <is>
          <t>AMANA TOYOTA</t>
        </is>
      </c>
      <c r="J560" s="8" t="n"/>
      <c r="K560" s="9" t="n">
        <v>78000</v>
      </c>
      <c r="L560" s="10" t="n">
        <v>1000000</v>
      </c>
      <c r="M560" s="10" t="n">
        <v>8474.58</v>
      </c>
      <c r="N560" s="11">
        <f>IF(M560="","",ROUND(M560*1.18,2))</f>
        <v/>
      </c>
      <c r="O560" s="12">
        <f>IF(M560="","",ROUND(N560-M560,2))</f>
        <v/>
      </c>
      <c r="P560" s="13">
        <f>IF(AND(A560&lt;&gt;"",B560&lt;&gt;""), A560&amp;" · "&amp;B560, "")</f>
        <v/>
      </c>
    </row>
    <row r="561">
      <c r="A561" s="6" t="inlineStr">
        <is>
          <t>FY26</t>
        </is>
      </c>
      <c r="B561" s="6" t="inlineStr">
        <is>
          <t>Feb</t>
        </is>
      </c>
      <c r="C561" s="6" t="inlineStr">
        <is>
          <t>Kerala</t>
        </is>
      </c>
      <c r="D561" s="7" t="inlineStr">
        <is>
          <t>KL855843</t>
        </is>
      </c>
      <c r="E561" s="7" t="inlineStr">
        <is>
          <t>KIA</t>
        </is>
      </c>
      <c r="F561" s="7" t="inlineStr">
        <is>
          <t>Sonet</t>
        </is>
      </c>
      <c r="G561" s="7" t="inlineStr">
        <is>
          <t>ABBAS</t>
        </is>
      </c>
      <c r="H561" s="7" t="inlineStr">
        <is>
          <t>Non-Captive</t>
        </is>
      </c>
      <c r="I561" s="7" t="inlineStr">
        <is>
          <t>DKH KIA</t>
        </is>
      </c>
      <c r="J561" s="8" t="n"/>
      <c r="K561" s="9" t="n">
        <v>98000</v>
      </c>
      <c r="L561" s="10" t="n">
        <v>660000</v>
      </c>
      <c r="M561" s="10" t="n">
        <v>4237.29</v>
      </c>
      <c r="N561" s="11">
        <f>IF(M561="","",ROUND(M561*1.18,2))</f>
        <v/>
      </c>
      <c r="O561" s="12">
        <f>IF(M561="","",ROUND(N561-M561,2))</f>
        <v/>
      </c>
      <c r="P561" s="13">
        <f>IF(AND(A561&lt;&gt;"",B561&lt;&gt;""), A561&amp;" · "&amp;B561, "")</f>
        <v/>
      </c>
    </row>
    <row r="562">
      <c r="A562" s="6" t="inlineStr">
        <is>
          <t>FY26</t>
        </is>
      </c>
      <c r="B562" s="6" t="inlineStr">
        <is>
          <t>Feb</t>
        </is>
      </c>
      <c r="C562" s="6" t="inlineStr">
        <is>
          <t>Kerala</t>
        </is>
      </c>
      <c r="D562" s="7" t="inlineStr">
        <is>
          <t>TN02BJ0988</t>
        </is>
      </c>
      <c r="E562" s="7" t="inlineStr">
        <is>
          <t>VOLKSWAGEN</t>
        </is>
      </c>
      <c r="F562" s="7" t="inlineStr">
        <is>
          <t>Polo</t>
        </is>
      </c>
      <c r="G562" s="7" t="inlineStr">
        <is>
          <t>PHOENIX VOLKSWAGEN</t>
        </is>
      </c>
      <c r="H562" s="7" t="inlineStr">
        <is>
          <t>Non-Captive</t>
        </is>
      </c>
      <c r="I562" s="7" t="inlineStr">
        <is>
          <t>Aitos Cars</t>
        </is>
      </c>
      <c r="J562" s="8" t="n"/>
      <c r="K562" s="9" t="n">
        <v>69500</v>
      </c>
      <c r="L562" s="10" t="n">
        <v>505000</v>
      </c>
      <c r="M562" s="10" t="n">
        <v>8474.58</v>
      </c>
      <c r="N562" s="11">
        <f>IF(M562="","",ROUND(M562*1.18,2))</f>
        <v/>
      </c>
      <c r="O562" s="12">
        <f>IF(M562="","",ROUND(N562-M562,2))</f>
        <v/>
      </c>
      <c r="P562" s="13">
        <f>IF(AND(A562&lt;&gt;"",B562&lt;&gt;""), A562&amp;" · "&amp;B562, "")</f>
        <v/>
      </c>
    </row>
    <row r="563">
      <c r="A563" s="6" t="inlineStr">
        <is>
          <t>FY26</t>
        </is>
      </c>
      <c r="B563" s="6" t="inlineStr">
        <is>
          <t>Feb</t>
        </is>
      </c>
      <c r="C563" s="6" t="inlineStr">
        <is>
          <t>TN</t>
        </is>
      </c>
      <c r="D563" s="7" t="inlineStr">
        <is>
          <t>GA07K7500</t>
        </is>
      </c>
      <c r="E563" s="7" t="inlineStr">
        <is>
          <t>VOLKSWAGEN</t>
        </is>
      </c>
      <c r="F563" s="7" t="inlineStr">
        <is>
          <t>Vento</t>
        </is>
      </c>
      <c r="G563" s="7" t="inlineStr">
        <is>
          <t>JAIKRISHNAA AUTOSALES PRIVATE LIMITED</t>
        </is>
      </c>
      <c r="H563" s="7" t="inlineStr">
        <is>
          <t>Non-Captive</t>
        </is>
      </c>
      <c r="I563" s="7" t="inlineStr">
        <is>
          <t>Dhidugal Value Cars</t>
        </is>
      </c>
      <c r="J563" s="8" t="n">
        <v>2015</v>
      </c>
      <c r="K563" s="9" t="n">
        <v>39941</v>
      </c>
      <c r="L563" s="10" t="n">
        <v>170000</v>
      </c>
      <c r="M563" s="10" t="n">
        <v>4237.29</v>
      </c>
      <c r="N563" s="11">
        <f>IF(M563="","",ROUND(M563*1.18,2))</f>
        <v/>
      </c>
      <c r="O563" s="12">
        <f>IF(M563="","",ROUND(N563-M563,2))</f>
        <v/>
      </c>
      <c r="P563" s="13">
        <f>IF(AND(A563&lt;&gt;"",B563&lt;&gt;""), A563&amp;" · "&amp;B563, "")</f>
        <v/>
      </c>
    </row>
    <row r="564">
      <c r="A564" s="6" t="inlineStr">
        <is>
          <t>FY26</t>
        </is>
      </c>
      <c r="B564" s="6" t="inlineStr">
        <is>
          <t>Feb</t>
        </is>
      </c>
      <c r="C564" s="6" t="inlineStr">
        <is>
          <t>TN</t>
        </is>
      </c>
      <c r="D564" s="7" t="inlineStr">
        <is>
          <t>KL01BT8737</t>
        </is>
      </c>
      <c r="E564" s="7" t="inlineStr">
        <is>
          <t>MARUTI SUZUKI</t>
        </is>
      </c>
      <c r="F564" s="7" t="inlineStr">
        <is>
          <t>Celerio</t>
        </is>
      </c>
      <c r="G564" s="7" t="inlineStr">
        <is>
          <t>KAIRALI TOYOTA</t>
        </is>
      </c>
      <c r="H564" s="7" t="inlineStr">
        <is>
          <t>Non-Captive</t>
        </is>
      </c>
      <c r="I564" s="7" t="inlineStr">
        <is>
          <t>Popular Thrissur</t>
        </is>
      </c>
      <c r="J564" s="8" t="n">
        <v>2017</v>
      </c>
      <c r="K564" s="9" t="n">
        <v>36542</v>
      </c>
      <c r="L564" s="10" t="n">
        <v>290000</v>
      </c>
      <c r="M564" s="10" t="n">
        <v>5000</v>
      </c>
      <c r="N564" s="11">
        <f>IF(M564="","",ROUND(M564*1.18,2))</f>
        <v/>
      </c>
      <c r="O564" s="12">
        <f>IF(M564="","",ROUND(N564-M564,2))</f>
        <v/>
      </c>
      <c r="P564" s="13">
        <f>IF(AND(A564&lt;&gt;"",B564&lt;&gt;""), A564&amp;" · "&amp;B564, "")</f>
        <v/>
      </c>
    </row>
    <row r="565">
      <c r="A565" s="6" t="inlineStr">
        <is>
          <t>FY26</t>
        </is>
      </c>
      <c r="B565" s="6" t="inlineStr">
        <is>
          <t>Feb</t>
        </is>
      </c>
      <c r="C565" s="6" t="inlineStr">
        <is>
          <t>TN</t>
        </is>
      </c>
      <c r="D565" s="7" t="inlineStr">
        <is>
          <t>KL01CB6898</t>
        </is>
      </c>
      <c r="E565" s="7" t="inlineStr">
        <is>
          <t>MARUTI SUZUKI</t>
        </is>
      </c>
      <c r="F565" s="7" t="inlineStr">
        <is>
          <t>Wagon R</t>
        </is>
      </c>
      <c r="G565" s="7" t="inlineStr">
        <is>
          <t>DERIK AUTOMOBILE</t>
        </is>
      </c>
      <c r="H565" s="7" t="inlineStr">
        <is>
          <t>Non-Captive</t>
        </is>
      </c>
      <c r="I565" s="7" t="inlineStr">
        <is>
          <t>Popular Thrissur</t>
        </is>
      </c>
      <c r="J565" s="8" t="n">
        <v>2017</v>
      </c>
      <c r="K565" s="9" t="n"/>
      <c r="L565" s="10" t="n">
        <v>365000</v>
      </c>
      <c r="M565" s="10" t="n">
        <v>5000</v>
      </c>
      <c r="N565" s="11">
        <f>IF(M565="","",ROUND(M565*1.18,2))</f>
        <v/>
      </c>
      <c r="O565" s="12">
        <f>IF(M565="","",ROUND(N565-M565,2))</f>
        <v/>
      </c>
      <c r="P565" s="13">
        <f>IF(AND(A565&lt;&gt;"",B565&lt;&gt;""), A565&amp;" · "&amp;B565, "")</f>
        <v/>
      </c>
    </row>
    <row r="566">
      <c r="A566" s="6" t="inlineStr">
        <is>
          <t>FY26</t>
        </is>
      </c>
      <c r="B566" s="6" t="inlineStr">
        <is>
          <t>Feb</t>
        </is>
      </c>
      <c r="C566" s="6" t="inlineStr">
        <is>
          <t>TN</t>
        </is>
      </c>
      <c r="D566" s="7" t="inlineStr">
        <is>
          <t>KL01CJ2241</t>
        </is>
      </c>
      <c r="E566" s="7" t="inlineStr">
        <is>
          <t>MARUTI SUZUKI</t>
        </is>
      </c>
      <c r="F566" s="7" t="inlineStr">
        <is>
          <t>Dzire</t>
        </is>
      </c>
      <c r="G566" s="7" t="inlineStr">
        <is>
          <t>DERIK AUTOMOBILE</t>
        </is>
      </c>
      <c r="H566" s="7" t="inlineStr">
        <is>
          <t>Non-Captive</t>
        </is>
      </c>
      <c r="I566" s="7" t="inlineStr">
        <is>
          <t>Popular Thrissur</t>
        </is>
      </c>
      <c r="J566" s="8" t="n">
        <v>2018</v>
      </c>
      <c r="K566" s="9" t="n">
        <v>71235</v>
      </c>
      <c r="L566" s="10" t="n">
        <v>485000</v>
      </c>
      <c r="M566" s="10" t="n">
        <v>5000</v>
      </c>
      <c r="N566" s="11">
        <f>IF(M566="","",ROUND(M566*1.18,2))</f>
        <v/>
      </c>
      <c r="O566" s="12">
        <f>IF(M566="","",ROUND(N566-M566,2))</f>
        <v/>
      </c>
      <c r="P566" s="13">
        <f>IF(AND(A566&lt;&gt;"",B566&lt;&gt;""), A566&amp;" · "&amp;B566, "")</f>
        <v/>
      </c>
    </row>
    <row r="567">
      <c r="A567" s="6" t="inlineStr">
        <is>
          <t>FY26</t>
        </is>
      </c>
      <c r="B567" s="6" t="inlineStr">
        <is>
          <t>Feb</t>
        </is>
      </c>
      <c r="C567" s="6" t="inlineStr">
        <is>
          <t>TN</t>
        </is>
      </c>
      <c r="D567" s="7" t="inlineStr">
        <is>
          <t>KL01CS0410</t>
        </is>
      </c>
      <c r="E567" s="7" t="inlineStr">
        <is>
          <t>MARUTI SUZUKI</t>
        </is>
      </c>
      <c r="F567" s="7" t="inlineStr">
        <is>
          <t>Ignis</t>
        </is>
      </c>
      <c r="G567" s="7" t="inlineStr">
        <is>
          <t>DERIK AUTOMOBILE</t>
        </is>
      </c>
      <c r="H567" s="7" t="inlineStr">
        <is>
          <t>Non-Captive</t>
        </is>
      </c>
      <c r="I567" s="7" t="inlineStr">
        <is>
          <t>Popular Thrissur</t>
        </is>
      </c>
      <c r="J567" s="8" t="n">
        <v>2021</v>
      </c>
      <c r="K567" s="9" t="n">
        <v>75654</v>
      </c>
      <c r="L567" s="10" t="n">
        <v>475000</v>
      </c>
      <c r="M567" s="10" t="n">
        <v>5000</v>
      </c>
      <c r="N567" s="11">
        <f>IF(M567="","",ROUND(M567*1.18,2))</f>
        <v/>
      </c>
      <c r="O567" s="12">
        <f>IF(M567="","",ROUND(N567-M567,2))</f>
        <v/>
      </c>
      <c r="P567" s="13">
        <f>IF(AND(A567&lt;&gt;"",B567&lt;&gt;""), A567&amp;" · "&amp;B567, "")</f>
        <v/>
      </c>
    </row>
    <row r="568">
      <c r="A568" s="6" t="inlineStr">
        <is>
          <t>FY26</t>
        </is>
      </c>
      <c r="B568" s="6" t="inlineStr">
        <is>
          <t>Feb</t>
        </is>
      </c>
      <c r="C568" s="6" t="inlineStr">
        <is>
          <t>TN</t>
        </is>
      </c>
      <c r="D568" s="7" t="inlineStr">
        <is>
          <t>KL02AY0398</t>
        </is>
      </c>
      <c r="E568" s="7" t="inlineStr">
        <is>
          <t>HYUNDAI</t>
        </is>
      </c>
      <c r="F568" s="7" t="inlineStr">
        <is>
          <t>i20</t>
        </is>
      </c>
      <c r="G568" s="7" t="inlineStr">
        <is>
          <t>POPULAR MOTORWORLD PVT LTD</t>
        </is>
      </c>
      <c r="H568" s="7" t="inlineStr">
        <is>
          <t>Non-Captive</t>
        </is>
      </c>
      <c r="I568" s="7" t="inlineStr">
        <is>
          <t>SHAMNAD AH</t>
        </is>
      </c>
      <c r="J568" s="8" t="n">
        <v>2016</v>
      </c>
      <c r="K568" s="9" t="n">
        <v>88996</v>
      </c>
      <c r="L568" s="10" t="n">
        <v>465000</v>
      </c>
      <c r="M568" s="10" t="n">
        <v>5932.2</v>
      </c>
      <c r="N568" s="11">
        <f>IF(M568="","",ROUND(M568*1.18,2))</f>
        <v/>
      </c>
      <c r="O568" s="12">
        <f>IF(M568="","",ROUND(N568-M568,2))</f>
        <v/>
      </c>
      <c r="P568" s="13">
        <f>IF(AND(A568&lt;&gt;"",B568&lt;&gt;""), A568&amp;" · "&amp;B568, "")</f>
        <v/>
      </c>
    </row>
    <row r="569">
      <c r="A569" s="6" t="inlineStr">
        <is>
          <t>FY26</t>
        </is>
      </c>
      <c r="B569" s="6" t="inlineStr">
        <is>
          <t>Feb</t>
        </is>
      </c>
      <c r="C569" s="6" t="inlineStr">
        <is>
          <t>TN</t>
        </is>
      </c>
      <c r="D569" s="7" t="inlineStr">
        <is>
          <t>KL02BS8638</t>
        </is>
      </c>
      <c r="E569" s="7" t="inlineStr">
        <is>
          <t>MARUTI SUZUKI</t>
        </is>
      </c>
      <c r="F569" s="7" t="inlineStr">
        <is>
          <t>Alto K10</t>
        </is>
      </c>
      <c r="G569" s="7" t="inlineStr">
        <is>
          <t>POPULAR MOTORWORLD PVT LTD</t>
        </is>
      </c>
      <c r="H569" s="7" t="inlineStr">
        <is>
          <t>Non-Captive</t>
        </is>
      </c>
      <c r="I569" s="7" t="inlineStr">
        <is>
          <t>SHAMNAD AH</t>
        </is>
      </c>
      <c r="J569" s="8" t="n">
        <v>2022</v>
      </c>
      <c r="K569" s="9" t="n">
        <v>67877</v>
      </c>
      <c r="L569" s="10" t="n">
        <v>320000</v>
      </c>
      <c r="M569" s="10" t="n">
        <v>5932.2</v>
      </c>
      <c r="N569" s="11">
        <f>IF(M569="","",ROUND(M569*1.18,2))</f>
        <v/>
      </c>
      <c r="O569" s="12">
        <f>IF(M569="","",ROUND(N569-M569,2))</f>
        <v/>
      </c>
      <c r="P569" s="13">
        <f>IF(AND(A569&lt;&gt;"",B569&lt;&gt;""), A569&amp;" · "&amp;B569, "")</f>
        <v/>
      </c>
    </row>
    <row r="570">
      <c r="A570" s="6" t="inlineStr">
        <is>
          <t>FY26</t>
        </is>
      </c>
      <c r="B570" s="6" t="inlineStr">
        <is>
          <t>Feb</t>
        </is>
      </c>
      <c r="C570" s="6" t="inlineStr">
        <is>
          <t>TN</t>
        </is>
      </c>
      <c r="D570" s="7" t="inlineStr">
        <is>
          <t>KL16P5865</t>
        </is>
      </c>
      <c r="E570" s="7" t="inlineStr">
        <is>
          <t>MARUTI SUZUKI</t>
        </is>
      </c>
      <c r="F570" s="7" t="inlineStr">
        <is>
          <t>Alto</t>
        </is>
      </c>
      <c r="G570" s="7" t="inlineStr">
        <is>
          <t>DERIK AUTOMOBILE</t>
        </is>
      </c>
      <c r="H570" s="7" t="inlineStr">
        <is>
          <t>Non-Captive</t>
        </is>
      </c>
      <c r="I570" s="7" t="inlineStr">
        <is>
          <t>Popular Thrissur</t>
        </is>
      </c>
      <c r="J570" s="8" t="n">
        <v>2015</v>
      </c>
      <c r="K570" s="9" t="n">
        <v>32153</v>
      </c>
      <c r="L570" s="10" t="n">
        <v>155000</v>
      </c>
      <c r="M570" s="10" t="n">
        <v>5000</v>
      </c>
      <c r="N570" s="11">
        <f>IF(M570="","",ROUND(M570*1.18,2))</f>
        <v/>
      </c>
      <c r="O570" s="12">
        <f>IF(M570="","",ROUND(N570-M570,2))</f>
        <v/>
      </c>
      <c r="P570" s="13">
        <f>IF(AND(A570&lt;&gt;"",B570&lt;&gt;""), A570&amp;" · "&amp;B570, "")</f>
        <v/>
      </c>
    </row>
    <row r="571">
      <c r="A571" s="6" t="inlineStr">
        <is>
          <t>FY26</t>
        </is>
      </c>
      <c r="B571" s="6" t="inlineStr">
        <is>
          <t>Feb</t>
        </is>
      </c>
      <c r="C571" s="6" t="inlineStr">
        <is>
          <t>TN</t>
        </is>
      </c>
      <c r="D571" s="7" t="inlineStr">
        <is>
          <t>KL19M3594</t>
        </is>
      </c>
      <c r="E571" s="7" t="inlineStr">
        <is>
          <t>TOYOTA</t>
        </is>
      </c>
      <c r="F571" s="7" t="inlineStr">
        <is>
          <t>Glanza</t>
        </is>
      </c>
      <c r="G571" s="7" t="inlineStr">
        <is>
          <t>FORTUNE MALAYALAM</t>
        </is>
      </c>
      <c r="H571" s="7" t="inlineStr">
        <is>
          <t>Non-Captive</t>
        </is>
      </c>
      <c r="I571" s="7" t="inlineStr">
        <is>
          <t>Popular Thrissur</t>
        </is>
      </c>
      <c r="J571" s="8" t="n">
        <v>2021</v>
      </c>
      <c r="K571" s="9" t="n">
        <v>54137</v>
      </c>
      <c r="L571" s="10" t="n">
        <v>635000</v>
      </c>
      <c r="M571" s="10" t="n">
        <v>5000</v>
      </c>
      <c r="N571" s="11">
        <f>IF(M571="","",ROUND(M571*1.18,2))</f>
        <v/>
      </c>
      <c r="O571" s="12">
        <f>IF(M571="","",ROUND(N571-M571,2))</f>
        <v/>
      </c>
      <c r="P571" s="13">
        <f>IF(AND(A571&lt;&gt;"",B571&lt;&gt;""), A571&amp;" · "&amp;B571, "")</f>
        <v/>
      </c>
    </row>
    <row r="572">
      <c r="A572" s="6" t="inlineStr">
        <is>
          <t>FY26</t>
        </is>
      </c>
      <c r="B572" s="6" t="inlineStr">
        <is>
          <t>Feb</t>
        </is>
      </c>
      <c r="C572" s="6" t="inlineStr">
        <is>
          <t>TN</t>
        </is>
      </c>
      <c r="D572" s="7" t="inlineStr">
        <is>
          <t>KL25N8090</t>
        </is>
      </c>
      <c r="E572" s="7" t="inlineStr">
        <is>
          <t>MARUTI SUZUKI</t>
        </is>
      </c>
      <c r="F572" s="7" t="inlineStr">
        <is>
          <t>Swift</t>
        </is>
      </c>
      <c r="G572" s="7" t="inlineStr">
        <is>
          <t>POPULAR MOTORWORLD PVT LTD</t>
        </is>
      </c>
      <c r="H572" s="7" t="inlineStr">
        <is>
          <t>Non-Captive</t>
        </is>
      </c>
      <c r="I572" s="7" t="inlineStr">
        <is>
          <t>Popular Kottayam</t>
        </is>
      </c>
      <c r="J572" s="8" t="n">
        <v>2020</v>
      </c>
      <c r="K572" s="9" t="n">
        <v>52062</v>
      </c>
      <c r="L572" s="10" t="n">
        <v>600000</v>
      </c>
      <c r="M572" s="10" t="n">
        <v>5000</v>
      </c>
      <c r="N572" s="11">
        <f>IF(M572="","",ROUND(M572*1.18,2))</f>
        <v/>
      </c>
      <c r="O572" s="12">
        <f>IF(M572="","",ROUND(N572-M572,2))</f>
        <v/>
      </c>
      <c r="P572" s="13">
        <f>IF(AND(A572&lt;&gt;"",B572&lt;&gt;""), A572&amp;" · "&amp;B572, "")</f>
        <v/>
      </c>
    </row>
    <row r="573">
      <c r="A573" s="6" t="inlineStr">
        <is>
          <t>FY26</t>
        </is>
      </c>
      <c r="B573" s="6" t="inlineStr">
        <is>
          <t>Feb</t>
        </is>
      </c>
      <c r="C573" s="6" t="inlineStr">
        <is>
          <t>TN</t>
        </is>
      </c>
      <c r="D573" s="7" t="inlineStr">
        <is>
          <t>KL25P0994</t>
        </is>
      </c>
      <c r="E573" s="7" t="inlineStr">
        <is>
          <t>MARUTI SUZUKI</t>
        </is>
      </c>
      <c r="F573" s="7" t="inlineStr">
        <is>
          <t>Alto</t>
        </is>
      </c>
      <c r="G573" s="7" t="inlineStr">
        <is>
          <t>POPULAR MOTORWORLD PVT LTD</t>
        </is>
      </c>
      <c r="H573" s="7" t="inlineStr">
        <is>
          <t>Non-Captive</t>
        </is>
      </c>
      <c r="I573" s="7" t="inlineStr">
        <is>
          <t>Popular Thrissur</t>
        </is>
      </c>
      <c r="J573" s="8" t="n">
        <v>2020</v>
      </c>
      <c r="K573" s="9" t="n">
        <v>39876</v>
      </c>
      <c r="L573" s="10" t="n">
        <v>290000</v>
      </c>
      <c r="M573" s="10" t="n">
        <v>5000</v>
      </c>
      <c r="N573" s="11">
        <f>IF(M573="","",ROUND(M573*1.18,2))</f>
        <v/>
      </c>
      <c r="O573" s="12">
        <f>IF(M573="","",ROUND(N573-M573,2))</f>
        <v/>
      </c>
      <c r="P573" s="13">
        <f>IF(AND(A573&lt;&gt;"",B573&lt;&gt;""), A573&amp;" · "&amp;B573, "")</f>
        <v/>
      </c>
    </row>
    <row r="574">
      <c r="A574" s="6" t="inlineStr">
        <is>
          <t>FY26</t>
        </is>
      </c>
      <c r="B574" s="6" t="inlineStr">
        <is>
          <t>Feb</t>
        </is>
      </c>
      <c r="C574" s="6" t="inlineStr">
        <is>
          <t>TN</t>
        </is>
      </c>
      <c r="D574" s="7" t="inlineStr">
        <is>
          <t>KL69C4168</t>
        </is>
      </c>
      <c r="E574" s="7" t="inlineStr">
        <is>
          <t>MARUTI SUZUKI</t>
        </is>
      </c>
      <c r="F574" s="7" t="inlineStr">
        <is>
          <t>S-Presso</t>
        </is>
      </c>
      <c r="G574" s="7" t="inlineStr">
        <is>
          <t>POPULAR MOTORWORLD PVT LTD</t>
        </is>
      </c>
      <c r="H574" s="7" t="inlineStr">
        <is>
          <t>Non-Captive</t>
        </is>
      </c>
      <c r="I574" s="7" t="inlineStr">
        <is>
          <t>Popular Kottayam</t>
        </is>
      </c>
      <c r="J574" s="8" t="n">
        <v>2020</v>
      </c>
      <c r="K574" s="9" t="n">
        <v>45384</v>
      </c>
      <c r="L574" s="10" t="n">
        <v>340000</v>
      </c>
      <c r="M574" s="10" t="n">
        <v>5000</v>
      </c>
      <c r="N574" s="11">
        <f>IF(M574="","",ROUND(M574*1.18,2))</f>
        <v/>
      </c>
      <c r="O574" s="12">
        <f>IF(M574="","",ROUND(N574-M574,2))</f>
        <v/>
      </c>
      <c r="P574" s="13">
        <f>IF(AND(A574&lt;&gt;"",B574&lt;&gt;""), A574&amp;" · "&amp;B574, "")</f>
        <v/>
      </c>
    </row>
    <row r="575">
      <c r="A575" s="6" t="inlineStr">
        <is>
          <t>FY26</t>
        </is>
      </c>
      <c r="B575" s="6" t="inlineStr">
        <is>
          <t>Feb</t>
        </is>
      </c>
      <c r="C575" s="6" t="inlineStr">
        <is>
          <t>TN</t>
        </is>
      </c>
      <c r="D575" s="7" t="inlineStr">
        <is>
          <t>KL74C7075</t>
        </is>
      </c>
      <c r="E575" s="7" t="inlineStr">
        <is>
          <t>TATA</t>
        </is>
      </c>
      <c r="F575" s="7" t="inlineStr">
        <is>
          <t>Tiago</t>
        </is>
      </c>
      <c r="G575" s="7" t="inlineStr">
        <is>
          <t>NIPPON MOTOR CORPORATION PVT LTD</t>
        </is>
      </c>
      <c r="H575" s="7" t="inlineStr">
        <is>
          <t>Non-Captive</t>
        </is>
      </c>
      <c r="I575" s="7" t="inlineStr">
        <is>
          <t>Popular Alleppy</t>
        </is>
      </c>
      <c r="J575" s="8" t="n">
        <v>2022</v>
      </c>
      <c r="K575" s="9" t="n">
        <v>40770</v>
      </c>
      <c r="L575" s="10" t="n">
        <v>443000</v>
      </c>
      <c r="M575" s="10" t="n">
        <v>5000</v>
      </c>
      <c r="N575" s="11">
        <f>IF(M575="","",ROUND(M575*1.18,2))</f>
        <v/>
      </c>
      <c r="O575" s="12">
        <f>IF(M575="","",ROUND(N575-M575,2))</f>
        <v/>
      </c>
      <c r="P575" s="13">
        <f>IF(AND(A575&lt;&gt;"",B575&lt;&gt;""), A575&amp;" · "&amp;B575, "")</f>
        <v/>
      </c>
    </row>
    <row r="576">
      <c r="A576" s="6" t="inlineStr">
        <is>
          <t>FY26</t>
        </is>
      </c>
      <c r="B576" s="6" t="inlineStr">
        <is>
          <t>Feb</t>
        </is>
      </c>
      <c r="C576" s="6" t="inlineStr">
        <is>
          <t>TN</t>
        </is>
      </c>
      <c r="D576" s="7" t="inlineStr">
        <is>
          <t>KL815593</t>
        </is>
      </c>
      <c r="E576" s="7" t="inlineStr">
        <is>
          <t>MARUTI SUZUKI</t>
        </is>
      </c>
      <c r="F576" s="7" t="inlineStr">
        <is>
          <t>Ignis</t>
        </is>
      </c>
      <c r="G576" s="7" t="inlineStr">
        <is>
          <t>FORTUNE MALAYALAM</t>
        </is>
      </c>
      <c r="H576" s="7" t="inlineStr">
        <is>
          <t>Non-Captive</t>
        </is>
      </c>
      <c r="I576" s="7" t="inlineStr">
        <is>
          <t>SHAMNAD AH</t>
        </is>
      </c>
      <c r="J576" s="8" t="n">
        <v>2021</v>
      </c>
      <c r="K576" s="9" t="n">
        <v>53452</v>
      </c>
      <c r="L576" s="10" t="n">
        <v>405000</v>
      </c>
      <c r="M576" s="10" t="n">
        <v>5932.2</v>
      </c>
      <c r="N576" s="11">
        <f>IF(M576="","",ROUND(M576*1.18,2))</f>
        <v/>
      </c>
      <c r="O576" s="12">
        <f>IF(M576="","",ROUND(N576-M576,2))</f>
        <v/>
      </c>
      <c r="P576" s="13">
        <f>IF(AND(A576&lt;&gt;"",B576&lt;&gt;""), A576&amp;" · "&amp;B576, "")</f>
        <v/>
      </c>
    </row>
    <row r="577">
      <c r="A577" s="6" t="inlineStr">
        <is>
          <t>FY26</t>
        </is>
      </c>
      <c r="B577" s="6" t="inlineStr">
        <is>
          <t>Feb</t>
        </is>
      </c>
      <c r="C577" s="6" t="inlineStr">
        <is>
          <t>TN</t>
        </is>
      </c>
      <c r="D577" s="7" t="inlineStr">
        <is>
          <t>TN01AK7552</t>
        </is>
      </c>
      <c r="E577" s="7" t="inlineStr">
        <is>
          <t>CHEVROLET</t>
        </is>
      </c>
      <c r="F577" s="7" t="inlineStr">
        <is>
          <t>Beat</t>
        </is>
      </c>
      <c r="G577" s="7" t="inlineStr">
        <is>
          <t>STEER AUTO TECHNOLOGIES PRIVATE LIMITED</t>
        </is>
      </c>
      <c r="H577" s="7" t="inlineStr">
        <is>
          <t>Non-Captive</t>
        </is>
      </c>
      <c r="I577" s="7" t="inlineStr">
        <is>
          <t>Rithika cars</t>
        </is>
      </c>
      <c r="J577" s="8" t="n">
        <v>2010</v>
      </c>
      <c r="K577" s="9" t="n">
        <v>64905</v>
      </c>
      <c r="L577" s="10" t="n">
        <v>110000</v>
      </c>
      <c r="M577" s="10" t="n">
        <v>4237.29</v>
      </c>
      <c r="N577" s="11">
        <f>IF(M577="","",ROUND(M577*1.18,2))</f>
        <v/>
      </c>
      <c r="O577" s="12">
        <f>IF(M577="","",ROUND(N577-M577,2))</f>
        <v/>
      </c>
      <c r="P577" s="13">
        <f>IF(AND(A577&lt;&gt;"",B577&lt;&gt;""), A577&amp;" · "&amp;B577, "")</f>
        <v/>
      </c>
    </row>
    <row r="578">
      <c r="A578" s="6" t="inlineStr">
        <is>
          <t>FY26</t>
        </is>
      </c>
      <c r="B578" s="6" t="inlineStr">
        <is>
          <t>Feb</t>
        </is>
      </c>
      <c r="C578" s="6" t="inlineStr">
        <is>
          <t>TN</t>
        </is>
      </c>
      <c r="D578" s="7" t="inlineStr">
        <is>
          <t>TN01AP4828</t>
        </is>
      </c>
      <c r="E578" s="7" t="inlineStr">
        <is>
          <t>FORD</t>
        </is>
      </c>
      <c r="F578" s="7" t="inlineStr">
        <is>
          <t>Figo</t>
        </is>
      </c>
      <c r="G578" s="7" t="inlineStr">
        <is>
          <t>EXCHANGE ROTN</t>
        </is>
      </c>
      <c r="H578" s="7" t="inlineStr">
        <is>
          <t>Captive</t>
        </is>
      </c>
      <c r="I578" s="7" t="inlineStr">
        <is>
          <t>Ayyappa Cars</t>
        </is>
      </c>
      <c r="J578" s="8" t="n">
        <v>2011</v>
      </c>
      <c r="K578" s="9" t="n">
        <v>125437</v>
      </c>
      <c r="L578" s="10" t="n">
        <v>20000</v>
      </c>
      <c r="M578" s="10" t="n">
        <v>4237.29</v>
      </c>
      <c r="N578" s="11">
        <f>IF(M578="","",ROUND(M578*1.18,2))</f>
        <v/>
      </c>
      <c r="O578" s="12">
        <f>IF(M578="","",ROUND(N578-M578,2))</f>
        <v/>
      </c>
      <c r="P578" s="13">
        <f>IF(AND(A578&lt;&gt;"",B578&lt;&gt;""), A578&amp;" · "&amp;B578, "")</f>
        <v/>
      </c>
    </row>
    <row r="579">
      <c r="A579" s="6" t="inlineStr">
        <is>
          <t>FY26</t>
        </is>
      </c>
      <c r="B579" s="6" t="inlineStr">
        <is>
          <t>Feb</t>
        </is>
      </c>
      <c r="C579" s="6" t="inlineStr">
        <is>
          <t>TN</t>
        </is>
      </c>
      <c r="D579" s="7" t="inlineStr">
        <is>
          <t>TN01AQ9263</t>
        </is>
      </c>
      <c r="E579" s="7" t="inlineStr">
        <is>
          <t>HYUNDAI</t>
        </is>
      </c>
      <c r="F579" s="7" t="inlineStr">
        <is>
          <t>i20</t>
        </is>
      </c>
      <c r="G579" s="7" t="inlineStr">
        <is>
          <t>KHIVRAJ MOTOR</t>
        </is>
      </c>
      <c r="H579" s="7" t="inlineStr">
        <is>
          <t>Non-Captive</t>
        </is>
      </c>
      <c r="I579" s="7" t="inlineStr">
        <is>
          <t>SRIDHAR cars</t>
        </is>
      </c>
      <c r="J579" s="8" t="n">
        <v>2011</v>
      </c>
      <c r="K579" s="9" t="n">
        <v>9999</v>
      </c>
      <c r="L579" s="10" t="n">
        <v>180000</v>
      </c>
      <c r="M579" s="10" t="n">
        <v>2966.1</v>
      </c>
      <c r="N579" s="11">
        <f>IF(M579="","",ROUND(M579*1.18,2))</f>
        <v/>
      </c>
      <c r="O579" s="12">
        <f>IF(M579="","",ROUND(N579-M579,2))</f>
        <v/>
      </c>
      <c r="P579" s="13">
        <f>IF(AND(A579&lt;&gt;"",B579&lt;&gt;""), A579&amp;" · "&amp;B579, "")</f>
        <v/>
      </c>
    </row>
    <row r="580">
      <c r="A580" s="6" t="inlineStr">
        <is>
          <t>FY26</t>
        </is>
      </c>
      <c r="B580" s="6" t="inlineStr">
        <is>
          <t>Feb</t>
        </is>
      </c>
      <c r="C580" s="6" t="inlineStr">
        <is>
          <t>TN</t>
        </is>
      </c>
      <c r="D580" s="7" t="inlineStr">
        <is>
          <t>TN01AR0896</t>
        </is>
      </c>
      <c r="E580" s="7" t="inlineStr">
        <is>
          <t>HYUNDAI</t>
        </is>
      </c>
      <c r="F580" s="7" t="inlineStr">
        <is>
          <t>i20</t>
        </is>
      </c>
      <c r="G580" s="7" t="inlineStr">
        <is>
          <t>STEER AUTO TECHNOLOGIES PRIVATE LIMITED</t>
        </is>
      </c>
      <c r="H580" s="7" t="inlineStr">
        <is>
          <t>Non-Captive</t>
        </is>
      </c>
      <c r="I580" s="7" t="inlineStr">
        <is>
          <t>Rithika cars</t>
        </is>
      </c>
      <c r="J580" s="8" t="n">
        <v>2012</v>
      </c>
      <c r="K580" s="9" t="n">
        <v>112379</v>
      </c>
      <c r="L580" s="10" t="n">
        <v>268000</v>
      </c>
      <c r="M580" s="10" t="n">
        <v>3389.83</v>
      </c>
      <c r="N580" s="11">
        <f>IF(M580="","",ROUND(M580*1.18,2))</f>
        <v/>
      </c>
      <c r="O580" s="12">
        <f>IF(M580="","",ROUND(N580-M580,2))</f>
        <v/>
      </c>
      <c r="P580" s="13">
        <f>IF(AND(A580&lt;&gt;"",B580&lt;&gt;""), A580&amp;" · "&amp;B580, "")</f>
        <v/>
      </c>
    </row>
    <row r="581">
      <c r="A581" s="6" t="inlineStr">
        <is>
          <t>FY26</t>
        </is>
      </c>
      <c r="B581" s="6" t="inlineStr">
        <is>
          <t>Feb</t>
        </is>
      </c>
      <c r="C581" s="6" t="inlineStr">
        <is>
          <t>TN</t>
        </is>
      </c>
      <c r="D581" s="7" t="inlineStr">
        <is>
          <t>TN01AT3781</t>
        </is>
      </c>
      <c r="E581" s="7" t="inlineStr">
        <is>
          <t>MARUTI SUZUKI</t>
        </is>
      </c>
      <c r="F581" s="7" t="inlineStr">
        <is>
          <t>Alto</t>
        </is>
      </c>
      <c r="G581" s="7" t="inlineStr">
        <is>
          <t>KHIVRAJ MOTOR</t>
        </is>
      </c>
      <c r="H581" s="7" t="inlineStr">
        <is>
          <t>Non-Captive</t>
        </is>
      </c>
      <c r="I581" s="7" t="inlineStr">
        <is>
          <t>Trust On wheels</t>
        </is>
      </c>
      <c r="J581" s="8" t="n">
        <v>2012</v>
      </c>
      <c r="K581" s="9" t="n">
        <v>89722</v>
      </c>
      <c r="L581" s="10" t="n">
        <v>130000</v>
      </c>
      <c r="M581" s="10" t="n">
        <v>3000</v>
      </c>
      <c r="N581" s="11">
        <f>IF(M581="","",ROUND(M581*1.18,2))</f>
        <v/>
      </c>
      <c r="O581" s="12">
        <f>IF(M581="","",ROUND(N581-M581,2))</f>
        <v/>
      </c>
      <c r="P581" s="13">
        <f>IF(AND(A581&lt;&gt;"",B581&lt;&gt;""), A581&amp;" · "&amp;B581, "")</f>
        <v/>
      </c>
    </row>
    <row r="582">
      <c r="A582" s="6" t="inlineStr">
        <is>
          <t>FY26</t>
        </is>
      </c>
      <c r="B582" s="6" t="inlineStr">
        <is>
          <t>Feb</t>
        </is>
      </c>
      <c r="C582" s="6" t="inlineStr">
        <is>
          <t>TN</t>
        </is>
      </c>
      <c r="D582" s="7" t="inlineStr">
        <is>
          <t>TN01AU6345</t>
        </is>
      </c>
      <c r="E582" s="7" t="inlineStr">
        <is>
          <t>VOLKSWAGEN</t>
        </is>
      </c>
      <c r="F582" s="7" t="inlineStr">
        <is>
          <t>Polo</t>
        </is>
      </c>
      <c r="G582" s="7" t="inlineStr">
        <is>
          <t>EXCHANGE CHENNAI</t>
        </is>
      </c>
      <c r="H582" s="7" t="inlineStr">
        <is>
          <t>Captive</t>
        </is>
      </c>
      <c r="I582" s="7" t="inlineStr">
        <is>
          <t>Santhosh Cars</t>
        </is>
      </c>
      <c r="J582" s="8" t="n">
        <v>2013</v>
      </c>
      <c r="K582" s="9" t="n">
        <v>293478</v>
      </c>
      <c r="L582" s="10" t="n">
        <v>100000</v>
      </c>
      <c r="M582" s="10" t="n">
        <v>8474.58</v>
      </c>
      <c r="N582" s="11">
        <f>IF(M582="","",ROUND(M582*1.18,2))</f>
        <v/>
      </c>
      <c r="O582" s="12">
        <f>IF(M582="","",ROUND(N582-M582,2))</f>
        <v/>
      </c>
      <c r="P582" s="13">
        <f>IF(AND(A582&lt;&gt;"",B582&lt;&gt;""), A582&amp;" · "&amp;B582, "")</f>
        <v/>
      </c>
    </row>
    <row r="583">
      <c r="A583" s="6" t="inlineStr">
        <is>
          <t>FY26</t>
        </is>
      </c>
      <c r="B583" s="6" t="inlineStr">
        <is>
          <t>Feb</t>
        </is>
      </c>
      <c r="C583" s="6" t="inlineStr">
        <is>
          <t>TN</t>
        </is>
      </c>
      <c r="D583" s="7" t="inlineStr">
        <is>
          <t>TN01AV3125</t>
        </is>
      </c>
      <c r="E583" s="7" t="inlineStr">
        <is>
          <t>HYUNDAI</t>
        </is>
      </c>
      <c r="F583" s="7" t="inlineStr">
        <is>
          <t>Eon</t>
        </is>
      </c>
      <c r="G583" s="7" t="inlineStr">
        <is>
          <t>STEER AUTO TECHNOLOGIES PRIVATE LIMITED</t>
        </is>
      </c>
      <c r="H583" s="7" t="inlineStr">
        <is>
          <t>Non-Captive</t>
        </is>
      </c>
      <c r="I583" s="7" t="inlineStr">
        <is>
          <t>Grid 33</t>
        </is>
      </c>
      <c r="J583" s="8" t="n">
        <v>2013</v>
      </c>
      <c r="K583" s="9" t="n">
        <v>76582</v>
      </c>
      <c r="L583" s="10" t="n">
        <v>160000</v>
      </c>
      <c r="M583" s="10" t="n">
        <v>3389.83</v>
      </c>
      <c r="N583" s="11">
        <f>IF(M583="","",ROUND(M583*1.18,2))</f>
        <v/>
      </c>
      <c r="O583" s="12">
        <f>IF(M583="","",ROUND(N583-M583,2))</f>
        <v/>
      </c>
      <c r="P583" s="13">
        <f>IF(AND(A583&lt;&gt;"",B583&lt;&gt;""), A583&amp;" · "&amp;B583, "")</f>
        <v/>
      </c>
    </row>
    <row r="584">
      <c r="A584" s="6" t="inlineStr">
        <is>
          <t>FY26</t>
        </is>
      </c>
      <c r="B584" s="6" t="inlineStr">
        <is>
          <t>Feb</t>
        </is>
      </c>
      <c r="C584" s="6" t="inlineStr">
        <is>
          <t>TN</t>
        </is>
      </c>
      <c r="D584" s="7" t="inlineStr">
        <is>
          <t>TN01AV8021</t>
        </is>
      </c>
      <c r="E584" s="7" t="inlineStr">
        <is>
          <t>HYUNDAI</t>
        </is>
      </c>
      <c r="F584" s="7" t="inlineStr">
        <is>
          <t>Santro</t>
        </is>
      </c>
      <c r="G584" s="7" t="inlineStr">
        <is>
          <t>EXCHANGE CHENNAI</t>
        </is>
      </c>
      <c r="H584" s="7" t="inlineStr">
        <is>
          <t>Captive</t>
        </is>
      </c>
      <c r="I584" s="7" t="inlineStr">
        <is>
          <t>Santhosh Cars</t>
        </is>
      </c>
      <c r="J584" s="8" t="n">
        <v>2014</v>
      </c>
      <c r="K584" s="9" t="n">
        <v>58473</v>
      </c>
      <c r="L584" s="10" t="n">
        <v>190000</v>
      </c>
      <c r="M584" s="10" t="n">
        <v>4237.29</v>
      </c>
      <c r="N584" s="11">
        <f>IF(M584="","",ROUND(M584*1.18,2))</f>
        <v/>
      </c>
      <c r="O584" s="12">
        <f>IF(M584="","",ROUND(N584-M584,2))</f>
        <v/>
      </c>
      <c r="P584" s="13">
        <f>IF(AND(A584&lt;&gt;"",B584&lt;&gt;""), A584&amp;" · "&amp;B584, "")</f>
        <v/>
      </c>
    </row>
    <row r="585">
      <c r="A585" s="6" t="inlineStr">
        <is>
          <t>FY26</t>
        </is>
      </c>
      <c r="B585" s="6" t="inlineStr">
        <is>
          <t>Feb</t>
        </is>
      </c>
      <c r="C585" s="6" t="inlineStr">
        <is>
          <t>TN</t>
        </is>
      </c>
      <c r="D585" s="7" t="inlineStr">
        <is>
          <t>TN01AW0119</t>
        </is>
      </c>
      <c r="E585" s="7" t="inlineStr">
        <is>
          <t>HONDA</t>
        </is>
      </c>
      <c r="F585" s="7" t="inlineStr">
        <is>
          <t>City</t>
        </is>
      </c>
      <c r="G585" s="7" t="inlineStr">
        <is>
          <t>EXCHANGE CHENNAI</t>
        </is>
      </c>
      <c r="H585" s="7" t="inlineStr">
        <is>
          <t>Captive</t>
        </is>
      </c>
      <c r="I585" s="7" t="inlineStr">
        <is>
          <t>Nirmal Cars</t>
        </is>
      </c>
      <c r="J585" s="8" t="n">
        <v>2014</v>
      </c>
      <c r="K585" s="9" t="n">
        <v>49751</v>
      </c>
      <c r="L585" s="10" t="n">
        <v>480000</v>
      </c>
      <c r="M585" s="10" t="n">
        <v>8474.58</v>
      </c>
      <c r="N585" s="11">
        <f>IF(M585="","",ROUND(M585*1.18,2))</f>
        <v/>
      </c>
      <c r="O585" s="12">
        <f>IF(M585="","",ROUND(N585-M585,2))</f>
        <v/>
      </c>
      <c r="P585" s="13">
        <f>IF(AND(A585&lt;&gt;"",B585&lt;&gt;""), A585&amp;" · "&amp;B585, "")</f>
        <v/>
      </c>
    </row>
    <row r="586">
      <c r="A586" s="6" t="inlineStr">
        <is>
          <t>FY26</t>
        </is>
      </c>
      <c r="B586" s="6" t="inlineStr">
        <is>
          <t>Feb</t>
        </is>
      </c>
      <c r="C586" s="6" t="inlineStr">
        <is>
          <t>TN</t>
        </is>
      </c>
      <c r="D586" s="7" t="inlineStr">
        <is>
          <t>TN01AZ6217</t>
        </is>
      </c>
      <c r="E586" s="7" t="inlineStr">
        <is>
          <t>HONDA</t>
        </is>
      </c>
      <c r="F586" s="7" t="inlineStr">
        <is>
          <t>City</t>
        </is>
      </c>
      <c r="G586" s="7" t="inlineStr">
        <is>
          <t>EXCHANGE CHENNAI</t>
        </is>
      </c>
      <c r="H586" s="7" t="inlineStr">
        <is>
          <t>Captive</t>
        </is>
      </c>
      <c r="I586" s="7" t="inlineStr">
        <is>
          <t>Santhosh Cars</t>
        </is>
      </c>
      <c r="J586" s="8" t="n">
        <v>2016</v>
      </c>
      <c r="K586" s="9" t="n">
        <v>48813</v>
      </c>
      <c r="L586" s="10" t="n">
        <v>525000</v>
      </c>
      <c r="M586" s="10" t="n">
        <v>8474.58</v>
      </c>
      <c r="N586" s="11">
        <f>IF(M586="","",ROUND(M586*1.18,2))</f>
        <v/>
      </c>
      <c r="O586" s="12">
        <f>IF(M586="","",ROUND(N586-M586,2))</f>
        <v/>
      </c>
      <c r="P586" s="13">
        <f>IF(AND(A586&lt;&gt;"",B586&lt;&gt;""), A586&amp;" · "&amp;B586, "")</f>
        <v/>
      </c>
    </row>
    <row r="587">
      <c r="A587" s="6" t="inlineStr">
        <is>
          <t>FY26</t>
        </is>
      </c>
      <c r="B587" s="6" t="inlineStr">
        <is>
          <t>Feb</t>
        </is>
      </c>
      <c r="C587" s="6" t="inlineStr">
        <is>
          <t>TN</t>
        </is>
      </c>
      <c r="D587" s="7" t="inlineStr">
        <is>
          <t>TN01BA6084</t>
        </is>
      </c>
      <c r="E587" s="7" t="inlineStr">
        <is>
          <t>HONDA</t>
        </is>
      </c>
      <c r="F587" s="7" t="inlineStr">
        <is>
          <t>Jazz</t>
        </is>
      </c>
      <c r="G587" s="7" t="inlineStr">
        <is>
          <t>EXCHANGE ROTN</t>
        </is>
      </c>
      <c r="H587" s="7" t="inlineStr">
        <is>
          <t>Captive</t>
        </is>
      </c>
      <c r="I587" s="7" t="inlineStr">
        <is>
          <t>Gugha Cars</t>
        </is>
      </c>
      <c r="J587" s="8" t="n">
        <v>2016</v>
      </c>
      <c r="K587" s="9" t="n">
        <v>40581</v>
      </c>
      <c r="L587" s="10" t="n">
        <v>375000</v>
      </c>
      <c r="M587" s="10" t="n">
        <v>12711.86</v>
      </c>
      <c r="N587" s="11">
        <f>IF(M587="","",ROUND(M587*1.18,2))</f>
        <v/>
      </c>
      <c r="O587" s="12">
        <f>IF(M587="","",ROUND(N587-M587,2))</f>
        <v/>
      </c>
      <c r="P587" s="13">
        <f>IF(AND(A587&lt;&gt;"",B587&lt;&gt;""), A587&amp;" · "&amp;B587, "")</f>
        <v/>
      </c>
    </row>
    <row r="588">
      <c r="A588" s="6" t="inlineStr">
        <is>
          <t>FY26</t>
        </is>
      </c>
      <c r="B588" s="6" t="inlineStr">
        <is>
          <t>Feb</t>
        </is>
      </c>
      <c r="C588" s="6" t="inlineStr">
        <is>
          <t>TN</t>
        </is>
      </c>
      <c r="D588" s="7" t="inlineStr">
        <is>
          <t>TN01BB0846</t>
        </is>
      </c>
      <c r="E588" s="7" t="inlineStr">
        <is>
          <t>MARUTI SUZUKI</t>
        </is>
      </c>
      <c r="F588" s="7" t="inlineStr">
        <is>
          <t>Ciaz</t>
        </is>
      </c>
      <c r="G588" s="7" t="inlineStr">
        <is>
          <t>STEER AUTO TECHNOLOGIES PRIVATE LIMITED</t>
        </is>
      </c>
      <c r="H588" s="7" t="inlineStr">
        <is>
          <t>Non-Captive</t>
        </is>
      </c>
      <c r="I588" s="7" t="inlineStr">
        <is>
          <t>Rithika cars</t>
        </is>
      </c>
      <c r="J588" s="8" t="n">
        <v>2016</v>
      </c>
      <c r="K588" s="9" t="n">
        <v>76924</v>
      </c>
      <c r="L588" s="10" t="n">
        <v>580000</v>
      </c>
      <c r="M588" s="10" t="n">
        <v>3389.83</v>
      </c>
      <c r="N588" s="11">
        <f>IF(M588="","",ROUND(M588*1.18,2))</f>
        <v/>
      </c>
      <c r="O588" s="12">
        <f>IF(M588="","",ROUND(N588-M588,2))</f>
        <v/>
      </c>
      <c r="P588" s="13">
        <f>IF(AND(A588&lt;&gt;"",B588&lt;&gt;""), A588&amp;" · "&amp;B588, "")</f>
        <v/>
      </c>
    </row>
    <row r="589">
      <c r="A589" s="6" t="inlineStr">
        <is>
          <t>FY26</t>
        </is>
      </c>
      <c r="B589" s="6" t="inlineStr">
        <is>
          <t>Feb</t>
        </is>
      </c>
      <c r="C589" s="6" t="inlineStr">
        <is>
          <t>TN</t>
        </is>
      </c>
      <c r="D589" s="7" t="inlineStr">
        <is>
          <t>TN01BD4025</t>
        </is>
      </c>
      <c r="E589" s="7" t="inlineStr">
        <is>
          <t>MARUTI SUZUKI</t>
        </is>
      </c>
      <c r="F589" s="7" t="inlineStr">
        <is>
          <t>Celerio</t>
        </is>
      </c>
      <c r="G589" s="7" t="inlineStr">
        <is>
          <t>KHIVRAJ MOTOR</t>
        </is>
      </c>
      <c r="H589" s="7" t="inlineStr">
        <is>
          <t>Non-Captive</t>
        </is>
      </c>
      <c r="I589" s="7" t="inlineStr">
        <is>
          <t>car Hub</t>
        </is>
      </c>
      <c r="J589" s="8" t="n">
        <v>2017</v>
      </c>
      <c r="K589" s="9" t="n">
        <v>35701</v>
      </c>
      <c r="L589" s="10" t="n">
        <v>300000</v>
      </c>
      <c r="M589" s="10" t="n">
        <v>5084.75</v>
      </c>
      <c r="N589" s="11">
        <f>IF(M589="","",ROUND(M589*1.18,2))</f>
        <v/>
      </c>
      <c r="O589" s="12">
        <f>IF(M589="","",ROUND(N589-M589,2))</f>
        <v/>
      </c>
      <c r="P589" s="13">
        <f>IF(AND(A589&lt;&gt;"",B589&lt;&gt;""), A589&amp;" · "&amp;B589, "")</f>
        <v/>
      </c>
    </row>
    <row r="590">
      <c r="A590" s="6" t="inlineStr">
        <is>
          <t>FY26</t>
        </is>
      </c>
      <c r="B590" s="6" t="inlineStr">
        <is>
          <t>Feb</t>
        </is>
      </c>
      <c r="C590" s="6" t="inlineStr">
        <is>
          <t>TN</t>
        </is>
      </c>
      <c r="D590" s="7" t="inlineStr">
        <is>
          <t>TN01BF2892</t>
        </is>
      </c>
      <c r="E590" s="7" t="inlineStr">
        <is>
          <t>HONDA</t>
        </is>
      </c>
      <c r="F590" s="7" t="inlineStr">
        <is>
          <t>Jazz</t>
        </is>
      </c>
      <c r="G590" s="7" t="inlineStr">
        <is>
          <t>EXCHANGE CHENNAI</t>
        </is>
      </c>
      <c r="H590" s="7" t="inlineStr">
        <is>
          <t>Captive</t>
        </is>
      </c>
      <c r="I590" s="7" t="inlineStr">
        <is>
          <t>AAA Cars</t>
        </is>
      </c>
      <c r="J590" s="8" t="n">
        <v>2018</v>
      </c>
      <c r="K590" s="9" t="n">
        <v>47660</v>
      </c>
      <c r="L590" s="10" t="n">
        <v>415000</v>
      </c>
      <c r="M590" s="10" t="n">
        <v>5084.75</v>
      </c>
      <c r="N590" s="11">
        <f>IF(M590="","",ROUND(M590*1.18,2))</f>
        <v/>
      </c>
      <c r="O590" s="12">
        <f>IF(M590="","",ROUND(N590-M590,2))</f>
        <v/>
      </c>
      <c r="P590" s="13">
        <f>IF(AND(A590&lt;&gt;"",B590&lt;&gt;""), A590&amp;" · "&amp;B590, "")</f>
        <v/>
      </c>
    </row>
    <row r="591">
      <c r="A591" s="6" t="inlineStr">
        <is>
          <t>FY26</t>
        </is>
      </c>
      <c r="B591" s="6" t="inlineStr">
        <is>
          <t>Feb</t>
        </is>
      </c>
      <c r="C591" s="6" t="inlineStr">
        <is>
          <t>TN</t>
        </is>
      </c>
      <c r="D591" s="7" t="inlineStr">
        <is>
          <t>TN01BF3619</t>
        </is>
      </c>
      <c r="E591" s="7" t="inlineStr">
        <is>
          <t>MARUTI SUZUKI</t>
        </is>
      </c>
      <c r="F591" s="7" t="inlineStr">
        <is>
          <t>Vitara Brezza</t>
        </is>
      </c>
      <c r="G591" s="7" t="inlineStr">
        <is>
          <t>EXCHANGE CHENNAI</t>
        </is>
      </c>
      <c r="H591" s="7" t="inlineStr">
        <is>
          <t>Captive</t>
        </is>
      </c>
      <c r="I591" s="7" t="inlineStr">
        <is>
          <t>TSM</t>
        </is>
      </c>
      <c r="J591" s="8" t="n">
        <v>2018</v>
      </c>
      <c r="K591" s="9" t="n">
        <v>116219</v>
      </c>
      <c r="L591" s="10" t="n">
        <v>540000</v>
      </c>
      <c r="M591" s="10" t="n">
        <v>4237.29</v>
      </c>
      <c r="N591" s="11">
        <f>IF(M591="","",ROUND(M591*1.18,2))</f>
        <v/>
      </c>
      <c r="O591" s="12">
        <f>IF(M591="","",ROUND(N591-M591,2))</f>
        <v/>
      </c>
      <c r="P591" s="13">
        <f>IF(AND(A591&lt;&gt;"",B591&lt;&gt;""), A591&amp;" · "&amp;B591, "")</f>
        <v/>
      </c>
    </row>
    <row r="592">
      <c r="A592" s="6" t="inlineStr">
        <is>
          <t>FY26</t>
        </is>
      </c>
      <c r="B592" s="6" t="inlineStr">
        <is>
          <t>Feb</t>
        </is>
      </c>
      <c r="C592" s="6" t="inlineStr">
        <is>
          <t>TN</t>
        </is>
      </c>
      <c r="D592" s="7" t="inlineStr">
        <is>
          <t>TN01BF8422</t>
        </is>
      </c>
      <c r="E592" s="7" t="inlineStr">
        <is>
          <t>HONDA</t>
        </is>
      </c>
      <c r="F592" s="7" t="inlineStr">
        <is>
          <t>Amaze</t>
        </is>
      </c>
      <c r="G592" s="7" t="inlineStr">
        <is>
          <t>EXCHANGE CHENNAI</t>
        </is>
      </c>
      <c r="H592" s="7" t="inlineStr">
        <is>
          <t>Captive</t>
        </is>
      </c>
      <c r="I592" s="7" t="inlineStr">
        <is>
          <t>Nirmal Cars</t>
        </is>
      </c>
      <c r="J592" s="8" t="n">
        <v>2018</v>
      </c>
      <c r="K592" s="9" t="n"/>
      <c r="L592" s="10" t="n">
        <v>385000</v>
      </c>
      <c r="M592" s="10" t="n">
        <v>5084.75</v>
      </c>
      <c r="N592" s="11">
        <f>IF(M592="","",ROUND(M592*1.18,2))</f>
        <v/>
      </c>
      <c r="O592" s="12">
        <f>IF(M592="","",ROUND(N592-M592,2))</f>
        <v/>
      </c>
      <c r="P592" s="13">
        <f>IF(AND(A592&lt;&gt;"",B592&lt;&gt;""), A592&amp;" · "&amp;B592, "")</f>
        <v/>
      </c>
    </row>
    <row r="593">
      <c r="A593" s="6" t="inlineStr">
        <is>
          <t>FY26</t>
        </is>
      </c>
      <c r="B593" s="6" t="inlineStr">
        <is>
          <t>Feb</t>
        </is>
      </c>
      <c r="C593" s="6" t="inlineStr">
        <is>
          <t>TN</t>
        </is>
      </c>
      <c r="D593" s="7" t="inlineStr">
        <is>
          <t>TN01BH5226</t>
        </is>
      </c>
      <c r="E593" s="7" t="inlineStr">
        <is>
          <t>MARUTI SUZUKI</t>
        </is>
      </c>
      <c r="F593" s="7" t="inlineStr">
        <is>
          <t>Ciaz</t>
        </is>
      </c>
      <c r="G593" s="7" t="inlineStr">
        <is>
          <t>KHIVRAJ MOTOR</t>
        </is>
      </c>
      <c r="H593" s="7" t="inlineStr">
        <is>
          <t>Non-Captive</t>
        </is>
      </c>
      <c r="I593" s="7" t="inlineStr">
        <is>
          <t>Grid 33</t>
        </is>
      </c>
      <c r="J593" s="8" t="n">
        <v>2018</v>
      </c>
      <c r="K593" s="9" t="n">
        <v>42250</v>
      </c>
      <c r="L593" s="10" t="n">
        <v>520000</v>
      </c>
      <c r="M593" s="10" t="n">
        <v>5508.47</v>
      </c>
      <c r="N593" s="11">
        <f>IF(M593="","",ROUND(M593*1.18,2))</f>
        <v/>
      </c>
      <c r="O593" s="12">
        <f>IF(M593="","",ROUND(N593-M593,2))</f>
        <v/>
      </c>
      <c r="P593" s="13">
        <f>IF(AND(A593&lt;&gt;"",B593&lt;&gt;""), A593&amp;" · "&amp;B593, "")</f>
        <v/>
      </c>
    </row>
    <row r="594">
      <c r="A594" s="6" t="inlineStr">
        <is>
          <t>FY26</t>
        </is>
      </c>
      <c r="B594" s="6" t="inlineStr">
        <is>
          <t>Feb</t>
        </is>
      </c>
      <c r="C594" s="6" t="inlineStr">
        <is>
          <t>TN</t>
        </is>
      </c>
      <c r="D594" s="7" t="inlineStr">
        <is>
          <t>TN01BJ1938</t>
        </is>
      </c>
      <c r="E594" s="7" t="inlineStr">
        <is>
          <t>TATA</t>
        </is>
      </c>
      <c r="F594" s="7" t="inlineStr">
        <is>
          <t>Tiago</t>
        </is>
      </c>
      <c r="G594" s="7" t="inlineStr">
        <is>
          <t>KHIVRAJ MOTOR</t>
        </is>
      </c>
      <c r="H594" s="7" t="inlineStr">
        <is>
          <t>Non-Captive</t>
        </is>
      </c>
      <c r="I594" s="7" t="inlineStr">
        <is>
          <t>Value Drive Tecnologies</t>
        </is>
      </c>
      <c r="J594" s="8" t="n">
        <v>2019</v>
      </c>
      <c r="K594" s="9" t="n">
        <v>23402</v>
      </c>
      <c r="L594" s="10" t="n">
        <v>350000</v>
      </c>
      <c r="M594" s="10" t="n">
        <v>3389.83</v>
      </c>
      <c r="N594" s="11">
        <f>IF(M594="","",ROUND(M594*1.18,2))</f>
        <v/>
      </c>
      <c r="O594" s="12">
        <f>IF(M594="","",ROUND(N594-M594,2))</f>
        <v/>
      </c>
      <c r="P594" s="13">
        <f>IF(AND(A594&lt;&gt;"",B594&lt;&gt;""), A594&amp;" · "&amp;B594, "")</f>
        <v/>
      </c>
    </row>
    <row r="595">
      <c r="A595" s="6" t="inlineStr">
        <is>
          <t>FY26</t>
        </is>
      </c>
      <c r="B595" s="6" t="inlineStr">
        <is>
          <t>Feb</t>
        </is>
      </c>
      <c r="C595" s="6" t="inlineStr">
        <is>
          <t>TN</t>
        </is>
      </c>
      <c r="D595" s="7" t="inlineStr">
        <is>
          <t>TN02AT1021</t>
        </is>
      </c>
      <c r="E595" s="7" t="inlineStr">
        <is>
          <t>TATA</t>
        </is>
      </c>
      <c r="F595" s="7" t="inlineStr">
        <is>
          <t>Indica</t>
        </is>
      </c>
      <c r="G595" s="7" t="inlineStr">
        <is>
          <t>KHIVRAJ MOTOR</t>
        </is>
      </c>
      <c r="H595" s="7" t="inlineStr">
        <is>
          <t>Non-Captive</t>
        </is>
      </c>
      <c r="I595" s="7" t="inlineStr">
        <is>
          <t>AAA Cars</t>
        </is>
      </c>
      <c r="J595" s="8" t="n"/>
      <c r="K595" s="9" t="n"/>
      <c r="L595" s="10" t="n">
        <v>69000</v>
      </c>
      <c r="M595" s="10" t="n">
        <v>5084.75</v>
      </c>
      <c r="N595" s="11">
        <f>IF(M595="","",ROUND(M595*1.18,2))</f>
        <v/>
      </c>
      <c r="O595" s="12">
        <f>IF(M595="","",ROUND(N595-M595,2))</f>
        <v/>
      </c>
      <c r="P595" s="13">
        <f>IF(AND(A595&lt;&gt;"",B595&lt;&gt;""), A595&amp;" · "&amp;B595, "")</f>
        <v/>
      </c>
    </row>
    <row r="596">
      <c r="A596" s="6" t="inlineStr">
        <is>
          <t>FY26</t>
        </is>
      </c>
      <c r="B596" s="6" t="inlineStr">
        <is>
          <t>Feb</t>
        </is>
      </c>
      <c r="C596" s="6" t="inlineStr">
        <is>
          <t>TN</t>
        </is>
      </c>
      <c r="D596" s="7" t="inlineStr">
        <is>
          <t>TN02AV7175</t>
        </is>
      </c>
      <c r="E596" s="7" t="inlineStr">
        <is>
          <t>CHEVROLET</t>
        </is>
      </c>
      <c r="F596" s="7" t="inlineStr">
        <is>
          <t>Beat</t>
        </is>
      </c>
      <c r="G596" s="7" t="inlineStr">
        <is>
          <t>KHIVRAJ MOTOR</t>
        </is>
      </c>
      <c r="H596" s="7" t="inlineStr">
        <is>
          <t>Non-Captive</t>
        </is>
      </c>
      <c r="I596" s="7" t="inlineStr">
        <is>
          <t>AAA Cars</t>
        </is>
      </c>
      <c r="J596" s="8" t="n">
        <v>2012</v>
      </c>
      <c r="K596" s="9" t="n">
        <v>92555</v>
      </c>
      <c r="L596" s="10" t="n">
        <v>90000</v>
      </c>
      <c r="M596" s="10" t="n">
        <v>5084.75</v>
      </c>
      <c r="N596" s="11">
        <f>IF(M596="","",ROUND(M596*1.18,2))</f>
        <v/>
      </c>
      <c r="O596" s="12">
        <f>IF(M596="","",ROUND(N596-M596,2))</f>
        <v/>
      </c>
      <c r="P596" s="13">
        <f>IF(AND(A596&lt;&gt;"",B596&lt;&gt;""), A596&amp;" · "&amp;B596, "")</f>
        <v/>
      </c>
    </row>
    <row r="597">
      <c r="A597" s="6" t="inlineStr">
        <is>
          <t>FY26</t>
        </is>
      </c>
      <c r="B597" s="6" t="inlineStr">
        <is>
          <t>Feb</t>
        </is>
      </c>
      <c r="C597" s="6" t="inlineStr">
        <is>
          <t>TN</t>
        </is>
      </c>
      <c r="D597" s="7" t="inlineStr">
        <is>
          <t>TN02AY1505</t>
        </is>
      </c>
      <c r="E597" s="7" t="inlineStr">
        <is>
          <t>HYUNDAI</t>
        </is>
      </c>
      <c r="F597" s="7" t="inlineStr">
        <is>
          <t>Grand i10</t>
        </is>
      </c>
      <c r="G597" s="7" t="inlineStr">
        <is>
          <t>KALYANI MOTORS MARUTI</t>
        </is>
      </c>
      <c r="H597" s="7" t="inlineStr">
        <is>
          <t>Non-Captive</t>
        </is>
      </c>
      <c r="I597" s="7" t="inlineStr">
        <is>
          <t>Grid 33</t>
        </is>
      </c>
      <c r="J597" s="8" t="n">
        <v>2013</v>
      </c>
      <c r="K597" s="9" t="n">
        <v>90615</v>
      </c>
      <c r="L597" s="10" t="n">
        <v>200000</v>
      </c>
      <c r="M597" s="10" t="n">
        <v>3389.83</v>
      </c>
      <c r="N597" s="11">
        <f>IF(M597="","",ROUND(M597*1.18,2))</f>
        <v/>
      </c>
      <c r="O597" s="12">
        <f>IF(M597="","",ROUND(N597-M597,2))</f>
        <v/>
      </c>
      <c r="P597" s="13">
        <f>IF(AND(A597&lt;&gt;"",B597&lt;&gt;""), A597&amp;" · "&amp;B597, "")</f>
        <v/>
      </c>
    </row>
    <row r="598">
      <c r="A598" s="6" t="inlineStr">
        <is>
          <t>FY26</t>
        </is>
      </c>
      <c r="B598" s="6" t="inlineStr">
        <is>
          <t>Feb</t>
        </is>
      </c>
      <c r="C598" s="6" t="inlineStr">
        <is>
          <t>TN</t>
        </is>
      </c>
      <c r="D598" s="7" t="inlineStr">
        <is>
          <t>TN02BD5733</t>
        </is>
      </c>
      <c r="E598" s="7" t="inlineStr">
        <is>
          <t>VOLKSWAGEN</t>
        </is>
      </c>
      <c r="F598" s="7" t="inlineStr">
        <is>
          <t>Vento</t>
        </is>
      </c>
      <c r="G598" s="7" t="inlineStr">
        <is>
          <t>STEER AUTO TECHNOLOGIES PRIVATE LIMITED</t>
        </is>
      </c>
      <c r="H598" s="7" t="inlineStr">
        <is>
          <t>Non-Captive</t>
        </is>
      </c>
      <c r="I598" s="7" t="inlineStr">
        <is>
          <t>Rithika cars</t>
        </is>
      </c>
      <c r="J598" s="8" t="n">
        <v>2016</v>
      </c>
      <c r="K598" s="9" t="n">
        <v>114849</v>
      </c>
      <c r="L598" s="10" t="n">
        <v>426000</v>
      </c>
      <c r="M598" s="10" t="n">
        <v>3389.83</v>
      </c>
      <c r="N598" s="11">
        <f>IF(M598="","",ROUND(M598*1.18,2))</f>
        <v/>
      </c>
      <c r="O598" s="12">
        <f>IF(M598="","",ROUND(N598-M598,2))</f>
        <v/>
      </c>
      <c r="P598" s="13">
        <f>IF(AND(A598&lt;&gt;"",B598&lt;&gt;""), A598&amp;" · "&amp;B598, "")</f>
        <v/>
      </c>
    </row>
    <row r="599">
      <c r="A599" s="6" t="inlineStr">
        <is>
          <t>FY26</t>
        </is>
      </c>
      <c r="B599" s="6" t="inlineStr">
        <is>
          <t>Feb</t>
        </is>
      </c>
      <c r="C599" s="6" t="inlineStr">
        <is>
          <t>TN</t>
        </is>
      </c>
      <c r="D599" s="7" t="inlineStr">
        <is>
          <t>TN02BK2569</t>
        </is>
      </c>
      <c r="E599" s="7" t="inlineStr">
        <is>
          <t>VOLKSWAGEN</t>
        </is>
      </c>
      <c r="F599" s="7" t="inlineStr">
        <is>
          <t>Polo</t>
        </is>
      </c>
      <c r="G599" s="7" t="inlineStr">
        <is>
          <t>STEER AUTO TECHNOLOGIES PRIVATE LIMITED</t>
        </is>
      </c>
      <c r="H599" s="7" t="inlineStr">
        <is>
          <t>Non-Captive</t>
        </is>
      </c>
      <c r="I599" s="7" t="inlineStr">
        <is>
          <t>Rithika cars</t>
        </is>
      </c>
      <c r="J599" s="8" t="n">
        <v>2017</v>
      </c>
      <c r="K599" s="9" t="n">
        <v>71850</v>
      </c>
      <c r="L599" s="10" t="n">
        <v>400000</v>
      </c>
      <c r="M599" s="10" t="n">
        <v>4237.29</v>
      </c>
      <c r="N599" s="11">
        <f>IF(M599="","",ROUND(M599*1.18,2))</f>
        <v/>
      </c>
      <c r="O599" s="12">
        <f>IF(M599="","",ROUND(N599-M599,2))</f>
        <v/>
      </c>
      <c r="P599" s="13">
        <f>IF(AND(A599&lt;&gt;"",B599&lt;&gt;""), A599&amp;" · "&amp;B599, "")</f>
        <v/>
      </c>
    </row>
    <row r="600">
      <c r="A600" s="6" t="inlineStr">
        <is>
          <t>FY26</t>
        </is>
      </c>
      <c r="B600" s="6" t="inlineStr">
        <is>
          <t>Feb</t>
        </is>
      </c>
      <c r="C600" s="6" t="inlineStr">
        <is>
          <t>TN</t>
        </is>
      </c>
      <c r="D600" s="7" t="inlineStr">
        <is>
          <t>TN02BK3319</t>
        </is>
      </c>
      <c r="E600" s="7" t="inlineStr">
        <is>
          <t>HYUNDAI</t>
        </is>
      </c>
      <c r="F600" s="7" t="inlineStr">
        <is>
          <t>Verna</t>
        </is>
      </c>
      <c r="G600" s="7" t="inlineStr">
        <is>
          <t>STEER AUTO TECHNOLOGIES PRIVATE LIMITED</t>
        </is>
      </c>
      <c r="H600" s="7" t="inlineStr">
        <is>
          <t>Non-Captive</t>
        </is>
      </c>
      <c r="I600" s="7" t="inlineStr">
        <is>
          <t>Rithika cars</t>
        </is>
      </c>
      <c r="J600" s="8" t="n">
        <v>2017</v>
      </c>
      <c r="K600" s="9" t="n">
        <v>52480</v>
      </c>
      <c r="L600" s="10" t="n">
        <v>580000</v>
      </c>
      <c r="M600" s="10" t="n">
        <v>3389.83</v>
      </c>
      <c r="N600" s="11">
        <f>IF(M600="","",ROUND(M600*1.18,2))</f>
        <v/>
      </c>
      <c r="O600" s="12">
        <f>IF(M600="","",ROUND(N600-M600,2))</f>
        <v/>
      </c>
      <c r="P600" s="13">
        <f>IF(AND(A600&lt;&gt;"",B600&lt;&gt;""), A600&amp;" · "&amp;B600, "")</f>
        <v/>
      </c>
    </row>
    <row r="601">
      <c r="A601" s="6" t="inlineStr">
        <is>
          <t>FY26</t>
        </is>
      </c>
      <c r="B601" s="6" t="inlineStr">
        <is>
          <t>Feb</t>
        </is>
      </c>
      <c r="C601" s="6" t="inlineStr">
        <is>
          <t>TN</t>
        </is>
      </c>
      <c r="D601" s="7" t="inlineStr">
        <is>
          <t>TN02BL5314</t>
        </is>
      </c>
      <c r="E601" s="7" t="inlineStr">
        <is>
          <t>HONDA</t>
        </is>
      </c>
      <c r="F601" s="7" t="inlineStr">
        <is>
          <t>Jazz</t>
        </is>
      </c>
      <c r="G601" s="7" t="inlineStr">
        <is>
          <t>LAKSHMI TATA</t>
        </is>
      </c>
      <c r="H601" s="7" t="inlineStr">
        <is>
          <t>Non-Captive</t>
        </is>
      </c>
      <c r="I601" s="7" t="inlineStr">
        <is>
          <t>Nirmal Cars</t>
        </is>
      </c>
      <c r="J601" s="8" t="n">
        <v>2018</v>
      </c>
      <c r="K601" s="9" t="n">
        <v>152685</v>
      </c>
      <c r="L601" s="10" t="n">
        <v>275000</v>
      </c>
      <c r="M601" s="10" t="n">
        <v>3389.83</v>
      </c>
      <c r="N601" s="11">
        <f>IF(M601="","",ROUND(M601*1.18,2))</f>
        <v/>
      </c>
      <c r="O601" s="12">
        <f>IF(M601="","",ROUND(N601-M601,2))</f>
        <v/>
      </c>
      <c r="P601" s="13">
        <f>IF(AND(A601&lt;&gt;"",B601&lt;&gt;""), A601&amp;" · "&amp;B601, "")</f>
        <v/>
      </c>
    </row>
    <row r="602">
      <c r="A602" s="6" t="inlineStr">
        <is>
          <t>FY26</t>
        </is>
      </c>
      <c r="B602" s="6" t="inlineStr">
        <is>
          <t>Feb</t>
        </is>
      </c>
      <c r="C602" s="6" t="inlineStr">
        <is>
          <t>TN</t>
        </is>
      </c>
      <c r="D602" s="7" t="inlineStr">
        <is>
          <t>TN02BQ6807</t>
        </is>
      </c>
      <c r="E602" s="7" t="inlineStr">
        <is>
          <t>HYUNDAI</t>
        </is>
      </c>
      <c r="F602" s="7" t="inlineStr">
        <is>
          <t>Grand i10</t>
        </is>
      </c>
      <c r="G602" s="7" t="inlineStr">
        <is>
          <t>LAKSHMI TATA</t>
        </is>
      </c>
      <c r="H602" s="7" t="inlineStr">
        <is>
          <t>Non-Captive</t>
        </is>
      </c>
      <c r="I602" s="7" t="inlineStr">
        <is>
          <t>Thiya Cars</t>
        </is>
      </c>
      <c r="J602" s="8" t="n">
        <v>2019</v>
      </c>
      <c r="K602" s="9" t="n">
        <v>32830</v>
      </c>
      <c r="L602" s="10" t="n">
        <v>300000</v>
      </c>
      <c r="M602" s="10" t="n">
        <v>3389.83</v>
      </c>
      <c r="N602" s="11">
        <f>IF(M602="","",ROUND(M602*1.18,2))</f>
        <v/>
      </c>
      <c r="O602" s="12">
        <f>IF(M602="","",ROUND(N602-M602,2))</f>
        <v/>
      </c>
      <c r="P602" s="13">
        <f>IF(AND(A602&lt;&gt;"",B602&lt;&gt;""), A602&amp;" · "&amp;B602, "")</f>
        <v/>
      </c>
    </row>
    <row r="603">
      <c r="A603" s="6" t="inlineStr">
        <is>
          <t>FY26</t>
        </is>
      </c>
      <c r="B603" s="6" t="inlineStr">
        <is>
          <t>Feb</t>
        </is>
      </c>
      <c r="C603" s="6" t="inlineStr">
        <is>
          <t>TN</t>
        </is>
      </c>
      <c r="D603" s="7" t="inlineStr">
        <is>
          <t>TN02BQ6997</t>
        </is>
      </c>
      <c r="E603" s="7" t="inlineStr">
        <is>
          <t>MAHINDRA</t>
        </is>
      </c>
      <c r="F603" s="7" t="inlineStr">
        <is>
          <t>Xylo</t>
        </is>
      </c>
      <c r="G603" s="7" t="inlineStr">
        <is>
          <t>KHIVRAJ MOTOR</t>
        </is>
      </c>
      <c r="H603" s="7" t="inlineStr">
        <is>
          <t>Non-Captive</t>
        </is>
      </c>
      <c r="I603" s="7" t="inlineStr">
        <is>
          <t>Nirmal Cars</t>
        </is>
      </c>
      <c r="J603" s="8" t="n">
        <v>2019</v>
      </c>
      <c r="K603" s="9" t="n">
        <v>136278</v>
      </c>
      <c r="L603" s="10" t="n">
        <v>300000</v>
      </c>
      <c r="M603" s="10" t="n">
        <v>4237.29</v>
      </c>
      <c r="N603" s="11">
        <f>IF(M603="","",ROUND(M603*1.18,2))</f>
        <v/>
      </c>
      <c r="O603" s="12">
        <f>IF(M603="","",ROUND(N603-M603,2))</f>
        <v/>
      </c>
      <c r="P603" s="13">
        <f>IF(AND(A603&lt;&gt;"",B603&lt;&gt;""), A603&amp;" · "&amp;B603, "")</f>
        <v/>
      </c>
    </row>
    <row r="604">
      <c r="A604" s="6" t="inlineStr">
        <is>
          <t>FY26</t>
        </is>
      </c>
      <c r="B604" s="6" t="inlineStr">
        <is>
          <t>Feb</t>
        </is>
      </c>
      <c r="C604" s="6" t="inlineStr">
        <is>
          <t>TN</t>
        </is>
      </c>
      <c r="D604" s="7" t="inlineStr">
        <is>
          <t>TN02BR3687</t>
        </is>
      </c>
      <c r="E604" s="7" t="inlineStr">
        <is>
          <t>VOLKSWAGEN</t>
        </is>
      </c>
      <c r="F604" s="7" t="inlineStr">
        <is>
          <t>Vento</t>
        </is>
      </c>
      <c r="G604" s="7" t="inlineStr">
        <is>
          <t>STEER AUTO TECHNOLOGIES PRIVATE LIMITED</t>
        </is>
      </c>
      <c r="H604" s="7" t="inlineStr">
        <is>
          <t>Non-Captive</t>
        </is>
      </c>
      <c r="I604" s="7" t="inlineStr">
        <is>
          <t>Rithika cars</t>
        </is>
      </c>
      <c r="J604" s="8" t="n">
        <v>2019</v>
      </c>
      <c r="K604" s="9" t="n">
        <v>64038</v>
      </c>
      <c r="L604" s="10" t="n">
        <v>785000</v>
      </c>
      <c r="M604" s="10" t="n">
        <v>3389.83</v>
      </c>
      <c r="N604" s="11">
        <f>IF(M604="","",ROUND(M604*1.18,2))</f>
        <v/>
      </c>
      <c r="O604" s="12">
        <f>IF(M604="","",ROUND(N604-M604,2))</f>
        <v/>
      </c>
      <c r="P604" s="13">
        <f>IF(AND(A604&lt;&gt;"",B604&lt;&gt;""), A604&amp;" · "&amp;B604, "")</f>
        <v/>
      </c>
    </row>
    <row r="605">
      <c r="A605" s="6" t="inlineStr">
        <is>
          <t>FY26</t>
        </is>
      </c>
      <c r="B605" s="6" t="inlineStr">
        <is>
          <t>Feb</t>
        </is>
      </c>
      <c r="C605" s="6" t="inlineStr">
        <is>
          <t>TN</t>
        </is>
      </c>
      <c r="D605" s="7" t="inlineStr">
        <is>
          <t>TN02BR8817</t>
        </is>
      </c>
      <c r="E605" s="7" t="inlineStr">
        <is>
          <t>RENAULT</t>
        </is>
      </c>
      <c r="F605" s="7" t="inlineStr">
        <is>
          <t>Kwid</t>
        </is>
      </c>
      <c r="G605" s="7" t="inlineStr">
        <is>
          <t>STEER AUTO TECHNOLOGIES PRIVATE LIMITED</t>
        </is>
      </c>
      <c r="H605" s="7" t="inlineStr">
        <is>
          <t>Non-Captive</t>
        </is>
      </c>
      <c r="I605" s="7" t="inlineStr">
        <is>
          <t>Grid 33</t>
        </is>
      </c>
      <c r="J605" s="8" t="n">
        <v>2019</v>
      </c>
      <c r="K605" s="9" t="n">
        <v>17021</v>
      </c>
      <c r="L605" s="10" t="n">
        <v>270000</v>
      </c>
      <c r="M605" s="10" t="n">
        <v>3389.83</v>
      </c>
      <c r="N605" s="11">
        <f>IF(M605="","",ROUND(M605*1.18,2))</f>
        <v/>
      </c>
      <c r="O605" s="12">
        <f>IF(M605="","",ROUND(N605-M605,2))</f>
        <v/>
      </c>
      <c r="P605" s="13">
        <f>IF(AND(A605&lt;&gt;"",B605&lt;&gt;""), A605&amp;" · "&amp;B605, "")</f>
        <v/>
      </c>
    </row>
    <row r="606">
      <c r="A606" s="6" t="inlineStr">
        <is>
          <t>FY26</t>
        </is>
      </c>
      <c r="B606" s="6" t="inlineStr">
        <is>
          <t>Feb</t>
        </is>
      </c>
      <c r="C606" s="6" t="inlineStr">
        <is>
          <t>TN</t>
        </is>
      </c>
      <c r="D606" s="7" t="inlineStr">
        <is>
          <t>TN02BU1405</t>
        </is>
      </c>
      <c r="E606" s="7" t="inlineStr">
        <is>
          <t>HYUNDAI</t>
        </is>
      </c>
      <c r="F606" s="7" t="inlineStr">
        <is>
          <t>Grand i10</t>
        </is>
      </c>
      <c r="G606" s="7" t="inlineStr">
        <is>
          <t>EXCHANGE CHENNAI</t>
        </is>
      </c>
      <c r="H606" s="7" t="inlineStr">
        <is>
          <t>Captive</t>
        </is>
      </c>
      <c r="I606" s="7" t="inlineStr">
        <is>
          <t>RAM Manohar</t>
        </is>
      </c>
      <c r="J606" s="8" t="n">
        <v>2021</v>
      </c>
      <c r="K606" s="9" t="n">
        <v>64711</v>
      </c>
      <c r="L606" s="10" t="n">
        <v>410000</v>
      </c>
      <c r="M606" s="10" t="n">
        <v>4237.29</v>
      </c>
      <c r="N606" s="11">
        <f>IF(M606="","",ROUND(M606*1.18,2))</f>
        <v/>
      </c>
      <c r="O606" s="12">
        <f>IF(M606="","",ROUND(N606-M606,2))</f>
        <v/>
      </c>
      <c r="P606" s="13">
        <f>IF(AND(A606&lt;&gt;"",B606&lt;&gt;""), A606&amp;" · "&amp;B606, "")</f>
        <v/>
      </c>
    </row>
    <row r="607">
      <c r="A607" s="6" t="inlineStr">
        <is>
          <t>FY26</t>
        </is>
      </c>
      <c r="B607" s="6" t="inlineStr">
        <is>
          <t>Feb</t>
        </is>
      </c>
      <c r="C607" s="6" t="inlineStr">
        <is>
          <t>TN</t>
        </is>
      </c>
      <c r="D607" s="7" t="inlineStr">
        <is>
          <t>TN02BW4441</t>
        </is>
      </c>
      <c r="E607" s="7" t="inlineStr">
        <is>
          <t>MARUTI SUZUKI</t>
        </is>
      </c>
      <c r="F607" s="7" t="inlineStr">
        <is>
          <t>Eeco</t>
        </is>
      </c>
      <c r="G607" s="7" t="inlineStr">
        <is>
          <t>KHIVRAJ MOTOR</t>
        </is>
      </c>
      <c r="H607" s="7" t="inlineStr">
        <is>
          <t>Non-Captive</t>
        </is>
      </c>
      <c r="I607" s="7" t="inlineStr">
        <is>
          <t>Value Drive Tecnologies</t>
        </is>
      </c>
      <c r="J607" s="8" t="n">
        <v>2022</v>
      </c>
      <c r="K607" s="9" t="n">
        <v>25800</v>
      </c>
      <c r="L607" s="10" t="n">
        <v>400000</v>
      </c>
      <c r="M607" s="10" t="n">
        <v>4237.29</v>
      </c>
      <c r="N607" s="11">
        <f>IF(M607="","",ROUND(M607*1.18,2))</f>
        <v/>
      </c>
      <c r="O607" s="12">
        <f>IF(M607="","",ROUND(N607-M607,2))</f>
        <v/>
      </c>
      <c r="P607" s="13">
        <f>IF(AND(A607&lt;&gt;"",B607&lt;&gt;""), A607&amp;" · "&amp;B607, "")</f>
        <v/>
      </c>
    </row>
    <row r="608">
      <c r="A608" s="6" t="inlineStr">
        <is>
          <t>FY26</t>
        </is>
      </c>
      <c r="B608" s="6" t="inlineStr">
        <is>
          <t>Feb</t>
        </is>
      </c>
      <c r="C608" s="6" t="inlineStr">
        <is>
          <t>TN</t>
        </is>
      </c>
      <c r="D608" s="7" t="inlineStr">
        <is>
          <t>TN02Q1287</t>
        </is>
      </c>
      <c r="E608" s="7" t="inlineStr">
        <is>
          <t>OPEL</t>
        </is>
      </c>
      <c r="F608" s="7" t="inlineStr">
        <is>
          <t>Corsa</t>
        </is>
      </c>
      <c r="G608" s="7" t="inlineStr">
        <is>
          <t>EXCHANGE ROTN</t>
        </is>
      </c>
      <c r="H608" s="7" t="inlineStr">
        <is>
          <t>Captive</t>
        </is>
      </c>
      <c r="I608" s="7" t="inlineStr">
        <is>
          <t>Dheera Cars</t>
        </is>
      </c>
      <c r="J608" s="8" t="n">
        <v>2003</v>
      </c>
      <c r="K608" s="9" t="n">
        <v>648000</v>
      </c>
      <c r="L608" s="10" t="n">
        <v>25000</v>
      </c>
      <c r="M608" s="10" t="n">
        <v>4237.29</v>
      </c>
      <c r="N608" s="11">
        <f>IF(M608="","",ROUND(M608*1.18,2))</f>
        <v/>
      </c>
      <c r="O608" s="12">
        <f>IF(M608="","",ROUND(N608-M608,2))</f>
        <v/>
      </c>
      <c r="P608" s="13">
        <f>IF(AND(A608&lt;&gt;"",B608&lt;&gt;""), A608&amp;" · "&amp;B608, "")</f>
        <v/>
      </c>
    </row>
    <row r="609">
      <c r="A609" s="6" t="inlineStr">
        <is>
          <t>FY26</t>
        </is>
      </c>
      <c r="B609" s="6" t="inlineStr">
        <is>
          <t>Feb</t>
        </is>
      </c>
      <c r="C609" s="6" t="inlineStr">
        <is>
          <t>TN</t>
        </is>
      </c>
      <c r="D609" s="7" t="inlineStr">
        <is>
          <t>TN04AH4559</t>
        </is>
      </c>
      <c r="E609" s="7" t="inlineStr">
        <is>
          <t>MARUTI SUZUKI</t>
        </is>
      </c>
      <c r="F609" s="7" t="inlineStr">
        <is>
          <t>Dzire</t>
        </is>
      </c>
      <c r="G609" s="7" t="inlineStr">
        <is>
          <t>EXCHANGE CHENNAI</t>
        </is>
      </c>
      <c r="H609" s="7" t="inlineStr">
        <is>
          <t>Captive</t>
        </is>
      </c>
      <c r="I609" s="7" t="inlineStr">
        <is>
          <t>RAM Manohar</t>
        </is>
      </c>
      <c r="J609" s="8" t="n">
        <v>2011</v>
      </c>
      <c r="K609" s="9" t="n">
        <v>236496</v>
      </c>
      <c r="L609" s="10" t="n">
        <v>152000</v>
      </c>
      <c r="M609" s="10" t="n">
        <v>4237.29</v>
      </c>
      <c r="N609" s="11">
        <f>IF(M609="","",ROUND(M609*1.18,2))</f>
        <v/>
      </c>
      <c r="O609" s="12">
        <f>IF(M609="","",ROUND(N609-M609,2))</f>
        <v/>
      </c>
      <c r="P609" s="13">
        <f>IF(AND(A609&lt;&gt;"",B609&lt;&gt;""), A609&amp;" · "&amp;B609, "")</f>
        <v/>
      </c>
    </row>
    <row r="610">
      <c r="A610" s="6" t="inlineStr">
        <is>
          <t>FY26</t>
        </is>
      </c>
      <c r="B610" s="6" t="inlineStr">
        <is>
          <t>Feb</t>
        </is>
      </c>
      <c r="C610" s="6" t="inlineStr">
        <is>
          <t>TN</t>
        </is>
      </c>
      <c r="D610" s="7" t="inlineStr">
        <is>
          <t>TN04AH8741</t>
        </is>
      </c>
      <c r="E610" s="7" t="inlineStr">
        <is>
          <t>HONDA</t>
        </is>
      </c>
      <c r="F610" s="7" t="inlineStr">
        <is>
          <t>City</t>
        </is>
      </c>
      <c r="G610" s="7" t="inlineStr">
        <is>
          <t>EXCHANGE CHENNAI</t>
        </is>
      </c>
      <c r="H610" s="7" t="inlineStr">
        <is>
          <t>Captive</t>
        </is>
      </c>
      <c r="I610" s="7" t="inlineStr">
        <is>
          <t>Nirmal Cars</t>
        </is>
      </c>
      <c r="J610" s="8" t="n">
        <v>2011</v>
      </c>
      <c r="K610" s="9" t="n"/>
      <c r="L610" s="10" t="n">
        <v>170000</v>
      </c>
      <c r="M610" s="10" t="n">
        <v>4237.29</v>
      </c>
      <c r="N610" s="11">
        <f>IF(M610="","",ROUND(M610*1.18,2))</f>
        <v/>
      </c>
      <c r="O610" s="12">
        <f>IF(M610="","",ROUND(N610-M610,2))</f>
        <v/>
      </c>
      <c r="P610" s="13">
        <f>IF(AND(A610&lt;&gt;"",B610&lt;&gt;""), A610&amp;" · "&amp;B610, "")</f>
        <v/>
      </c>
    </row>
    <row r="611">
      <c r="A611" s="6" t="inlineStr">
        <is>
          <t>FY26</t>
        </is>
      </c>
      <c r="B611" s="6" t="inlineStr">
        <is>
          <t>Feb</t>
        </is>
      </c>
      <c r="C611" s="6" t="inlineStr">
        <is>
          <t>TN</t>
        </is>
      </c>
      <c r="D611" s="7" t="inlineStr">
        <is>
          <t>TN04AM0455</t>
        </is>
      </c>
      <c r="E611" s="7" t="inlineStr">
        <is>
          <t>HONDA</t>
        </is>
      </c>
      <c r="F611" s="7" t="inlineStr">
        <is>
          <t>Amaze</t>
        </is>
      </c>
      <c r="G611" s="7" t="inlineStr">
        <is>
          <t>EXCHANGE CHENNAI</t>
        </is>
      </c>
      <c r="H611" s="7" t="inlineStr">
        <is>
          <t>Captive</t>
        </is>
      </c>
      <c r="I611" s="7" t="inlineStr">
        <is>
          <t>Santhosh Cars</t>
        </is>
      </c>
      <c r="J611" s="8" t="n">
        <v>2013</v>
      </c>
      <c r="K611" s="9" t="n">
        <v>140133</v>
      </c>
      <c r="L611" s="10" t="n">
        <v>270000</v>
      </c>
      <c r="M611" s="10" t="n">
        <v>8474.58</v>
      </c>
      <c r="N611" s="11">
        <f>IF(M611="","",ROUND(M611*1.18,2))</f>
        <v/>
      </c>
      <c r="O611" s="12">
        <f>IF(M611="","",ROUND(N611-M611,2))</f>
        <v/>
      </c>
      <c r="P611" s="13">
        <f>IF(AND(A611&lt;&gt;"",B611&lt;&gt;""), A611&amp;" · "&amp;B611, "")</f>
        <v/>
      </c>
    </row>
    <row r="612">
      <c r="A612" s="6" t="inlineStr">
        <is>
          <t>FY26</t>
        </is>
      </c>
      <c r="B612" s="6" t="inlineStr">
        <is>
          <t>Feb</t>
        </is>
      </c>
      <c r="C612" s="6" t="inlineStr">
        <is>
          <t>TN</t>
        </is>
      </c>
      <c r="D612" s="7" t="inlineStr">
        <is>
          <t>TN05AM6696</t>
        </is>
      </c>
      <c r="E612" s="7" t="inlineStr">
        <is>
          <t>HONDA</t>
        </is>
      </c>
      <c r="F612" s="7" t="inlineStr">
        <is>
          <t>City</t>
        </is>
      </c>
      <c r="G612" s="7" t="inlineStr">
        <is>
          <t>EXCHANGE CHENNAI</t>
        </is>
      </c>
      <c r="H612" s="7" t="inlineStr">
        <is>
          <t>Captive</t>
        </is>
      </c>
      <c r="I612" s="7" t="inlineStr">
        <is>
          <t>Santhosh Cars</t>
        </is>
      </c>
      <c r="J612" s="8" t="n">
        <v>2012</v>
      </c>
      <c r="K612" s="9" t="n">
        <v>113585</v>
      </c>
      <c r="L612" s="10" t="n">
        <v>230000</v>
      </c>
      <c r="M612" s="10" t="n">
        <v>8474.58</v>
      </c>
      <c r="N612" s="11">
        <f>IF(M612="","",ROUND(M612*1.18,2))</f>
        <v/>
      </c>
      <c r="O612" s="12">
        <f>IF(M612="","",ROUND(N612-M612,2))</f>
        <v/>
      </c>
      <c r="P612" s="13">
        <f>IF(AND(A612&lt;&gt;"",B612&lt;&gt;""), A612&amp;" · "&amp;B612, "")</f>
        <v/>
      </c>
    </row>
    <row r="613">
      <c r="A613" s="6" t="inlineStr">
        <is>
          <t>FY26</t>
        </is>
      </c>
      <c r="B613" s="6" t="inlineStr">
        <is>
          <t>Feb</t>
        </is>
      </c>
      <c r="C613" s="6" t="inlineStr">
        <is>
          <t>TN</t>
        </is>
      </c>
      <c r="D613" s="7" t="inlineStr">
        <is>
          <t>TN05AS8230</t>
        </is>
      </c>
      <c r="E613" s="7" t="inlineStr">
        <is>
          <t>FORD</t>
        </is>
      </c>
      <c r="F613" s="7" t="inlineStr">
        <is>
          <t>Fiesta</t>
        </is>
      </c>
      <c r="G613" s="7" t="inlineStr">
        <is>
          <t>KHIVRAJ MOTOR</t>
        </is>
      </c>
      <c r="H613" s="7" t="inlineStr">
        <is>
          <t>Non-Captive</t>
        </is>
      </c>
      <c r="I613" s="7" t="inlineStr">
        <is>
          <t>Hasini Cars</t>
        </is>
      </c>
      <c r="J613" s="8" t="n">
        <v>2013</v>
      </c>
      <c r="K613" s="9" t="n">
        <v>25789</v>
      </c>
      <c r="L613" s="10" t="n">
        <v>250000</v>
      </c>
      <c r="M613" s="10" t="n">
        <v>2966.1</v>
      </c>
      <c r="N613" s="11">
        <f>IF(M613="","",ROUND(M613*1.18,2))</f>
        <v/>
      </c>
      <c r="O613" s="12">
        <f>IF(M613="","",ROUND(N613-M613,2))</f>
        <v/>
      </c>
      <c r="P613" s="13">
        <f>IF(AND(A613&lt;&gt;"",B613&lt;&gt;""), A613&amp;" · "&amp;B613, "")</f>
        <v/>
      </c>
    </row>
    <row r="614">
      <c r="A614" s="6" t="inlineStr">
        <is>
          <t>FY26</t>
        </is>
      </c>
      <c r="B614" s="6" t="inlineStr">
        <is>
          <t>Feb</t>
        </is>
      </c>
      <c r="C614" s="6" t="inlineStr">
        <is>
          <t>TN</t>
        </is>
      </c>
      <c r="D614" s="7" t="inlineStr">
        <is>
          <t>TN05AY9361</t>
        </is>
      </c>
      <c r="E614" s="7" t="inlineStr">
        <is>
          <t>MARUTI SUZUKI</t>
        </is>
      </c>
      <c r="F614" s="7" t="inlineStr">
        <is>
          <t>Alto</t>
        </is>
      </c>
      <c r="G614" s="7" t="inlineStr">
        <is>
          <t>CASTLE TRADERS MAHINDRA</t>
        </is>
      </c>
      <c r="H614" s="7" t="inlineStr">
        <is>
          <t>Non-Captive</t>
        </is>
      </c>
      <c r="I614" s="7" t="inlineStr">
        <is>
          <t>Senthil Cars</t>
        </is>
      </c>
      <c r="J614" s="8" t="n"/>
      <c r="K614" s="9" t="n"/>
      <c r="L614" s="10" t="n">
        <v>157000</v>
      </c>
      <c r="M614" s="10" t="n">
        <v>5084.75</v>
      </c>
      <c r="N614" s="11">
        <f>IF(M614="","",ROUND(M614*1.18,2))</f>
        <v/>
      </c>
      <c r="O614" s="12">
        <f>IF(M614="","",ROUND(N614-M614,2))</f>
        <v/>
      </c>
      <c r="P614" s="13">
        <f>IF(AND(A614&lt;&gt;"",B614&lt;&gt;""), A614&amp;" · "&amp;B614, "")</f>
        <v/>
      </c>
    </row>
    <row r="615">
      <c r="A615" s="6" t="inlineStr">
        <is>
          <t>FY26</t>
        </is>
      </c>
      <c r="B615" s="6" t="inlineStr">
        <is>
          <t>Feb</t>
        </is>
      </c>
      <c r="C615" s="6" t="inlineStr">
        <is>
          <t>TN</t>
        </is>
      </c>
      <c r="D615" s="7" t="inlineStr">
        <is>
          <t>TN05BB4241</t>
        </is>
      </c>
      <c r="E615" s="7" t="inlineStr">
        <is>
          <t>MARUTI SUZUKI</t>
        </is>
      </c>
      <c r="F615" s="7" t="inlineStr">
        <is>
          <t>Swift</t>
        </is>
      </c>
      <c r="G615" s="7" t="inlineStr">
        <is>
          <t>STEER AUTO TECHNOLOGIES PRIVATE LIMITED</t>
        </is>
      </c>
      <c r="H615" s="7" t="inlineStr">
        <is>
          <t>Non-Captive</t>
        </is>
      </c>
      <c r="I615" s="7" t="inlineStr">
        <is>
          <t>Rithika cars</t>
        </is>
      </c>
      <c r="J615" s="8" t="n">
        <v>2015</v>
      </c>
      <c r="K615" s="9" t="n">
        <v>60173</v>
      </c>
      <c r="L615" s="10" t="n">
        <v>325000</v>
      </c>
      <c r="M615" s="10" t="n">
        <v>4237.29</v>
      </c>
      <c r="N615" s="11">
        <f>IF(M615="","",ROUND(M615*1.18,2))</f>
        <v/>
      </c>
      <c r="O615" s="12">
        <f>IF(M615="","",ROUND(N615-M615,2))</f>
        <v/>
      </c>
      <c r="P615" s="13">
        <f>IF(AND(A615&lt;&gt;"",B615&lt;&gt;""), A615&amp;" · "&amp;B615, "")</f>
        <v/>
      </c>
    </row>
    <row r="616">
      <c r="A616" s="6" t="inlineStr">
        <is>
          <t>FY26</t>
        </is>
      </c>
      <c r="B616" s="6" t="inlineStr">
        <is>
          <t>Feb</t>
        </is>
      </c>
      <c r="C616" s="6" t="inlineStr">
        <is>
          <t>TN</t>
        </is>
      </c>
      <c r="D616" s="7" t="inlineStr">
        <is>
          <t>TN05BF9637</t>
        </is>
      </c>
      <c r="E616" s="7" t="inlineStr">
        <is>
          <t>DATSUN</t>
        </is>
      </c>
      <c r="F616" s="7" t="inlineStr">
        <is>
          <t>Redi-GO</t>
        </is>
      </c>
      <c r="G616" s="7" t="inlineStr">
        <is>
          <t>STEER AUTO TECHNOLOGIES PRIVATE LIMITED</t>
        </is>
      </c>
      <c r="H616" s="7" t="inlineStr">
        <is>
          <t>Non-Captive</t>
        </is>
      </c>
      <c r="I616" s="7" t="inlineStr">
        <is>
          <t>Rithika cars</t>
        </is>
      </c>
      <c r="J616" s="8" t="n">
        <v>2016</v>
      </c>
      <c r="K616" s="9" t="n">
        <v>67975</v>
      </c>
      <c r="L616" s="10" t="n">
        <v>160000</v>
      </c>
      <c r="M616" s="10" t="n">
        <v>4237.29</v>
      </c>
      <c r="N616" s="11">
        <f>IF(M616="","",ROUND(M616*1.18,2))</f>
        <v/>
      </c>
      <c r="O616" s="12">
        <f>IF(M616="","",ROUND(N616-M616,2))</f>
        <v/>
      </c>
      <c r="P616" s="13">
        <f>IF(AND(A616&lt;&gt;"",B616&lt;&gt;""), A616&amp;" · "&amp;B616, "")</f>
        <v/>
      </c>
    </row>
    <row r="617">
      <c r="A617" s="6" t="inlineStr">
        <is>
          <t>FY26</t>
        </is>
      </c>
      <c r="B617" s="6" t="inlineStr">
        <is>
          <t>Feb</t>
        </is>
      </c>
      <c r="C617" s="6" t="inlineStr">
        <is>
          <t>TN</t>
        </is>
      </c>
      <c r="D617" s="7" t="inlineStr">
        <is>
          <t>TN05BL9614</t>
        </is>
      </c>
      <c r="E617" s="7" t="inlineStr">
        <is>
          <t>MARUTI SUZUKI</t>
        </is>
      </c>
      <c r="F617" s="7" t="inlineStr">
        <is>
          <t>Swift</t>
        </is>
      </c>
      <c r="G617" s="7" t="inlineStr">
        <is>
          <t>EXCHANGE CHENNAI</t>
        </is>
      </c>
      <c r="H617" s="7" t="inlineStr">
        <is>
          <t>Captive</t>
        </is>
      </c>
      <c r="I617" s="7" t="inlineStr">
        <is>
          <t>Santhosh Cars</t>
        </is>
      </c>
      <c r="J617" s="8" t="n">
        <v>2017</v>
      </c>
      <c r="K617" s="9" t="n">
        <v>55478</v>
      </c>
      <c r="L617" s="10" t="n">
        <v>400000</v>
      </c>
      <c r="M617" s="10" t="n">
        <v>8474.58</v>
      </c>
      <c r="N617" s="11">
        <f>IF(M617="","",ROUND(M617*1.18,2))</f>
        <v/>
      </c>
      <c r="O617" s="12">
        <f>IF(M617="","",ROUND(N617-M617,2))</f>
        <v/>
      </c>
      <c r="P617" s="13">
        <f>IF(AND(A617&lt;&gt;"",B617&lt;&gt;""), A617&amp;" · "&amp;B617, "")</f>
        <v/>
      </c>
    </row>
    <row r="618">
      <c r="A618" s="6" t="inlineStr">
        <is>
          <t>FY26</t>
        </is>
      </c>
      <c r="B618" s="6" t="inlineStr">
        <is>
          <t>Feb</t>
        </is>
      </c>
      <c r="C618" s="6" t="inlineStr">
        <is>
          <t>TN</t>
        </is>
      </c>
      <c r="D618" s="7" t="inlineStr">
        <is>
          <t>TN05BM4683</t>
        </is>
      </c>
      <c r="E618" s="7" t="inlineStr">
        <is>
          <t>RENAULT</t>
        </is>
      </c>
      <c r="F618" s="7" t="inlineStr">
        <is>
          <t>Duster</t>
        </is>
      </c>
      <c r="G618" s="7" t="inlineStr">
        <is>
          <t>STEER AUTO TECHNOLOGIES PRIVATE LIMITED</t>
        </is>
      </c>
      <c r="H618" s="7" t="inlineStr">
        <is>
          <t>Non-Captive</t>
        </is>
      </c>
      <c r="I618" s="7" t="inlineStr">
        <is>
          <t>Rithika cars</t>
        </is>
      </c>
      <c r="J618" s="8" t="n">
        <v>2017</v>
      </c>
      <c r="K618" s="9" t="n">
        <v>88530</v>
      </c>
      <c r="L618" s="10" t="n">
        <v>645000</v>
      </c>
      <c r="M618" s="10" t="n">
        <v>3389.83</v>
      </c>
      <c r="N618" s="11">
        <f>IF(M618="","",ROUND(M618*1.18,2))</f>
        <v/>
      </c>
      <c r="O618" s="12">
        <f>IF(M618="","",ROUND(N618-M618,2))</f>
        <v/>
      </c>
      <c r="P618" s="13">
        <f>IF(AND(A618&lt;&gt;"",B618&lt;&gt;""), A618&amp;" · "&amp;B618, "")</f>
        <v/>
      </c>
    </row>
    <row r="619">
      <c r="A619" s="6" t="inlineStr">
        <is>
          <t>FY26</t>
        </is>
      </c>
      <c r="B619" s="6" t="inlineStr">
        <is>
          <t>Feb</t>
        </is>
      </c>
      <c r="C619" s="6" t="inlineStr">
        <is>
          <t>TN</t>
        </is>
      </c>
      <c r="D619" s="7" t="inlineStr">
        <is>
          <t>TN05BU9815</t>
        </is>
      </c>
      <c r="E619" s="7" t="inlineStr">
        <is>
          <t>MARUTI SUZUKI</t>
        </is>
      </c>
      <c r="F619" s="7" t="inlineStr">
        <is>
          <t>Swift</t>
        </is>
      </c>
      <c r="G619" s="7" t="inlineStr">
        <is>
          <t>EXCHANGE CHENNAI</t>
        </is>
      </c>
      <c r="H619" s="7" t="inlineStr">
        <is>
          <t>Captive</t>
        </is>
      </c>
      <c r="I619" s="7" t="inlineStr">
        <is>
          <t>Santhosh Cars</t>
        </is>
      </c>
      <c r="J619" s="8" t="n">
        <v>2018</v>
      </c>
      <c r="K619" s="9" t="n">
        <v>98588</v>
      </c>
      <c r="L619" s="10" t="n">
        <v>470000</v>
      </c>
      <c r="M619" s="10" t="n">
        <v>8474.58</v>
      </c>
      <c r="N619" s="11">
        <f>IF(M619="","",ROUND(M619*1.18,2))</f>
        <v/>
      </c>
      <c r="O619" s="12">
        <f>IF(M619="","",ROUND(N619-M619,2))</f>
        <v/>
      </c>
      <c r="P619" s="13">
        <f>IF(AND(A619&lt;&gt;"",B619&lt;&gt;""), A619&amp;" · "&amp;B619, "")</f>
        <v/>
      </c>
    </row>
    <row r="620">
      <c r="A620" s="6" t="inlineStr">
        <is>
          <t>FY26</t>
        </is>
      </c>
      <c r="B620" s="6" t="inlineStr">
        <is>
          <t>Feb</t>
        </is>
      </c>
      <c r="C620" s="6" t="inlineStr">
        <is>
          <t>TN</t>
        </is>
      </c>
      <c r="D620" s="7" t="inlineStr">
        <is>
          <t>TN05BW8548</t>
        </is>
      </c>
      <c r="E620" s="7" t="inlineStr">
        <is>
          <t>MARUTI SUZUKI</t>
        </is>
      </c>
      <c r="F620" s="7" t="inlineStr">
        <is>
          <t>Swift</t>
        </is>
      </c>
      <c r="G620" s="7" t="inlineStr">
        <is>
          <t>KALYANI MOTORS MARUTI</t>
        </is>
      </c>
      <c r="H620" s="7" t="inlineStr">
        <is>
          <t>Non-Captive</t>
        </is>
      </c>
      <c r="I620" s="7" t="inlineStr">
        <is>
          <t>S2 Cars</t>
        </is>
      </c>
      <c r="J620" s="8" t="n">
        <v>2019</v>
      </c>
      <c r="K620" s="9" t="n">
        <v>52282</v>
      </c>
      <c r="L620" s="10" t="n">
        <v>450000</v>
      </c>
      <c r="M620" s="10" t="n">
        <v>3389.83</v>
      </c>
      <c r="N620" s="11">
        <f>IF(M620="","",ROUND(M620*1.18,2))</f>
        <v/>
      </c>
      <c r="O620" s="12">
        <f>IF(M620="","",ROUND(N620-M620,2))</f>
        <v/>
      </c>
      <c r="P620" s="13">
        <f>IF(AND(A620&lt;&gt;"",B620&lt;&gt;""), A620&amp;" · "&amp;B620, "")</f>
        <v/>
      </c>
    </row>
    <row r="621">
      <c r="A621" s="6" t="inlineStr">
        <is>
          <t>FY26</t>
        </is>
      </c>
      <c r="B621" s="6" t="inlineStr">
        <is>
          <t>Feb</t>
        </is>
      </c>
      <c r="C621" s="6" t="inlineStr">
        <is>
          <t>TN</t>
        </is>
      </c>
      <c r="D621" s="7" t="inlineStr">
        <is>
          <t>TN06AA5388</t>
        </is>
      </c>
      <c r="E621" s="7" t="inlineStr">
        <is>
          <t>TATA</t>
        </is>
      </c>
      <c r="F621" s="7" t="inlineStr">
        <is>
          <t>Nexon</t>
        </is>
      </c>
      <c r="G621" s="7" t="inlineStr">
        <is>
          <t>EXCHANGE CHENNAI</t>
        </is>
      </c>
      <c r="H621" s="7" t="inlineStr">
        <is>
          <t>Captive</t>
        </is>
      </c>
      <c r="I621" s="7" t="inlineStr">
        <is>
          <t>car Hub</t>
        </is>
      </c>
      <c r="J621" s="8" t="n">
        <v>2021</v>
      </c>
      <c r="K621" s="9" t="n">
        <v>56999</v>
      </c>
      <c r="L621" s="10" t="n">
        <v>530000</v>
      </c>
      <c r="M621" s="10" t="n">
        <v>8474.58</v>
      </c>
      <c r="N621" s="11">
        <f>IF(M621="","",ROUND(M621*1.18,2))</f>
        <v/>
      </c>
      <c r="O621" s="12">
        <f>IF(M621="","",ROUND(N621-M621,2))</f>
        <v/>
      </c>
      <c r="P621" s="13">
        <f>IF(AND(A621&lt;&gt;"",B621&lt;&gt;""), A621&amp;" · "&amp;B621, "")</f>
        <v/>
      </c>
    </row>
    <row r="622">
      <c r="A622" s="6" t="inlineStr">
        <is>
          <t>FY26</t>
        </is>
      </c>
      <c r="B622" s="6" t="inlineStr">
        <is>
          <t>Feb</t>
        </is>
      </c>
      <c r="C622" s="6" t="inlineStr">
        <is>
          <t>TN</t>
        </is>
      </c>
      <c r="D622" s="7" t="inlineStr">
        <is>
          <t>TN06AC2214</t>
        </is>
      </c>
      <c r="E622" s="7" t="inlineStr">
        <is>
          <t>HONDA</t>
        </is>
      </c>
      <c r="F622" s="7" t="inlineStr">
        <is>
          <t>City</t>
        </is>
      </c>
      <c r="G622" s="7" t="inlineStr">
        <is>
          <t>EXCHANGE CHENNAI</t>
        </is>
      </c>
      <c r="H622" s="7" t="inlineStr">
        <is>
          <t>Captive</t>
        </is>
      </c>
      <c r="I622" s="7" t="inlineStr">
        <is>
          <t>Santhosh Cars</t>
        </is>
      </c>
      <c r="J622" s="8" t="n">
        <v>2022</v>
      </c>
      <c r="K622" s="9" t="n">
        <v>23487</v>
      </c>
      <c r="L622" s="10" t="n">
        <v>100000</v>
      </c>
      <c r="M622" s="10" t="n">
        <v>4237.29</v>
      </c>
      <c r="N622" s="11">
        <f>IF(M622="","",ROUND(M622*1.18,2))</f>
        <v/>
      </c>
      <c r="O622" s="12">
        <f>IF(M622="","",ROUND(N622-M622,2))</f>
        <v/>
      </c>
      <c r="P622" s="13">
        <f>IF(AND(A622&lt;&gt;"",B622&lt;&gt;""), A622&amp;" · "&amp;B622, "")</f>
        <v/>
      </c>
    </row>
    <row r="623">
      <c r="A623" s="6" t="inlineStr">
        <is>
          <t>FY26</t>
        </is>
      </c>
      <c r="B623" s="6" t="inlineStr">
        <is>
          <t>Feb</t>
        </is>
      </c>
      <c r="C623" s="6" t="inlineStr">
        <is>
          <t>TN</t>
        </is>
      </c>
      <c r="D623" s="7" t="inlineStr">
        <is>
          <t>TN06D1174</t>
        </is>
      </c>
      <c r="E623" s="7" t="inlineStr">
        <is>
          <t>MARUTI SUZUKI</t>
        </is>
      </c>
      <c r="F623" s="7" t="inlineStr">
        <is>
          <t>Dzire</t>
        </is>
      </c>
      <c r="G623" s="7" t="inlineStr">
        <is>
          <t>KHIVRAJ MOTOR</t>
        </is>
      </c>
      <c r="H623" s="7" t="inlineStr">
        <is>
          <t>Non-Captive</t>
        </is>
      </c>
      <c r="I623" s="7" t="inlineStr">
        <is>
          <t>Nirmal Cars</t>
        </is>
      </c>
      <c r="J623" s="8" t="n">
        <v>2011</v>
      </c>
      <c r="K623" s="9" t="n">
        <v>239670</v>
      </c>
      <c r="L623" s="10" t="n">
        <v>107000</v>
      </c>
      <c r="M623" s="10" t="n">
        <v>2542.37</v>
      </c>
      <c r="N623" s="11">
        <f>IF(M623="","",ROUND(M623*1.18,2))</f>
        <v/>
      </c>
      <c r="O623" s="12">
        <f>IF(M623="","",ROUND(N623-M623,2))</f>
        <v/>
      </c>
      <c r="P623" s="13">
        <f>IF(AND(A623&lt;&gt;"",B623&lt;&gt;""), A623&amp;" · "&amp;B623, "")</f>
        <v/>
      </c>
    </row>
    <row r="624">
      <c r="A624" s="6" t="inlineStr">
        <is>
          <t>FY26</t>
        </is>
      </c>
      <c r="B624" s="6" t="inlineStr">
        <is>
          <t>Feb</t>
        </is>
      </c>
      <c r="C624" s="6" t="inlineStr">
        <is>
          <t>TN</t>
        </is>
      </c>
      <c r="D624" s="7" t="inlineStr">
        <is>
          <t>TN06L3807</t>
        </is>
      </c>
      <c r="E624" s="7" t="inlineStr">
        <is>
          <t>HONDA</t>
        </is>
      </c>
      <c r="F624" s="7" t="inlineStr">
        <is>
          <t>City</t>
        </is>
      </c>
      <c r="G624" s="7" t="inlineStr">
        <is>
          <t>STEER AUTO TECHNOLOGIES PRIVATE LIMITED</t>
        </is>
      </c>
      <c r="H624" s="7" t="inlineStr">
        <is>
          <t>Non-Captive</t>
        </is>
      </c>
      <c r="I624" s="7" t="inlineStr">
        <is>
          <t>Rithika cars</t>
        </is>
      </c>
      <c r="J624" s="8" t="n">
        <v>2014</v>
      </c>
      <c r="K624" s="9" t="n">
        <v>132774</v>
      </c>
      <c r="L624" s="10" t="n">
        <v>325000</v>
      </c>
      <c r="M624" s="10" t="n">
        <v>3389.83</v>
      </c>
      <c r="N624" s="11">
        <f>IF(M624="","",ROUND(M624*1.18,2))</f>
        <v/>
      </c>
      <c r="O624" s="12">
        <f>IF(M624="","",ROUND(N624-M624,2))</f>
        <v/>
      </c>
      <c r="P624" s="13">
        <f>IF(AND(A624&lt;&gt;"",B624&lt;&gt;""), A624&amp;" · "&amp;B624, "")</f>
        <v/>
      </c>
    </row>
    <row r="625">
      <c r="A625" s="6" t="inlineStr">
        <is>
          <t>FY26</t>
        </is>
      </c>
      <c r="B625" s="6" t="inlineStr">
        <is>
          <t>Feb</t>
        </is>
      </c>
      <c r="C625" s="6" t="inlineStr">
        <is>
          <t>TN</t>
        </is>
      </c>
      <c r="D625" s="7" t="inlineStr">
        <is>
          <t>TN06L9822</t>
        </is>
      </c>
      <c r="E625" s="7" t="inlineStr">
        <is>
          <t>VOLKSWAGEN</t>
        </is>
      </c>
      <c r="F625" s="7" t="inlineStr">
        <is>
          <t>Polo</t>
        </is>
      </c>
      <c r="G625" s="7" t="inlineStr">
        <is>
          <t>STEER AUTO TECHNOLOGIES PRIVATE LIMITED</t>
        </is>
      </c>
      <c r="H625" s="7" t="inlineStr">
        <is>
          <t>Non-Captive</t>
        </is>
      </c>
      <c r="I625" s="7" t="inlineStr">
        <is>
          <t>Grid 33</t>
        </is>
      </c>
      <c r="J625" s="8" t="n">
        <v>2014</v>
      </c>
      <c r="K625" s="9" t="n">
        <v>62155</v>
      </c>
      <c r="L625" s="10" t="n">
        <v>230000</v>
      </c>
      <c r="M625" s="10" t="n">
        <v>4237.29</v>
      </c>
      <c r="N625" s="11">
        <f>IF(M625="","",ROUND(M625*1.18,2))</f>
        <v/>
      </c>
      <c r="O625" s="12">
        <f>IF(M625="","",ROUND(N625-M625,2))</f>
        <v/>
      </c>
      <c r="P625" s="13">
        <f>IF(AND(A625&lt;&gt;"",B625&lt;&gt;""), A625&amp;" · "&amp;B625, "")</f>
        <v/>
      </c>
    </row>
    <row r="626">
      <c r="A626" s="6" t="inlineStr">
        <is>
          <t>FY26</t>
        </is>
      </c>
      <c r="B626" s="6" t="inlineStr">
        <is>
          <t>Feb</t>
        </is>
      </c>
      <c r="C626" s="6" t="inlineStr">
        <is>
          <t>TN</t>
        </is>
      </c>
      <c r="D626" s="7" t="inlineStr">
        <is>
          <t>TN06T4217</t>
        </is>
      </c>
      <c r="E626" s="7" t="inlineStr">
        <is>
          <t>TATA</t>
        </is>
      </c>
      <c r="F626" s="7" t="inlineStr">
        <is>
          <t>Tiago</t>
        </is>
      </c>
      <c r="G626" s="7" t="inlineStr">
        <is>
          <t>EXCHANGE CHENNAI</t>
        </is>
      </c>
      <c r="H626" s="7" t="inlineStr">
        <is>
          <t>Captive</t>
        </is>
      </c>
      <c r="I626" s="7" t="inlineStr">
        <is>
          <t>Santhosh Cars</t>
        </is>
      </c>
      <c r="J626" s="8" t="n">
        <v>2017</v>
      </c>
      <c r="K626" s="9" t="n">
        <v>166868</v>
      </c>
      <c r="L626" s="10" t="n">
        <v>185000</v>
      </c>
      <c r="M626" s="10" t="n">
        <v>4237.29</v>
      </c>
      <c r="N626" s="11">
        <f>IF(M626="","",ROUND(M626*1.18,2))</f>
        <v/>
      </c>
      <c r="O626" s="12">
        <f>IF(M626="","",ROUND(N626-M626,2))</f>
        <v/>
      </c>
      <c r="P626" s="13">
        <f>IF(AND(A626&lt;&gt;"",B626&lt;&gt;""), A626&amp;" · "&amp;B626, "")</f>
        <v/>
      </c>
    </row>
    <row r="627">
      <c r="A627" s="6" t="inlineStr">
        <is>
          <t>FY26</t>
        </is>
      </c>
      <c r="B627" s="6" t="inlineStr">
        <is>
          <t>Feb</t>
        </is>
      </c>
      <c r="C627" s="6" t="inlineStr">
        <is>
          <t>TN</t>
        </is>
      </c>
      <c r="D627" s="7" t="inlineStr">
        <is>
          <t>TN06U0966</t>
        </is>
      </c>
      <c r="E627" s="7" t="inlineStr">
        <is>
          <t>TATA</t>
        </is>
      </c>
      <c r="F627" s="7" t="inlineStr">
        <is>
          <t>Hexa</t>
        </is>
      </c>
      <c r="G627" s="7" t="inlineStr">
        <is>
          <t>SANTHOSH CARS</t>
        </is>
      </c>
      <c r="H627" s="7" t="inlineStr">
        <is>
          <t>Non-Captive</t>
        </is>
      </c>
      <c r="I627" s="7" t="inlineStr">
        <is>
          <t>Nirmal Cars</t>
        </is>
      </c>
      <c r="J627" s="8" t="n">
        <v>2017</v>
      </c>
      <c r="K627" s="9" t="n">
        <v>56784</v>
      </c>
      <c r="L627" s="10" t="n">
        <v>725000</v>
      </c>
      <c r="M627" s="10" t="n">
        <v>8474.58</v>
      </c>
      <c r="N627" s="11">
        <f>IF(M627="","",ROUND(M627*1.18,2))</f>
        <v/>
      </c>
      <c r="O627" s="12">
        <f>IF(M627="","",ROUND(N627-M627,2))</f>
        <v/>
      </c>
      <c r="P627" s="13">
        <f>IF(AND(A627&lt;&gt;"",B627&lt;&gt;""), A627&amp;" · "&amp;B627, "")</f>
        <v/>
      </c>
    </row>
    <row r="628">
      <c r="A628" s="6" t="inlineStr">
        <is>
          <t>FY26</t>
        </is>
      </c>
      <c r="B628" s="6" t="inlineStr">
        <is>
          <t>Feb</t>
        </is>
      </c>
      <c r="C628" s="6" t="inlineStr">
        <is>
          <t>TN</t>
        </is>
      </c>
      <c r="D628" s="7" t="inlineStr">
        <is>
          <t>TN06W7968</t>
        </is>
      </c>
      <c r="E628" s="7" t="inlineStr">
        <is>
          <t>MARUTI SUZUKI</t>
        </is>
      </c>
      <c r="F628" s="7" t="inlineStr">
        <is>
          <t>Alto</t>
        </is>
      </c>
      <c r="G628" s="7" t="inlineStr">
        <is>
          <t>KHIVRAJ MOTOR</t>
        </is>
      </c>
      <c r="H628" s="7" t="inlineStr">
        <is>
          <t>Non-Captive</t>
        </is>
      </c>
      <c r="I628" s="7" t="inlineStr">
        <is>
          <t>Shakthi Cars</t>
        </is>
      </c>
      <c r="J628" s="8" t="n">
        <v>2018</v>
      </c>
      <c r="K628" s="9" t="n">
        <v>58972</v>
      </c>
      <c r="L628" s="10" t="n">
        <v>180000</v>
      </c>
      <c r="M628" s="10" t="n">
        <v>2966.1</v>
      </c>
      <c r="N628" s="11">
        <f>IF(M628="","",ROUND(M628*1.18,2))</f>
        <v/>
      </c>
      <c r="O628" s="12">
        <f>IF(M628="","",ROUND(N628-M628,2))</f>
        <v/>
      </c>
      <c r="P628" s="13">
        <f>IF(AND(A628&lt;&gt;"",B628&lt;&gt;""), A628&amp;" · "&amp;B628, "")</f>
        <v/>
      </c>
    </row>
    <row r="629">
      <c r="A629" s="6" t="inlineStr">
        <is>
          <t>FY26</t>
        </is>
      </c>
      <c r="B629" s="6" t="inlineStr">
        <is>
          <t>Feb</t>
        </is>
      </c>
      <c r="C629" s="6" t="inlineStr">
        <is>
          <t>TN</t>
        </is>
      </c>
      <c r="D629" s="7" t="inlineStr">
        <is>
          <t>TN06X9298</t>
        </is>
      </c>
      <c r="E629" s="7" t="inlineStr">
        <is>
          <t>MARUTI SUZUKI</t>
        </is>
      </c>
      <c r="F629" s="7" t="inlineStr">
        <is>
          <t>Swift</t>
        </is>
      </c>
      <c r="G629" s="7" t="inlineStr">
        <is>
          <t>KHIVRAJ MOTOR</t>
        </is>
      </c>
      <c r="H629" s="7" t="inlineStr">
        <is>
          <t>Non-Captive</t>
        </is>
      </c>
      <c r="I629" s="7" t="inlineStr">
        <is>
          <t>Grid 33</t>
        </is>
      </c>
      <c r="J629" s="8" t="n">
        <v>2019</v>
      </c>
      <c r="K629" s="9" t="n">
        <v>25687</v>
      </c>
      <c r="L629" s="10" t="n">
        <v>440000</v>
      </c>
      <c r="M629" s="10" t="n">
        <v>5084.75</v>
      </c>
      <c r="N629" s="11">
        <f>IF(M629="","",ROUND(M629*1.18,2))</f>
        <v/>
      </c>
      <c r="O629" s="12">
        <f>IF(M629="","",ROUND(N629-M629,2))</f>
        <v/>
      </c>
      <c r="P629" s="13">
        <f>IF(AND(A629&lt;&gt;"",B629&lt;&gt;""), A629&amp;" · "&amp;B629, "")</f>
        <v/>
      </c>
    </row>
    <row r="630">
      <c r="A630" s="6" t="inlineStr">
        <is>
          <t>FY26</t>
        </is>
      </c>
      <c r="B630" s="6" t="inlineStr">
        <is>
          <t>Feb</t>
        </is>
      </c>
      <c r="C630" s="6" t="inlineStr">
        <is>
          <t>TN</t>
        </is>
      </c>
      <c r="D630" s="7" t="inlineStr">
        <is>
          <t>TN07BA4014</t>
        </is>
      </c>
      <c r="E630" s="7" t="inlineStr">
        <is>
          <t>MAHINDRA</t>
        </is>
      </c>
      <c r="F630" s="7" t="inlineStr">
        <is>
          <t>Bolero</t>
        </is>
      </c>
      <c r="G630" s="7" t="inlineStr">
        <is>
          <t>KHIVRAJ MOTOR</t>
        </is>
      </c>
      <c r="H630" s="7" t="inlineStr">
        <is>
          <t>Non-Captive</t>
        </is>
      </c>
      <c r="I630" s="7" t="inlineStr">
        <is>
          <t>Santhosh Cars</t>
        </is>
      </c>
      <c r="J630" s="8" t="n">
        <v>2008</v>
      </c>
      <c r="K630" s="9" t="n">
        <v>66228</v>
      </c>
      <c r="L630" s="10" t="n">
        <v>200000</v>
      </c>
      <c r="M630" s="10" t="n">
        <v>3000</v>
      </c>
      <c r="N630" s="11">
        <f>IF(M630="","",ROUND(M630*1.18,2))</f>
        <v/>
      </c>
      <c r="O630" s="12">
        <f>IF(M630="","",ROUND(N630-M630,2))</f>
        <v/>
      </c>
      <c r="P630" s="13">
        <f>IF(AND(A630&lt;&gt;"",B630&lt;&gt;""), A630&amp;" · "&amp;B630, "")</f>
        <v/>
      </c>
    </row>
    <row r="631">
      <c r="A631" s="6" t="inlineStr">
        <is>
          <t>FY26</t>
        </is>
      </c>
      <c r="B631" s="6" t="inlineStr">
        <is>
          <t>Feb</t>
        </is>
      </c>
      <c r="C631" s="6" t="inlineStr">
        <is>
          <t>TN</t>
        </is>
      </c>
      <c r="D631" s="7" t="inlineStr">
        <is>
          <t>TN07BH7797</t>
        </is>
      </c>
      <c r="E631" s="7" t="inlineStr">
        <is>
          <t>HYUNDAI</t>
        </is>
      </c>
      <c r="F631" s="7" t="inlineStr">
        <is>
          <t>i10</t>
        </is>
      </c>
      <c r="G631" s="7" t="inlineStr">
        <is>
          <t>JAIKRISHNAA AUTOSALES PRIVATE LIMITED</t>
        </is>
      </c>
      <c r="H631" s="7" t="inlineStr">
        <is>
          <t>Non-Captive</t>
        </is>
      </c>
      <c r="I631" s="7" t="inlineStr">
        <is>
          <t>Dhidugal Value Cars</t>
        </is>
      </c>
      <c r="J631" s="8" t="n">
        <v>2010</v>
      </c>
      <c r="K631" s="9" t="n">
        <v>72444</v>
      </c>
      <c r="L631" s="10" t="n">
        <v>190000</v>
      </c>
      <c r="M631" s="10" t="n">
        <v>4237.29</v>
      </c>
      <c r="N631" s="11">
        <f>IF(M631="","",ROUND(M631*1.18,2))</f>
        <v/>
      </c>
      <c r="O631" s="12">
        <f>IF(M631="","",ROUND(N631-M631,2))</f>
        <v/>
      </c>
      <c r="P631" s="13">
        <f>IF(AND(A631&lt;&gt;"",B631&lt;&gt;""), A631&amp;" · "&amp;B631, "")</f>
        <v/>
      </c>
    </row>
    <row r="632">
      <c r="A632" s="6" t="inlineStr">
        <is>
          <t>FY26</t>
        </is>
      </c>
      <c r="B632" s="6" t="inlineStr">
        <is>
          <t>Feb</t>
        </is>
      </c>
      <c r="C632" s="6" t="inlineStr">
        <is>
          <t>TN</t>
        </is>
      </c>
      <c r="D632" s="7" t="inlineStr">
        <is>
          <t>TN07BP8179</t>
        </is>
      </c>
      <c r="E632" s="7" t="inlineStr">
        <is>
          <t>HYUNDAI</t>
        </is>
      </c>
      <c r="F632" s="7" t="inlineStr">
        <is>
          <t>i10</t>
        </is>
      </c>
      <c r="G632" s="7" t="inlineStr">
        <is>
          <t>STEER AUTO TECHNOLOGIES PRIVATE LIMITED</t>
        </is>
      </c>
      <c r="H632" s="7" t="inlineStr">
        <is>
          <t>Non-Captive</t>
        </is>
      </c>
      <c r="I632" s="7" t="inlineStr">
        <is>
          <t>Rithika cars</t>
        </is>
      </c>
      <c r="J632" s="8" t="n">
        <v>2011</v>
      </c>
      <c r="K632" s="9" t="n">
        <v>61886</v>
      </c>
      <c r="L632" s="10" t="n">
        <v>268000</v>
      </c>
      <c r="M632" s="10" t="n">
        <v>3389.83</v>
      </c>
      <c r="N632" s="11">
        <f>IF(M632="","",ROUND(M632*1.18,2))</f>
        <v/>
      </c>
      <c r="O632" s="12">
        <f>IF(M632="","",ROUND(N632-M632,2))</f>
        <v/>
      </c>
      <c r="P632" s="13">
        <f>IF(AND(A632&lt;&gt;"",B632&lt;&gt;""), A632&amp;" · "&amp;B632, "")</f>
        <v/>
      </c>
    </row>
    <row r="633">
      <c r="A633" s="6" t="inlineStr">
        <is>
          <t>FY26</t>
        </is>
      </c>
      <c r="B633" s="6" t="inlineStr">
        <is>
          <t>Feb</t>
        </is>
      </c>
      <c r="C633" s="6" t="inlineStr">
        <is>
          <t>TN</t>
        </is>
      </c>
      <c r="D633" s="7" t="inlineStr">
        <is>
          <t>TN07BQ5031</t>
        </is>
      </c>
      <c r="E633" s="7" t="inlineStr">
        <is>
          <t>HONDA</t>
        </is>
      </c>
      <c r="F633" s="7" t="inlineStr">
        <is>
          <t>City</t>
        </is>
      </c>
      <c r="G633" s="7" t="inlineStr">
        <is>
          <t>EXCHANGE ROTN</t>
        </is>
      </c>
      <c r="H633" s="7" t="inlineStr">
        <is>
          <t>Captive</t>
        </is>
      </c>
      <c r="I633" s="7" t="inlineStr">
        <is>
          <t>Auto Solution</t>
        </is>
      </c>
      <c r="J633" s="8" t="n">
        <v>2012</v>
      </c>
      <c r="K633" s="9" t="n">
        <v>102077</v>
      </c>
      <c r="L633" s="10" t="n">
        <v>290000</v>
      </c>
      <c r="M633" s="10" t="n">
        <v>8474.58</v>
      </c>
      <c r="N633" s="11">
        <f>IF(M633="","",ROUND(M633*1.18,2))</f>
        <v/>
      </c>
      <c r="O633" s="12">
        <f>IF(M633="","",ROUND(N633-M633,2))</f>
        <v/>
      </c>
      <c r="P633" s="13">
        <f>IF(AND(A633&lt;&gt;"",B633&lt;&gt;""), A633&amp;" · "&amp;B633, "")</f>
        <v/>
      </c>
    </row>
    <row r="634">
      <c r="A634" s="6" t="inlineStr">
        <is>
          <t>FY26</t>
        </is>
      </c>
      <c r="B634" s="6" t="inlineStr">
        <is>
          <t>Feb</t>
        </is>
      </c>
      <c r="C634" s="6" t="inlineStr">
        <is>
          <t>TN</t>
        </is>
      </c>
      <c r="D634" s="7" t="inlineStr">
        <is>
          <t>TN07BS0684</t>
        </is>
      </c>
      <c r="E634" s="7" t="inlineStr">
        <is>
          <t>HONDA</t>
        </is>
      </c>
      <c r="F634" s="7" t="inlineStr">
        <is>
          <t>City</t>
        </is>
      </c>
      <c r="G634" s="7" t="inlineStr">
        <is>
          <t>STEER AUTO TECHNOLOGIES PRIVATE LIMITED</t>
        </is>
      </c>
      <c r="H634" s="7" t="inlineStr">
        <is>
          <t>Non-Captive</t>
        </is>
      </c>
      <c r="I634" s="7" t="inlineStr">
        <is>
          <t>Rithika cars</t>
        </is>
      </c>
      <c r="J634" s="8" t="n">
        <v>2012</v>
      </c>
      <c r="K634" s="9" t="n">
        <v>114414</v>
      </c>
      <c r="L634" s="10" t="n">
        <v>363000</v>
      </c>
      <c r="M634" s="10" t="n">
        <v>3389.83</v>
      </c>
      <c r="N634" s="11">
        <f>IF(M634="","",ROUND(M634*1.18,2))</f>
        <v/>
      </c>
      <c r="O634" s="12">
        <f>IF(M634="","",ROUND(N634-M634,2))</f>
        <v/>
      </c>
      <c r="P634" s="13">
        <f>IF(AND(A634&lt;&gt;"",B634&lt;&gt;""), A634&amp;" · "&amp;B634, "")</f>
        <v/>
      </c>
    </row>
    <row r="635">
      <c r="A635" s="6" t="inlineStr">
        <is>
          <t>FY26</t>
        </is>
      </c>
      <c r="B635" s="6" t="inlineStr">
        <is>
          <t>Feb</t>
        </is>
      </c>
      <c r="C635" s="6" t="inlineStr">
        <is>
          <t>TN</t>
        </is>
      </c>
      <c r="D635" s="7" t="inlineStr">
        <is>
          <t>TN07BS1074</t>
        </is>
      </c>
      <c r="E635" s="7" t="inlineStr">
        <is>
          <t>HONDA</t>
        </is>
      </c>
      <c r="F635" s="7" t="inlineStr">
        <is>
          <t>Brio</t>
        </is>
      </c>
      <c r="G635" s="7" t="inlineStr">
        <is>
          <t>NIRMAL</t>
        </is>
      </c>
      <c r="H635" s="7" t="inlineStr">
        <is>
          <t>Non-Captive</t>
        </is>
      </c>
      <c r="I635" s="7" t="inlineStr">
        <is>
          <t>Value Drive Tecnologies</t>
        </is>
      </c>
      <c r="J635" s="8" t="n">
        <v>2012</v>
      </c>
      <c r="K635" s="9" t="n">
        <v>93364</v>
      </c>
      <c r="L635" s="10" t="n">
        <v>590000</v>
      </c>
      <c r="M635" s="10" t="n">
        <v>6779.66</v>
      </c>
      <c r="N635" s="11">
        <f>IF(M635="","",ROUND(M635*1.18,2))</f>
        <v/>
      </c>
      <c r="O635" s="12">
        <f>IF(M635="","",ROUND(N635-M635,2))</f>
        <v/>
      </c>
      <c r="P635" s="13">
        <f>IF(AND(A635&lt;&gt;"",B635&lt;&gt;""), A635&amp;" · "&amp;B635, "")</f>
        <v/>
      </c>
    </row>
    <row r="636">
      <c r="A636" s="6" t="inlineStr">
        <is>
          <t>FY26</t>
        </is>
      </c>
      <c r="B636" s="6" t="inlineStr">
        <is>
          <t>Feb</t>
        </is>
      </c>
      <c r="C636" s="6" t="inlineStr">
        <is>
          <t>TN</t>
        </is>
      </c>
      <c r="D636" s="7" t="inlineStr">
        <is>
          <t>TN07BS8617</t>
        </is>
      </c>
      <c r="E636" s="7" t="inlineStr">
        <is>
          <t>HONDA</t>
        </is>
      </c>
      <c r="F636" s="7" t="inlineStr">
        <is>
          <t>City</t>
        </is>
      </c>
      <c r="G636" s="7" t="inlineStr">
        <is>
          <t>STEER AUTO TECHNOLOGIES PRIVATE LIMITED</t>
        </is>
      </c>
      <c r="H636" s="7" t="inlineStr">
        <is>
          <t>Non-Captive</t>
        </is>
      </c>
      <c r="I636" s="7" t="inlineStr">
        <is>
          <t>Grid 33</t>
        </is>
      </c>
      <c r="J636" s="8" t="n">
        <v>2012</v>
      </c>
      <c r="K636" s="9" t="n">
        <v>126558</v>
      </c>
      <c r="L636" s="10" t="n">
        <v>200000</v>
      </c>
      <c r="M636" s="10" t="n">
        <v>4237.29</v>
      </c>
      <c r="N636" s="11">
        <f>IF(M636="","",ROUND(M636*1.18,2))</f>
        <v/>
      </c>
      <c r="O636" s="12">
        <f>IF(M636="","",ROUND(N636-M636,2))</f>
        <v/>
      </c>
      <c r="P636" s="13">
        <f>IF(AND(A636&lt;&gt;"",B636&lt;&gt;""), A636&amp;" · "&amp;B636, "")</f>
        <v/>
      </c>
    </row>
    <row r="637">
      <c r="A637" s="6" t="inlineStr">
        <is>
          <t>FY26</t>
        </is>
      </c>
      <c r="B637" s="6" t="inlineStr">
        <is>
          <t>Feb</t>
        </is>
      </c>
      <c r="C637" s="6" t="inlineStr">
        <is>
          <t>TN</t>
        </is>
      </c>
      <c r="D637" s="7" t="inlineStr">
        <is>
          <t>TN07BT5801</t>
        </is>
      </c>
      <c r="E637" s="7" t="inlineStr">
        <is>
          <t>MARUTI SUZUKI</t>
        </is>
      </c>
      <c r="F637" s="7" t="inlineStr">
        <is>
          <t>Alto</t>
        </is>
      </c>
      <c r="G637" s="7" t="inlineStr">
        <is>
          <t>KHIVRAJ MOTOR</t>
        </is>
      </c>
      <c r="H637" s="7" t="inlineStr">
        <is>
          <t>Non-Captive</t>
        </is>
      </c>
      <c r="I637" s="7" t="inlineStr">
        <is>
          <t>Hema Cars</t>
        </is>
      </c>
      <c r="J637" s="8" t="n">
        <v>2012</v>
      </c>
      <c r="K637" s="9" t="n">
        <v>142670</v>
      </c>
      <c r="L637" s="10" t="n">
        <v>105000</v>
      </c>
      <c r="M637" s="10" t="n">
        <v>2542.37</v>
      </c>
      <c r="N637" s="11">
        <f>IF(M637="","",ROUND(M637*1.18,2))</f>
        <v/>
      </c>
      <c r="O637" s="12">
        <f>IF(M637="","",ROUND(N637-M637,2))</f>
        <v/>
      </c>
      <c r="P637" s="13">
        <f>IF(AND(A637&lt;&gt;"",B637&lt;&gt;""), A637&amp;" · "&amp;B637, "")</f>
        <v/>
      </c>
    </row>
    <row r="638">
      <c r="A638" s="6" t="inlineStr">
        <is>
          <t>FY26</t>
        </is>
      </c>
      <c r="B638" s="6" t="inlineStr">
        <is>
          <t>Feb</t>
        </is>
      </c>
      <c r="C638" s="6" t="inlineStr">
        <is>
          <t>TN</t>
        </is>
      </c>
      <c r="D638" s="7" t="inlineStr">
        <is>
          <t>TN07BV8175</t>
        </is>
      </c>
      <c r="E638" s="7" t="inlineStr">
        <is>
          <t>HONDA</t>
        </is>
      </c>
      <c r="F638" s="7" t="inlineStr">
        <is>
          <t>City</t>
        </is>
      </c>
      <c r="G638" s="7" t="inlineStr">
        <is>
          <t>EXCHANGE CHENNAI</t>
        </is>
      </c>
      <c r="H638" s="7" t="inlineStr">
        <is>
          <t>Captive</t>
        </is>
      </c>
      <c r="I638" s="7" t="inlineStr">
        <is>
          <t>Santhosh Cars</t>
        </is>
      </c>
      <c r="J638" s="8" t="n">
        <v>2013</v>
      </c>
      <c r="K638" s="9" t="n">
        <v>68506</v>
      </c>
      <c r="L638" s="10" t="n">
        <v>300000</v>
      </c>
      <c r="M638" s="10" t="n">
        <v>6779.66</v>
      </c>
      <c r="N638" s="11">
        <f>IF(M638="","",ROUND(M638*1.18,2))</f>
        <v/>
      </c>
      <c r="O638" s="12">
        <f>IF(M638="","",ROUND(N638-M638,2))</f>
        <v/>
      </c>
      <c r="P638" s="13">
        <f>IF(AND(A638&lt;&gt;"",B638&lt;&gt;""), A638&amp;" · "&amp;B638, "")</f>
        <v/>
      </c>
    </row>
    <row r="639">
      <c r="A639" s="6" t="inlineStr">
        <is>
          <t>FY26</t>
        </is>
      </c>
      <c r="B639" s="6" t="inlineStr">
        <is>
          <t>Feb</t>
        </is>
      </c>
      <c r="C639" s="6" t="inlineStr">
        <is>
          <t>TN</t>
        </is>
      </c>
      <c r="D639" s="7" t="inlineStr">
        <is>
          <t>TN07BV9174</t>
        </is>
      </c>
      <c r="E639" s="7" t="inlineStr">
        <is>
          <t>HONDA</t>
        </is>
      </c>
      <c r="F639" s="7" t="inlineStr">
        <is>
          <t>Amaze</t>
        </is>
      </c>
      <c r="G639" s="7" t="inlineStr">
        <is>
          <t>EXCHANGE CHENNAI</t>
        </is>
      </c>
      <c r="H639" s="7" t="inlineStr">
        <is>
          <t>Captive</t>
        </is>
      </c>
      <c r="I639" s="7" t="inlineStr">
        <is>
          <t>Santhosh Cars</t>
        </is>
      </c>
      <c r="J639" s="8" t="n">
        <v>2013</v>
      </c>
      <c r="K639" s="9" t="n">
        <v>67522</v>
      </c>
      <c r="L639" s="10" t="n">
        <v>280000</v>
      </c>
      <c r="M639" s="10" t="n">
        <v>8474.58</v>
      </c>
      <c r="N639" s="11">
        <f>IF(M639="","",ROUND(M639*1.18,2))</f>
        <v/>
      </c>
      <c r="O639" s="12">
        <f>IF(M639="","",ROUND(N639-M639,2))</f>
        <v/>
      </c>
      <c r="P639" s="13">
        <f>IF(AND(A639&lt;&gt;"",B639&lt;&gt;""), A639&amp;" · "&amp;B639, "")</f>
        <v/>
      </c>
    </row>
    <row r="640">
      <c r="A640" s="6" t="inlineStr">
        <is>
          <t>FY26</t>
        </is>
      </c>
      <c r="B640" s="6" t="inlineStr">
        <is>
          <t>Feb</t>
        </is>
      </c>
      <c r="C640" s="6" t="inlineStr">
        <is>
          <t>TN</t>
        </is>
      </c>
      <c r="D640" s="7" t="inlineStr">
        <is>
          <t>TN07BW1706</t>
        </is>
      </c>
      <c r="E640" s="7" t="inlineStr">
        <is>
          <t>HONDA</t>
        </is>
      </c>
      <c r="F640" s="7" t="inlineStr">
        <is>
          <t>Amaze</t>
        </is>
      </c>
      <c r="G640" s="7" t="inlineStr">
        <is>
          <t>CASTLE TRADERS HONDA</t>
        </is>
      </c>
      <c r="H640" s="7" t="inlineStr">
        <is>
          <t>Non-Captive</t>
        </is>
      </c>
      <c r="I640" s="7" t="inlineStr">
        <is>
          <t>TSM</t>
        </is>
      </c>
      <c r="J640" s="8" t="n">
        <v>2013</v>
      </c>
      <c r="K640" s="9" t="n">
        <v>50482</v>
      </c>
      <c r="L640" s="10" t="n">
        <v>285000</v>
      </c>
      <c r="M640" s="10" t="n">
        <v>4237.29</v>
      </c>
      <c r="N640" s="11">
        <f>IF(M640="","",ROUND(M640*1.18,2))</f>
        <v/>
      </c>
      <c r="O640" s="12">
        <f>IF(M640="","",ROUND(N640-M640,2))</f>
        <v/>
      </c>
      <c r="P640" s="13">
        <f>IF(AND(A640&lt;&gt;"",B640&lt;&gt;""), A640&amp;" · "&amp;B640, "")</f>
        <v/>
      </c>
    </row>
    <row r="641">
      <c r="A641" s="6" t="inlineStr">
        <is>
          <t>FY26</t>
        </is>
      </c>
      <c r="B641" s="6" t="inlineStr">
        <is>
          <t>Feb</t>
        </is>
      </c>
      <c r="C641" s="6" t="inlineStr">
        <is>
          <t>TN</t>
        </is>
      </c>
      <c r="D641" s="7" t="inlineStr">
        <is>
          <t>TN07CA7184</t>
        </is>
      </c>
      <c r="E641" s="7" t="inlineStr">
        <is>
          <t>MARUTI SUZUKI</t>
        </is>
      </c>
      <c r="F641" s="7" t="inlineStr">
        <is>
          <t>SX4</t>
        </is>
      </c>
      <c r="G641" s="7" t="inlineStr">
        <is>
          <t>EXCHANGE CHENNAI</t>
        </is>
      </c>
      <c r="H641" s="7" t="inlineStr">
        <is>
          <t>Captive</t>
        </is>
      </c>
      <c r="I641" s="7" t="inlineStr">
        <is>
          <t>Santhosh Cars</t>
        </is>
      </c>
      <c r="J641" s="8" t="n">
        <v>2009</v>
      </c>
      <c r="K641" s="9" t="n"/>
      <c r="L641" s="10" t="n">
        <v>170000</v>
      </c>
      <c r="M641" s="10" t="n">
        <v>4237.29</v>
      </c>
      <c r="N641" s="11">
        <f>IF(M641="","",ROUND(M641*1.18,2))</f>
        <v/>
      </c>
      <c r="O641" s="12">
        <f>IF(M641="","",ROUND(N641-M641,2))</f>
        <v/>
      </c>
      <c r="P641" s="13">
        <f>IF(AND(A641&lt;&gt;"",B641&lt;&gt;""), A641&amp;" · "&amp;B641, "")</f>
        <v/>
      </c>
    </row>
    <row r="642">
      <c r="A642" s="6" t="inlineStr">
        <is>
          <t>FY26</t>
        </is>
      </c>
      <c r="B642" s="6" t="inlineStr">
        <is>
          <t>Feb</t>
        </is>
      </c>
      <c r="C642" s="6" t="inlineStr">
        <is>
          <t>TN</t>
        </is>
      </c>
      <c r="D642" s="7" t="inlineStr">
        <is>
          <t>TN07CA8129</t>
        </is>
      </c>
      <c r="E642" s="7" t="inlineStr">
        <is>
          <t>VOLKSWAGEN</t>
        </is>
      </c>
      <c r="F642" s="7" t="inlineStr">
        <is>
          <t>Vento</t>
        </is>
      </c>
      <c r="G642" s="7" t="inlineStr">
        <is>
          <t>STEER AUTO TECHNOLOGIES PRIVATE LIMITED</t>
        </is>
      </c>
      <c r="H642" s="7" t="inlineStr">
        <is>
          <t>Non-Captive</t>
        </is>
      </c>
      <c r="I642" s="7" t="inlineStr">
        <is>
          <t>Rithika cars</t>
        </is>
      </c>
      <c r="J642" s="8" t="n">
        <v>2014</v>
      </c>
      <c r="K642" s="9" t="n">
        <v>76431</v>
      </c>
      <c r="L642" s="10" t="n">
        <v>450000</v>
      </c>
      <c r="M642" s="10" t="n">
        <v>4237.29</v>
      </c>
      <c r="N642" s="11">
        <f>IF(M642="","",ROUND(M642*1.18,2))</f>
        <v/>
      </c>
      <c r="O642" s="12">
        <f>IF(M642="","",ROUND(N642-M642,2))</f>
        <v/>
      </c>
      <c r="P642" s="13">
        <f>IF(AND(A642&lt;&gt;"",B642&lt;&gt;""), A642&amp;" · "&amp;B642, "")</f>
        <v/>
      </c>
    </row>
    <row r="643">
      <c r="A643" s="6" t="inlineStr">
        <is>
          <t>FY26</t>
        </is>
      </c>
      <c r="B643" s="6" t="inlineStr">
        <is>
          <t>Feb</t>
        </is>
      </c>
      <c r="C643" s="6" t="inlineStr">
        <is>
          <t>TN</t>
        </is>
      </c>
      <c r="D643" s="7" t="inlineStr">
        <is>
          <t>TN07CB2813</t>
        </is>
      </c>
      <c r="E643" s="7" t="inlineStr">
        <is>
          <t>HONDA</t>
        </is>
      </c>
      <c r="F643" s="7" t="inlineStr">
        <is>
          <t>City</t>
        </is>
      </c>
      <c r="G643" s="7" t="inlineStr">
        <is>
          <t>STEER AUTO TECHNOLOGIES PRIVATE LIMITED</t>
        </is>
      </c>
      <c r="H643" s="7" t="inlineStr">
        <is>
          <t>Non-Captive</t>
        </is>
      </c>
      <c r="I643" s="7" t="inlineStr">
        <is>
          <t>Rithika cars</t>
        </is>
      </c>
      <c r="J643" s="8" t="n">
        <v>2015</v>
      </c>
      <c r="K643" s="9" t="n">
        <v>72938</v>
      </c>
      <c r="L643" s="10" t="n">
        <v>585000</v>
      </c>
      <c r="M643" s="10" t="n">
        <v>3389.83</v>
      </c>
      <c r="N643" s="11">
        <f>IF(M643="","",ROUND(M643*1.18,2))</f>
        <v/>
      </c>
      <c r="O643" s="12">
        <f>IF(M643="","",ROUND(N643-M643,2))</f>
        <v/>
      </c>
      <c r="P643" s="13">
        <f>IF(AND(A643&lt;&gt;"",B643&lt;&gt;""), A643&amp;" · "&amp;B643, "")</f>
        <v/>
      </c>
    </row>
    <row r="644">
      <c r="A644" s="6" t="inlineStr">
        <is>
          <t>FY26</t>
        </is>
      </c>
      <c r="B644" s="6" t="inlineStr">
        <is>
          <t>Feb</t>
        </is>
      </c>
      <c r="C644" s="6" t="inlineStr">
        <is>
          <t>TN</t>
        </is>
      </c>
      <c r="D644" s="7" t="inlineStr">
        <is>
          <t>TN07CB6293</t>
        </is>
      </c>
      <c r="E644" s="7" t="inlineStr">
        <is>
          <t>HYUNDAI</t>
        </is>
      </c>
      <c r="F644" s="7" t="inlineStr">
        <is>
          <t>Xcent</t>
        </is>
      </c>
      <c r="G644" s="7" t="inlineStr">
        <is>
          <t>STEER AUTO TECHNOLOGIES PRIVATE LIMITED</t>
        </is>
      </c>
      <c r="H644" s="7" t="inlineStr">
        <is>
          <t>Non-Captive</t>
        </is>
      </c>
      <c r="I644" s="7" t="inlineStr">
        <is>
          <t>Rithika cars</t>
        </is>
      </c>
      <c r="J644" s="8" t="n">
        <v>2015</v>
      </c>
      <c r="K644" s="9" t="n">
        <v>141031</v>
      </c>
      <c r="L644" s="10" t="n">
        <v>288000</v>
      </c>
      <c r="M644" s="10" t="n">
        <v>3389.83</v>
      </c>
      <c r="N644" s="11">
        <f>IF(M644="","",ROUND(M644*1.18,2))</f>
        <v/>
      </c>
      <c r="O644" s="12">
        <f>IF(M644="","",ROUND(N644-M644,2))</f>
        <v/>
      </c>
      <c r="P644" s="13">
        <f>IF(AND(A644&lt;&gt;"",B644&lt;&gt;""), A644&amp;" · "&amp;B644, "")</f>
        <v/>
      </c>
    </row>
    <row r="645">
      <c r="A645" s="6" t="inlineStr">
        <is>
          <t>FY26</t>
        </is>
      </c>
      <c r="B645" s="6" t="inlineStr">
        <is>
          <t>Feb</t>
        </is>
      </c>
      <c r="C645" s="6" t="inlineStr">
        <is>
          <t>TN</t>
        </is>
      </c>
      <c r="D645" s="7" t="inlineStr">
        <is>
          <t>TN07CC4276</t>
        </is>
      </c>
      <c r="E645" s="7" t="inlineStr">
        <is>
          <t>HONDA</t>
        </is>
      </c>
      <c r="F645" s="7" t="inlineStr">
        <is>
          <t>City</t>
        </is>
      </c>
      <c r="G645" s="7" t="inlineStr">
        <is>
          <t>STEER AUTO TECHNOLOGIES PRIVATE LIMITED</t>
        </is>
      </c>
      <c r="H645" s="7" t="inlineStr">
        <is>
          <t>Non-Captive</t>
        </is>
      </c>
      <c r="I645" s="7" t="inlineStr">
        <is>
          <t>Rithika cars</t>
        </is>
      </c>
      <c r="J645" s="8" t="n">
        <v>2015</v>
      </c>
      <c r="K645" s="9" t="n">
        <v>124809</v>
      </c>
      <c r="L645" s="10" t="n">
        <v>360000</v>
      </c>
      <c r="M645" s="10" t="n">
        <v>3389.83</v>
      </c>
      <c r="N645" s="11">
        <f>IF(M645="","",ROUND(M645*1.18,2))</f>
        <v/>
      </c>
      <c r="O645" s="12">
        <f>IF(M645="","",ROUND(N645-M645,2))</f>
        <v/>
      </c>
      <c r="P645" s="13">
        <f>IF(AND(A645&lt;&gt;"",B645&lt;&gt;""), A645&amp;" · "&amp;B645, "")</f>
        <v/>
      </c>
    </row>
    <row r="646">
      <c r="A646" s="6" t="inlineStr">
        <is>
          <t>FY26</t>
        </is>
      </c>
      <c r="B646" s="6" t="inlineStr">
        <is>
          <t>Feb</t>
        </is>
      </c>
      <c r="C646" s="6" t="inlineStr">
        <is>
          <t>TN</t>
        </is>
      </c>
      <c r="D646" s="7" t="inlineStr">
        <is>
          <t>TN07CD9225</t>
        </is>
      </c>
      <c r="E646" s="7" t="inlineStr">
        <is>
          <t>TATA</t>
        </is>
      </c>
      <c r="F646" s="7" t="inlineStr">
        <is>
          <t>Nano</t>
        </is>
      </c>
      <c r="G646" s="7" t="inlineStr">
        <is>
          <t>EXCHANGE ROTN</t>
        </is>
      </c>
      <c r="H646" s="7" t="inlineStr">
        <is>
          <t>Captive</t>
        </is>
      </c>
      <c r="I646" s="7" t="inlineStr">
        <is>
          <t>Ashwin cars</t>
        </is>
      </c>
      <c r="J646" s="8" t="n">
        <v>2015</v>
      </c>
      <c r="K646" s="9" t="n">
        <v>23393</v>
      </c>
      <c r="L646" s="10" t="n">
        <v>62000</v>
      </c>
      <c r="M646" s="10" t="n">
        <v>4237.29</v>
      </c>
      <c r="N646" s="11">
        <f>IF(M646="","",ROUND(M646*1.18,2))</f>
        <v/>
      </c>
      <c r="O646" s="12">
        <f>IF(M646="","",ROUND(N646-M646,2))</f>
        <v/>
      </c>
      <c r="P646" s="13">
        <f>IF(AND(A646&lt;&gt;"",B646&lt;&gt;""), A646&amp;" · "&amp;B646, "")</f>
        <v/>
      </c>
    </row>
    <row r="647">
      <c r="A647" s="6" t="inlineStr">
        <is>
          <t>FY26</t>
        </is>
      </c>
      <c r="B647" s="6" t="inlineStr">
        <is>
          <t>Feb</t>
        </is>
      </c>
      <c r="C647" s="6" t="inlineStr">
        <is>
          <t>TN</t>
        </is>
      </c>
      <c r="D647" s="7" t="inlineStr">
        <is>
          <t>TN07CE4728</t>
        </is>
      </c>
      <c r="E647" s="7" t="inlineStr">
        <is>
          <t>RENAULT</t>
        </is>
      </c>
      <c r="F647" s="7" t="inlineStr">
        <is>
          <t>Pulse</t>
        </is>
      </c>
      <c r="G647" s="7" t="inlineStr">
        <is>
          <t>STEER AUTO TECHNOLOGIES PRIVATE LIMITED</t>
        </is>
      </c>
      <c r="H647" s="7" t="inlineStr">
        <is>
          <t>Non-Captive</t>
        </is>
      </c>
      <c r="I647" s="7" t="inlineStr">
        <is>
          <t>Rithika cars</t>
        </is>
      </c>
      <c r="J647" s="8" t="n">
        <v>2015</v>
      </c>
      <c r="K647" s="9" t="n">
        <v>70064</v>
      </c>
      <c r="L647" s="10" t="n">
        <v>325000</v>
      </c>
      <c r="M647" s="10" t="n">
        <v>3389.83</v>
      </c>
      <c r="N647" s="11">
        <f>IF(M647="","",ROUND(M647*1.18,2))</f>
        <v/>
      </c>
      <c r="O647" s="12">
        <f>IF(M647="","",ROUND(N647-M647,2))</f>
        <v/>
      </c>
      <c r="P647" s="13">
        <f>IF(AND(A647&lt;&gt;"",B647&lt;&gt;""), A647&amp;" · "&amp;B647, "")</f>
        <v/>
      </c>
    </row>
    <row r="648">
      <c r="A648" s="6" t="inlineStr">
        <is>
          <t>FY26</t>
        </is>
      </c>
      <c r="B648" s="6" t="inlineStr">
        <is>
          <t>Feb</t>
        </is>
      </c>
      <c r="C648" s="6" t="inlineStr">
        <is>
          <t>TN</t>
        </is>
      </c>
      <c r="D648" s="7" t="inlineStr">
        <is>
          <t>TN07CE8743</t>
        </is>
      </c>
      <c r="E648" s="7" t="inlineStr">
        <is>
          <t>MARUTI SUZUKI</t>
        </is>
      </c>
      <c r="F648" s="7" t="inlineStr">
        <is>
          <t>Swift</t>
        </is>
      </c>
      <c r="G648" s="7" t="inlineStr">
        <is>
          <t>STEER AUTO TECHNOLOGIES PRIVATE LIMITED</t>
        </is>
      </c>
      <c r="H648" s="7" t="inlineStr">
        <is>
          <t>Non-Captive</t>
        </is>
      </c>
      <c r="I648" s="7" t="inlineStr">
        <is>
          <t>Rithika cars</t>
        </is>
      </c>
      <c r="J648" s="8" t="n">
        <v>2016</v>
      </c>
      <c r="K648" s="9" t="n">
        <v>37956</v>
      </c>
      <c r="L648" s="10" t="n">
        <v>448000</v>
      </c>
      <c r="M648" s="10" t="n">
        <v>3389.83</v>
      </c>
      <c r="N648" s="11">
        <f>IF(M648="","",ROUND(M648*1.18,2))</f>
        <v/>
      </c>
      <c r="O648" s="12">
        <f>IF(M648="","",ROUND(N648-M648,2))</f>
        <v/>
      </c>
      <c r="P648" s="13">
        <f>IF(AND(A648&lt;&gt;"",B648&lt;&gt;""), A648&amp;" · "&amp;B648, "")</f>
        <v/>
      </c>
    </row>
    <row r="649">
      <c r="A649" s="6" t="inlineStr">
        <is>
          <t>FY26</t>
        </is>
      </c>
      <c r="B649" s="6" t="inlineStr">
        <is>
          <t>Feb</t>
        </is>
      </c>
      <c r="C649" s="6" t="inlineStr">
        <is>
          <t>TN</t>
        </is>
      </c>
      <c r="D649" s="7" t="inlineStr">
        <is>
          <t>TN07CE9144</t>
        </is>
      </c>
      <c r="E649" s="7" t="inlineStr">
        <is>
          <t>HONDA</t>
        </is>
      </c>
      <c r="F649" s="7" t="inlineStr">
        <is>
          <t>Amaze</t>
        </is>
      </c>
      <c r="G649" s="7" t="inlineStr">
        <is>
          <t>EXCHANGE CHENNAI</t>
        </is>
      </c>
      <c r="H649" s="7" t="inlineStr">
        <is>
          <t>Captive</t>
        </is>
      </c>
      <c r="I649" s="7" t="inlineStr">
        <is>
          <t>Nirmal Cars</t>
        </is>
      </c>
      <c r="J649" s="8" t="n">
        <v>2016</v>
      </c>
      <c r="K649" s="9" t="n"/>
      <c r="L649" s="10" t="n">
        <v>325000</v>
      </c>
      <c r="M649" s="10" t="n">
        <v>8474.58</v>
      </c>
      <c r="N649" s="11">
        <f>IF(M649="","",ROUND(M649*1.18,2))</f>
        <v/>
      </c>
      <c r="O649" s="12">
        <f>IF(M649="","",ROUND(N649-M649,2))</f>
        <v/>
      </c>
      <c r="P649" s="13">
        <f>IF(AND(A649&lt;&gt;"",B649&lt;&gt;""), A649&amp;" · "&amp;B649, "")</f>
        <v/>
      </c>
    </row>
    <row r="650">
      <c r="A650" s="6" t="inlineStr">
        <is>
          <t>FY26</t>
        </is>
      </c>
      <c r="B650" s="6" t="inlineStr">
        <is>
          <t>Feb</t>
        </is>
      </c>
      <c r="C650" s="6" t="inlineStr">
        <is>
          <t>TN</t>
        </is>
      </c>
      <c r="D650" s="7" t="inlineStr">
        <is>
          <t>TN07CE9212</t>
        </is>
      </c>
      <c r="E650" s="7" t="inlineStr">
        <is>
          <t>MARUTI SUZUKI</t>
        </is>
      </c>
      <c r="F650" s="7" t="inlineStr">
        <is>
          <t>Ciaz</t>
        </is>
      </c>
      <c r="G650" s="7" t="inlineStr">
        <is>
          <t>EXCHANGE CHENNAI</t>
        </is>
      </c>
      <c r="H650" s="7" t="inlineStr">
        <is>
          <t>Captive</t>
        </is>
      </c>
      <c r="I650" s="7" t="inlineStr">
        <is>
          <t>Santhosh Cars</t>
        </is>
      </c>
      <c r="J650" s="8" t="n">
        <v>2016</v>
      </c>
      <c r="K650" s="9" t="n">
        <v>103845</v>
      </c>
      <c r="L650" s="10" t="n">
        <v>355000</v>
      </c>
      <c r="M650" s="10" t="n">
        <v>8474.58</v>
      </c>
      <c r="N650" s="11">
        <f>IF(M650="","",ROUND(M650*1.18,2))</f>
        <v/>
      </c>
      <c r="O650" s="12">
        <f>IF(M650="","",ROUND(N650-M650,2))</f>
        <v/>
      </c>
      <c r="P650" s="13">
        <f>IF(AND(A650&lt;&gt;"",B650&lt;&gt;""), A650&amp;" · "&amp;B650, "")</f>
        <v/>
      </c>
    </row>
    <row r="651">
      <c r="A651" s="6" t="inlineStr">
        <is>
          <t>FY26</t>
        </is>
      </c>
      <c r="B651" s="6" t="inlineStr">
        <is>
          <t>Feb</t>
        </is>
      </c>
      <c r="C651" s="6" t="inlineStr">
        <is>
          <t>TN</t>
        </is>
      </c>
      <c r="D651" s="7" t="inlineStr">
        <is>
          <t>TN07CF6710</t>
        </is>
      </c>
      <c r="E651" s="7" t="inlineStr">
        <is>
          <t>MARUTI SUZUKI</t>
        </is>
      </c>
      <c r="F651" s="7" t="inlineStr">
        <is>
          <t>Wagon R</t>
        </is>
      </c>
      <c r="G651" s="7" t="inlineStr">
        <is>
          <t>KALYANI MOTORS MARUTI</t>
        </is>
      </c>
      <c r="H651" s="7" t="inlineStr">
        <is>
          <t>Non-Captive</t>
        </is>
      </c>
      <c r="I651" s="7" t="inlineStr">
        <is>
          <t>Pine Autos</t>
        </is>
      </c>
      <c r="J651" s="8" t="n">
        <v>2016</v>
      </c>
      <c r="K651" s="9" t="n">
        <v>93657</v>
      </c>
      <c r="L651" s="10" t="n">
        <v>267000</v>
      </c>
      <c r="M651" s="10" t="n">
        <v>3389.83</v>
      </c>
      <c r="N651" s="11">
        <f>IF(M651="","",ROUND(M651*1.18,2))</f>
        <v/>
      </c>
      <c r="O651" s="12">
        <f>IF(M651="","",ROUND(N651-M651,2))</f>
        <v/>
      </c>
      <c r="P651" s="13">
        <f>IF(AND(A651&lt;&gt;"",B651&lt;&gt;""), A651&amp;" · "&amp;B651, "")</f>
        <v/>
      </c>
    </row>
    <row r="652">
      <c r="A652" s="6" t="inlineStr">
        <is>
          <t>FY26</t>
        </is>
      </c>
      <c r="B652" s="6" t="inlineStr">
        <is>
          <t>Feb</t>
        </is>
      </c>
      <c r="C652" s="6" t="inlineStr">
        <is>
          <t>TN</t>
        </is>
      </c>
      <c r="D652" s="7" t="inlineStr">
        <is>
          <t>TN07CH8093</t>
        </is>
      </c>
      <c r="E652" s="7" t="inlineStr">
        <is>
          <t>HYUNDAI</t>
        </is>
      </c>
      <c r="F652" s="7" t="inlineStr">
        <is>
          <t>Creta</t>
        </is>
      </c>
      <c r="G652" s="7" t="inlineStr">
        <is>
          <t>STEER AUTO TECHNOLOGIES PRIVATE LIMITED</t>
        </is>
      </c>
      <c r="H652" s="7" t="inlineStr">
        <is>
          <t>Non-Captive</t>
        </is>
      </c>
      <c r="I652" s="7" t="inlineStr">
        <is>
          <t>Rithika cars</t>
        </is>
      </c>
      <c r="J652" s="8" t="n">
        <v>2016</v>
      </c>
      <c r="K652" s="9" t="n">
        <v>97649</v>
      </c>
      <c r="L652" s="10" t="n">
        <v>500000</v>
      </c>
      <c r="M652" s="10" t="n">
        <v>3389.83</v>
      </c>
      <c r="N652" s="11">
        <f>IF(M652="","",ROUND(M652*1.18,2))</f>
        <v/>
      </c>
      <c r="O652" s="12">
        <f>IF(M652="","",ROUND(N652-M652,2))</f>
        <v/>
      </c>
      <c r="P652" s="13">
        <f>IF(AND(A652&lt;&gt;"",B652&lt;&gt;""), A652&amp;" · "&amp;B652, "")</f>
        <v/>
      </c>
    </row>
    <row r="653">
      <c r="A653" s="6" t="inlineStr">
        <is>
          <t>FY26</t>
        </is>
      </c>
      <c r="B653" s="6" t="inlineStr">
        <is>
          <t>Feb</t>
        </is>
      </c>
      <c r="C653" s="6" t="inlineStr">
        <is>
          <t>TN</t>
        </is>
      </c>
      <c r="D653" s="7" t="inlineStr">
        <is>
          <t>TN07CJ6063</t>
        </is>
      </c>
      <c r="E653" s="7" t="inlineStr">
        <is>
          <t>HONDA</t>
        </is>
      </c>
      <c r="F653" s="7" t="inlineStr">
        <is>
          <t>Jazz</t>
        </is>
      </c>
      <c r="G653" s="7" t="inlineStr">
        <is>
          <t>STEER AUTO TECHNOLOGIES PRIVATE LIMITED</t>
        </is>
      </c>
      <c r="H653" s="7" t="inlineStr">
        <is>
          <t>Non-Captive</t>
        </is>
      </c>
      <c r="I653" s="7" t="inlineStr">
        <is>
          <t>Rithika cars</t>
        </is>
      </c>
      <c r="J653" s="8" t="n">
        <v>2017</v>
      </c>
      <c r="K653" s="9" t="n">
        <v>51577</v>
      </c>
      <c r="L653" s="10" t="n">
        <v>420000</v>
      </c>
      <c r="M653" s="10" t="n">
        <v>4237.29</v>
      </c>
      <c r="N653" s="11">
        <f>IF(M653="","",ROUND(M653*1.18,2))</f>
        <v/>
      </c>
      <c r="O653" s="12">
        <f>IF(M653="","",ROUND(N653-M653,2))</f>
        <v/>
      </c>
      <c r="P653" s="13">
        <f>IF(AND(A653&lt;&gt;"",B653&lt;&gt;""), A653&amp;" · "&amp;B653, "")</f>
        <v/>
      </c>
    </row>
    <row r="654">
      <c r="A654" s="6" t="inlineStr">
        <is>
          <t>FY26</t>
        </is>
      </c>
      <c r="B654" s="6" t="inlineStr">
        <is>
          <t>Feb</t>
        </is>
      </c>
      <c r="C654" s="6" t="inlineStr">
        <is>
          <t>TN</t>
        </is>
      </c>
      <c r="D654" s="7" t="inlineStr">
        <is>
          <t>TN07CK9274</t>
        </is>
      </c>
      <c r="E654" s="7" t="inlineStr">
        <is>
          <t>VOLKSWAGEN</t>
        </is>
      </c>
      <c r="F654" s="7" t="inlineStr">
        <is>
          <t>Polo</t>
        </is>
      </c>
      <c r="G654" s="7" t="inlineStr">
        <is>
          <t>STEER AUTO TECHNOLOGIES PRIVATE LIMITED</t>
        </is>
      </c>
      <c r="H654" s="7" t="inlineStr">
        <is>
          <t>Non-Captive</t>
        </is>
      </c>
      <c r="I654" s="7" t="inlineStr">
        <is>
          <t>Rithika cars</t>
        </is>
      </c>
      <c r="J654" s="8" t="n">
        <v>2017</v>
      </c>
      <c r="K654" s="9" t="n">
        <v>80924</v>
      </c>
      <c r="L654" s="10" t="n">
        <v>605000</v>
      </c>
      <c r="M654" s="10" t="n">
        <v>3389.83</v>
      </c>
      <c r="N654" s="11">
        <f>IF(M654="","",ROUND(M654*1.18,2))</f>
        <v/>
      </c>
      <c r="O654" s="12">
        <f>IF(M654="","",ROUND(N654-M654,2))</f>
        <v/>
      </c>
      <c r="P654" s="13">
        <f>IF(AND(A654&lt;&gt;"",B654&lt;&gt;""), A654&amp;" · "&amp;B654, "")</f>
        <v/>
      </c>
    </row>
    <row r="655">
      <c r="A655" s="6" t="inlineStr">
        <is>
          <t>FY26</t>
        </is>
      </c>
      <c r="B655" s="6" t="inlineStr">
        <is>
          <t>Feb</t>
        </is>
      </c>
      <c r="C655" s="6" t="inlineStr">
        <is>
          <t>TN</t>
        </is>
      </c>
      <c r="D655" s="7" t="inlineStr">
        <is>
          <t>TN07CL8299</t>
        </is>
      </c>
      <c r="E655" s="7" t="inlineStr">
        <is>
          <t>MARUTI SUZUKI</t>
        </is>
      </c>
      <c r="F655" s="7" t="inlineStr">
        <is>
          <t>Alto K10</t>
        </is>
      </c>
      <c r="G655" s="7" t="inlineStr">
        <is>
          <t>KHIVRAJ MOTOR</t>
        </is>
      </c>
      <c r="H655" s="7" t="inlineStr">
        <is>
          <t>Non-Captive</t>
        </is>
      </c>
      <c r="I655" s="7" t="inlineStr">
        <is>
          <t>Sun Cars</t>
        </is>
      </c>
      <c r="J655" s="8" t="n">
        <v>2017</v>
      </c>
      <c r="K655" s="9" t="n"/>
      <c r="L655" s="10" t="n">
        <v>198000</v>
      </c>
      <c r="M655" s="10" t="n">
        <v>3000</v>
      </c>
      <c r="N655" s="11">
        <f>IF(M655="","",ROUND(M655*1.18,2))</f>
        <v/>
      </c>
      <c r="O655" s="12">
        <f>IF(M655="","",ROUND(N655-M655,2))</f>
        <v/>
      </c>
      <c r="P655" s="13">
        <f>IF(AND(A655&lt;&gt;"",B655&lt;&gt;""), A655&amp;" · "&amp;B655, "")</f>
        <v/>
      </c>
    </row>
    <row r="656">
      <c r="A656" s="6" t="inlineStr">
        <is>
          <t>FY26</t>
        </is>
      </c>
      <c r="B656" s="6" t="inlineStr">
        <is>
          <t>Feb</t>
        </is>
      </c>
      <c r="C656" s="6" t="inlineStr">
        <is>
          <t>TN</t>
        </is>
      </c>
      <c r="D656" s="7" t="inlineStr">
        <is>
          <t>TN07CM6240</t>
        </is>
      </c>
      <c r="E656" s="7" t="inlineStr">
        <is>
          <t>MARUTI SUZUKI</t>
        </is>
      </c>
      <c r="F656" s="7" t="inlineStr">
        <is>
          <t>Dzire</t>
        </is>
      </c>
      <c r="G656" s="7" t="inlineStr">
        <is>
          <t>STEER AUTO TECHNOLOGIES PRIVATE LIMITED</t>
        </is>
      </c>
      <c r="H656" s="7" t="inlineStr">
        <is>
          <t>Non-Captive</t>
        </is>
      </c>
      <c r="I656" s="7" t="inlineStr">
        <is>
          <t>Rithika cars</t>
        </is>
      </c>
      <c r="J656" s="8" t="n">
        <v>2018</v>
      </c>
      <c r="K656" s="9" t="n">
        <v>69661</v>
      </c>
      <c r="L656" s="10" t="n">
        <v>545000</v>
      </c>
      <c r="M656" s="10" t="n">
        <v>3389.83</v>
      </c>
      <c r="N656" s="11">
        <f>IF(M656="","",ROUND(M656*1.18,2))</f>
        <v/>
      </c>
      <c r="O656" s="12">
        <f>IF(M656="","",ROUND(N656-M656,2))</f>
        <v/>
      </c>
      <c r="P656" s="13">
        <f>IF(AND(A656&lt;&gt;"",B656&lt;&gt;""), A656&amp;" · "&amp;B656, "")</f>
        <v/>
      </c>
    </row>
    <row r="657">
      <c r="A657" s="6" t="inlineStr">
        <is>
          <t>FY26</t>
        </is>
      </c>
      <c r="B657" s="6" t="inlineStr">
        <is>
          <t>Feb</t>
        </is>
      </c>
      <c r="C657" s="6" t="inlineStr">
        <is>
          <t>TN</t>
        </is>
      </c>
      <c r="D657" s="7" t="inlineStr">
        <is>
          <t>TN07CT0619</t>
        </is>
      </c>
      <c r="E657" s="7" t="inlineStr">
        <is>
          <t>SKODA</t>
        </is>
      </c>
      <c r="F657" s="7" t="inlineStr">
        <is>
          <t>Rapid</t>
        </is>
      </c>
      <c r="G657" s="7" t="inlineStr">
        <is>
          <t>EXCHANGE CHENNAI</t>
        </is>
      </c>
      <c r="H657" s="7" t="inlineStr">
        <is>
          <t>Captive</t>
        </is>
      </c>
      <c r="I657" s="7" t="inlineStr">
        <is>
          <t>Ragupathy Cars</t>
        </is>
      </c>
      <c r="J657" s="8" t="n">
        <v>2019</v>
      </c>
      <c r="K657" s="9" t="n">
        <v>80000</v>
      </c>
      <c r="L657" s="10" t="n">
        <v>440000</v>
      </c>
      <c r="M657" s="10" t="n">
        <v>8474.58</v>
      </c>
      <c r="N657" s="11">
        <f>IF(M657="","",ROUND(M657*1.18,2))</f>
        <v/>
      </c>
      <c r="O657" s="12">
        <f>IF(M657="","",ROUND(N657-M657,2))</f>
        <v/>
      </c>
      <c r="P657" s="13">
        <f>IF(AND(A657&lt;&gt;"",B657&lt;&gt;""), A657&amp;" · "&amp;B657, "")</f>
        <v/>
      </c>
    </row>
    <row r="658">
      <c r="A658" s="6" t="inlineStr">
        <is>
          <t>FY26</t>
        </is>
      </c>
      <c r="B658" s="6" t="inlineStr">
        <is>
          <t>Feb</t>
        </is>
      </c>
      <c r="C658" s="6" t="inlineStr">
        <is>
          <t>TN</t>
        </is>
      </c>
      <c r="D658" s="7" t="inlineStr">
        <is>
          <t>TN07CT3064</t>
        </is>
      </c>
      <c r="E658" s="7" t="inlineStr">
        <is>
          <t>HYUNDAI</t>
        </is>
      </c>
      <c r="F658" s="7" t="inlineStr">
        <is>
          <t>Venue</t>
        </is>
      </c>
      <c r="G658" s="7" t="inlineStr">
        <is>
          <t>STEER AUTO TECHNOLOGIES PRIVATE LIMITED</t>
        </is>
      </c>
      <c r="H658" s="7" t="inlineStr">
        <is>
          <t>Non-Captive</t>
        </is>
      </c>
      <c r="I658" s="7" t="inlineStr">
        <is>
          <t>Rithika cars</t>
        </is>
      </c>
      <c r="J658" s="8" t="n">
        <v>2019</v>
      </c>
      <c r="K658" s="9" t="n">
        <v>49084</v>
      </c>
      <c r="L658" s="10" t="n">
        <v>825000</v>
      </c>
      <c r="M658" s="10" t="n">
        <v>3389.83</v>
      </c>
      <c r="N658" s="11">
        <f>IF(M658="","",ROUND(M658*1.18,2))</f>
        <v/>
      </c>
      <c r="O658" s="12">
        <f>IF(M658="","",ROUND(N658-M658,2))</f>
        <v/>
      </c>
      <c r="P658" s="13">
        <f>IF(AND(A658&lt;&gt;"",B658&lt;&gt;""), A658&amp;" · "&amp;B658, "")</f>
        <v/>
      </c>
    </row>
    <row r="659">
      <c r="A659" s="6" t="inlineStr">
        <is>
          <t>FY26</t>
        </is>
      </c>
      <c r="B659" s="6" t="inlineStr">
        <is>
          <t>Feb</t>
        </is>
      </c>
      <c r="C659" s="6" t="inlineStr">
        <is>
          <t>TN</t>
        </is>
      </c>
      <c r="D659" s="7" t="inlineStr">
        <is>
          <t>TN07CU9451</t>
        </is>
      </c>
      <c r="E659" s="7" t="inlineStr">
        <is>
          <t>MARUTI SUZUKI</t>
        </is>
      </c>
      <c r="F659" s="7" t="inlineStr">
        <is>
          <t>Dzire</t>
        </is>
      </c>
      <c r="G659" s="7" t="inlineStr">
        <is>
          <t>KHIVRAJ MOTOR</t>
        </is>
      </c>
      <c r="H659" s="7" t="inlineStr">
        <is>
          <t>Non-Captive</t>
        </is>
      </c>
      <c r="I659" s="7" t="inlineStr">
        <is>
          <t>Value Drive Tecnologies</t>
        </is>
      </c>
      <c r="J659" s="8" t="n">
        <v>2020</v>
      </c>
      <c r="K659" s="9" t="n">
        <v>38370</v>
      </c>
      <c r="L659" s="10" t="n">
        <v>500000</v>
      </c>
      <c r="M659" s="10" t="n">
        <v>4237.29</v>
      </c>
      <c r="N659" s="11">
        <f>IF(M659="","",ROUND(M659*1.18,2))</f>
        <v/>
      </c>
      <c r="O659" s="12">
        <f>IF(M659="","",ROUND(N659-M659,2))</f>
        <v/>
      </c>
      <c r="P659" s="13">
        <f>IF(AND(A659&lt;&gt;"",B659&lt;&gt;""), A659&amp;" · "&amp;B659, "")</f>
        <v/>
      </c>
    </row>
    <row r="660">
      <c r="A660" s="6" t="inlineStr">
        <is>
          <t>FY26</t>
        </is>
      </c>
      <c r="B660" s="6" t="inlineStr">
        <is>
          <t>Feb</t>
        </is>
      </c>
      <c r="C660" s="6" t="inlineStr">
        <is>
          <t>TN</t>
        </is>
      </c>
      <c r="D660" s="7" t="inlineStr">
        <is>
          <t>TN07CV7191</t>
        </is>
      </c>
      <c r="E660" s="7" t="inlineStr">
        <is>
          <t>VOLKSWAGEN</t>
        </is>
      </c>
      <c r="F660" s="7" t="inlineStr">
        <is>
          <t>Polo</t>
        </is>
      </c>
      <c r="G660" s="7" t="inlineStr">
        <is>
          <t>EXCHANGE CHENNAI</t>
        </is>
      </c>
      <c r="H660" s="7" t="inlineStr">
        <is>
          <t>Captive</t>
        </is>
      </c>
      <c r="I660" s="7" t="inlineStr">
        <is>
          <t>Nirmal Cars</t>
        </is>
      </c>
      <c r="J660" s="8" t="n">
        <v>2020</v>
      </c>
      <c r="K660" s="9" t="n">
        <v>35944</v>
      </c>
      <c r="L660" s="10" t="n">
        <v>425000</v>
      </c>
      <c r="M660" s="10" t="n">
        <v>8474.58</v>
      </c>
      <c r="N660" s="11">
        <f>IF(M660="","",ROUND(M660*1.18,2))</f>
        <v/>
      </c>
      <c r="O660" s="12">
        <f>IF(M660="","",ROUND(N660-M660,2))</f>
        <v/>
      </c>
      <c r="P660" s="13">
        <f>IF(AND(A660&lt;&gt;"",B660&lt;&gt;""), A660&amp;" · "&amp;B660, "")</f>
        <v/>
      </c>
    </row>
    <row r="661">
      <c r="A661" s="6" t="inlineStr">
        <is>
          <t>FY26</t>
        </is>
      </c>
      <c r="B661" s="6" t="inlineStr">
        <is>
          <t>Feb</t>
        </is>
      </c>
      <c r="C661" s="6" t="inlineStr">
        <is>
          <t>TN</t>
        </is>
      </c>
      <c r="D661" s="7" t="inlineStr">
        <is>
          <t>TN09AK6084</t>
        </is>
      </c>
      <c r="E661" s="7" t="inlineStr">
        <is>
          <t>MARUTI SUZUKI</t>
        </is>
      </c>
      <c r="F661" s="7" t="inlineStr">
        <is>
          <t>Omni</t>
        </is>
      </c>
      <c r="G661" s="7" t="inlineStr">
        <is>
          <t>STEER AUTO TECHNOLOGIES PRIVATE LIMITED</t>
        </is>
      </c>
      <c r="H661" s="7" t="inlineStr">
        <is>
          <t>Non-Captive</t>
        </is>
      </c>
      <c r="I661" s="7" t="inlineStr">
        <is>
          <t>Grid 33</t>
        </is>
      </c>
      <c r="J661" s="8" t="n">
        <v>2005</v>
      </c>
      <c r="K661" s="9" t="n">
        <v>87529</v>
      </c>
      <c r="L661" s="10" t="n">
        <v>70000</v>
      </c>
      <c r="M661" s="10" t="n">
        <v>3389.83</v>
      </c>
      <c r="N661" s="11">
        <f>IF(M661="","",ROUND(M661*1.18,2))</f>
        <v/>
      </c>
      <c r="O661" s="12">
        <f>IF(M661="","",ROUND(N661-M661,2))</f>
        <v/>
      </c>
      <c r="P661" s="13">
        <f>IF(AND(A661&lt;&gt;"",B661&lt;&gt;""), A661&amp;" · "&amp;B661, "")</f>
        <v/>
      </c>
    </row>
    <row r="662">
      <c r="A662" s="6" t="inlineStr">
        <is>
          <t>FY26</t>
        </is>
      </c>
      <c r="B662" s="6" t="inlineStr">
        <is>
          <t>Feb</t>
        </is>
      </c>
      <c r="C662" s="6" t="inlineStr">
        <is>
          <t>TN</t>
        </is>
      </c>
      <c r="D662" s="7" t="inlineStr">
        <is>
          <t>TN09AP6626</t>
        </is>
      </c>
      <c r="E662" s="7" t="inlineStr">
        <is>
          <t>FORD</t>
        </is>
      </c>
      <c r="F662" s="7" t="inlineStr">
        <is>
          <t>Fiesta</t>
        </is>
      </c>
      <c r="G662" s="7" t="inlineStr">
        <is>
          <t>KHIVRAJ MOTOR</t>
        </is>
      </c>
      <c r="H662" s="7" t="inlineStr">
        <is>
          <t>Non-Captive</t>
        </is>
      </c>
      <c r="I662" s="7" t="inlineStr">
        <is>
          <t>Pine Autos</t>
        </is>
      </c>
      <c r="J662" s="8" t="n">
        <v>2006</v>
      </c>
      <c r="K662" s="9" t="n">
        <v>99999</v>
      </c>
      <c r="L662" s="10" t="n">
        <v>35000</v>
      </c>
      <c r="M662" s="10" t="n">
        <v>4237.29</v>
      </c>
      <c r="N662" s="11">
        <f>IF(M662="","",ROUND(M662*1.18,2))</f>
        <v/>
      </c>
      <c r="O662" s="12">
        <f>IF(M662="","",ROUND(N662-M662,2))</f>
        <v/>
      </c>
      <c r="P662" s="13">
        <f>IF(AND(A662&lt;&gt;"",B662&lt;&gt;""), A662&amp;" · "&amp;B662, "")</f>
        <v/>
      </c>
    </row>
    <row r="663">
      <c r="A663" s="6" t="inlineStr">
        <is>
          <t>FY26</t>
        </is>
      </c>
      <c r="B663" s="6" t="inlineStr">
        <is>
          <t>Feb</t>
        </is>
      </c>
      <c r="C663" s="6" t="inlineStr">
        <is>
          <t>TN</t>
        </is>
      </c>
      <c r="D663" s="7" t="inlineStr">
        <is>
          <t>TN09AP6626</t>
        </is>
      </c>
      <c r="E663" s="7" t="inlineStr">
        <is>
          <t>FORD</t>
        </is>
      </c>
      <c r="F663" s="7" t="inlineStr">
        <is>
          <t>Fiesta</t>
        </is>
      </c>
      <c r="G663" s="7" t="inlineStr">
        <is>
          <t>KHIVRAJ MOTOR</t>
        </is>
      </c>
      <c r="H663" s="7" t="inlineStr">
        <is>
          <t>Non-Captive</t>
        </is>
      </c>
      <c r="I663" s="7" t="inlineStr">
        <is>
          <t>Pine Autos</t>
        </is>
      </c>
      <c r="J663" s="8" t="n">
        <v>2006</v>
      </c>
      <c r="K663" s="9" t="n">
        <v>99999</v>
      </c>
      <c r="L663" s="10" t="n">
        <v>55000</v>
      </c>
      <c r="M663" s="10" t="n">
        <v>5084.75</v>
      </c>
      <c r="N663" s="11">
        <f>IF(M663="","",ROUND(M663*1.18,2))</f>
        <v/>
      </c>
      <c r="O663" s="12">
        <f>IF(M663="","",ROUND(N663-M663,2))</f>
        <v/>
      </c>
      <c r="P663" s="13">
        <f>IF(AND(A663&lt;&gt;"",B663&lt;&gt;""), A663&amp;" · "&amp;B663, "")</f>
        <v/>
      </c>
    </row>
    <row r="664">
      <c r="A664" s="6" t="inlineStr">
        <is>
          <t>FY26</t>
        </is>
      </c>
      <c r="B664" s="6" t="inlineStr">
        <is>
          <t>Feb</t>
        </is>
      </c>
      <c r="C664" s="6" t="inlineStr">
        <is>
          <t>TN</t>
        </is>
      </c>
      <c r="D664" s="7" t="inlineStr">
        <is>
          <t>TN09BE5781</t>
        </is>
      </c>
      <c r="E664" s="7" t="inlineStr">
        <is>
          <t>HONDA</t>
        </is>
      </c>
      <c r="F664" s="7" t="inlineStr">
        <is>
          <t>Jazz</t>
        </is>
      </c>
      <c r="G664" s="7" t="inlineStr">
        <is>
          <t>STEER AUTO TECHNOLOGIES PRIVATE LIMITED</t>
        </is>
      </c>
      <c r="H664" s="7" t="inlineStr">
        <is>
          <t>Non-Captive</t>
        </is>
      </c>
      <c r="I664" s="7" t="inlineStr">
        <is>
          <t>Grid 33</t>
        </is>
      </c>
      <c r="J664" s="8" t="n">
        <v>2010</v>
      </c>
      <c r="K664" s="9" t="n">
        <v>40984</v>
      </c>
      <c r="L664" s="10" t="n">
        <v>160000</v>
      </c>
      <c r="M664" s="10" t="n">
        <v>3389.83</v>
      </c>
      <c r="N664" s="11">
        <f>IF(M664="","",ROUND(M664*1.18,2))</f>
        <v/>
      </c>
      <c r="O664" s="12">
        <f>IF(M664="","",ROUND(N664-M664,2))</f>
        <v/>
      </c>
      <c r="P664" s="13">
        <f>IF(AND(A664&lt;&gt;"",B664&lt;&gt;""), A664&amp;" · "&amp;B664, "")</f>
        <v/>
      </c>
    </row>
    <row r="665">
      <c r="A665" s="6" t="inlineStr">
        <is>
          <t>FY26</t>
        </is>
      </c>
      <c r="B665" s="6" t="inlineStr">
        <is>
          <t>Feb</t>
        </is>
      </c>
      <c r="C665" s="6" t="inlineStr">
        <is>
          <t>TN</t>
        </is>
      </c>
      <c r="D665" s="7" t="inlineStr">
        <is>
          <t>TN09BQ5031</t>
        </is>
      </c>
      <c r="E665" s="7" t="inlineStr">
        <is>
          <t>HYUNDAI</t>
        </is>
      </c>
      <c r="F665" s="7" t="inlineStr">
        <is>
          <t>Verna</t>
        </is>
      </c>
      <c r="G665" s="7" t="inlineStr">
        <is>
          <t>KHIVRAJ MOTOR</t>
        </is>
      </c>
      <c r="H665" s="7" t="inlineStr">
        <is>
          <t>Non-Captive</t>
        </is>
      </c>
      <c r="I665" s="7" t="inlineStr">
        <is>
          <t>Nirmal Cars</t>
        </is>
      </c>
      <c r="J665" s="8" t="n">
        <v>2012</v>
      </c>
      <c r="K665" s="9" t="n">
        <v>47594</v>
      </c>
      <c r="L665" s="10" t="n">
        <v>270000</v>
      </c>
      <c r="M665" s="10" t="n">
        <v>4237.29</v>
      </c>
      <c r="N665" s="11">
        <f>IF(M665="","",ROUND(M665*1.18,2))</f>
        <v/>
      </c>
      <c r="O665" s="12">
        <f>IF(M665="","",ROUND(N665-M665,2))</f>
        <v/>
      </c>
      <c r="P665" s="13">
        <f>IF(AND(A665&lt;&gt;"",B665&lt;&gt;""), A665&amp;" · "&amp;B665, "")</f>
        <v/>
      </c>
    </row>
    <row r="666">
      <c r="A666" s="6" t="inlineStr">
        <is>
          <t>FY26</t>
        </is>
      </c>
      <c r="B666" s="6" t="inlineStr">
        <is>
          <t>Feb</t>
        </is>
      </c>
      <c r="C666" s="6" t="inlineStr">
        <is>
          <t>TN</t>
        </is>
      </c>
      <c r="D666" s="7" t="inlineStr">
        <is>
          <t>TN09CB7858</t>
        </is>
      </c>
      <c r="E666" s="7" t="inlineStr">
        <is>
          <t>MARUTI SUZUKI</t>
        </is>
      </c>
      <c r="F666" s="7" t="inlineStr">
        <is>
          <t>Ciaz</t>
        </is>
      </c>
      <c r="G666" s="7" t="inlineStr">
        <is>
          <t>STEER AUTO TECHNOLOGIES PRIVATE LIMITED</t>
        </is>
      </c>
      <c r="H666" s="7" t="inlineStr">
        <is>
          <t>Non-Captive</t>
        </is>
      </c>
      <c r="I666" s="7" t="inlineStr">
        <is>
          <t>Rithika cars</t>
        </is>
      </c>
      <c r="J666" s="8" t="n">
        <v>2015</v>
      </c>
      <c r="K666" s="9" t="n">
        <v>102741</v>
      </c>
      <c r="L666" s="10" t="n">
        <v>505000</v>
      </c>
      <c r="M666" s="10" t="n">
        <v>3389.83</v>
      </c>
      <c r="N666" s="11">
        <f>IF(M666="","",ROUND(M666*1.18,2))</f>
        <v/>
      </c>
      <c r="O666" s="12">
        <f>IF(M666="","",ROUND(N666-M666,2))</f>
        <v/>
      </c>
      <c r="P666" s="13">
        <f>IF(AND(A666&lt;&gt;"",B666&lt;&gt;""), A666&amp;" · "&amp;B666, "")</f>
        <v/>
      </c>
    </row>
    <row r="667">
      <c r="A667" s="6" t="inlineStr">
        <is>
          <t>FY26</t>
        </is>
      </c>
      <c r="B667" s="6" t="inlineStr">
        <is>
          <t>Feb</t>
        </is>
      </c>
      <c r="C667" s="6" t="inlineStr">
        <is>
          <t>TN</t>
        </is>
      </c>
      <c r="D667" s="7" t="inlineStr">
        <is>
          <t>TN09CC8024</t>
        </is>
      </c>
      <c r="E667" s="7" t="inlineStr">
        <is>
          <t>MARUTI SUZUKI</t>
        </is>
      </c>
      <c r="F667" s="7" t="inlineStr">
        <is>
          <t>Wagon R</t>
        </is>
      </c>
      <c r="G667" s="7" t="inlineStr">
        <is>
          <t>KHIVRAJ MOTOR</t>
        </is>
      </c>
      <c r="H667" s="7" t="inlineStr">
        <is>
          <t>Non-Captive</t>
        </is>
      </c>
      <c r="I667" s="7" t="inlineStr">
        <is>
          <t>Murthy Cars</t>
        </is>
      </c>
      <c r="J667" s="8" t="n">
        <v>2016</v>
      </c>
      <c r="K667" s="9" t="n">
        <v>72679</v>
      </c>
      <c r="L667" s="10" t="n">
        <v>245000</v>
      </c>
      <c r="M667" s="10" t="n">
        <v>5084.75</v>
      </c>
      <c r="N667" s="11">
        <f>IF(M667="","",ROUND(M667*1.18,2))</f>
        <v/>
      </c>
      <c r="O667" s="12">
        <f>IF(M667="","",ROUND(N667-M667,2))</f>
        <v/>
      </c>
      <c r="P667" s="13">
        <f>IF(AND(A667&lt;&gt;"",B667&lt;&gt;""), A667&amp;" · "&amp;B667, "")</f>
        <v/>
      </c>
    </row>
    <row r="668">
      <c r="A668" s="6" t="inlineStr">
        <is>
          <t>FY26</t>
        </is>
      </c>
      <c r="B668" s="6" t="inlineStr">
        <is>
          <t>Feb</t>
        </is>
      </c>
      <c r="C668" s="6" t="inlineStr">
        <is>
          <t>TN</t>
        </is>
      </c>
      <c r="D668" s="7" t="inlineStr">
        <is>
          <t>TN09CH0661</t>
        </is>
      </c>
      <c r="E668" s="7" t="inlineStr">
        <is>
          <t>MARUTI SUZUKI</t>
        </is>
      </c>
      <c r="F668" s="7" t="inlineStr">
        <is>
          <t>Wagon R</t>
        </is>
      </c>
      <c r="G668" s="7" t="inlineStr">
        <is>
          <t>NIRMAL</t>
        </is>
      </c>
      <c r="H668" s="7" t="inlineStr">
        <is>
          <t>Non-Captive</t>
        </is>
      </c>
      <c r="I668" s="7" t="inlineStr">
        <is>
          <t>Value Drive Tecnologies</t>
        </is>
      </c>
      <c r="J668" s="8" t="n">
        <v>2016</v>
      </c>
      <c r="K668" s="9" t="n">
        <v>50009</v>
      </c>
      <c r="L668" s="10" t="n">
        <v>607500</v>
      </c>
      <c r="M668" s="10" t="n">
        <v>6355.93</v>
      </c>
      <c r="N668" s="11">
        <f>IF(M668="","",ROUND(M668*1.18,2))</f>
        <v/>
      </c>
      <c r="O668" s="12">
        <f>IF(M668="","",ROUND(N668-M668,2))</f>
        <v/>
      </c>
      <c r="P668" s="13">
        <f>IF(AND(A668&lt;&gt;"",B668&lt;&gt;""), A668&amp;" · "&amp;B668, "")</f>
        <v/>
      </c>
    </row>
    <row r="669">
      <c r="A669" s="6" t="inlineStr">
        <is>
          <t>FY26</t>
        </is>
      </c>
      <c r="B669" s="6" t="inlineStr">
        <is>
          <t>Feb</t>
        </is>
      </c>
      <c r="C669" s="6" t="inlineStr">
        <is>
          <t>TN</t>
        </is>
      </c>
      <c r="D669" s="7" t="inlineStr">
        <is>
          <t>TN09CH1362</t>
        </is>
      </c>
      <c r="E669" s="7" t="inlineStr">
        <is>
          <t>VOLKSWAGEN</t>
        </is>
      </c>
      <c r="F669" s="7" t="inlineStr">
        <is>
          <t>Vento</t>
        </is>
      </c>
      <c r="G669" s="7" t="inlineStr">
        <is>
          <t>STEER AUTO TECHNOLOGIES PRIVATE LIMITED</t>
        </is>
      </c>
      <c r="H669" s="7" t="inlineStr">
        <is>
          <t>Non-Captive</t>
        </is>
      </c>
      <c r="I669" s="7" t="inlineStr">
        <is>
          <t>Rithika cars</t>
        </is>
      </c>
      <c r="J669" s="8" t="n">
        <v>2016</v>
      </c>
      <c r="K669" s="9" t="n">
        <v>51953</v>
      </c>
      <c r="L669" s="10" t="n">
        <v>520000</v>
      </c>
      <c r="M669" s="10" t="n">
        <v>3389.83</v>
      </c>
      <c r="N669" s="11">
        <f>IF(M669="","",ROUND(M669*1.18,2))</f>
        <v/>
      </c>
      <c r="O669" s="12">
        <f>IF(M669="","",ROUND(N669-M669,2))</f>
        <v/>
      </c>
      <c r="P669" s="13">
        <f>IF(AND(A669&lt;&gt;"",B669&lt;&gt;""), A669&amp;" · "&amp;B669, "")</f>
        <v/>
      </c>
    </row>
    <row r="670">
      <c r="A670" s="6" t="inlineStr">
        <is>
          <t>FY26</t>
        </is>
      </c>
      <c r="B670" s="6" t="inlineStr">
        <is>
          <t>Feb</t>
        </is>
      </c>
      <c r="C670" s="6" t="inlineStr">
        <is>
          <t>TN</t>
        </is>
      </c>
      <c r="D670" s="7" t="inlineStr">
        <is>
          <t>TN09CL4393</t>
        </is>
      </c>
      <c r="E670" s="7" t="inlineStr">
        <is>
          <t>MARUTI SUZUKI</t>
        </is>
      </c>
      <c r="F670" s="7" t="inlineStr">
        <is>
          <t>Alto</t>
        </is>
      </c>
      <c r="G670" s="7" t="inlineStr">
        <is>
          <t>STEER AUTO TECHNOLOGIES PRIVATE LIMITED</t>
        </is>
      </c>
      <c r="H670" s="7" t="inlineStr">
        <is>
          <t>Non-Captive</t>
        </is>
      </c>
      <c r="I670" s="7" t="inlineStr">
        <is>
          <t>Rithika cars</t>
        </is>
      </c>
      <c r="J670" s="8" t="n">
        <v>2017</v>
      </c>
      <c r="K670" s="9" t="n">
        <v>46966</v>
      </c>
      <c r="L670" s="10" t="n">
        <v>225000</v>
      </c>
      <c r="M670" s="10" t="n">
        <v>4237.29</v>
      </c>
      <c r="N670" s="11">
        <f>IF(M670="","",ROUND(M670*1.18,2))</f>
        <v/>
      </c>
      <c r="O670" s="12">
        <f>IF(M670="","",ROUND(N670-M670,2))</f>
        <v/>
      </c>
      <c r="P670" s="13">
        <f>IF(AND(A670&lt;&gt;"",B670&lt;&gt;""), A670&amp;" · "&amp;B670, "")</f>
        <v/>
      </c>
    </row>
    <row r="671">
      <c r="A671" s="6" t="inlineStr">
        <is>
          <t>FY26</t>
        </is>
      </c>
      <c r="B671" s="6" t="inlineStr">
        <is>
          <t>Feb</t>
        </is>
      </c>
      <c r="C671" s="6" t="inlineStr">
        <is>
          <t>TN</t>
        </is>
      </c>
      <c r="D671" s="7" t="inlineStr">
        <is>
          <t>TN09CP0201</t>
        </is>
      </c>
      <c r="E671" s="7" t="inlineStr">
        <is>
          <t>HYUNDAI</t>
        </is>
      </c>
      <c r="F671" s="7" t="inlineStr">
        <is>
          <t>i20</t>
        </is>
      </c>
      <c r="G671" s="7" t="inlineStr">
        <is>
          <t>EXCHANGE ROTN</t>
        </is>
      </c>
      <c r="H671" s="7" t="inlineStr">
        <is>
          <t>Captive</t>
        </is>
      </c>
      <c r="I671" s="7" t="inlineStr">
        <is>
          <t>Rajaganapathy Cars</t>
        </is>
      </c>
      <c r="J671" s="8" t="n">
        <v>2019</v>
      </c>
      <c r="K671" s="9" t="n">
        <v>67553</v>
      </c>
      <c r="L671" s="10" t="n">
        <v>255000</v>
      </c>
      <c r="M671" s="10" t="n">
        <v>8474.58</v>
      </c>
      <c r="N671" s="11">
        <f>IF(M671="","",ROUND(M671*1.18,2))</f>
        <v/>
      </c>
      <c r="O671" s="12">
        <f>IF(M671="","",ROUND(N671-M671,2))</f>
        <v/>
      </c>
      <c r="P671" s="13">
        <f>IF(AND(A671&lt;&gt;"",B671&lt;&gt;""), A671&amp;" · "&amp;B671, "")</f>
        <v/>
      </c>
    </row>
    <row r="672">
      <c r="A672" s="6" t="inlineStr">
        <is>
          <t>FY26</t>
        </is>
      </c>
      <c r="B672" s="6" t="inlineStr">
        <is>
          <t>Feb</t>
        </is>
      </c>
      <c r="C672" s="6" t="inlineStr">
        <is>
          <t>TN</t>
        </is>
      </c>
      <c r="D672" s="7" t="inlineStr">
        <is>
          <t>TN09CP8704</t>
        </is>
      </c>
      <c r="E672" s="7" t="inlineStr">
        <is>
          <t>MARUTI SUZUKI</t>
        </is>
      </c>
      <c r="F672" s="7" t="inlineStr">
        <is>
          <t>Swift</t>
        </is>
      </c>
      <c r="G672" s="7" t="inlineStr">
        <is>
          <t>KHIVRAJ MOTOR</t>
        </is>
      </c>
      <c r="H672" s="7" t="inlineStr">
        <is>
          <t>Non-Captive</t>
        </is>
      </c>
      <c r="I672" s="7" t="inlineStr">
        <is>
          <t>Value Drive Tecnologies</t>
        </is>
      </c>
      <c r="J672" s="8" t="n">
        <v>2018</v>
      </c>
      <c r="K672" s="9" t="n">
        <v>11838</v>
      </c>
      <c r="L672" s="10" t="n">
        <v>475000</v>
      </c>
      <c r="M672" s="10" t="n">
        <v>5084.75</v>
      </c>
      <c r="N672" s="11">
        <f>IF(M672="","",ROUND(M672*1.18,2))</f>
        <v/>
      </c>
      <c r="O672" s="12">
        <f>IF(M672="","",ROUND(N672-M672,2))</f>
        <v/>
      </c>
      <c r="P672" s="13">
        <f>IF(AND(A672&lt;&gt;"",B672&lt;&gt;""), A672&amp;" · "&amp;B672, "")</f>
        <v/>
      </c>
    </row>
    <row r="673">
      <c r="A673" s="6" t="inlineStr">
        <is>
          <t>FY26</t>
        </is>
      </c>
      <c r="B673" s="6" t="inlineStr">
        <is>
          <t>Feb</t>
        </is>
      </c>
      <c r="C673" s="6" t="inlineStr">
        <is>
          <t>TN</t>
        </is>
      </c>
      <c r="D673" s="7" t="inlineStr">
        <is>
          <t>TN09CS0020</t>
        </is>
      </c>
      <c r="E673" s="7" t="inlineStr">
        <is>
          <t>HONDA</t>
        </is>
      </c>
      <c r="F673" s="7" t="inlineStr">
        <is>
          <t>City</t>
        </is>
      </c>
      <c r="G673" s="7" t="inlineStr">
        <is>
          <t>STEER AUTO TECHNOLOGIES PRIVATE LIMITED</t>
        </is>
      </c>
      <c r="H673" s="7" t="inlineStr">
        <is>
          <t>Non-Captive</t>
        </is>
      </c>
      <c r="I673" s="7" t="inlineStr">
        <is>
          <t>Rithika cars</t>
        </is>
      </c>
      <c r="J673" s="8" t="n">
        <v>2019</v>
      </c>
      <c r="K673" s="9" t="n">
        <v>87611</v>
      </c>
      <c r="L673" s="10" t="n">
        <v>650000</v>
      </c>
      <c r="M673" s="10" t="n">
        <v>4237.29</v>
      </c>
      <c r="N673" s="11">
        <f>IF(M673="","",ROUND(M673*1.18,2))</f>
        <v/>
      </c>
      <c r="O673" s="12">
        <f>IF(M673="","",ROUND(N673-M673,2))</f>
        <v/>
      </c>
      <c r="P673" s="13">
        <f>IF(AND(A673&lt;&gt;"",B673&lt;&gt;""), A673&amp;" · "&amp;B673, "")</f>
        <v/>
      </c>
    </row>
    <row r="674">
      <c r="A674" s="6" t="inlineStr">
        <is>
          <t>FY26</t>
        </is>
      </c>
      <c r="B674" s="6" t="inlineStr">
        <is>
          <t>Feb</t>
        </is>
      </c>
      <c r="C674" s="6" t="inlineStr">
        <is>
          <t>TN</t>
        </is>
      </c>
      <c r="D674" s="7" t="inlineStr">
        <is>
          <t>TN09DB8905</t>
        </is>
      </c>
      <c r="E674" s="7" t="inlineStr">
        <is>
          <t>HONDA</t>
        </is>
      </c>
      <c r="F674" s="7" t="inlineStr">
        <is>
          <t>Amaze</t>
        </is>
      </c>
      <c r="G674" s="7" t="inlineStr">
        <is>
          <t>EXCHANGE CHENNAI</t>
        </is>
      </c>
      <c r="H674" s="7" t="inlineStr">
        <is>
          <t>Captive</t>
        </is>
      </c>
      <c r="I674" s="7" t="inlineStr">
        <is>
          <t>Thiya Cars</t>
        </is>
      </c>
      <c r="J674" s="8" t="n">
        <v>2023</v>
      </c>
      <c r="K674" s="9" t="n">
        <v>19876</v>
      </c>
      <c r="L674" s="10" t="n">
        <v>700000</v>
      </c>
      <c r="M674" s="10" t="n">
        <v>8474.58</v>
      </c>
      <c r="N674" s="11">
        <f>IF(M674="","",ROUND(M674*1.18,2))</f>
        <v/>
      </c>
      <c r="O674" s="12">
        <f>IF(M674="","",ROUND(N674-M674,2))</f>
        <v/>
      </c>
      <c r="P674" s="13">
        <f>IF(AND(A674&lt;&gt;"",B674&lt;&gt;""), A674&amp;" · "&amp;B674, "")</f>
        <v/>
      </c>
    </row>
    <row r="675">
      <c r="A675" s="6" t="inlineStr">
        <is>
          <t>FY26</t>
        </is>
      </c>
      <c r="B675" s="6" t="inlineStr">
        <is>
          <t>Feb</t>
        </is>
      </c>
      <c r="C675" s="6" t="inlineStr">
        <is>
          <t>TN</t>
        </is>
      </c>
      <c r="D675" s="7" t="inlineStr">
        <is>
          <t>TN10AJ5859</t>
        </is>
      </c>
      <c r="E675" s="7" t="inlineStr">
        <is>
          <t>HONDA</t>
        </is>
      </c>
      <c r="F675" s="7" t="inlineStr">
        <is>
          <t>City</t>
        </is>
      </c>
      <c r="G675" s="7" t="inlineStr">
        <is>
          <t>SAI CARS CBE</t>
        </is>
      </c>
      <c r="H675" s="7" t="inlineStr">
        <is>
          <t>Non-Captive</t>
        </is>
      </c>
      <c r="I675" s="7" t="inlineStr">
        <is>
          <t>KSM Auto Consulting</t>
        </is>
      </c>
      <c r="J675" s="8" t="n">
        <v>2012</v>
      </c>
      <c r="K675" s="9" t="n">
        <v>21587</v>
      </c>
      <c r="L675" s="10" t="n">
        <v>110000</v>
      </c>
      <c r="M675" s="10" t="n">
        <v>4237.29</v>
      </c>
      <c r="N675" s="11">
        <f>IF(M675="","",ROUND(M675*1.18,2))</f>
        <v/>
      </c>
      <c r="O675" s="12">
        <f>IF(M675="","",ROUND(N675-M675,2))</f>
        <v/>
      </c>
      <c r="P675" s="13">
        <f>IF(AND(A675&lt;&gt;"",B675&lt;&gt;""), A675&amp;" · "&amp;B675, "")</f>
        <v/>
      </c>
    </row>
    <row r="676">
      <c r="A676" s="6" t="inlineStr">
        <is>
          <t>FY26</t>
        </is>
      </c>
      <c r="B676" s="6" t="inlineStr">
        <is>
          <t>Feb</t>
        </is>
      </c>
      <c r="C676" s="6" t="inlineStr">
        <is>
          <t>TN</t>
        </is>
      </c>
      <c r="D676" s="7" t="inlineStr">
        <is>
          <t>TN10AK7621</t>
        </is>
      </c>
      <c r="E676" s="7" t="inlineStr">
        <is>
          <t>CHEVROLET</t>
        </is>
      </c>
      <c r="F676" s="7" t="inlineStr">
        <is>
          <t>Spark</t>
        </is>
      </c>
      <c r="G676" s="7" t="inlineStr">
        <is>
          <t>STEER AUTO TECHNOLOGIES PRIVATE LIMITED</t>
        </is>
      </c>
      <c r="H676" s="7" t="inlineStr">
        <is>
          <t>Non-Captive</t>
        </is>
      </c>
      <c r="I676" s="7" t="inlineStr">
        <is>
          <t>Grid 33</t>
        </is>
      </c>
      <c r="J676" s="8" t="n">
        <v>2013</v>
      </c>
      <c r="K676" s="9" t="n">
        <v>174961</v>
      </c>
      <c r="L676" s="10" t="n">
        <v>100000</v>
      </c>
      <c r="M676" s="10" t="n">
        <v>3389.83</v>
      </c>
      <c r="N676" s="11">
        <f>IF(M676="","",ROUND(M676*1.18,2))</f>
        <v/>
      </c>
      <c r="O676" s="12">
        <f>IF(M676="","",ROUND(N676-M676,2))</f>
        <v/>
      </c>
      <c r="P676" s="13">
        <f>IF(AND(A676&lt;&gt;"",B676&lt;&gt;""), A676&amp;" · "&amp;B676, "")</f>
        <v/>
      </c>
    </row>
    <row r="677">
      <c r="A677" s="6" t="inlineStr">
        <is>
          <t>FY26</t>
        </is>
      </c>
      <c r="B677" s="6" t="inlineStr">
        <is>
          <t>Feb</t>
        </is>
      </c>
      <c r="C677" s="6" t="inlineStr">
        <is>
          <t>TN</t>
        </is>
      </c>
      <c r="D677" s="7" t="inlineStr">
        <is>
          <t>TN10AM7214</t>
        </is>
      </c>
      <c r="E677" s="7" t="inlineStr">
        <is>
          <t>SKODA</t>
        </is>
      </c>
      <c r="F677" s="7" t="inlineStr">
        <is>
          <t>Rapid</t>
        </is>
      </c>
      <c r="G677" s="7" t="inlineStr">
        <is>
          <t>EXCHANGE CHENNAI</t>
        </is>
      </c>
      <c r="H677" s="7" t="inlineStr">
        <is>
          <t>Captive</t>
        </is>
      </c>
      <c r="I677" s="7" t="inlineStr">
        <is>
          <t>Santhosh Cars</t>
        </is>
      </c>
      <c r="J677" s="8" t="n">
        <v>2013</v>
      </c>
      <c r="K677" s="9" t="n">
        <v>22156</v>
      </c>
      <c r="L677" s="10" t="n">
        <v>95000</v>
      </c>
      <c r="M677" s="10" t="n">
        <v>8474.58</v>
      </c>
      <c r="N677" s="11">
        <f>IF(M677="","",ROUND(M677*1.18,2))</f>
        <v/>
      </c>
      <c r="O677" s="12">
        <f>IF(M677="","",ROUND(N677-M677,2))</f>
        <v/>
      </c>
      <c r="P677" s="13">
        <f>IF(AND(A677&lt;&gt;"",B677&lt;&gt;""), A677&amp;" · "&amp;B677, "")</f>
        <v/>
      </c>
    </row>
    <row r="678">
      <c r="A678" s="6" t="inlineStr">
        <is>
          <t>FY26</t>
        </is>
      </c>
      <c r="B678" s="6" t="inlineStr">
        <is>
          <t>Feb</t>
        </is>
      </c>
      <c r="C678" s="6" t="inlineStr">
        <is>
          <t>TN</t>
        </is>
      </c>
      <c r="D678" s="7" t="inlineStr">
        <is>
          <t>TN10AM7835</t>
        </is>
      </c>
      <c r="E678" s="7" t="inlineStr">
        <is>
          <t>FORD</t>
        </is>
      </c>
      <c r="F678" s="7" t="inlineStr">
        <is>
          <t>Figo</t>
        </is>
      </c>
      <c r="G678" s="7" t="inlineStr">
        <is>
          <t>CARS INDIA</t>
        </is>
      </c>
      <c r="H678" s="7" t="inlineStr">
        <is>
          <t>Non-Captive</t>
        </is>
      </c>
      <c r="I678" s="7" t="inlineStr">
        <is>
          <t>Thiya Cars</t>
        </is>
      </c>
      <c r="J678" s="8" t="n">
        <v>2013</v>
      </c>
      <c r="K678" s="9" t="n">
        <v>86585</v>
      </c>
      <c r="L678" s="10" t="n">
        <v>145000</v>
      </c>
      <c r="M678" s="10" t="n">
        <v>4237.29</v>
      </c>
      <c r="N678" s="11">
        <f>IF(M678="","",ROUND(M678*1.18,2))</f>
        <v/>
      </c>
      <c r="O678" s="12">
        <f>IF(M678="","",ROUND(N678-M678,2))</f>
        <v/>
      </c>
      <c r="P678" s="13">
        <f>IF(AND(A678&lt;&gt;"",B678&lt;&gt;""), A678&amp;" · "&amp;B678, "")</f>
        <v/>
      </c>
    </row>
    <row r="679">
      <c r="A679" s="6" t="inlineStr">
        <is>
          <t>FY26</t>
        </is>
      </c>
      <c r="B679" s="6" t="inlineStr">
        <is>
          <t>Feb</t>
        </is>
      </c>
      <c r="C679" s="6" t="inlineStr">
        <is>
          <t>TN</t>
        </is>
      </c>
      <c r="D679" s="7" t="inlineStr">
        <is>
          <t>TN10AQ6381</t>
        </is>
      </c>
      <c r="E679" s="7" t="inlineStr">
        <is>
          <t>MARUTI SUZUKI</t>
        </is>
      </c>
      <c r="F679" s="7" t="inlineStr">
        <is>
          <t>Alto</t>
        </is>
      </c>
      <c r="G679" s="7" t="inlineStr">
        <is>
          <t>STEER AUTO TECHNOLOGIES PRIVATE LIMITED</t>
        </is>
      </c>
      <c r="H679" s="7" t="inlineStr">
        <is>
          <t>Non-Captive</t>
        </is>
      </c>
      <c r="I679" s="7" t="inlineStr">
        <is>
          <t>Grid 33</t>
        </is>
      </c>
      <c r="J679" s="8" t="n">
        <v>2014</v>
      </c>
      <c r="K679" s="9" t="n">
        <v>42739</v>
      </c>
      <c r="L679" s="10" t="n">
        <v>160000</v>
      </c>
      <c r="M679" s="10" t="n">
        <v>3389.83</v>
      </c>
      <c r="N679" s="11">
        <f>IF(M679="","",ROUND(M679*1.18,2))</f>
        <v/>
      </c>
      <c r="O679" s="12">
        <f>IF(M679="","",ROUND(N679-M679,2))</f>
        <v/>
      </c>
      <c r="P679" s="13">
        <f>IF(AND(A679&lt;&gt;"",B679&lt;&gt;""), A679&amp;" · "&amp;B679, "")</f>
        <v/>
      </c>
    </row>
    <row r="680">
      <c r="A680" s="6" t="inlineStr">
        <is>
          <t>FY26</t>
        </is>
      </c>
      <c r="B680" s="6" t="inlineStr">
        <is>
          <t>Feb</t>
        </is>
      </c>
      <c r="C680" s="6" t="inlineStr">
        <is>
          <t>TN</t>
        </is>
      </c>
      <c r="D680" s="7" t="inlineStr">
        <is>
          <t>TN10AY7842</t>
        </is>
      </c>
      <c r="E680" s="7" t="inlineStr">
        <is>
          <t>VOLKSWAGEN</t>
        </is>
      </c>
      <c r="F680" s="7" t="inlineStr">
        <is>
          <t>Vento</t>
        </is>
      </c>
      <c r="G680" s="7" t="inlineStr">
        <is>
          <t>STEER AUTO TECHNOLOGIES PRIVATE LIMITED</t>
        </is>
      </c>
      <c r="H680" s="7" t="inlineStr">
        <is>
          <t>Non-Captive</t>
        </is>
      </c>
      <c r="I680" s="7" t="inlineStr">
        <is>
          <t>Rithika cars</t>
        </is>
      </c>
      <c r="J680" s="8" t="n">
        <v>2017</v>
      </c>
      <c r="K680" s="9" t="n">
        <v>109276</v>
      </c>
      <c r="L680" s="10" t="n">
        <v>535000</v>
      </c>
      <c r="M680" s="10" t="n">
        <v>3389.83</v>
      </c>
      <c r="N680" s="11">
        <f>IF(M680="","",ROUND(M680*1.18,2))</f>
        <v/>
      </c>
      <c r="O680" s="12">
        <f>IF(M680="","",ROUND(N680-M680,2))</f>
        <v/>
      </c>
      <c r="P680" s="13">
        <f>IF(AND(A680&lt;&gt;"",B680&lt;&gt;""), A680&amp;" · "&amp;B680, "")</f>
        <v/>
      </c>
    </row>
    <row r="681">
      <c r="A681" s="6" t="inlineStr">
        <is>
          <t>FY26</t>
        </is>
      </c>
      <c r="B681" s="6" t="inlineStr">
        <is>
          <t>Feb</t>
        </is>
      </c>
      <c r="C681" s="6" t="inlineStr">
        <is>
          <t>TN</t>
        </is>
      </c>
      <c r="D681" s="7" t="inlineStr">
        <is>
          <t>TN10AZ8129</t>
        </is>
      </c>
      <c r="E681" s="7" t="inlineStr">
        <is>
          <t>MARUTI SUZUKI</t>
        </is>
      </c>
      <c r="F681" s="7" t="inlineStr">
        <is>
          <t>Celerio</t>
        </is>
      </c>
      <c r="G681" s="7" t="inlineStr">
        <is>
          <t>AIE CARS PRIVATE LIMITED</t>
        </is>
      </c>
      <c r="H681" s="7" t="inlineStr">
        <is>
          <t>Non-Captive</t>
        </is>
      </c>
      <c r="I681" s="7" t="inlineStr">
        <is>
          <t>AAA Cars</t>
        </is>
      </c>
      <c r="J681" s="8" t="n">
        <v>206</v>
      </c>
      <c r="K681" s="9" t="n">
        <v>45980</v>
      </c>
      <c r="L681" s="10" t="n">
        <v>275000</v>
      </c>
      <c r="M681" s="10" t="n">
        <v>4237.29</v>
      </c>
      <c r="N681" s="11">
        <f>IF(M681="","",ROUND(M681*1.18,2))</f>
        <v/>
      </c>
      <c r="O681" s="12">
        <f>IF(M681="","",ROUND(N681-M681,2))</f>
        <v/>
      </c>
      <c r="P681" s="13">
        <f>IF(AND(A681&lt;&gt;"",B681&lt;&gt;""), A681&amp;" · "&amp;B681, "")</f>
        <v/>
      </c>
    </row>
    <row r="682">
      <c r="A682" s="6" t="inlineStr">
        <is>
          <t>FY26</t>
        </is>
      </c>
      <c r="B682" s="6" t="inlineStr">
        <is>
          <t>Feb</t>
        </is>
      </c>
      <c r="C682" s="6" t="inlineStr">
        <is>
          <t>TN</t>
        </is>
      </c>
      <c r="D682" s="7" t="inlineStr">
        <is>
          <t>TN10BH0696</t>
        </is>
      </c>
      <c r="E682" s="7" t="inlineStr">
        <is>
          <t>MARUTI SUZUKI</t>
        </is>
      </c>
      <c r="F682" s="7" t="inlineStr">
        <is>
          <t>Vitara Brezza</t>
        </is>
      </c>
      <c r="G682" s="7" t="inlineStr">
        <is>
          <t>STEER AUTO TECHNOLOGIES PRIVATE LIMITED</t>
        </is>
      </c>
      <c r="H682" s="7" t="inlineStr">
        <is>
          <t>Non-Captive</t>
        </is>
      </c>
      <c r="I682" s="7" t="inlineStr">
        <is>
          <t>Rithika cars</t>
        </is>
      </c>
      <c r="J682" s="8" t="n">
        <v>2019</v>
      </c>
      <c r="K682" s="9" t="n">
        <v>22642</v>
      </c>
      <c r="L682" s="10" t="n">
        <v>750000</v>
      </c>
      <c r="M682" s="10" t="n">
        <v>3389.83</v>
      </c>
      <c r="N682" s="11">
        <f>IF(M682="","",ROUND(M682*1.18,2))</f>
        <v/>
      </c>
      <c r="O682" s="12">
        <f>IF(M682="","",ROUND(N682-M682,2))</f>
        <v/>
      </c>
      <c r="P682" s="13">
        <f>IF(AND(A682&lt;&gt;"",B682&lt;&gt;""), A682&amp;" · "&amp;B682, "")</f>
        <v/>
      </c>
    </row>
    <row r="683">
      <c r="A683" s="6" t="inlineStr">
        <is>
          <t>FY26</t>
        </is>
      </c>
      <c r="B683" s="6" t="inlineStr">
        <is>
          <t>Feb</t>
        </is>
      </c>
      <c r="C683" s="6" t="inlineStr">
        <is>
          <t>TN</t>
        </is>
      </c>
      <c r="D683" s="7" t="inlineStr">
        <is>
          <t>TN10R8454</t>
        </is>
      </c>
      <c r="E683" s="7" t="inlineStr">
        <is>
          <t>MARUTI SUZUKI</t>
        </is>
      </c>
      <c r="F683" s="7" t="inlineStr">
        <is>
          <t>Wagon R</t>
        </is>
      </c>
      <c r="G683" s="7" t="inlineStr">
        <is>
          <t>EXCHANGE ROTN</t>
        </is>
      </c>
      <c r="H683" s="7" t="inlineStr">
        <is>
          <t>Captive</t>
        </is>
      </c>
      <c r="I683" s="7" t="inlineStr">
        <is>
          <t>Sivashankar Cars</t>
        </is>
      </c>
      <c r="J683" s="8" t="n">
        <v>2007</v>
      </c>
      <c r="K683" s="9" t="n">
        <v>188412</v>
      </c>
      <c r="L683" s="10" t="n">
        <v>70000</v>
      </c>
      <c r="M683" s="10" t="n">
        <v>4237.29</v>
      </c>
      <c r="N683" s="11">
        <f>IF(M683="","",ROUND(M683*1.18,2))</f>
        <v/>
      </c>
      <c r="O683" s="12">
        <f>IF(M683="","",ROUND(N683-M683,2))</f>
        <v/>
      </c>
      <c r="P683" s="13">
        <f>IF(AND(A683&lt;&gt;"",B683&lt;&gt;""), A683&amp;" · "&amp;B683, "")</f>
        <v/>
      </c>
    </row>
    <row r="684">
      <c r="A684" s="6" t="inlineStr">
        <is>
          <t>FY26</t>
        </is>
      </c>
      <c r="B684" s="6" t="inlineStr">
        <is>
          <t>Feb</t>
        </is>
      </c>
      <c r="C684" s="6" t="inlineStr">
        <is>
          <t>TN</t>
        </is>
      </c>
      <c r="D684" s="7" t="inlineStr">
        <is>
          <t>TN10W8957</t>
        </is>
      </c>
      <c r="E684" s="7" t="inlineStr">
        <is>
          <t>MARUTI SUZUKI</t>
        </is>
      </c>
      <c r="F684" s="7" t="inlineStr">
        <is>
          <t>Omni</t>
        </is>
      </c>
      <c r="G684" s="7" t="inlineStr">
        <is>
          <t>STEER AUTO TECHNOLOGIES PRIVATE LIMITED</t>
        </is>
      </c>
      <c r="H684" s="7" t="inlineStr">
        <is>
          <t>Non-Captive</t>
        </is>
      </c>
      <c r="I684" s="7" t="inlineStr">
        <is>
          <t>Grid 33</t>
        </is>
      </c>
      <c r="J684" s="8" t="n">
        <v>2008</v>
      </c>
      <c r="K684" s="9" t="n">
        <v>95667</v>
      </c>
      <c r="L684" s="10" t="n">
        <v>90000</v>
      </c>
      <c r="M684" s="10" t="n">
        <v>3389.83</v>
      </c>
      <c r="N684" s="11">
        <f>IF(M684="","",ROUND(M684*1.18,2))</f>
        <v/>
      </c>
      <c r="O684" s="12">
        <f>IF(M684="","",ROUND(N684-M684,2))</f>
        <v/>
      </c>
      <c r="P684" s="13">
        <f>IF(AND(A684&lt;&gt;"",B684&lt;&gt;""), A684&amp;" · "&amp;B684, "")</f>
        <v/>
      </c>
    </row>
    <row r="685">
      <c r="A685" s="6" t="inlineStr">
        <is>
          <t>FY26</t>
        </is>
      </c>
      <c r="B685" s="6" t="inlineStr">
        <is>
          <t>Feb</t>
        </is>
      </c>
      <c r="C685" s="6" t="inlineStr">
        <is>
          <t>TN</t>
        </is>
      </c>
      <c r="D685" s="7" t="inlineStr">
        <is>
          <t>TN10X9030</t>
        </is>
      </c>
      <c r="E685" s="7" t="inlineStr">
        <is>
          <t>FORD</t>
        </is>
      </c>
      <c r="F685" s="7" t="inlineStr">
        <is>
          <t>Fiesta</t>
        </is>
      </c>
      <c r="G685" s="7" t="inlineStr">
        <is>
          <t>EXCHANGE ROTN</t>
        </is>
      </c>
      <c r="H685" s="7" t="inlineStr">
        <is>
          <t>Captive</t>
        </is>
      </c>
      <c r="I685" s="7" t="inlineStr">
        <is>
          <t>Dheera Cars</t>
        </is>
      </c>
      <c r="J685" s="8" t="n">
        <v>2009</v>
      </c>
      <c r="K685" s="9" t="n">
        <v>138864</v>
      </c>
      <c r="L685" s="10" t="n">
        <v>30000</v>
      </c>
      <c r="M685" s="10" t="n">
        <v>4237.29</v>
      </c>
      <c r="N685" s="11">
        <f>IF(M685="","",ROUND(M685*1.18,2))</f>
        <v/>
      </c>
      <c r="O685" s="12">
        <f>IF(M685="","",ROUND(N685-M685,2))</f>
        <v/>
      </c>
      <c r="P685" s="13">
        <f>IF(AND(A685&lt;&gt;"",B685&lt;&gt;""), A685&amp;" · "&amp;B685, "")</f>
        <v/>
      </c>
    </row>
    <row r="686">
      <c r="A686" s="6" t="inlineStr">
        <is>
          <t>FY26</t>
        </is>
      </c>
      <c r="B686" s="6" t="inlineStr">
        <is>
          <t>Feb</t>
        </is>
      </c>
      <c r="C686" s="6" t="inlineStr">
        <is>
          <t>TN</t>
        </is>
      </c>
      <c r="D686" s="7" t="inlineStr">
        <is>
          <t>TN11AZ9138</t>
        </is>
      </c>
      <c r="E686" s="7" t="inlineStr">
        <is>
          <t>MARUTI SUZUKI</t>
        </is>
      </c>
      <c r="F686" s="7" t="inlineStr">
        <is>
          <t>Baleno</t>
        </is>
      </c>
      <c r="G686" s="7" t="inlineStr">
        <is>
          <t>EXCHANGE ROTN</t>
        </is>
      </c>
      <c r="H686" s="7" t="inlineStr">
        <is>
          <t>Captive</t>
        </is>
      </c>
      <c r="I686" s="7" t="inlineStr">
        <is>
          <t>Raju Cars</t>
        </is>
      </c>
      <c r="J686" s="8" t="n">
        <v>2022</v>
      </c>
      <c r="K686" s="9" t="n">
        <v>35538</v>
      </c>
      <c r="L686" s="10" t="n">
        <v>450000</v>
      </c>
      <c r="M686" s="10" t="n">
        <v>4237.29</v>
      </c>
      <c r="N686" s="11">
        <f>IF(M686="","",ROUND(M686*1.18,2))</f>
        <v/>
      </c>
      <c r="O686" s="12">
        <f>IF(M686="","",ROUND(N686-M686,2))</f>
        <v/>
      </c>
      <c r="P686" s="13">
        <f>IF(AND(A686&lt;&gt;"",B686&lt;&gt;""), A686&amp;" · "&amp;B686, "")</f>
        <v/>
      </c>
    </row>
    <row r="687">
      <c r="A687" s="6" t="inlineStr">
        <is>
          <t>FY26</t>
        </is>
      </c>
      <c r="B687" s="6" t="inlineStr">
        <is>
          <t>Feb</t>
        </is>
      </c>
      <c r="C687" s="6" t="inlineStr">
        <is>
          <t>TN</t>
        </is>
      </c>
      <c r="D687" s="7" t="inlineStr">
        <is>
          <t>TN11BC9624</t>
        </is>
      </c>
      <c r="E687" s="7" t="inlineStr">
        <is>
          <t>HONDA</t>
        </is>
      </c>
      <c r="F687" s="7" t="inlineStr">
        <is>
          <t>City</t>
        </is>
      </c>
      <c r="G687" s="7" t="inlineStr">
        <is>
          <t>EXCHANGE CHENNAI</t>
        </is>
      </c>
      <c r="H687" s="7" t="inlineStr">
        <is>
          <t>Captive</t>
        </is>
      </c>
      <c r="I687" s="7" t="inlineStr">
        <is>
          <t>TSM</t>
        </is>
      </c>
      <c r="J687" s="8" t="n">
        <v>2023</v>
      </c>
      <c r="K687" s="9" t="n">
        <v>52822</v>
      </c>
      <c r="L687" s="10" t="n">
        <v>1100000</v>
      </c>
      <c r="M687" s="10" t="n">
        <v>8474.58</v>
      </c>
      <c r="N687" s="11">
        <f>IF(M687="","",ROUND(M687*1.18,2))</f>
        <v/>
      </c>
      <c r="O687" s="12">
        <f>IF(M687="","",ROUND(N687-M687,2))</f>
        <v/>
      </c>
      <c r="P687" s="13">
        <f>IF(AND(A687&lt;&gt;"",B687&lt;&gt;""), A687&amp;" · "&amp;B687, "")</f>
        <v/>
      </c>
    </row>
    <row r="688">
      <c r="A688" s="6" t="inlineStr">
        <is>
          <t>FY26</t>
        </is>
      </c>
      <c r="B688" s="6" t="inlineStr">
        <is>
          <t>Feb</t>
        </is>
      </c>
      <c r="C688" s="6" t="inlineStr">
        <is>
          <t>TN</t>
        </is>
      </c>
      <c r="D688" s="7" t="inlineStr">
        <is>
          <t>TN11BF7155</t>
        </is>
      </c>
      <c r="E688" s="7" t="inlineStr">
        <is>
          <t>RENAULT</t>
        </is>
      </c>
      <c r="F688" s="7" t="inlineStr">
        <is>
          <t>Kiger</t>
        </is>
      </c>
      <c r="G688" s="7" t="inlineStr">
        <is>
          <t>STEER AUTO TECHNOLOGIES PRIVATE LIMITED</t>
        </is>
      </c>
      <c r="H688" s="7" t="inlineStr">
        <is>
          <t>Non-Captive</t>
        </is>
      </c>
      <c r="I688" s="7" t="inlineStr">
        <is>
          <t>Rithika cars</t>
        </is>
      </c>
      <c r="J688" s="8" t="n">
        <v>2023</v>
      </c>
      <c r="K688" s="9" t="n">
        <v>3480</v>
      </c>
      <c r="L688" s="10" t="n">
        <v>873000</v>
      </c>
      <c r="M688" s="10" t="n">
        <v>3389.83</v>
      </c>
      <c r="N688" s="11">
        <f>IF(M688="","",ROUND(M688*1.18,2))</f>
        <v/>
      </c>
      <c r="O688" s="12">
        <f>IF(M688="","",ROUND(N688-M688,2))</f>
        <v/>
      </c>
      <c r="P688" s="13">
        <f>IF(AND(A688&lt;&gt;"",B688&lt;&gt;""), A688&amp;" · "&amp;B688, "")</f>
        <v/>
      </c>
    </row>
    <row r="689">
      <c r="A689" s="6" t="inlineStr">
        <is>
          <t>FY26</t>
        </is>
      </c>
      <c r="B689" s="6" t="inlineStr">
        <is>
          <t>Feb</t>
        </is>
      </c>
      <c r="C689" s="6" t="inlineStr">
        <is>
          <t>TN</t>
        </is>
      </c>
      <c r="D689" s="7" t="inlineStr">
        <is>
          <t>TN11K1532</t>
        </is>
      </c>
      <c r="E689" s="7" t="inlineStr">
        <is>
          <t>HYUNDAI</t>
        </is>
      </c>
      <c r="F689" s="7" t="inlineStr">
        <is>
          <t>Eon</t>
        </is>
      </c>
      <c r="G689" s="7" t="inlineStr">
        <is>
          <t>STEER AUTO TECHNOLOGIES PRIVATE LIMITED</t>
        </is>
      </c>
      <c r="H689" s="7" t="inlineStr">
        <is>
          <t>Non-Captive</t>
        </is>
      </c>
      <c r="I689" s="7" t="inlineStr">
        <is>
          <t>Rithika cars</t>
        </is>
      </c>
      <c r="J689" s="8" t="n">
        <v>2014</v>
      </c>
      <c r="K689" s="9" t="n">
        <v>78781</v>
      </c>
      <c r="L689" s="10" t="n">
        <v>160000</v>
      </c>
      <c r="M689" s="10" t="n">
        <v>4237.29</v>
      </c>
      <c r="N689" s="11">
        <f>IF(M689="","",ROUND(M689*1.18,2))</f>
        <v/>
      </c>
      <c r="O689" s="12">
        <f>IF(M689="","",ROUND(N689-M689,2))</f>
        <v/>
      </c>
      <c r="P689" s="13">
        <f>IF(AND(A689&lt;&gt;"",B689&lt;&gt;""), A689&amp;" · "&amp;B689, "")</f>
        <v/>
      </c>
    </row>
    <row r="690">
      <c r="A690" s="6" t="inlineStr">
        <is>
          <t>FY26</t>
        </is>
      </c>
      <c r="B690" s="6" t="inlineStr">
        <is>
          <t>Feb</t>
        </is>
      </c>
      <c r="C690" s="6" t="inlineStr">
        <is>
          <t>TN</t>
        </is>
      </c>
      <c r="D690" s="7" t="inlineStr">
        <is>
          <t>TN11Q5934</t>
        </is>
      </c>
      <c r="E690" s="7" t="inlineStr">
        <is>
          <t>FORD</t>
        </is>
      </c>
      <c r="F690" s="7" t="inlineStr">
        <is>
          <t>EcoSport</t>
        </is>
      </c>
      <c r="G690" s="7" t="inlineStr">
        <is>
          <t>STEER AUTO TECHNOLOGIES PRIVATE LIMITED</t>
        </is>
      </c>
      <c r="H690" s="7" t="inlineStr">
        <is>
          <t>Non-Captive</t>
        </is>
      </c>
      <c r="I690" s="7" t="inlineStr">
        <is>
          <t>Rithika cars</t>
        </is>
      </c>
      <c r="J690" s="8" t="n">
        <v>2015</v>
      </c>
      <c r="K690" s="9" t="n">
        <v>99999</v>
      </c>
      <c r="L690" s="10" t="n">
        <v>358000</v>
      </c>
      <c r="M690" s="10" t="n">
        <v>3389.83</v>
      </c>
      <c r="N690" s="11">
        <f>IF(M690="","",ROUND(M690*1.18,2))</f>
        <v/>
      </c>
      <c r="O690" s="12">
        <f>IF(M690="","",ROUND(N690-M690,2))</f>
        <v/>
      </c>
      <c r="P690" s="13">
        <f>IF(AND(A690&lt;&gt;"",B690&lt;&gt;""), A690&amp;" · "&amp;B690, "")</f>
        <v/>
      </c>
    </row>
    <row r="691">
      <c r="A691" s="6" t="inlineStr">
        <is>
          <t>FY26</t>
        </is>
      </c>
      <c r="B691" s="6" t="inlineStr">
        <is>
          <t>Feb</t>
        </is>
      </c>
      <c r="C691" s="6" t="inlineStr">
        <is>
          <t>TN</t>
        </is>
      </c>
      <c r="D691" s="7" t="inlineStr">
        <is>
          <t>TN11R3215</t>
        </is>
      </c>
      <c r="E691" s="7" t="inlineStr">
        <is>
          <t>MARUTI SUZUKI</t>
        </is>
      </c>
      <c r="F691" s="7" t="inlineStr">
        <is>
          <t>S-Cross</t>
        </is>
      </c>
      <c r="G691" s="7" t="inlineStr">
        <is>
          <t>STEER AUTO TECHNOLOGIES PRIVATE LIMITED</t>
        </is>
      </c>
      <c r="H691" s="7" t="inlineStr">
        <is>
          <t>Non-Captive</t>
        </is>
      </c>
      <c r="I691" s="7" t="inlineStr">
        <is>
          <t>Rithika cars</t>
        </is>
      </c>
      <c r="J691" s="8" t="n">
        <v>2016</v>
      </c>
      <c r="K691" s="9" t="n">
        <v>154240</v>
      </c>
      <c r="L691" s="10" t="n">
        <v>450000</v>
      </c>
      <c r="M691" s="10" t="n">
        <v>3389.83</v>
      </c>
      <c r="N691" s="11">
        <f>IF(M691="","",ROUND(M691*1.18,2))</f>
        <v/>
      </c>
      <c r="O691" s="12">
        <f>IF(M691="","",ROUND(N691-M691,2))</f>
        <v/>
      </c>
      <c r="P691" s="13">
        <f>IF(AND(A691&lt;&gt;"",B691&lt;&gt;""), A691&amp;" · "&amp;B691, "")</f>
        <v/>
      </c>
    </row>
    <row r="692">
      <c r="A692" s="6" t="inlineStr">
        <is>
          <t>FY26</t>
        </is>
      </c>
      <c r="B692" s="6" t="inlineStr">
        <is>
          <t>Feb</t>
        </is>
      </c>
      <c r="C692" s="6" t="inlineStr">
        <is>
          <t>TN</t>
        </is>
      </c>
      <c r="D692" s="7" t="inlineStr">
        <is>
          <t>TN11R6450</t>
        </is>
      </c>
      <c r="E692" s="7" t="inlineStr">
        <is>
          <t>VOLKSWAGEN</t>
        </is>
      </c>
      <c r="F692" s="7" t="inlineStr">
        <is>
          <t>Polo</t>
        </is>
      </c>
      <c r="G692" s="7" t="inlineStr">
        <is>
          <t>STEER AUTO TECHNOLOGIES PRIVATE LIMITED</t>
        </is>
      </c>
      <c r="H692" s="7" t="inlineStr">
        <is>
          <t>Non-Captive</t>
        </is>
      </c>
      <c r="I692" s="7" t="inlineStr">
        <is>
          <t>Rithika cars</t>
        </is>
      </c>
      <c r="J692" s="8" t="n">
        <v>2016</v>
      </c>
      <c r="K692" s="9" t="n">
        <v>109817</v>
      </c>
      <c r="L692" s="10" t="n">
        <v>408000</v>
      </c>
      <c r="M692" s="10" t="n">
        <v>4237.29</v>
      </c>
      <c r="N692" s="11">
        <f>IF(M692="","",ROUND(M692*1.18,2))</f>
        <v/>
      </c>
      <c r="O692" s="12">
        <f>IF(M692="","",ROUND(N692-M692,2))</f>
        <v/>
      </c>
      <c r="P692" s="13">
        <f>IF(AND(A692&lt;&gt;"",B692&lt;&gt;""), A692&amp;" · "&amp;B692, "")</f>
        <v/>
      </c>
    </row>
    <row r="693">
      <c r="A693" s="6" t="inlineStr">
        <is>
          <t>FY26</t>
        </is>
      </c>
      <c r="B693" s="6" t="inlineStr">
        <is>
          <t>Feb</t>
        </is>
      </c>
      <c r="C693" s="6" t="inlineStr">
        <is>
          <t>TN</t>
        </is>
      </c>
      <c r="D693" s="7" t="inlineStr">
        <is>
          <t>TN11S6711</t>
        </is>
      </c>
      <c r="E693" s="7" t="inlineStr">
        <is>
          <t>HONDA</t>
        </is>
      </c>
      <c r="F693" s="7" t="inlineStr">
        <is>
          <t>Jazz</t>
        </is>
      </c>
      <c r="G693" s="7" t="inlineStr">
        <is>
          <t>STEER AUTO TECHNOLOGIES PRIVATE LIMITED</t>
        </is>
      </c>
      <c r="H693" s="7" t="inlineStr">
        <is>
          <t>Non-Captive</t>
        </is>
      </c>
      <c r="I693" s="7" t="inlineStr">
        <is>
          <t>Grid 33</t>
        </is>
      </c>
      <c r="J693" s="8" t="n">
        <v>2016</v>
      </c>
      <c r="K693" s="9" t="n">
        <v>77041</v>
      </c>
      <c r="L693" s="10" t="n">
        <v>320000</v>
      </c>
      <c r="M693" s="10" t="n">
        <v>3389.83</v>
      </c>
      <c r="N693" s="11">
        <f>IF(M693="","",ROUND(M693*1.18,2))</f>
        <v/>
      </c>
      <c r="O693" s="12">
        <f>IF(M693="","",ROUND(N693-M693,2))</f>
        <v/>
      </c>
      <c r="P693" s="13">
        <f>IF(AND(A693&lt;&gt;"",B693&lt;&gt;""), A693&amp;" · "&amp;B693, "")</f>
        <v/>
      </c>
    </row>
    <row r="694">
      <c r="A694" s="6" t="inlineStr">
        <is>
          <t>FY26</t>
        </is>
      </c>
      <c r="B694" s="6" t="inlineStr">
        <is>
          <t>Feb</t>
        </is>
      </c>
      <c r="C694" s="6" t="inlineStr">
        <is>
          <t>TN</t>
        </is>
      </c>
      <c r="D694" s="7" t="inlineStr">
        <is>
          <t>TN11V8120</t>
        </is>
      </c>
      <c r="E694" s="7" t="inlineStr">
        <is>
          <t>TATA</t>
        </is>
      </c>
      <c r="F694" s="7" t="inlineStr">
        <is>
          <t>Tiago</t>
        </is>
      </c>
      <c r="G694" s="7" t="inlineStr">
        <is>
          <t>STEER AUTO TECHNOLOGIES PRIVATE LIMITED</t>
        </is>
      </c>
      <c r="H694" s="7" t="inlineStr">
        <is>
          <t>Non-Captive</t>
        </is>
      </c>
      <c r="I694" s="7" t="inlineStr">
        <is>
          <t>Rithika cars</t>
        </is>
      </c>
      <c r="J694" s="8" t="n">
        <v>2017</v>
      </c>
      <c r="K694" s="9" t="n">
        <v>65908</v>
      </c>
      <c r="L694" s="10" t="n">
        <v>260000</v>
      </c>
      <c r="M694" s="10" t="n">
        <v>3389.83</v>
      </c>
      <c r="N694" s="11">
        <f>IF(M694="","",ROUND(M694*1.18,2))</f>
        <v/>
      </c>
      <c r="O694" s="12">
        <f>IF(M694="","",ROUND(N694-M694,2))</f>
        <v/>
      </c>
      <c r="P694" s="13">
        <f>IF(AND(A694&lt;&gt;"",B694&lt;&gt;""), A694&amp;" · "&amp;B694, "")</f>
        <v/>
      </c>
    </row>
    <row r="695">
      <c r="A695" s="6" t="inlineStr">
        <is>
          <t>FY26</t>
        </is>
      </c>
      <c r="B695" s="6" t="inlineStr">
        <is>
          <t>Feb</t>
        </is>
      </c>
      <c r="C695" s="6" t="inlineStr">
        <is>
          <t>TN</t>
        </is>
      </c>
      <c r="D695" s="7" t="inlineStr">
        <is>
          <t>TN11X3493</t>
        </is>
      </c>
      <c r="E695" s="7" t="inlineStr">
        <is>
          <t>HYUNDAI</t>
        </is>
      </c>
      <c r="F695" s="7" t="inlineStr">
        <is>
          <t>i10</t>
        </is>
      </c>
      <c r="G695" s="7" t="inlineStr">
        <is>
          <t>STEER AUTO TECHNOLOGIES PRIVATE LIMITED</t>
        </is>
      </c>
      <c r="H695" s="7" t="inlineStr">
        <is>
          <t>Non-Captive</t>
        </is>
      </c>
      <c r="I695" s="7" t="inlineStr">
        <is>
          <t>Grid 33</t>
        </is>
      </c>
      <c r="J695" s="8" t="n">
        <v>2013</v>
      </c>
      <c r="K695" s="9" t="n">
        <v>83564</v>
      </c>
      <c r="L695" s="10" t="n">
        <v>120000</v>
      </c>
      <c r="M695" s="10" t="n">
        <v>3389.83</v>
      </c>
      <c r="N695" s="11">
        <f>IF(M695="","",ROUND(M695*1.18,2))</f>
        <v/>
      </c>
      <c r="O695" s="12">
        <f>IF(M695="","",ROUND(N695-M695,2))</f>
        <v/>
      </c>
      <c r="P695" s="13">
        <f>IF(AND(A695&lt;&gt;"",B695&lt;&gt;""), A695&amp;" · "&amp;B695, "")</f>
        <v/>
      </c>
    </row>
    <row r="696">
      <c r="A696" s="6" t="inlineStr">
        <is>
          <t>FY26</t>
        </is>
      </c>
      <c r="B696" s="6" t="inlineStr">
        <is>
          <t>Feb</t>
        </is>
      </c>
      <c r="C696" s="6" t="inlineStr">
        <is>
          <t>TN</t>
        </is>
      </c>
      <c r="D696" s="7" t="inlineStr">
        <is>
          <t>TN11X5792</t>
        </is>
      </c>
      <c r="E696" s="7" t="inlineStr">
        <is>
          <t>HONDA</t>
        </is>
      </c>
      <c r="F696" s="7" t="inlineStr">
        <is>
          <t>Amaze</t>
        </is>
      </c>
      <c r="G696" s="7" t="inlineStr">
        <is>
          <t>POPULAR VEHICLES</t>
        </is>
      </c>
      <c r="H696" s="7" t="inlineStr">
        <is>
          <t>Non-Captive</t>
        </is>
      </c>
      <c r="I696" s="7" t="inlineStr">
        <is>
          <t>Thiya Cars</t>
        </is>
      </c>
      <c r="J696" s="8" t="n">
        <v>2013</v>
      </c>
      <c r="K696" s="9" t="n">
        <v>82030</v>
      </c>
      <c r="L696" s="10" t="n">
        <v>270000</v>
      </c>
      <c r="M696" s="10" t="n">
        <v>4237.29</v>
      </c>
      <c r="N696" s="11">
        <f>IF(M696="","",ROUND(M696*1.18,2))</f>
        <v/>
      </c>
      <c r="O696" s="12">
        <f>IF(M696="","",ROUND(N696-M696,2))</f>
        <v/>
      </c>
      <c r="P696" s="13">
        <f>IF(AND(A696&lt;&gt;"",B696&lt;&gt;""), A696&amp;" · "&amp;B696, "")</f>
        <v/>
      </c>
    </row>
    <row r="697">
      <c r="A697" s="6" t="inlineStr">
        <is>
          <t>FY26</t>
        </is>
      </c>
      <c r="B697" s="6" t="inlineStr">
        <is>
          <t>Feb</t>
        </is>
      </c>
      <c r="C697" s="6" t="inlineStr">
        <is>
          <t>TN</t>
        </is>
      </c>
      <c r="D697" s="7" t="inlineStr">
        <is>
          <t>TN12AE3686</t>
        </is>
      </c>
      <c r="E697" s="7" t="inlineStr">
        <is>
          <t>RENAULT</t>
        </is>
      </c>
      <c r="F697" s="7" t="inlineStr">
        <is>
          <t>Kwid</t>
        </is>
      </c>
      <c r="G697" s="7" t="inlineStr">
        <is>
          <t>STEER AUTO TECHNOLOGIES PRIVATE LIMITED</t>
        </is>
      </c>
      <c r="H697" s="7" t="inlineStr">
        <is>
          <t>Non-Captive</t>
        </is>
      </c>
      <c r="I697" s="7" t="inlineStr">
        <is>
          <t>Rithika cars</t>
        </is>
      </c>
      <c r="J697" s="8" t="n">
        <v>2019</v>
      </c>
      <c r="K697" s="9" t="n">
        <v>53298</v>
      </c>
      <c r="L697" s="10" t="n">
        <v>373000</v>
      </c>
      <c r="M697" s="10" t="n">
        <v>3389.83</v>
      </c>
      <c r="N697" s="11">
        <f>IF(M697="","",ROUND(M697*1.18,2))</f>
        <v/>
      </c>
      <c r="O697" s="12">
        <f>IF(M697="","",ROUND(N697-M697,2))</f>
        <v/>
      </c>
      <c r="P697" s="13">
        <f>IF(AND(A697&lt;&gt;"",B697&lt;&gt;""), A697&amp;" · "&amp;B697, "")</f>
        <v/>
      </c>
    </row>
    <row r="698">
      <c r="A698" s="6" t="inlineStr">
        <is>
          <t>FY26</t>
        </is>
      </c>
      <c r="B698" s="6" t="inlineStr">
        <is>
          <t>Feb</t>
        </is>
      </c>
      <c r="C698" s="6" t="inlineStr">
        <is>
          <t>TN</t>
        </is>
      </c>
      <c r="D698" s="7" t="inlineStr">
        <is>
          <t>TN12AK8251</t>
        </is>
      </c>
      <c r="E698" s="7" t="inlineStr">
        <is>
          <t>SKODA</t>
        </is>
      </c>
      <c r="F698" s="7" t="inlineStr">
        <is>
          <t>Rapid</t>
        </is>
      </c>
      <c r="G698" s="7" t="inlineStr">
        <is>
          <t>LAKSHMI TATA</t>
        </is>
      </c>
      <c r="H698" s="7" t="inlineStr">
        <is>
          <t>Non-Captive</t>
        </is>
      </c>
      <c r="I698" s="7" t="inlineStr">
        <is>
          <t>Thiya Cars</t>
        </is>
      </c>
      <c r="J698" s="8" t="n">
        <v>2020</v>
      </c>
      <c r="K698" s="9" t="n">
        <v>72496</v>
      </c>
      <c r="L698" s="10" t="n">
        <v>450000</v>
      </c>
      <c r="M698" s="10" t="n">
        <v>4237.29</v>
      </c>
      <c r="N698" s="11">
        <f>IF(M698="","",ROUND(M698*1.18,2))</f>
        <v/>
      </c>
      <c r="O698" s="12">
        <f>IF(M698="","",ROUND(N698-M698,2))</f>
        <v/>
      </c>
      <c r="P698" s="13">
        <f>IF(AND(A698&lt;&gt;"",B698&lt;&gt;""), A698&amp;" · "&amp;B698, "")</f>
        <v/>
      </c>
    </row>
    <row r="699">
      <c r="A699" s="6" t="inlineStr">
        <is>
          <t>FY26</t>
        </is>
      </c>
      <c r="B699" s="6" t="inlineStr">
        <is>
          <t>Feb</t>
        </is>
      </c>
      <c r="C699" s="6" t="inlineStr">
        <is>
          <t>TN</t>
        </is>
      </c>
      <c r="D699" s="7" t="inlineStr">
        <is>
          <t>TN12AP7833</t>
        </is>
      </c>
      <c r="E699" s="7" t="inlineStr">
        <is>
          <t>TATA</t>
        </is>
      </c>
      <c r="F699" s="7" t="inlineStr">
        <is>
          <t>Nexon</t>
        </is>
      </c>
      <c r="G699" s="7" t="inlineStr">
        <is>
          <t>STEER AUTO TECHNOLOGIES PRIVATE LIMITED</t>
        </is>
      </c>
      <c r="H699" s="7" t="inlineStr">
        <is>
          <t>Non-Captive</t>
        </is>
      </c>
      <c r="I699" s="7" t="inlineStr">
        <is>
          <t>Grid 33</t>
        </is>
      </c>
      <c r="J699" s="8" t="n">
        <v>2021</v>
      </c>
      <c r="K699" s="9" t="n">
        <v>20575</v>
      </c>
      <c r="L699" s="10" t="n">
        <v>620000</v>
      </c>
      <c r="M699" s="10" t="n">
        <v>3389.83</v>
      </c>
      <c r="N699" s="11">
        <f>IF(M699="","",ROUND(M699*1.18,2))</f>
        <v/>
      </c>
      <c r="O699" s="12">
        <f>IF(M699="","",ROUND(N699-M699,2))</f>
        <v/>
      </c>
      <c r="P699" s="13">
        <f>IF(AND(A699&lt;&gt;"",B699&lt;&gt;""), A699&amp;" · "&amp;B699, "")</f>
        <v/>
      </c>
    </row>
    <row r="700">
      <c r="A700" s="6" t="inlineStr">
        <is>
          <t>FY26</t>
        </is>
      </c>
      <c r="B700" s="6" t="inlineStr">
        <is>
          <t>Feb</t>
        </is>
      </c>
      <c r="C700" s="6" t="inlineStr">
        <is>
          <t>TN</t>
        </is>
      </c>
      <c r="D700" s="7" t="inlineStr">
        <is>
          <t>TN12L6069</t>
        </is>
      </c>
      <c r="E700" s="7" t="inlineStr">
        <is>
          <t>RENAULT</t>
        </is>
      </c>
      <c r="F700" s="7" t="inlineStr">
        <is>
          <t>Duster</t>
        </is>
      </c>
      <c r="G700" s="7" t="inlineStr">
        <is>
          <t>STEER AUTO TECHNOLOGIES PRIVATE LIMITED</t>
        </is>
      </c>
      <c r="H700" s="7" t="inlineStr">
        <is>
          <t>Non-Captive</t>
        </is>
      </c>
      <c r="I700" s="7" t="inlineStr">
        <is>
          <t>Rithika cars</t>
        </is>
      </c>
      <c r="J700" s="8" t="n">
        <v>2016</v>
      </c>
      <c r="K700" s="9" t="n">
        <v>104531</v>
      </c>
      <c r="L700" s="10" t="n">
        <v>520000</v>
      </c>
      <c r="M700" s="10" t="n">
        <v>3389.83</v>
      </c>
      <c r="N700" s="11">
        <f>IF(M700="","",ROUND(M700*1.18,2))</f>
        <v/>
      </c>
      <c r="O700" s="12">
        <f>IF(M700="","",ROUND(N700-M700,2))</f>
        <v/>
      </c>
      <c r="P700" s="13">
        <f>IF(AND(A700&lt;&gt;"",B700&lt;&gt;""), A700&amp;" · "&amp;B700, "")</f>
        <v/>
      </c>
    </row>
    <row r="701">
      <c r="A701" s="6" t="inlineStr">
        <is>
          <t>FY26</t>
        </is>
      </c>
      <c r="B701" s="6" t="inlineStr">
        <is>
          <t>Feb</t>
        </is>
      </c>
      <c r="C701" s="6" t="inlineStr">
        <is>
          <t>TN</t>
        </is>
      </c>
      <c r="D701" s="7" t="inlineStr">
        <is>
          <t>TN12P5726</t>
        </is>
      </c>
      <c r="E701" s="7" t="inlineStr">
        <is>
          <t>HONDA</t>
        </is>
      </c>
      <c r="F701" s="7" t="inlineStr">
        <is>
          <t>City</t>
        </is>
      </c>
      <c r="G701" s="7" t="inlineStr">
        <is>
          <t>AIE CARS PRIVATE LIMITED</t>
        </is>
      </c>
      <c r="H701" s="7" t="inlineStr">
        <is>
          <t>Non-Captive</t>
        </is>
      </c>
      <c r="I701" s="7" t="inlineStr">
        <is>
          <t>Pine Autos</t>
        </is>
      </c>
      <c r="J701" s="8" t="n">
        <v>2016</v>
      </c>
      <c r="K701" s="9" t="n">
        <v>75460</v>
      </c>
      <c r="L701" s="10" t="n">
        <v>475000</v>
      </c>
      <c r="M701" s="10" t="n">
        <v>4237.29</v>
      </c>
      <c r="N701" s="11">
        <f>IF(M701="","",ROUND(M701*1.18,2))</f>
        <v/>
      </c>
      <c r="O701" s="12">
        <f>IF(M701="","",ROUND(N701-M701,2))</f>
        <v/>
      </c>
      <c r="P701" s="13">
        <f>IF(AND(A701&lt;&gt;"",B701&lt;&gt;""), A701&amp;" · "&amp;B701, "")</f>
        <v/>
      </c>
    </row>
    <row r="702">
      <c r="A702" s="6" t="inlineStr">
        <is>
          <t>FY26</t>
        </is>
      </c>
      <c r="B702" s="6" t="inlineStr">
        <is>
          <t>Feb</t>
        </is>
      </c>
      <c r="C702" s="6" t="inlineStr">
        <is>
          <t>TN</t>
        </is>
      </c>
      <c r="D702" s="7" t="inlineStr">
        <is>
          <t>TN12S6882</t>
        </is>
      </c>
      <c r="E702" s="7" t="inlineStr">
        <is>
          <t>MARUTI SUZUKI</t>
        </is>
      </c>
      <c r="F702" s="7" t="inlineStr">
        <is>
          <t>Baleno</t>
        </is>
      </c>
      <c r="G702" s="7" t="inlineStr">
        <is>
          <t>STEER AUTO TECHNOLOGIES PRIVATE LIMITED</t>
        </is>
      </c>
      <c r="H702" s="7" t="inlineStr">
        <is>
          <t>Non-Captive</t>
        </is>
      </c>
      <c r="I702" s="7" t="inlineStr">
        <is>
          <t>Rithika cars</t>
        </is>
      </c>
      <c r="J702" s="8" t="n">
        <v>2017</v>
      </c>
      <c r="K702" s="9" t="n">
        <v>81753</v>
      </c>
      <c r="L702" s="10" t="n">
        <v>488000</v>
      </c>
      <c r="M702" s="10" t="n">
        <v>3389.83</v>
      </c>
      <c r="N702" s="11">
        <f>IF(M702="","",ROUND(M702*1.18,2))</f>
        <v/>
      </c>
      <c r="O702" s="12">
        <f>IF(M702="","",ROUND(N702-M702,2))</f>
        <v/>
      </c>
      <c r="P702" s="13">
        <f>IF(AND(A702&lt;&gt;"",B702&lt;&gt;""), A702&amp;" · "&amp;B702, "")</f>
        <v/>
      </c>
    </row>
    <row r="703">
      <c r="A703" s="6" t="inlineStr">
        <is>
          <t>FY26</t>
        </is>
      </c>
      <c r="B703" s="6" t="inlineStr">
        <is>
          <t>Feb</t>
        </is>
      </c>
      <c r="C703" s="6" t="inlineStr">
        <is>
          <t>TN</t>
        </is>
      </c>
      <c r="D703" s="7" t="inlineStr">
        <is>
          <t>TN12U9378</t>
        </is>
      </c>
      <c r="E703" s="7" t="inlineStr">
        <is>
          <t>HONDA</t>
        </is>
      </c>
      <c r="F703" s="7" t="inlineStr">
        <is>
          <t>WR-V</t>
        </is>
      </c>
      <c r="G703" s="7" t="inlineStr">
        <is>
          <t>STEER AUTO TECHNOLOGIES PRIVATE LIMITED</t>
        </is>
      </c>
      <c r="H703" s="7" t="inlineStr">
        <is>
          <t>Non-Captive</t>
        </is>
      </c>
      <c r="I703" s="7" t="inlineStr">
        <is>
          <t>Rithika cars</t>
        </is>
      </c>
      <c r="J703" s="8" t="n">
        <v>2017</v>
      </c>
      <c r="K703" s="9" t="n">
        <v>143727</v>
      </c>
      <c r="L703" s="10" t="n">
        <v>495000</v>
      </c>
      <c r="M703" s="10" t="n">
        <v>4237.29</v>
      </c>
      <c r="N703" s="11">
        <f>IF(M703="","",ROUND(M703*1.18,2))</f>
        <v/>
      </c>
      <c r="O703" s="12">
        <f>IF(M703="","",ROUND(N703-M703,2))</f>
        <v/>
      </c>
      <c r="P703" s="13">
        <f>IF(AND(A703&lt;&gt;"",B703&lt;&gt;""), A703&amp;" · "&amp;B703, "")</f>
        <v/>
      </c>
    </row>
    <row r="704">
      <c r="A704" s="6" t="inlineStr">
        <is>
          <t>FY26</t>
        </is>
      </c>
      <c r="B704" s="6" t="inlineStr">
        <is>
          <t>Feb</t>
        </is>
      </c>
      <c r="C704" s="6" t="inlineStr">
        <is>
          <t>TN</t>
        </is>
      </c>
      <c r="D704" s="7" t="inlineStr">
        <is>
          <t>TN13D1058</t>
        </is>
      </c>
      <c r="E704" s="7" t="inlineStr">
        <is>
          <t>MARUTI SUZUKI</t>
        </is>
      </c>
      <c r="F704" s="7" t="inlineStr">
        <is>
          <t>Celerio</t>
        </is>
      </c>
      <c r="G704" s="7" t="inlineStr">
        <is>
          <t>KHIVRAJ MOTOR</t>
        </is>
      </c>
      <c r="H704" s="7" t="inlineStr">
        <is>
          <t>Non-Captive</t>
        </is>
      </c>
      <c r="I704" s="7" t="inlineStr">
        <is>
          <t>S2 Cars</t>
        </is>
      </c>
      <c r="J704" s="8" t="n">
        <v>2015</v>
      </c>
      <c r="K704" s="9" t="n">
        <v>46441</v>
      </c>
      <c r="L704" s="10" t="n">
        <v>265000</v>
      </c>
      <c r="M704" s="10" t="n">
        <v>5084.75</v>
      </c>
      <c r="N704" s="11">
        <f>IF(M704="","",ROUND(M704*1.18,2))</f>
        <v/>
      </c>
      <c r="O704" s="12">
        <f>IF(M704="","",ROUND(N704-M704,2))</f>
        <v/>
      </c>
      <c r="P704" s="13">
        <f>IF(AND(A704&lt;&gt;"",B704&lt;&gt;""), A704&amp;" · "&amp;B704, "")</f>
        <v/>
      </c>
    </row>
    <row r="705">
      <c r="A705" s="6" t="inlineStr">
        <is>
          <t>FY26</t>
        </is>
      </c>
      <c r="B705" s="6" t="inlineStr">
        <is>
          <t>Feb</t>
        </is>
      </c>
      <c r="C705" s="6" t="inlineStr">
        <is>
          <t>TN</t>
        </is>
      </c>
      <c r="D705" s="7" t="inlineStr">
        <is>
          <t>TN13F2010</t>
        </is>
      </c>
      <c r="E705" s="7" t="inlineStr">
        <is>
          <t>MARUTI SUZUKI</t>
        </is>
      </c>
      <c r="F705" s="7" t="inlineStr">
        <is>
          <t>Baleno</t>
        </is>
      </c>
      <c r="G705" s="7" t="inlineStr">
        <is>
          <t>KHIVRAJ MOTOR</t>
        </is>
      </c>
      <c r="H705" s="7" t="inlineStr">
        <is>
          <t>Non-Captive</t>
        </is>
      </c>
      <c r="I705" s="7" t="inlineStr">
        <is>
          <t>Trust On wheels</t>
        </is>
      </c>
      <c r="J705" s="8" t="n">
        <v>2016</v>
      </c>
      <c r="K705" s="9" t="n">
        <v>97186</v>
      </c>
      <c r="L705" s="10" t="n">
        <v>310000</v>
      </c>
      <c r="M705" s="10" t="n">
        <v>5084.75</v>
      </c>
      <c r="N705" s="11">
        <f>IF(M705="","",ROUND(M705*1.18,2))</f>
        <v/>
      </c>
      <c r="O705" s="12">
        <f>IF(M705="","",ROUND(N705-M705,2))</f>
        <v/>
      </c>
      <c r="P705" s="13">
        <f>IF(AND(A705&lt;&gt;"",B705&lt;&gt;""), A705&amp;" · "&amp;B705, "")</f>
        <v/>
      </c>
    </row>
    <row r="706">
      <c r="A706" s="6" t="inlineStr">
        <is>
          <t>FY26</t>
        </is>
      </c>
      <c r="B706" s="6" t="inlineStr">
        <is>
          <t>Feb</t>
        </is>
      </c>
      <c r="C706" s="6" t="inlineStr">
        <is>
          <t>TN</t>
        </is>
      </c>
      <c r="D706" s="7" t="inlineStr">
        <is>
          <t>TN13M2461</t>
        </is>
      </c>
      <c r="E706" s="7" t="inlineStr">
        <is>
          <t>RENAULT</t>
        </is>
      </c>
      <c r="F706" s="7" t="inlineStr">
        <is>
          <t>Kwid</t>
        </is>
      </c>
      <c r="G706" s="7" t="inlineStr">
        <is>
          <t>STEER AUTO TECHNOLOGIES PRIVATE LIMITED</t>
        </is>
      </c>
      <c r="H706" s="7" t="inlineStr">
        <is>
          <t>Non-Captive</t>
        </is>
      </c>
      <c r="I706" s="7" t="inlineStr">
        <is>
          <t>Rithika cars</t>
        </is>
      </c>
      <c r="J706" s="8" t="n">
        <v>2018</v>
      </c>
      <c r="K706" s="9" t="n">
        <v>48523</v>
      </c>
      <c r="L706" s="10" t="n">
        <v>308000</v>
      </c>
      <c r="M706" s="10" t="n">
        <v>3389.83</v>
      </c>
      <c r="N706" s="11">
        <f>IF(M706="","",ROUND(M706*1.18,2))</f>
        <v/>
      </c>
      <c r="O706" s="12">
        <f>IF(M706="","",ROUND(N706-M706,2))</f>
        <v/>
      </c>
      <c r="P706" s="13">
        <f>IF(AND(A706&lt;&gt;"",B706&lt;&gt;""), A706&amp;" · "&amp;B706, "")</f>
        <v/>
      </c>
    </row>
    <row r="707">
      <c r="A707" s="6" t="inlineStr">
        <is>
          <t>FY26</t>
        </is>
      </c>
      <c r="B707" s="6" t="inlineStr">
        <is>
          <t>Feb</t>
        </is>
      </c>
      <c r="C707" s="6" t="inlineStr">
        <is>
          <t>TN</t>
        </is>
      </c>
      <c r="D707" s="7" t="inlineStr">
        <is>
          <t>TN14AD3704</t>
        </is>
      </c>
      <c r="E707" s="7" t="inlineStr">
        <is>
          <t>MARUTI SUZUKI</t>
        </is>
      </c>
      <c r="F707" s="7" t="inlineStr">
        <is>
          <t>S-Presso</t>
        </is>
      </c>
      <c r="G707" s="7" t="inlineStr">
        <is>
          <t>CARS INDIA</t>
        </is>
      </c>
      <c r="H707" s="7" t="inlineStr">
        <is>
          <t>Non-Captive</t>
        </is>
      </c>
      <c r="I707" s="7" t="inlineStr">
        <is>
          <t>Thiya Cars</t>
        </is>
      </c>
      <c r="J707" s="8" t="n">
        <v>2022</v>
      </c>
      <c r="K707" s="9" t="n">
        <v>50550</v>
      </c>
      <c r="L707" s="10" t="n">
        <v>250000</v>
      </c>
      <c r="M707" s="10" t="n">
        <v>3389.83</v>
      </c>
      <c r="N707" s="11">
        <f>IF(M707="","",ROUND(M707*1.18,2))</f>
        <v/>
      </c>
      <c r="O707" s="12">
        <f>IF(M707="","",ROUND(N707-M707,2))</f>
        <v/>
      </c>
      <c r="P707" s="13">
        <f>IF(AND(A707&lt;&gt;"",B707&lt;&gt;""), A707&amp;" · "&amp;B707, "")</f>
        <v/>
      </c>
    </row>
    <row r="708">
      <c r="A708" s="6" t="inlineStr">
        <is>
          <t>FY26</t>
        </is>
      </c>
      <c r="B708" s="6" t="inlineStr">
        <is>
          <t>Feb</t>
        </is>
      </c>
      <c r="C708" s="6" t="inlineStr">
        <is>
          <t>TN</t>
        </is>
      </c>
      <c r="D708" s="7" t="inlineStr">
        <is>
          <t>TN14D8228</t>
        </is>
      </c>
      <c r="E708" s="7" t="inlineStr">
        <is>
          <t>MARUTI SUZUKI</t>
        </is>
      </c>
      <c r="F708" s="7" t="inlineStr">
        <is>
          <t>Celerio</t>
        </is>
      </c>
      <c r="G708" s="7" t="inlineStr">
        <is>
          <t>KHIVRAJ MOTOR</t>
        </is>
      </c>
      <c r="H708" s="7" t="inlineStr">
        <is>
          <t>Non-Captive</t>
        </is>
      </c>
      <c r="I708" s="7" t="inlineStr">
        <is>
          <t>Hema Cars</t>
        </is>
      </c>
      <c r="J708" s="8" t="n">
        <v>2015</v>
      </c>
      <c r="K708" s="9" t="n">
        <v>65129</v>
      </c>
      <c r="L708" s="10" t="n">
        <v>98000</v>
      </c>
      <c r="M708" s="10" t="n">
        <v>2542.37</v>
      </c>
      <c r="N708" s="11">
        <f>IF(M708="","",ROUND(M708*1.18,2))</f>
        <v/>
      </c>
      <c r="O708" s="12">
        <f>IF(M708="","",ROUND(N708-M708,2))</f>
        <v/>
      </c>
      <c r="P708" s="13">
        <f>IF(AND(A708&lt;&gt;"",B708&lt;&gt;""), A708&amp;" · "&amp;B708, "")</f>
        <v/>
      </c>
    </row>
    <row r="709">
      <c r="A709" s="6" t="inlineStr">
        <is>
          <t>FY26</t>
        </is>
      </c>
      <c r="B709" s="6" t="inlineStr">
        <is>
          <t>Feb</t>
        </is>
      </c>
      <c r="C709" s="6" t="inlineStr">
        <is>
          <t>TN</t>
        </is>
      </c>
      <c r="D709" s="7" t="inlineStr">
        <is>
          <t>TN14J6732</t>
        </is>
      </c>
      <c r="E709" s="7" t="inlineStr">
        <is>
          <t>SKODA</t>
        </is>
      </c>
      <c r="F709" s="7" t="inlineStr">
        <is>
          <t>Rapid</t>
        </is>
      </c>
      <c r="G709" s="7" t="inlineStr">
        <is>
          <t>STEER AUTO TECHNOLOGIES PRIVATE LIMITED</t>
        </is>
      </c>
      <c r="H709" s="7" t="inlineStr">
        <is>
          <t>Non-Captive</t>
        </is>
      </c>
      <c r="I709" s="7" t="inlineStr">
        <is>
          <t>Rithika cars</t>
        </is>
      </c>
      <c r="J709" s="8" t="n">
        <v>2016</v>
      </c>
      <c r="K709" s="9" t="n">
        <v>107500</v>
      </c>
      <c r="L709" s="10" t="n">
        <v>420000</v>
      </c>
      <c r="M709" s="10" t="n">
        <v>3389.83</v>
      </c>
      <c r="N709" s="11">
        <f>IF(M709="","",ROUND(M709*1.18,2))</f>
        <v/>
      </c>
      <c r="O709" s="12">
        <f>IF(M709="","",ROUND(N709-M709,2))</f>
        <v/>
      </c>
      <c r="P709" s="13">
        <f>IF(AND(A709&lt;&gt;"",B709&lt;&gt;""), A709&amp;" · "&amp;B709, "")</f>
        <v/>
      </c>
    </row>
    <row r="710">
      <c r="A710" s="6" t="inlineStr">
        <is>
          <t>FY26</t>
        </is>
      </c>
      <c r="B710" s="6" t="inlineStr">
        <is>
          <t>Feb</t>
        </is>
      </c>
      <c r="C710" s="6" t="inlineStr">
        <is>
          <t>TN</t>
        </is>
      </c>
      <c r="D710" s="7" t="inlineStr">
        <is>
          <t>TN14R0960</t>
        </is>
      </c>
      <c r="E710" s="7" t="inlineStr">
        <is>
          <t>HYUNDAI</t>
        </is>
      </c>
      <c r="F710" s="7" t="inlineStr">
        <is>
          <t>i20</t>
        </is>
      </c>
      <c r="G710" s="7" t="inlineStr">
        <is>
          <t>LAKSHMI HYUNDAI</t>
        </is>
      </c>
      <c r="H710" s="7" t="inlineStr">
        <is>
          <t>Non-Captive</t>
        </is>
      </c>
      <c r="I710" s="7" t="inlineStr">
        <is>
          <t>Thiya Cars</t>
        </is>
      </c>
      <c r="J710" s="8" t="n">
        <v>2018</v>
      </c>
      <c r="K710" s="9" t="n">
        <v>45005</v>
      </c>
      <c r="L710" s="10" t="n">
        <v>380000</v>
      </c>
      <c r="M710" s="10" t="n">
        <v>3389.83</v>
      </c>
      <c r="N710" s="11">
        <f>IF(M710="","",ROUND(M710*1.18,2))</f>
        <v/>
      </c>
      <c r="O710" s="12">
        <f>IF(M710="","",ROUND(N710-M710,2))</f>
        <v/>
      </c>
      <c r="P710" s="13">
        <f>IF(AND(A710&lt;&gt;"",B710&lt;&gt;""), A710&amp;" · "&amp;B710, "")</f>
        <v/>
      </c>
    </row>
    <row r="711">
      <c r="A711" s="6" t="inlineStr">
        <is>
          <t>FY26</t>
        </is>
      </c>
      <c r="B711" s="6" t="inlineStr">
        <is>
          <t>Feb</t>
        </is>
      </c>
      <c r="C711" s="6" t="inlineStr">
        <is>
          <t>TN</t>
        </is>
      </c>
      <c r="D711" s="7" t="inlineStr">
        <is>
          <t>TN14T2350</t>
        </is>
      </c>
      <c r="E711" s="7" t="inlineStr">
        <is>
          <t>HONDA</t>
        </is>
      </c>
      <c r="F711" s="7" t="inlineStr">
        <is>
          <t>City</t>
        </is>
      </c>
      <c r="G711" s="7" t="inlineStr">
        <is>
          <t>EXCHANGE ROTN</t>
        </is>
      </c>
      <c r="H711" s="7" t="inlineStr">
        <is>
          <t>Captive</t>
        </is>
      </c>
      <c r="I711" s="7" t="inlineStr">
        <is>
          <t>Trust On wheels</t>
        </is>
      </c>
      <c r="J711" s="8" t="n">
        <v>2019</v>
      </c>
      <c r="K711" s="9" t="n">
        <v>68265</v>
      </c>
      <c r="L711" s="10" t="n">
        <v>490000</v>
      </c>
      <c r="M711" s="10" t="n">
        <v>16949.15</v>
      </c>
      <c r="N711" s="11">
        <f>IF(M711="","",ROUND(M711*1.18,2))</f>
        <v/>
      </c>
      <c r="O711" s="12">
        <f>IF(M711="","",ROUND(N711-M711,2))</f>
        <v/>
      </c>
      <c r="P711" s="13">
        <f>IF(AND(A711&lt;&gt;"",B711&lt;&gt;""), A711&amp;" · "&amp;B711, "")</f>
        <v/>
      </c>
    </row>
    <row r="712">
      <c r="A712" s="6" t="inlineStr">
        <is>
          <t>FY26</t>
        </is>
      </c>
      <c r="B712" s="6" t="inlineStr">
        <is>
          <t>Feb</t>
        </is>
      </c>
      <c r="C712" s="6" t="inlineStr">
        <is>
          <t>TN</t>
        </is>
      </c>
      <c r="D712" s="7" t="inlineStr">
        <is>
          <t>TN14V3370</t>
        </is>
      </c>
      <c r="E712" s="7" t="inlineStr">
        <is>
          <t>RENAULT</t>
        </is>
      </c>
      <c r="F712" s="7" t="inlineStr">
        <is>
          <t>Kwid</t>
        </is>
      </c>
      <c r="G712" s="7" t="inlineStr">
        <is>
          <t>STEER AUTO TECHNOLOGIES PRIVATE LIMITED</t>
        </is>
      </c>
      <c r="H712" s="7" t="inlineStr">
        <is>
          <t>Non-Captive</t>
        </is>
      </c>
      <c r="I712" s="7" t="inlineStr">
        <is>
          <t>Rithika cars</t>
        </is>
      </c>
      <c r="J712" s="8" t="n">
        <v>2019</v>
      </c>
      <c r="K712" s="9" t="n">
        <v>92457</v>
      </c>
      <c r="L712" s="10" t="n">
        <v>320000</v>
      </c>
      <c r="M712" s="10" t="n">
        <v>4237.29</v>
      </c>
      <c r="N712" s="11">
        <f>IF(M712="","",ROUND(M712*1.18,2))</f>
        <v/>
      </c>
      <c r="O712" s="12">
        <f>IF(M712="","",ROUND(N712-M712,2))</f>
        <v/>
      </c>
      <c r="P712" s="13">
        <f>IF(AND(A712&lt;&gt;"",B712&lt;&gt;""), A712&amp;" · "&amp;B712, "")</f>
        <v/>
      </c>
    </row>
    <row r="713">
      <c r="A713" s="6" t="inlineStr">
        <is>
          <t>FY26</t>
        </is>
      </c>
      <c r="B713" s="6" t="inlineStr">
        <is>
          <t>Feb</t>
        </is>
      </c>
      <c r="C713" s="6" t="inlineStr">
        <is>
          <t>TN</t>
        </is>
      </c>
      <c r="D713" s="7" t="inlineStr">
        <is>
          <t>TN14W3870</t>
        </is>
      </c>
      <c r="E713" s="7" t="inlineStr">
        <is>
          <t>HYUNDAI</t>
        </is>
      </c>
      <c r="F713" s="7" t="inlineStr">
        <is>
          <t>i20</t>
        </is>
      </c>
      <c r="G713" s="7" t="inlineStr">
        <is>
          <t>POPULAR VEHICLES</t>
        </is>
      </c>
      <c r="H713" s="7" t="inlineStr">
        <is>
          <t>Non-Captive</t>
        </is>
      </c>
      <c r="I713" s="7" t="inlineStr">
        <is>
          <t>Thiya Cars</t>
        </is>
      </c>
      <c r="J713" s="8" t="n">
        <v>2020</v>
      </c>
      <c r="K713" s="9" t="n">
        <v>39453</v>
      </c>
      <c r="L713" s="10" t="n">
        <v>375000</v>
      </c>
      <c r="M713" s="10" t="n">
        <v>4237.29</v>
      </c>
      <c r="N713" s="11">
        <f>IF(M713="","",ROUND(M713*1.18,2))</f>
        <v/>
      </c>
      <c r="O713" s="12">
        <f>IF(M713="","",ROUND(N713-M713,2))</f>
        <v/>
      </c>
      <c r="P713" s="13">
        <f>IF(AND(A713&lt;&gt;"",B713&lt;&gt;""), A713&amp;" · "&amp;B713, "")</f>
        <v/>
      </c>
    </row>
    <row r="714">
      <c r="A714" s="6" t="inlineStr">
        <is>
          <t>FY26</t>
        </is>
      </c>
      <c r="B714" s="6" t="inlineStr">
        <is>
          <t>Feb</t>
        </is>
      </c>
      <c r="C714" s="6" t="inlineStr">
        <is>
          <t>TN</t>
        </is>
      </c>
      <c r="D714" s="7" t="inlineStr">
        <is>
          <t>TN14X6314</t>
        </is>
      </c>
      <c r="E714" s="7" t="inlineStr">
        <is>
          <t>HONDA</t>
        </is>
      </c>
      <c r="F714" s="7" t="inlineStr">
        <is>
          <t>Jazz</t>
        </is>
      </c>
      <c r="G714" s="7" t="inlineStr">
        <is>
          <t>EXCHANGE CHENNAI</t>
        </is>
      </c>
      <c r="H714" s="7" t="inlineStr">
        <is>
          <t>Captive</t>
        </is>
      </c>
      <c r="I714" s="7" t="inlineStr">
        <is>
          <t>Santhosh Cars</t>
        </is>
      </c>
      <c r="J714" s="8" t="n">
        <v>2021</v>
      </c>
      <c r="K714" s="9" t="n">
        <v>52715</v>
      </c>
      <c r="L714" s="10" t="n">
        <v>447000</v>
      </c>
      <c r="M714" s="10" t="n">
        <v>4237.29</v>
      </c>
      <c r="N714" s="11">
        <f>IF(M714="","",ROUND(M714*1.18,2))</f>
        <v/>
      </c>
      <c r="O714" s="12">
        <f>IF(M714="","",ROUND(N714-M714,2))</f>
        <v/>
      </c>
      <c r="P714" s="13">
        <f>IF(AND(A714&lt;&gt;"",B714&lt;&gt;""), A714&amp;" · "&amp;B714, "")</f>
        <v/>
      </c>
    </row>
    <row r="715">
      <c r="A715" s="6" t="inlineStr">
        <is>
          <t>FY26</t>
        </is>
      </c>
      <c r="B715" s="6" t="inlineStr">
        <is>
          <t>Feb</t>
        </is>
      </c>
      <c r="C715" s="6" t="inlineStr">
        <is>
          <t>TN</t>
        </is>
      </c>
      <c r="D715" s="7" t="inlineStr">
        <is>
          <t>TN18AX4570</t>
        </is>
      </c>
      <c r="E715" s="7" t="inlineStr">
        <is>
          <t>RENAULT</t>
        </is>
      </c>
      <c r="F715" s="7" t="inlineStr">
        <is>
          <t>Kwid</t>
        </is>
      </c>
      <c r="G715" s="7" t="inlineStr">
        <is>
          <t>STEER AUTO TECHNOLOGIES PRIVATE LIMITED</t>
        </is>
      </c>
      <c r="H715" s="7" t="inlineStr">
        <is>
          <t>Non-Captive</t>
        </is>
      </c>
      <c r="I715" s="7" t="inlineStr">
        <is>
          <t>Rithika cars</t>
        </is>
      </c>
      <c r="J715" s="8" t="n">
        <v>2018</v>
      </c>
      <c r="K715" s="9" t="n">
        <v>36202</v>
      </c>
      <c r="L715" s="10" t="n">
        <v>275000</v>
      </c>
      <c r="M715" s="10" t="n">
        <v>4237.29</v>
      </c>
      <c r="N715" s="11">
        <f>IF(M715="","",ROUND(M715*1.18,2))</f>
        <v/>
      </c>
      <c r="O715" s="12">
        <f>IF(M715="","",ROUND(N715-M715,2))</f>
        <v/>
      </c>
      <c r="P715" s="13">
        <f>IF(AND(A715&lt;&gt;"",B715&lt;&gt;""), A715&amp;" · "&amp;B715, "")</f>
        <v/>
      </c>
    </row>
    <row r="716">
      <c r="A716" s="6" t="inlineStr">
        <is>
          <t>FY26</t>
        </is>
      </c>
      <c r="B716" s="6" t="inlineStr">
        <is>
          <t>Feb</t>
        </is>
      </c>
      <c r="C716" s="6" t="inlineStr">
        <is>
          <t>TN</t>
        </is>
      </c>
      <c r="D716" s="7" t="inlineStr">
        <is>
          <t>TN18BA6185</t>
        </is>
      </c>
      <c r="E716" s="7" t="inlineStr">
        <is>
          <t>MARUTI SUZUKI</t>
        </is>
      </c>
      <c r="F716" s="7" t="inlineStr">
        <is>
          <t>S-Presso</t>
        </is>
      </c>
      <c r="G716" s="7" t="inlineStr">
        <is>
          <t>POPULAR VEHICLES</t>
        </is>
      </c>
      <c r="H716" s="7" t="inlineStr">
        <is>
          <t>Non-Captive</t>
        </is>
      </c>
      <c r="I716" s="7" t="inlineStr">
        <is>
          <t>TSM</t>
        </is>
      </c>
      <c r="J716" s="8" t="n">
        <v>2020</v>
      </c>
      <c r="K716" s="9" t="n">
        <v>91207</v>
      </c>
      <c r="L716" s="10" t="n">
        <v>325000</v>
      </c>
      <c r="M716" s="10" t="n">
        <v>4237.29</v>
      </c>
      <c r="N716" s="11">
        <f>IF(M716="","",ROUND(M716*1.18,2))</f>
        <v/>
      </c>
      <c r="O716" s="12">
        <f>IF(M716="","",ROUND(N716-M716,2))</f>
        <v/>
      </c>
      <c r="P716" s="13">
        <f>IF(AND(A716&lt;&gt;"",B716&lt;&gt;""), A716&amp;" · "&amp;B716, "")</f>
        <v/>
      </c>
    </row>
    <row r="717">
      <c r="A717" s="6" t="inlineStr">
        <is>
          <t>FY26</t>
        </is>
      </c>
      <c r="B717" s="6" t="inlineStr">
        <is>
          <t>Feb</t>
        </is>
      </c>
      <c r="C717" s="6" t="inlineStr">
        <is>
          <t>TN</t>
        </is>
      </c>
      <c r="D717" s="7" t="inlineStr">
        <is>
          <t>TN18F6026</t>
        </is>
      </c>
      <c r="E717" s="7" t="inlineStr">
        <is>
          <t>MARUTI SUZUKI</t>
        </is>
      </c>
      <c r="F717" s="7" t="inlineStr">
        <is>
          <t>Alto</t>
        </is>
      </c>
      <c r="G717" s="7" t="inlineStr">
        <is>
          <t>KHIVRAJ MOTOR</t>
        </is>
      </c>
      <c r="H717" s="7" t="inlineStr">
        <is>
          <t>Non-Captive</t>
        </is>
      </c>
      <c r="I717" s="7" t="inlineStr">
        <is>
          <t>Pine Autos</t>
        </is>
      </c>
      <c r="J717" s="8" t="n">
        <v>2011</v>
      </c>
      <c r="K717" s="9" t="n">
        <v>77178</v>
      </c>
      <c r="L717" s="10" t="n">
        <v>110000</v>
      </c>
      <c r="M717" s="10" t="n">
        <v>5084.75</v>
      </c>
      <c r="N717" s="11">
        <f>IF(M717="","",ROUND(M717*1.18,2))</f>
        <v/>
      </c>
      <c r="O717" s="12">
        <f>IF(M717="","",ROUND(N717-M717,2))</f>
        <v/>
      </c>
      <c r="P717" s="13">
        <f>IF(AND(A717&lt;&gt;"",B717&lt;&gt;""), A717&amp;" · "&amp;B717, "")</f>
        <v/>
      </c>
    </row>
    <row r="718">
      <c r="A718" s="6" t="inlineStr">
        <is>
          <t>FY26</t>
        </is>
      </c>
      <c r="B718" s="6" t="inlineStr">
        <is>
          <t>Feb</t>
        </is>
      </c>
      <c r="C718" s="6" t="inlineStr">
        <is>
          <t>TN</t>
        </is>
      </c>
      <c r="D718" s="7" t="inlineStr">
        <is>
          <t>TN18J2021</t>
        </is>
      </c>
      <c r="E718" s="7" t="inlineStr">
        <is>
          <t>HYUNDAI</t>
        </is>
      </c>
      <c r="F718" s="7" t="inlineStr">
        <is>
          <t>i20</t>
        </is>
      </c>
      <c r="G718" s="7" t="inlineStr">
        <is>
          <t>KHIVRAJ MOTOR</t>
        </is>
      </c>
      <c r="H718" s="7" t="inlineStr">
        <is>
          <t>Non-Captive</t>
        </is>
      </c>
      <c r="I718" s="7" t="inlineStr">
        <is>
          <t>Pine Autos</t>
        </is>
      </c>
      <c r="J718" s="8" t="n">
        <v>2011</v>
      </c>
      <c r="K718" s="9" t="n">
        <v>113321</v>
      </c>
      <c r="L718" s="10" t="n">
        <v>100000</v>
      </c>
      <c r="M718" s="10" t="n">
        <v>4237.29</v>
      </c>
      <c r="N718" s="11">
        <f>IF(M718="","",ROUND(M718*1.18,2))</f>
        <v/>
      </c>
      <c r="O718" s="12">
        <f>IF(M718="","",ROUND(N718-M718,2))</f>
        <v/>
      </c>
      <c r="P718" s="13">
        <f>IF(AND(A718&lt;&gt;"",B718&lt;&gt;""), A718&amp;" · "&amp;B718, "")</f>
        <v/>
      </c>
    </row>
    <row r="719">
      <c r="A719" s="6" t="inlineStr">
        <is>
          <t>FY26</t>
        </is>
      </c>
      <c r="B719" s="6" t="inlineStr">
        <is>
          <t>Feb</t>
        </is>
      </c>
      <c r="C719" s="6" t="inlineStr">
        <is>
          <t>TN</t>
        </is>
      </c>
      <c r="D719" s="7" t="inlineStr">
        <is>
          <t>TN18J6373</t>
        </is>
      </c>
      <c r="E719" s="7" t="inlineStr">
        <is>
          <t>MARUTI SUZUKI</t>
        </is>
      </c>
      <c r="F719" s="7" t="inlineStr">
        <is>
          <t>Dzire</t>
        </is>
      </c>
      <c r="G719" s="7" t="inlineStr">
        <is>
          <t>EXCHANGE CHENNAI</t>
        </is>
      </c>
      <c r="H719" s="7" t="inlineStr">
        <is>
          <t>Captive</t>
        </is>
      </c>
      <c r="I719" s="7" t="inlineStr">
        <is>
          <t>Santhosh Cars</t>
        </is>
      </c>
      <c r="J719" s="8" t="n">
        <v>2011</v>
      </c>
      <c r="K719" s="9" t="n">
        <v>61247</v>
      </c>
      <c r="L719" s="10" t="n">
        <v>233000</v>
      </c>
      <c r="M719" s="10" t="n">
        <v>8474.58</v>
      </c>
      <c r="N719" s="11">
        <f>IF(M719="","",ROUND(M719*1.18,2))</f>
        <v/>
      </c>
      <c r="O719" s="12">
        <f>IF(M719="","",ROUND(N719-M719,2))</f>
        <v/>
      </c>
      <c r="P719" s="13">
        <f>IF(AND(A719&lt;&gt;"",B719&lt;&gt;""), A719&amp;" · "&amp;B719, "")</f>
        <v/>
      </c>
    </row>
    <row r="720">
      <c r="A720" s="6" t="inlineStr">
        <is>
          <t>FY26</t>
        </is>
      </c>
      <c r="B720" s="6" t="inlineStr">
        <is>
          <t>Feb</t>
        </is>
      </c>
      <c r="C720" s="6" t="inlineStr">
        <is>
          <t>TN</t>
        </is>
      </c>
      <c r="D720" s="7" t="inlineStr">
        <is>
          <t>TN18Q0753</t>
        </is>
      </c>
      <c r="E720" s="7" t="inlineStr">
        <is>
          <t>HONDA</t>
        </is>
      </c>
      <c r="F720" s="7" t="inlineStr">
        <is>
          <t>City</t>
        </is>
      </c>
      <c r="G720" s="7" t="inlineStr">
        <is>
          <t>NIRMAL</t>
        </is>
      </c>
      <c r="H720" s="7" t="inlineStr">
        <is>
          <t>Non-Captive</t>
        </is>
      </c>
      <c r="I720" s="7" t="inlineStr">
        <is>
          <t>TSM</t>
        </is>
      </c>
      <c r="J720" s="8" t="n">
        <v>2013</v>
      </c>
      <c r="K720" s="9" t="n">
        <v>24158</v>
      </c>
      <c r="L720" s="10" t="n">
        <v>390000</v>
      </c>
      <c r="M720" s="10" t="n">
        <v>4237.29</v>
      </c>
      <c r="N720" s="11">
        <f>IF(M720="","",ROUND(M720*1.18,2))</f>
        <v/>
      </c>
      <c r="O720" s="12">
        <f>IF(M720="","",ROUND(N720-M720,2))</f>
        <v/>
      </c>
      <c r="P720" s="13">
        <f>IF(AND(A720&lt;&gt;"",B720&lt;&gt;""), A720&amp;" · "&amp;B720, "")</f>
        <v/>
      </c>
    </row>
    <row r="721">
      <c r="A721" s="6" t="inlineStr">
        <is>
          <t>FY26</t>
        </is>
      </c>
      <c r="B721" s="6" t="inlineStr">
        <is>
          <t>Feb</t>
        </is>
      </c>
      <c r="C721" s="6" t="inlineStr">
        <is>
          <t>TN</t>
        </is>
      </c>
      <c r="D721" s="7" t="inlineStr">
        <is>
          <t>TN18X3641</t>
        </is>
      </c>
      <c r="E721" s="7" t="inlineStr">
        <is>
          <t>MARUTI SUZUKI</t>
        </is>
      </c>
      <c r="F721" s="7" t="inlineStr">
        <is>
          <t>Alto</t>
        </is>
      </c>
      <c r="G721" s="7" t="inlineStr">
        <is>
          <t>KHIVRAJ MOTOR</t>
        </is>
      </c>
      <c r="H721" s="7" t="inlineStr">
        <is>
          <t>Non-Captive</t>
        </is>
      </c>
      <c r="I721" s="7" t="inlineStr">
        <is>
          <t>AS Cars Gopi</t>
        </is>
      </c>
      <c r="J721" s="8" t="n">
        <v>2012</v>
      </c>
      <c r="K721" s="9" t="n">
        <v>22714</v>
      </c>
      <c r="L721" s="10" t="n">
        <v>120000</v>
      </c>
      <c r="M721" s="10" t="n">
        <v>4237.29</v>
      </c>
      <c r="N721" s="11">
        <f>IF(M721="","",ROUND(M721*1.18,2))</f>
        <v/>
      </c>
      <c r="O721" s="12">
        <f>IF(M721="","",ROUND(N721-M721,2))</f>
        <v/>
      </c>
      <c r="P721" s="13">
        <f>IF(AND(A721&lt;&gt;"",B721&lt;&gt;""), A721&amp;" · "&amp;B721, "")</f>
        <v/>
      </c>
    </row>
    <row r="722">
      <c r="A722" s="6" t="inlineStr">
        <is>
          <t>FY26</t>
        </is>
      </c>
      <c r="B722" s="6" t="inlineStr">
        <is>
          <t>Feb</t>
        </is>
      </c>
      <c r="C722" s="6" t="inlineStr">
        <is>
          <t>TN</t>
        </is>
      </c>
      <c r="D722" s="7" t="inlineStr">
        <is>
          <t>TN18Z4191</t>
        </is>
      </c>
      <c r="E722" s="7" t="inlineStr">
        <is>
          <t>FORD</t>
        </is>
      </c>
      <c r="F722" s="7" t="inlineStr">
        <is>
          <t>Figo</t>
        </is>
      </c>
      <c r="G722" s="7" t="inlineStr">
        <is>
          <t>KHIVRAJ MOTOR</t>
        </is>
      </c>
      <c r="H722" s="7" t="inlineStr">
        <is>
          <t>Non-Captive</t>
        </is>
      </c>
      <c r="I722" s="7" t="inlineStr">
        <is>
          <t>RAJESH WARI (RAM CARS</t>
        </is>
      </c>
      <c r="J722" s="8" t="n">
        <v>2011</v>
      </c>
      <c r="K722" s="9" t="n">
        <v>78842</v>
      </c>
      <c r="L722" s="10" t="n">
        <v>90000</v>
      </c>
      <c r="M722" s="10" t="n">
        <v>5084.75</v>
      </c>
      <c r="N722" s="11">
        <f>IF(M722="","",ROUND(M722*1.18,2))</f>
        <v/>
      </c>
      <c r="O722" s="12">
        <f>IF(M722="","",ROUND(N722-M722,2))</f>
        <v/>
      </c>
      <c r="P722" s="13">
        <f>IF(AND(A722&lt;&gt;"",B722&lt;&gt;""), A722&amp;" · "&amp;B722, "")</f>
        <v/>
      </c>
    </row>
    <row r="723">
      <c r="A723" s="6" t="inlineStr">
        <is>
          <t>FY26</t>
        </is>
      </c>
      <c r="B723" s="6" t="inlineStr">
        <is>
          <t>Feb</t>
        </is>
      </c>
      <c r="C723" s="6" t="inlineStr">
        <is>
          <t>TN</t>
        </is>
      </c>
      <c r="D723" s="7" t="inlineStr">
        <is>
          <t>TN18Z4401</t>
        </is>
      </c>
      <c r="E723" s="7" t="inlineStr">
        <is>
          <t>FORD</t>
        </is>
      </c>
      <c r="F723" s="7" t="inlineStr">
        <is>
          <t>Figo</t>
        </is>
      </c>
      <c r="G723" s="7" t="inlineStr">
        <is>
          <t>KHIVRAJ MOTOR</t>
        </is>
      </c>
      <c r="H723" s="7" t="inlineStr">
        <is>
          <t>Non-Captive</t>
        </is>
      </c>
      <c r="I723" s="7" t="inlineStr">
        <is>
          <t>RAJESH WARI (RAM CARS</t>
        </is>
      </c>
      <c r="J723" s="8" t="n">
        <v>2011</v>
      </c>
      <c r="K723" s="9" t="n">
        <v>65874</v>
      </c>
      <c r="L723" s="10" t="n">
        <v>85000</v>
      </c>
      <c r="M723" s="10" t="n">
        <v>5084.75</v>
      </c>
      <c r="N723" s="11">
        <f>IF(M723="","",ROUND(M723*1.18,2))</f>
        <v/>
      </c>
      <c r="O723" s="12">
        <f>IF(M723="","",ROUND(N723-M723,2))</f>
        <v/>
      </c>
      <c r="P723" s="13">
        <f>IF(AND(A723&lt;&gt;"",B723&lt;&gt;""), A723&amp;" · "&amp;B723, "")</f>
        <v/>
      </c>
    </row>
    <row r="724">
      <c r="A724" s="6" t="inlineStr">
        <is>
          <t>FY26</t>
        </is>
      </c>
      <c r="B724" s="6" t="inlineStr">
        <is>
          <t>Feb</t>
        </is>
      </c>
      <c r="C724" s="6" t="inlineStr">
        <is>
          <t>TN</t>
        </is>
      </c>
      <c r="D724" s="7" t="inlineStr">
        <is>
          <t>TN19AV1810</t>
        </is>
      </c>
      <c r="E724" s="7" t="inlineStr">
        <is>
          <t>MG MOTORS</t>
        </is>
      </c>
      <c r="F724" s="7" t="inlineStr">
        <is>
          <t>Hector Plus</t>
        </is>
      </c>
      <c r="G724" s="7" t="inlineStr">
        <is>
          <t>KHIVRAJ MOTOR</t>
        </is>
      </c>
      <c r="H724" s="7" t="inlineStr">
        <is>
          <t>Non-Captive</t>
        </is>
      </c>
      <c r="I724" s="7" t="inlineStr">
        <is>
          <t>Value Drive Tecnologies</t>
        </is>
      </c>
      <c r="J724" s="8" t="n">
        <v>2023</v>
      </c>
      <c r="K724" s="9" t="n">
        <v>17151</v>
      </c>
      <c r="L724" s="10" t="n">
        <v>850000</v>
      </c>
      <c r="M724" s="10" t="n">
        <v>3389.83</v>
      </c>
      <c r="N724" s="11">
        <f>IF(M724="","",ROUND(M724*1.18,2))</f>
        <v/>
      </c>
      <c r="O724" s="12">
        <f>IF(M724="","",ROUND(N724-M724,2))</f>
        <v/>
      </c>
      <c r="P724" s="13">
        <f>IF(AND(A724&lt;&gt;"",B724&lt;&gt;""), A724&amp;" · "&amp;B724, "")</f>
        <v/>
      </c>
    </row>
    <row r="725">
      <c r="A725" s="6" t="inlineStr">
        <is>
          <t>FY26</t>
        </is>
      </c>
      <c r="B725" s="6" t="inlineStr">
        <is>
          <t>Feb</t>
        </is>
      </c>
      <c r="C725" s="6" t="inlineStr">
        <is>
          <t>TN</t>
        </is>
      </c>
      <c r="D725" s="7" t="inlineStr">
        <is>
          <t>TN20AZ8217</t>
        </is>
      </c>
      <c r="E725" s="7" t="inlineStr">
        <is>
          <t>MARUTI SUZUKI</t>
        </is>
      </c>
      <c r="F725" s="7" t="inlineStr">
        <is>
          <t>Zen</t>
        </is>
      </c>
      <c r="G725" s="7" t="inlineStr">
        <is>
          <t>EXCHANGE ROTN</t>
        </is>
      </c>
      <c r="H725" s="7" t="inlineStr">
        <is>
          <t>Captive</t>
        </is>
      </c>
      <c r="I725" s="7" t="inlineStr">
        <is>
          <t>Sivashankar Cars</t>
        </is>
      </c>
      <c r="J725" s="8" t="n">
        <v>2005</v>
      </c>
      <c r="K725" s="9" t="n">
        <v>158955</v>
      </c>
      <c r="L725" s="10" t="n">
        <v>65000</v>
      </c>
      <c r="M725" s="10" t="n">
        <v>4237.29</v>
      </c>
      <c r="N725" s="11">
        <f>IF(M725="","",ROUND(M725*1.18,2))</f>
        <v/>
      </c>
      <c r="O725" s="12">
        <f>IF(M725="","",ROUND(N725-M725,2))</f>
        <v/>
      </c>
      <c r="P725" s="13">
        <f>IF(AND(A725&lt;&gt;"",B725&lt;&gt;""), A725&amp;" · "&amp;B725, "")</f>
        <v/>
      </c>
    </row>
    <row r="726">
      <c r="A726" s="6" t="inlineStr">
        <is>
          <t>FY26</t>
        </is>
      </c>
      <c r="B726" s="6" t="inlineStr">
        <is>
          <t>Feb</t>
        </is>
      </c>
      <c r="C726" s="6" t="inlineStr">
        <is>
          <t>TN</t>
        </is>
      </c>
      <c r="D726" s="7" t="inlineStr">
        <is>
          <t>TN20BQ9192</t>
        </is>
      </c>
      <c r="E726" s="7" t="inlineStr">
        <is>
          <t>VOLKSWAGEN</t>
        </is>
      </c>
      <c r="F726" s="7" t="inlineStr">
        <is>
          <t>Vento</t>
        </is>
      </c>
      <c r="G726" s="7" t="inlineStr">
        <is>
          <t>STEER AUTO TECHNOLOGIES PRIVATE LIMITED</t>
        </is>
      </c>
      <c r="H726" s="7" t="inlineStr">
        <is>
          <t>Non-Captive</t>
        </is>
      </c>
      <c r="I726" s="7" t="inlineStr">
        <is>
          <t>Grid 33</t>
        </is>
      </c>
      <c r="J726" s="8" t="n">
        <v>2011</v>
      </c>
      <c r="K726" s="9" t="n">
        <v>168570</v>
      </c>
      <c r="L726" s="10" t="n">
        <v>180000</v>
      </c>
      <c r="M726" s="10" t="n">
        <v>4237.29</v>
      </c>
      <c r="N726" s="11">
        <f>IF(M726="","",ROUND(M726*1.18,2))</f>
        <v/>
      </c>
      <c r="O726" s="12">
        <f>IF(M726="","",ROUND(N726-M726,2))</f>
        <v/>
      </c>
      <c r="P726" s="13">
        <f>IF(AND(A726&lt;&gt;"",B726&lt;&gt;""), A726&amp;" · "&amp;B726, "")</f>
        <v/>
      </c>
    </row>
    <row r="727">
      <c r="A727" s="6" t="inlineStr">
        <is>
          <t>FY26</t>
        </is>
      </c>
      <c r="B727" s="6" t="inlineStr">
        <is>
          <t>Feb</t>
        </is>
      </c>
      <c r="C727" s="6" t="inlineStr">
        <is>
          <t>TN</t>
        </is>
      </c>
      <c r="D727" s="7" t="inlineStr">
        <is>
          <t>TN20CK2171</t>
        </is>
      </c>
      <c r="E727" s="7" t="inlineStr">
        <is>
          <t>HYUNDAI</t>
        </is>
      </c>
      <c r="F727" s="7" t="inlineStr">
        <is>
          <t>i10</t>
        </is>
      </c>
      <c r="G727" s="7" t="inlineStr">
        <is>
          <t>STEER AUTO TECHNOLOGIES PRIVATE LIMITED</t>
        </is>
      </c>
      <c r="H727" s="7" t="inlineStr">
        <is>
          <t>Non-Captive</t>
        </is>
      </c>
      <c r="I727" s="7" t="inlineStr">
        <is>
          <t>Grid 33</t>
        </is>
      </c>
      <c r="J727" s="8" t="n">
        <v>2016</v>
      </c>
      <c r="K727" s="9" t="n">
        <v>80689</v>
      </c>
      <c r="L727" s="10" t="n">
        <v>260000</v>
      </c>
      <c r="M727" s="10" t="n">
        <v>4237.29</v>
      </c>
      <c r="N727" s="11">
        <f>IF(M727="","",ROUND(M727*1.18,2))</f>
        <v/>
      </c>
      <c r="O727" s="12">
        <f>IF(M727="","",ROUND(N727-M727,2))</f>
        <v/>
      </c>
      <c r="P727" s="13">
        <f>IF(AND(A727&lt;&gt;"",B727&lt;&gt;""), A727&amp;" · "&amp;B727, "")</f>
        <v/>
      </c>
    </row>
    <row r="728">
      <c r="A728" s="6" t="inlineStr">
        <is>
          <t>FY26</t>
        </is>
      </c>
      <c r="B728" s="6" t="inlineStr">
        <is>
          <t>Feb</t>
        </is>
      </c>
      <c r="C728" s="6" t="inlineStr">
        <is>
          <t>TN</t>
        </is>
      </c>
      <c r="D728" s="7" t="inlineStr">
        <is>
          <t>TN22BK1345</t>
        </is>
      </c>
      <c r="E728" s="7" t="inlineStr">
        <is>
          <t>HYUNDAI</t>
        </is>
      </c>
      <c r="F728" s="7" t="inlineStr">
        <is>
          <t>Santro</t>
        </is>
      </c>
      <c r="G728" s="7" t="inlineStr">
        <is>
          <t>STEER AUTO TECHNOLOGIES PRIVATE LIMITED</t>
        </is>
      </c>
      <c r="H728" s="7" t="inlineStr">
        <is>
          <t>Non-Captive</t>
        </is>
      </c>
      <c r="I728" s="7" t="inlineStr">
        <is>
          <t>Rithika cars</t>
        </is>
      </c>
      <c r="J728" s="8" t="n">
        <v>2010</v>
      </c>
      <c r="K728" s="9" t="n">
        <v>54683</v>
      </c>
      <c r="L728" s="10" t="n">
        <v>188000</v>
      </c>
      <c r="M728" s="10" t="n">
        <v>3389.83</v>
      </c>
      <c r="N728" s="11">
        <f>IF(M728="","",ROUND(M728*1.18,2))</f>
        <v/>
      </c>
      <c r="O728" s="12">
        <f>IF(M728="","",ROUND(N728-M728,2))</f>
        <v/>
      </c>
      <c r="P728" s="13">
        <f>IF(AND(A728&lt;&gt;"",B728&lt;&gt;""), A728&amp;" · "&amp;B728, "")</f>
        <v/>
      </c>
    </row>
    <row r="729">
      <c r="A729" s="6" t="inlineStr">
        <is>
          <t>FY26</t>
        </is>
      </c>
      <c r="B729" s="6" t="inlineStr">
        <is>
          <t>Feb</t>
        </is>
      </c>
      <c r="C729" s="6" t="inlineStr">
        <is>
          <t>TN</t>
        </is>
      </c>
      <c r="D729" s="7" t="inlineStr">
        <is>
          <t>TN22CA8456</t>
        </is>
      </c>
      <c r="E729" s="7" t="inlineStr">
        <is>
          <t>HYUNDAI</t>
        </is>
      </c>
      <c r="F729" s="7" t="inlineStr">
        <is>
          <t>i20</t>
        </is>
      </c>
      <c r="G729" s="7" t="inlineStr">
        <is>
          <t>KHIVRAJ MOTOR</t>
        </is>
      </c>
      <c r="H729" s="7" t="inlineStr">
        <is>
          <t>Non-Captive</t>
        </is>
      </c>
      <c r="I729" s="7" t="inlineStr">
        <is>
          <t>Hema Cars</t>
        </is>
      </c>
      <c r="J729" s="8" t="n">
        <v>2011</v>
      </c>
      <c r="K729" s="9" t="n">
        <v>136983</v>
      </c>
      <c r="L729" s="10" t="n">
        <v>124000</v>
      </c>
      <c r="M729" s="10" t="n">
        <v>5084.75</v>
      </c>
      <c r="N729" s="11">
        <f>IF(M729="","",ROUND(M729*1.18,2))</f>
        <v/>
      </c>
      <c r="O729" s="12">
        <f>IF(M729="","",ROUND(N729-M729,2))</f>
        <v/>
      </c>
      <c r="P729" s="13">
        <f>IF(AND(A729&lt;&gt;"",B729&lt;&gt;""), A729&amp;" · "&amp;B729, "")</f>
        <v/>
      </c>
    </row>
    <row r="730">
      <c r="A730" s="6" t="inlineStr">
        <is>
          <t>FY26</t>
        </is>
      </c>
      <c r="B730" s="6" t="inlineStr">
        <is>
          <t>Feb</t>
        </is>
      </c>
      <c r="C730" s="6" t="inlineStr">
        <is>
          <t>TN</t>
        </is>
      </c>
      <c r="D730" s="7" t="inlineStr">
        <is>
          <t>TN22CM1586</t>
        </is>
      </c>
      <c r="E730" s="7" t="inlineStr">
        <is>
          <t>MARUTI SUZUKI</t>
        </is>
      </c>
      <c r="F730" s="7" t="inlineStr">
        <is>
          <t>Alto</t>
        </is>
      </c>
      <c r="G730" s="7" t="inlineStr">
        <is>
          <t>POPULAR VEHICLES</t>
        </is>
      </c>
      <c r="H730" s="7" t="inlineStr">
        <is>
          <t>Non-Captive</t>
        </is>
      </c>
      <c r="I730" s="7" t="inlineStr">
        <is>
          <t>Thiya Cars</t>
        </is>
      </c>
      <c r="J730" s="8" t="n">
        <v>2013</v>
      </c>
      <c r="K730" s="9" t="n">
        <v>49940</v>
      </c>
      <c r="L730" s="10" t="n">
        <v>160000</v>
      </c>
      <c r="M730" s="10" t="n">
        <v>4237.29</v>
      </c>
      <c r="N730" s="11">
        <f>IF(M730="","",ROUND(M730*1.18,2))</f>
        <v/>
      </c>
      <c r="O730" s="12">
        <f>IF(M730="","",ROUND(N730-M730,2))</f>
        <v/>
      </c>
      <c r="P730" s="13">
        <f>IF(AND(A730&lt;&gt;"",B730&lt;&gt;""), A730&amp;" · "&amp;B730, "")</f>
        <v/>
      </c>
    </row>
    <row r="731">
      <c r="A731" s="6" t="inlineStr">
        <is>
          <t>FY26</t>
        </is>
      </c>
      <c r="B731" s="6" t="inlineStr">
        <is>
          <t>Feb</t>
        </is>
      </c>
      <c r="C731" s="6" t="inlineStr">
        <is>
          <t>TN</t>
        </is>
      </c>
      <c r="D731" s="7" t="inlineStr">
        <is>
          <t>TN22DC9959</t>
        </is>
      </c>
      <c r="E731" s="7" t="inlineStr">
        <is>
          <t>MARUTI SUZUKI</t>
        </is>
      </c>
      <c r="F731" s="7" t="inlineStr">
        <is>
          <t>Celerio</t>
        </is>
      </c>
      <c r="G731" s="7" t="inlineStr">
        <is>
          <t>STEER AUTO TECHNOLOGIES PRIVATE LIMITED</t>
        </is>
      </c>
      <c r="H731" s="7" t="inlineStr">
        <is>
          <t>Non-Captive</t>
        </is>
      </c>
      <c r="I731" s="7" t="inlineStr">
        <is>
          <t>Rithika cars</t>
        </is>
      </c>
      <c r="J731" s="8" t="n">
        <v>2016</v>
      </c>
      <c r="K731" s="9" t="n">
        <v>38954</v>
      </c>
      <c r="L731" s="10" t="n">
        <v>330000</v>
      </c>
      <c r="M731" s="10" t="n">
        <v>4237.29</v>
      </c>
      <c r="N731" s="11">
        <f>IF(M731="","",ROUND(M731*1.18,2))</f>
        <v/>
      </c>
      <c r="O731" s="12">
        <f>IF(M731="","",ROUND(N731-M731,2))</f>
        <v/>
      </c>
      <c r="P731" s="13">
        <f>IF(AND(A731&lt;&gt;"",B731&lt;&gt;""), A731&amp;" · "&amp;B731, "")</f>
        <v/>
      </c>
    </row>
    <row r="732">
      <c r="A732" s="6" t="inlineStr">
        <is>
          <t>FY26</t>
        </is>
      </c>
      <c r="B732" s="6" t="inlineStr">
        <is>
          <t>Feb</t>
        </is>
      </c>
      <c r="C732" s="6" t="inlineStr">
        <is>
          <t>TN</t>
        </is>
      </c>
      <c r="D732" s="7" t="inlineStr">
        <is>
          <t>TN22DK8304</t>
        </is>
      </c>
      <c r="E732" s="7" t="inlineStr">
        <is>
          <t>HYUNDAI</t>
        </is>
      </c>
      <c r="F732" s="7" t="inlineStr">
        <is>
          <t>Xcent</t>
        </is>
      </c>
      <c r="G732" s="7" t="inlineStr">
        <is>
          <t>STEER AUTO TECHNOLOGIES PRIVATE LIMITED</t>
        </is>
      </c>
      <c r="H732" s="7" t="inlineStr">
        <is>
          <t>Non-Captive</t>
        </is>
      </c>
      <c r="I732" s="7" t="inlineStr">
        <is>
          <t>Rithika cars</t>
        </is>
      </c>
      <c r="J732" s="8" t="n">
        <v>2018</v>
      </c>
      <c r="K732" s="9" t="n">
        <v>196733</v>
      </c>
      <c r="L732" s="10" t="n">
        <v>170000</v>
      </c>
      <c r="M732" s="10" t="n">
        <v>4237.29</v>
      </c>
      <c r="N732" s="11">
        <f>IF(M732="","",ROUND(M732*1.18,2))</f>
        <v/>
      </c>
      <c r="O732" s="12">
        <f>IF(M732="","",ROUND(N732-M732,2))</f>
        <v/>
      </c>
      <c r="P732" s="13">
        <f>IF(AND(A732&lt;&gt;"",B732&lt;&gt;""), A732&amp;" · "&amp;B732, "")</f>
        <v/>
      </c>
    </row>
    <row r="733">
      <c r="A733" s="6" t="inlineStr">
        <is>
          <t>FY26</t>
        </is>
      </c>
      <c r="B733" s="6" t="inlineStr">
        <is>
          <t>Feb</t>
        </is>
      </c>
      <c r="C733" s="6" t="inlineStr">
        <is>
          <t>TN</t>
        </is>
      </c>
      <c r="D733" s="7" t="inlineStr">
        <is>
          <t>TN22DL2675</t>
        </is>
      </c>
      <c r="E733" s="7" t="inlineStr">
        <is>
          <t>MARUTI SUZUKI</t>
        </is>
      </c>
      <c r="F733" s="7" t="inlineStr">
        <is>
          <t>Swift</t>
        </is>
      </c>
      <c r="G733" s="7" t="inlineStr">
        <is>
          <t>STEER AUTO TECHNOLOGIES PRIVATE LIMITED</t>
        </is>
      </c>
      <c r="H733" s="7" t="inlineStr">
        <is>
          <t>Non-Captive</t>
        </is>
      </c>
      <c r="I733" s="7" t="inlineStr">
        <is>
          <t>Rithika cars</t>
        </is>
      </c>
      <c r="J733" s="8" t="n">
        <v>2018</v>
      </c>
      <c r="K733" s="9" t="n">
        <v>62950</v>
      </c>
      <c r="L733" s="10" t="n">
        <v>555000</v>
      </c>
      <c r="M733" s="10" t="n">
        <v>3389.83</v>
      </c>
      <c r="N733" s="11">
        <f>IF(M733="","",ROUND(M733*1.18,2))</f>
        <v/>
      </c>
      <c r="O733" s="12">
        <f>IF(M733="","",ROUND(N733-M733,2))</f>
        <v/>
      </c>
      <c r="P733" s="13">
        <f>IF(AND(A733&lt;&gt;"",B733&lt;&gt;""), A733&amp;" · "&amp;B733, "")</f>
        <v/>
      </c>
    </row>
    <row r="734">
      <c r="A734" s="6" t="inlineStr">
        <is>
          <t>FY26</t>
        </is>
      </c>
      <c r="B734" s="6" t="inlineStr">
        <is>
          <t>Feb</t>
        </is>
      </c>
      <c r="C734" s="6" t="inlineStr">
        <is>
          <t>TN</t>
        </is>
      </c>
      <c r="D734" s="7" t="inlineStr">
        <is>
          <t>TN22DM1074</t>
        </is>
      </c>
      <c r="E734" s="7" t="inlineStr">
        <is>
          <t>HYUNDAI</t>
        </is>
      </c>
      <c r="F734" s="7" t="inlineStr">
        <is>
          <t>i20</t>
        </is>
      </c>
      <c r="G734" s="7" t="inlineStr">
        <is>
          <t>STEER AUTO TECHNOLOGIES PRIVATE LIMITED</t>
        </is>
      </c>
      <c r="H734" s="7" t="inlineStr">
        <is>
          <t>Non-Captive</t>
        </is>
      </c>
      <c r="I734" s="7" t="inlineStr">
        <is>
          <t>Rithika cars</t>
        </is>
      </c>
      <c r="J734" s="8" t="n">
        <v>2018</v>
      </c>
      <c r="K734" s="9" t="n">
        <v>32880</v>
      </c>
      <c r="L734" s="10" t="n">
        <v>550000</v>
      </c>
      <c r="M734" s="10" t="n">
        <v>3389.83</v>
      </c>
      <c r="N734" s="11">
        <f>IF(M734="","",ROUND(M734*1.18,2))</f>
        <v/>
      </c>
      <c r="O734" s="12">
        <f>IF(M734="","",ROUND(N734-M734,2))</f>
        <v/>
      </c>
      <c r="P734" s="13">
        <f>IF(AND(A734&lt;&gt;"",B734&lt;&gt;""), A734&amp;" · "&amp;B734, "")</f>
        <v/>
      </c>
    </row>
    <row r="735">
      <c r="A735" s="6" t="inlineStr">
        <is>
          <t>FY26</t>
        </is>
      </c>
      <c r="B735" s="6" t="inlineStr">
        <is>
          <t>Feb</t>
        </is>
      </c>
      <c r="C735" s="6" t="inlineStr">
        <is>
          <t>TN</t>
        </is>
      </c>
      <c r="D735" s="7" t="inlineStr">
        <is>
          <t>TN24BB0123</t>
        </is>
      </c>
      <c r="E735" s="7" t="inlineStr">
        <is>
          <t>HONDA</t>
        </is>
      </c>
      <c r="F735" s="7" t="inlineStr">
        <is>
          <t>Elevate</t>
        </is>
      </c>
      <c r="G735" s="7" t="inlineStr">
        <is>
          <t>EXCHANGE ROTN</t>
        </is>
      </c>
      <c r="H735" s="7" t="inlineStr">
        <is>
          <t>Captive</t>
        </is>
      </c>
      <c r="I735" s="7" t="inlineStr">
        <is>
          <t>Dheera Cars</t>
        </is>
      </c>
      <c r="J735" s="8" t="n">
        <v>2023</v>
      </c>
      <c r="K735" s="9" t="n">
        <v>161222</v>
      </c>
      <c r="L735" s="10" t="n">
        <v>850000</v>
      </c>
      <c r="M735" s="10" t="n">
        <v>4237.29</v>
      </c>
      <c r="N735" s="11">
        <f>IF(M735="","",ROUND(M735*1.18,2))</f>
        <v/>
      </c>
      <c r="O735" s="12">
        <f>IF(M735="","",ROUND(N735-M735,2))</f>
        <v/>
      </c>
      <c r="P735" s="13">
        <f>IF(AND(A735&lt;&gt;"",B735&lt;&gt;""), A735&amp;" · "&amp;B735, "")</f>
        <v/>
      </c>
    </row>
    <row r="736">
      <c r="A736" s="6" t="inlineStr">
        <is>
          <t>FY26</t>
        </is>
      </c>
      <c r="B736" s="6" t="inlineStr">
        <is>
          <t>Feb</t>
        </is>
      </c>
      <c r="C736" s="6" t="inlineStr">
        <is>
          <t>TN</t>
        </is>
      </c>
      <c r="D736" s="7" t="inlineStr">
        <is>
          <t>TN25BA9226</t>
        </is>
      </c>
      <c r="E736" s="7" t="inlineStr">
        <is>
          <t>TATA</t>
        </is>
      </c>
      <c r="F736" s="7" t="inlineStr">
        <is>
          <t>Tiago</t>
        </is>
      </c>
      <c r="G736" s="7" t="inlineStr">
        <is>
          <t>STEER AUTO TECHNOLOGIES PRIVATE LIMITED</t>
        </is>
      </c>
      <c r="H736" s="7" t="inlineStr">
        <is>
          <t>Non-Captive</t>
        </is>
      </c>
      <c r="I736" s="7" t="inlineStr">
        <is>
          <t>Rithika cars</t>
        </is>
      </c>
      <c r="J736" s="8" t="n">
        <v>2016</v>
      </c>
      <c r="K736" s="9" t="n">
        <v>91700</v>
      </c>
      <c r="L736" s="10" t="n">
        <v>270000</v>
      </c>
      <c r="M736" s="10" t="n">
        <v>4237.29</v>
      </c>
      <c r="N736" s="11">
        <f>IF(M736="","",ROUND(M736*1.18,2))</f>
        <v/>
      </c>
      <c r="O736" s="12">
        <f>IF(M736="","",ROUND(N736-M736,2))</f>
        <v/>
      </c>
      <c r="P736" s="13">
        <f>IF(AND(A736&lt;&gt;"",B736&lt;&gt;""), A736&amp;" · "&amp;B736, "")</f>
        <v/>
      </c>
    </row>
    <row r="737">
      <c r="A737" s="6" t="inlineStr">
        <is>
          <t>FY26</t>
        </is>
      </c>
      <c r="B737" s="6" t="inlineStr">
        <is>
          <t>Feb</t>
        </is>
      </c>
      <c r="C737" s="6" t="inlineStr">
        <is>
          <t>TN</t>
        </is>
      </c>
      <c r="D737" s="7" t="inlineStr">
        <is>
          <t>TN305673</t>
        </is>
      </c>
      <c r="E737" s="7" t="inlineStr">
        <is>
          <t>MARUTI SUZUKI</t>
        </is>
      </c>
      <c r="F737" s="7" t="inlineStr">
        <is>
          <t>Wagon R</t>
        </is>
      </c>
      <c r="G737" s="7" t="inlineStr">
        <is>
          <t>EXCHANGE ROTN</t>
        </is>
      </c>
      <c r="H737" s="7" t="inlineStr">
        <is>
          <t>Captive</t>
        </is>
      </c>
      <c r="I737" s="7" t="inlineStr">
        <is>
          <t>MADHURA CARS</t>
        </is>
      </c>
      <c r="J737" s="8" t="n">
        <v>2000</v>
      </c>
      <c r="K737" s="9" t="n">
        <v>84519</v>
      </c>
      <c r="L737" s="10" t="n">
        <v>70000</v>
      </c>
      <c r="M737" s="10" t="n">
        <v>4237.29</v>
      </c>
      <c r="N737" s="11">
        <f>IF(M737="","",ROUND(M737*1.18,2))</f>
        <v/>
      </c>
      <c r="O737" s="12">
        <f>IF(M737="","",ROUND(N737-M737,2))</f>
        <v/>
      </c>
      <c r="P737" s="13">
        <f>IF(AND(A737&lt;&gt;"",B737&lt;&gt;""), A737&amp;" · "&amp;B737, "")</f>
        <v/>
      </c>
    </row>
    <row r="738">
      <c r="A738" s="6" t="inlineStr">
        <is>
          <t>FY26</t>
        </is>
      </c>
      <c r="B738" s="6" t="inlineStr">
        <is>
          <t>Feb</t>
        </is>
      </c>
      <c r="C738" s="6" t="inlineStr">
        <is>
          <t>TN</t>
        </is>
      </c>
      <c r="D738" s="7" t="inlineStr">
        <is>
          <t>TN30AJ8303</t>
        </is>
      </c>
      <c r="E738" s="7" t="inlineStr">
        <is>
          <t>CHEVROLET</t>
        </is>
      </c>
      <c r="F738" s="7" t="inlineStr">
        <is>
          <t>Beat</t>
        </is>
      </c>
      <c r="G738" s="7" t="inlineStr">
        <is>
          <t>EXCHANGE ROTN</t>
        </is>
      </c>
      <c r="H738" s="7" t="inlineStr">
        <is>
          <t>Captive</t>
        </is>
      </c>
      <c r="I738" s="7" t="inlineStr">
        <is>
          <t>MADHURA CARS</t>
        </is>
      </c>
      <c r="J738" s="8" t="n">
        <v>2010</v>
      </c>
      <c r="K738" s="9" t="n">
        <v>88520</v>
      </c>
      <c r="L738" s="10" t="n">
        <v>90000</v>
      </c>
      <c r="M738" s="10" t="n">
        <v>4237.29</v>
      </c>
      <c r="N738" s="11">
        <f>IF(M738="","",ROUND(M738*1.18,2))</f>
        <v/>
      </c>
      <c r="O738" s="12">
        <f>IF(M738="","",ROUND(N738-M738,2))</f>
        <v/>
      </c>
      <c r="P738" s="13">
        <f>IF(AND(A738&lt;&gt;"",B738&lt;&gt;""), A738&amp;" · "&amp;B738, "")</f>
        <v/>
      </c>
    </row>
    <row r="739">
      <c r="A739" s="6" t="inlineStr">
        <is>
          <t>FY26</t>
        </is>
      </c>
      <c r="B739" s="6" t="inlineStr">
        <is>
          <t>Feb</t>
        </is>
      </c>
      <c r="C739" s="6" t="inlineStr">
        <is>
          <t>TN</t>
        </is>
      </c>
      <c r="D739" s="7" t="inlineStr">
        <is>
          <t>TN30AQ7027</t>
        </is>
      </c>
      <c r="E739" s="7" t="inlineStr">
        <is>
          <t>MARUTI SUZUKI</t>
        </is>
      </c>
      <c r="F739" s="7" t="inlineStr">
        <is>
          <t>Ertiga</t>
        </is>
      </c>
      <c r="G739" s="7" t="inlineStr">
        <is>
          <t>EXCHANGE ROTN</t>
        </is>
      </c>
      <c r="H739" s="7" t="inlineStr">
        <is>
          <t>Captive</t>
        </is>
      </c>
      <c r="I739" s="7" t="inlineStr">
        <is>
          <t>MADHURA CARS</t>
        </is>
      </c>
      <c r="J739" s="8" t="n">
        <v>2012</v>
      </c>
      <c r="K739" s="9" t="n">
        <v>132500</v>
      </c>
      <c r="L739" s="10" t="n">
        <v>350000</v>
      </c>
      <c r="M739" s="10" t="n">
        <v>4237.29</v>
      </c>
      <c r="N739" s="11">
        <f>IF(M739="","",ROUND(M739*1.18,2))</f>
        <v/>
      </c>
      <c r="O739" s="12">
        <f>IF(M739="","",ROUND(N739-M739,2))</f>
        <v/>
      </c>
      <c r="P739" s="13">
        <f>IF(AND(A739&lt;&gt;"",B739&lt;&gt;""), A739&amp;" · "&amp;B739, "")</f>
        <v/>
      </c>
    </row>
    <row r="740">
      <c r="A740" s="6" t="inlineStr">
        <is>
          <t>FY26</t>
        </is>
      </c>
      <c r="B740" s="6" t="inlineStr">
        <is>
          <t>Feb</t>
        </is>
      </c>
      <c r="C740" s="6" t="inlineStr">
        <is>
          <t>TN</t>
        </is>
      </c>
      <c r="D740" s="7" t="inlineStr">
        <is>
          <t>TN30BD1107</t>
        </is>
      </c>
      <c r="E740" s="7" t="inlineStr">
        <is>
          <t>MARUTI SUZUKI</t>
        </is>
      </c>
      <c r="F740" s="7" t="inlineStr">
        <is>
          <t>Swift</t>
        </is>
      </c>
      <c r="G740" s="7" t="inlineStr">
        <is>
          <t>EXCHANGE ROTN</t>
        </is>
      </c>
      <c r="H740" s="7" t="inlineStr">
        <is>
          <t>Captive</t>
        </is>
      </c>
      <c r="I740" s="7" t="inlineStr">
        <is>
          <t>Rajaganapathy Cars</t>
        </is>
      </c>
      <c r="J740" s="8" t="n">
        <v>2015</v>
      </c>
      <c r="K740" s="9" t="n">
        <v>325500</v>
      </c>
      <c r="L740" s="10" t="n">
        <v>290000</v>
      </c>
      <c r="M740" s="10" t="n">
        <v>8474.58</v>
      </c>
      <c r="N740" s="11">
        <f>IF(M740="","",ROUND(M740*1.18,2))</f>
        <v/>
      </c>
      <c r="O740" s="12">
        <f>IF(M740="","",ROUND(N740-M740,2))</f>
        <v/>
      </c>
      <c r="P740" s="13">
        <f>IF(AND(A740&lt;&gt;"",B740&lt;&gt;""), A740&amp;" · "&amp;B740, "")</f>
        <v/>
      </c>
    </row>
    <row r="741">
      <c r="A741" s="6" t="inlineStr">
        <is>
          <t>FY26</t>
        </is>
      </c>
      <c r="B741" s="6" t="inlineStr">
        <is>
          <t>Feb</t>
        </is>
      </c>
      <c r="C741" s="6" t="inlineStr">
        <is>
          <t>TN</t>
        </is>
      </c>
      <c r="D741" s="7" t="inlineStr">
        <is>
          <t>TN30BH2003</t>
        </is>
      </c>
      <c r="E741" s="7" t="inlineStr">
        <is>
          <t>TOYOTA</t>
        </is>
      </c>
      <c r="F741" s="7" t="inlineStr">
        <is>
          <t>Corolla Altis</t>
        </is>
      </c>
      <c r="G741" s="7" t="inlineStr">
        <is>
          <t>EXCHANGE ROTN</t>
        </is>
      </c>
      <c r="H741" s="7" t="inlineStr">
        <is>
          <t>Captive</t>
        </is>
      </c>
      <c r="I741" s="7" t="inlineStr">
        <is>
          <t>Sivashankar Cars</t>
        </is>
      </c>
      <c r="J741" s="8" t="n">
        <v>2016</v>
      </c>
      <c r="K741" s="9" t="n">
        <v>76888</v>
      </c>
      <c r="L741" s="10" t="n">
        <v>500000</v>
      </c>
      <c r="M741" s="10" t="n">
        <v>12711.86</v>
      </c>
      <c r="N741" s="11">
        <f>IF(M741="","",ROUND(M741*1.18,2))</f>
        <v/>
      </c>
      <c r="O741" s="12">
        <f>IF(M741="","",ROUND(N741-M741,2))</f>
        <v/>
      </c>
      <c r="P741" s="13">
        <f>IF(AND(A741&lt;&gt;"",B741&lt;&gt;""), A741&amp;" · "&amp;B741, "")</f>
        <v/>
      </c>
    </row>
    <row r="742">
      <c r="A742" s="6" t="inlineStr">
        <is>
          <t>FY26</t>
        </is>
      </c>
      <c r="B742" s="6" t="inlineStr">
        <is>
          <t>Feb</t>
        </is>
      </c>
      <c r="C742" s="6" t="inlineStr">
        <is>
          <t>TN</t>
        </is>
      </c>
      <c r="D742" s="7" t="inlineStr">
        <is>
          <t>TN30BL9628</t>
        </is>
      </c>
      <c r="E742" s="7" t="inlineStr">
        <is>
          <t>HONDA</t>
        </is>
      </c>
      <c r="F742" s="7" t="inlineStr">
        <is>
          <t>WR-V</t>
        </is>
      </c>
      <c r="G742" s="7" t="inlineStr">
        <is>
          <t>EXCHANGE ROTN</t>
        </is>
      </c>
      <c r="H742" s="7" t="inlineStr">
        <is>
          <t>Captive</t>
        </is>
      </c>
      <c r="I742" s="7" t="inlineStr">
        <is>
          <t>Vadivel Madesh</t>
        </is>
      </c>
      <c r="J742" s="8" t="n">
        <v>2018</v>
      </c>
      <c r="K742" s="9" t="n">
        <v>146334</v>
      </c>
      <c r="L742" s="10" t="n">
        <v>460000</v>
      </c>
      <c r="M742" s="10" t="n">
        <v>4237.29</v>
      </c>
      <c r="N742" s="11">
        <f>IF(M742="","",ROUND(M742*1.18,2))</f>
        <v/>
      </c>
      <c r="O742" s="12">
        <f>IF(M742="","",ROUND(N742-M742,2))</f>
        <v/>
      </c>
      <c r="P742" s="13">
        <f>IF(AND(A742&lt;&gt;"",B742&lt;&gt;""), A742&amp;" · "&amp;B742, "")</f>
        <v/>
      </c>
    </row>
    <row r="743">
      <c r="A743" s="6" t="inlineStr">
        <is>
          <t>FY26</t>
        </is>
      </c>
      <c r="B743" s="6" t="inlineStr">
        <is>
          <t>Feb</t>
        </is>
      </c>
      <c r="C743" s="6" t="inlineStr">
        <is>
          <t>TN</t>
        </is>
      </c>
      <c r="D743" s="7" t="inlineStr">
        <is>
          <t>TN31AX4992</t>
        </is>
      </c>
      <c r="E743" s="7" t="inlineStr">
        <is>
          <t>MARUTI SUZUKI</t>
        </is>
      </c>
      <c r="F743" s="7" t="inlineStr">
        <is>
          <t>Alto</t>
        </is>
      </c>
      <c r="G743" s="7" t="inlineStr">
        <is>
          <t>EXCHANGE ROTN</t>
        </is>
      </c>
      <c r="H743" s="7" t="inlineStr">
        <is>
          <t>Captive</t>
        </is>
      </c>
      <c r="I743" s="7" t="inlineStr">
        <is>
          <t>MADHURA CARS</t>
        </is>
      </c>
      <c r="J743" s="8" t="n">
        <v>2008</v>
      </c>
      <c r="K743" s="9" t="n">
        <v>130460</v>
      </c>
      <c r="L743" s="10" t="n">
        <v>120000</v>
      </c>
      <c r="M743" s="10" t="n">
        <v>4237.29</v>
      </c>
      <c r="N743" s="11">
        <f>IF(M743="","",ROUND(M743*1.18,2))</f>
        <v/>
      </c>
      <c r="O743" s="12">
        <f>IF(M743="","",ROUND(N743-M743,2))</f>
        <v/>
      </c>
      <c r="P743" s="13">
        <f>IF(AND(A743&lt;&gt;"",B743&lt;&gt;""), A743&amp;" · "&amp;B743, "")</f>
        <v/>
      </c>
    </row>
    <row r="744">
      <c r="A744" s="6" t="inlineStr">
        <is>
          <t>FY26</t>
        </is>
      </c>
      <c r="B744" s="6" t="inlineStr">
        <is>
          <t>Feb</t>
        </is>
      </c>
      <c r="C744" s="6" t="inlineStr">
        <is>
          <t>TN</t>
        </is>
      </c>
      <c r="D744" s="7" t="inlineStr">
        <is>
          <t>TN31BF3192</t>
        </is>
      </c>
      <c r="E744" s="7" t="inlineStr">
        <is>
          <t>MARUTI SUZUKI</t>
        </is>
      </c>
      <c r="F744" s="7" t="inlineStr">
        <is>
          <t>Celerio</t>
        </is>
      </c>
      <c r="G744" s="7" t="inlineStr">
        <is>
          <t>EXCHANGE ROTN</t>
        </is>
      </c>
      <c r="H744" s="7" t="inlineStr">
        <is>
          <t>Captive</t>
        </is>
      </c>
      <c r="I744" s="7" t="inlineStr">
        <is>
          <t>MADHURA CARS</t>
        </is>
      </c>
      <c r="J744" s="8" t="n">
        <v>2017</v>
      </c>
      <c r="K744" s="9" t="n">
        <v>118963</v>
      </c>
      <c r="L744" s="10" t="n">
        <v>240000</v>
      </c>
      <c r="M744" s="10" t="n">
        <v>4237.29</v>
      </c>
      <c r="N744" s="11">
        <f>IF(M744="","",ROUND(M744*1.18,2))</f>
        <v/>
      </c>
      <c r="O744" s="12">
        <f>IF(M744="","",ROUND(N744-M744,2))</f>
        <v/>
      </c>
      <c r="P744" s="13">
        <f>IF(AND(A744&lt;&gt;"",B744&lt;&gt;""), A744&amp;" · "&amp;B744, "")</f>
        <v/>
      </c>
    </row>
    <row r="745">
      <c r="A745" s="6" t="inlineStr">
        <is>
          <t>FY26</t>
        </is>
      </c>
      <c r="B745" s="6" t="inlineStr">
        <is>
          <t>Feb</t>
        </is>
      </c>
      <c r="C745" s="6" t="inlineStr">
        <is>
          <t>TN</t>
        </is>
      </c>
      <c r="D745" s="7" t="inlineStr">
        <is>
          <t>TN31CY1919</t>
        </is>
      </c>
      <c r="E745" s="7" t="inlineStr">
        <is>
          <t>MARUTI SUZUKI</t>
        </is>
      </c>
      <c r="F745" s="7" t="inlineStr">
        <is>
          <t>Dzire</t>
        </is>
      </c>
      <c r="G745" s="7" t="inlineStr">
        <is>
          <t>KALYANI MOTORS MARUTI</t>
        </is>
      </c>
      <c r="H745" s="7" t="inlineStr">
        <is>
          <t>Non-Captive</t>
        </is>
      </c>
      <c r="I745" s="7" t="inlineStr">
        <is>
          <t>Pine Autos</t>
        </is>
      </c>
      <c r="J745" s="8" t="n">
        <v>2010</v>
      </c>
      <c r="K745" s="9" t="n">
        <v>262965</v>
      </c>
      <c r="L745" s="10" t="n">
        <v>200000</v>
      </c>
      <c r="M745" s="10" t="n">
        <v>4237.29</v>
      </c>
      <c r="N745" s="11">
        <f>IF(M745="","",ROUND(M745*1.18,2))</f>
        <v/>
      </c>
      <c r="O745" s="12">
        <f>IF(M745="","",ROUND(N745-M745,2))</f>
        <v/>
      </c>
      <c r="P745" s="13">
        <f>IF(AND(A745&lt;&gt;"",B745&lt;&gt;""), A745&amp;" · "&amp;B745, "")</f>
        <v/>
      </c>
    </row>
    <row r="746">
      <c r="A746" s="6" t="inlineStr">
        <is>
          <t>FY26</t>
        </is>
      </c>
      <c r="B746" s="6" t="inlineStr">
        <is>
          <t>Feb</t>
        </is>
      </c>
      <c r="C746" s="6" t="inlineStr">
        <is>
          <t>TN</t>
        </is>
      </c>
      <c r="D746" s="7" t="inlineStr">
        <is>
          <t>TN33BD1157</t>
        </is>
      </c>
      <c r="E746" s="7" t="inlineStr">
        <is>
          <t>MAHINDRA</t>
        </is>
      </c>
      <c r="F746" s="7" t="inlineStr">
        <is>
          <t>Verito</t>
        </is>
      </c>
      <c r="G746" s="7" t="inlineStr">
        <is>
          <t>EXCHANGE ROTN</t>
        </is>
      </c>
      <c r="H746" s="7" t="inlineStr">
        <is>
          <t>Captive</t>
        </is>
      </c>
      <c r="I746" s="7" t="inlineStr">
        <is>
          <t>YUGA DHEERAN CARS</t>
        </is>
      </c>
      <c r="J746" s="8" t="n">
        <v>2012</v>
      </c>
      <c r="K746" s="9" t="n">
        <v>69648</v>
      </c>
      <c r="L746" s="10" t="n">
        <v>220000</v>
      </c>
      <c r="M746" s="10" t="n">
        <v>12711.86</v>
      </c>
      <c r="N746" s="11">
        <f>IF(M746="","",ROUND(M746*1.18,2))</f>
        <v/>
      </c>
      <c r="O746" s="12">
        <f>IF(M746="","",ROUND(N746-M746,2))</f>
        <v/>
      </c>
      <c r="P746" s="13">
        <f>IF(AND(A746&lt;&gt;"",B746&lt;&gt;""), A746&amp;" · "&amp;B746, "")</f>
        <v/>
      </c>
    </row>
    <row r="747">
      <c r="A747" s="6" t="inlineStr">
        <is>
          <t>FY26</t>
        </is>
      </c>
      <c r="B747" s="6" t="inlineStr">
        <is>
          <t>Feb</t>
        </is>
      </c>
      <c r="C747" s="6" t="inlineStr">
        <is>
          <t>TN</t>
        </is>
      </c>
      <c r="D747" s="7" t="inlineStr">
        <is>
          <t>TN34Q0150</t>
        </is>
      </c>
      <c r="E747" s="7" t="inlineStr">
        <is>
          <t>FORD</t>
        </is>
      </c>
      <c r="F747" s="7" t="inlineStr">
        <is>
          <t>Figo</t>
        </is>
      </c>
      <c r="G747" s="7" t="inlineStr">
        <is>
          <t>EXCHANGE ROTN</t>
        </is>
      </c>
      <c r="H747" s="7" t="inlineStr">
        <is>
          <t>Captive</t>
        </is>
      </c>
      <c r="I747" s="7" t="inlineStr">
        <is>
          <t>MADHURA CARS</t>
        </is>
      </c>
      <c r="J747" s="8" t="n">
        <v>2011</v>
      </c>
      <c r="K747" s="9" t="n">
        <v>200389</v>
      </c>
      <c r="L747" s="10" t="n">
        <v>130000</v>
      </c>
      <c r="M747" s="10" t="n">
        <v>4237.29</v>
      </c>
      <c r="N747" s="11">
        <f>IF(M747="","",ROUND(M747*1.18,2))</f>
        <v/>
      </c>
      <c r="O747" s="12">
        <f>IF(M747="","",ROUND(N747-M747,2))</f>
        <v/>
      </c>
      <c r="P747" s="13">
        <f>IF(AND(A747&lt;&gt;"",B747&lt;&gt;""), A747&amp;" · "&amp;B747, "")</f>
        <v/>
      </c>
    </row>
    <row r="748">
      <c r="A748" s="6" t="inlineStr">
        <is>
          <t>FY26</t>
        </is>
      </c>
      <c r="B748" s="6" t="inlineStr">
        <is>
          <t>Feb</t>
        </is>
      </c>
      <c r="C748" s="6" t="inlineStr">
        <is>
          <t>TN</t>
        </is>
      </c>
      <c r="D748" s="7" t="inlineStr">
        <is>
          <t>TN37AB8697</t>
        </is>
      </c>
      <c r="E748" s="7" t="inlineStr">
        <is>
          <t>HYUNDAI</t>
        </is>
      </c>
      <c r="F748" s="7" t="inlineStr">
        <is>
          <t>Accent</t>
        </is>
      </c>
      <c r="G748" s="7" t="inlineStr">
        <is>
          <t>EXCHANGE ROTN</t>
        </is>
      </c>
      <c r="H748" s="7" t="inlineStr">
        <is>
          <t>Captive</t>
        </is>
      </c>
      <c r="I748" s="7" t="inlineStr">
        <is>
          <t>Value Cars</t>
        </is>
      </c>
      <c r="J748" s="8" t="n">
        <v>2003</v>
      </c>
      <c r="K748" s="9" t="n">
        <v>157381</v>
      </c>
      <c r="L748" s="10" t="n">
        <v>40000</v>
      </c>
      <c r="M748" s="10" t="n">
        <v>4237.29</v>
      </c>
      <c r="N748" s="11">
        <f>IF(M748="","",ROUND(M748*1.18,2))</f>
        <v/>
      </c>
      <c r="O748" s="12">
        <f>IF(M748="","",ROUND(N748-M748,2))</f>
        <v/>
      </c>
      <c r="P748" s="13">
        <f>IF(AND(A748&lt;&gt;"",B748&lt;&gt;""), A748&amp;" · "&amp;B748, "")</f>
        <v/>
      </c>
    </row>
    <row r="749">
      <c r="A749" s="6" t="inlineStr">
        <is>
          <t>FY26</t>
        </is>
      </c>
      <c r="B749" s="6" t="inlineStr">
        <is>
          <t>Feb</t>
        </is>
      </c>
      <c r="C749" s="6" t="inlineStr">
        <is>
          <t>TN</t>
        </is>
      </c>
      <c r="D749" s="7" t="inlineStr">
        <is>
          <t>TN37BC8577</t>
        </is>
      </c>
      <c r="E749" s="7" t="inlineStr">
        <is>
          <t>HONDA</t>
        </is>
      </c>
      <c r="F749" s="7" t="inlineStr">
        <is>
          <t>City</t>
        </is>
      </c>
      <c r="G749" s="7" t="inlineStr">
        <is>
          <t>EXCHANGE ROTN</t>
        </is>
      </c>
      <c r="H749" s="7" t="inlineStr">
        <is>
          <t>Captive</t>
        </is>
      </c>
      <c r="I749" s="7" t="inlineStr">
        <is>
          <t>YUGA DHEERAN CARS</t>
        </is>
      </c>
      <c r="J749" s="8" t="n">
        <v>1834</v>
      </c>
      <c r="K749" s="9" t="n">
        <v>63211</v>
      </c>
      <c r="L749" s="10" t="n">
        <v>265000</v>
      </c>
      <c r="M749" s="10" t="n">
        <v>4237.29</v>
      </c>
      <c r="N749" s="11">
        <f>IF(M749="","",ROUND(M749*1.18,2))</f>
        <v/>
      </c>
      <c r="O749" s="12">
        <f>IF(M749="","",ROUND(N749-M749,2))</f>
        <v/>
      </c>
      <c r="P749" s="13">
        <f>IF(AND(A749&lt;&gt;"",B749&lt;&gt;""), A749&amp;" · "&amp;B749, "")</f>
        <v/>
      </c>
    </row>
    <row r="750">
      <c r="A750" s="6" t="inlineStr">
        <is>
          <t>FY26</t>
        </is>
      </c>
      <c r="B750" s="6" t="inlineStr">
        <is>
          <t>Feb</t>
        </is>
      </c>
      <c r="C750" s="6" t="inlineStr">
        <is>
          <t>TN</t>
        </is>
      </c>
      <c r="D750" s="7" t="inlineStr">
        <is>
          <t>TN37BP5128</t>
        </is>
      </c>
      <c r="E750" s="7" t="inlineStr">
        <is>
          <t>MARUTI SUZUKI</t>
        </is>
      </c>
      <c r="F750" s="7" t="inlineStr">
        <is>
          <t>Swift</t>
        </is>
      </c>
      <c r="G750" s="7" t="inlineStr">
        <is>
          <t>JAIKRISHNAA AUTOSALES PRIVATE LIMITED</t>
        </is>
      </c>
      <c r="H750" s="7" t="inlineStr">
        <is>
          <t>Non-Captive</t>
        </is>
      </c>
      <c r="I750" s="7" t="inlineStr">
        <is>
          <t>Dhidugal Value Cars</t>
        </is>
      </c>
      <c r="J750" s="8" t="n">
        <v>2011</v>
      </c>
      <c r="K750" s="9" t="n">
        <v>152355</v>
      </c>
      <c r="L750" s="10" t="n">
        <v>195000</v>
      </c>
      <c r="M750" s="10" t="n">
        <v>4237.29</v>
      </c>
      <c r="N750" s="11">
        <f>IF(M750="","",ROUND(M750*1.18,2))</f>
        <v/>
      </c>
      <c r="O750" s="12">
        <f>IF(M750="","",ROUND(N750-M750,2))</f>
        <v/>
      </c>
      <c r="P750" s="13">
        <f>IF(AND(A750&lt;&gt;"",B750&lt;&gt;""), A750&amp;" · "&amp;B750, "")</f>
        <v/>
      </c>
    </row>
    <row r="751">
      <c r="A751" s="6" t="inlineStr">
        <is>
          <t>FY26</t>
        </is>
      </c>
      <c r="B751" s="6" t="inlineStr">
        <is>
          <t>Feb</t>
        </is>
      </c>
      <c r="C751" s="6" t="inlineStr">
        <is>
          <t>TN</t>
        </is>
      </c>
      <c r="D751" s="7" t="inlineStr">
        <is>
          <t>TN37CC2200</t>
        </is>
      </c>
      <c r="E751" s="7" t="inlineStr">
        <is>
          <t>HYUNDAI</t>
        </is>
      </c>
      <c r="F751" s="7" t="inlineStr">
        <is>
          <t>i20</t>
        </is>
      </c>
      <c r="G751" s="7" t="inlineStr">
        <is>
          <t>JAIKRISHNAA AUTOSALES PRIVATE LIMITED</t>
        </is>
      </c>
      <c r="H751" s="7" t="inlineStr">
        <is>
          <t>Non-Captive</t>
        </is>
      </c>
      <c r="I751" s="7" t="inlineStr">
        <is>
          <t>Dhidugal Value Cars</t>
        </is>
      </c>
      <c r="J751" s="8" t="n">
        <v>2013</v>
      </c>
      <c r="K751" s="9" t="n">
        <v>68899</v>
      </c>
      <c r="L751" s="10" t="n">
        <v>205000</v>
      </c>
      <c r="M751" s="10" t="n">
        <v>4237.29</v>
      </c>
      <c r="N751" s="11">
        <f>IF(M751="","",ROUND(M751*1.18,2))</f>
        <v/>
      </c>
      <c r="O751" s="12">
        <f>IF(M751="","",ROUND(N751-M751,2))</f>
        <v/>
      </c>
      <c r="P751" s="13">
        <f>IF(AND(A751&lt;&gt;"",B751&lt;&gt;""), A751&amp;" · "&amp;B751, "")</f>
        <v/>
      </c>
    </row>
    <row r="752">
      <c r="A752" s="6" t="inlineStr">
        <is>
          <t>FY26</t>
        </is>
      </c>
      <c r="B752" s="6" t="inlineStr">
        <is>
          <t>Feb</t>
        </is>
      </c>
      <c r="C752" s="6" t="inlineStr">
        <is>
          <t>TN</t>
        </is>
      </c>
      <c r="D752" s="7" t="inlineStr">
        <is>
          <t>TN37CM0673</t>
        </is>
      </c>
      <c r="E752" s="7" t="inlineStr">
        <is>
          <t>MARUTI SUZUKI</t>
        </is>
      </c>
      <c r="F752" s="7" t="inlineStr">
        <is>
          <t>Swift</t>
        </is>
      </c>
      <c r="G752" s="7" t="inlineStr">
        <is>
          <t>EXCHANGE ROTN</t>
        </is>
      </c>
      <c r="H752" s="7" t="inlineStr">
        <is>
          <t>Captive</t>
        </is>
      </c>
      <c r="I752" s="7" t="inlineStr">
        <is>
          <t>Dheera Cars</t>
        </is>
      </c>
      <c r="J752" s="8" t="n">
        <v>2015</v>
      </c>
      <c r="K752" s="9" t="n">
        <v>88412</v>
      </c>
      <c r="L752" s="10" t="n">
        <v>350000</v>
      </c>
      <c r="M752" s="10" t="n">
        <v>8474.58</v>
      </c>
      <c r="N752" s="11">
        <f>IF(M752="","",ROUND(M752*1.18,2))</f>
        <v/>
      </c>
      <c r="O752" s="12">
        <f>IF(M752="","",ROUND(N752-M752,2))</f>
        <v/>
      </c>
      <c r="P752" s="13">
        <f>IF(AND(A752&lt;&gt;"",B752&lt;&gt;""), A752&amp;" · "&amp;B752, "")</f>
        <v/>
      </c>
    </row>
    <row r="753">
      <c r="A753" s="6" t="inlineStr">
        <is>
          <t>FY26</t>
        </is>
      </c>
      <c r="B753" s="6" t="inlineStr">
        <is>
          <t>Feb</t>
        </is>
      </c>
      <c r="C753" s="6" t="inlineStr">
        <is>
          <t>TN</t>
        </is>
      </c>
      <c r="D753" s="7" t="inlineStr">
        <is>
          <t>TN37DC6733</t>
        </is>
      </c>
      <c r="E753" s="7" t="inlineStr">
        <is>
          <t>MARUTI SUZUKI</t>
        </is>
      </c>
      <c r="F753" s="7" t="inlineStr">
        <is>
          <t>Alto</t>
        </is>
      </c>
      <c r="G753" s="7" t="inlineStr">
        <is>
          <t>EXCHANGE ROTN</t>
        </is>
      </c>
      <c r="H753" s="7" t="inlineStr">
        <is>
          <t>Captive</t>
        </is>
      </c>
      <c r="I753" s="7" t="inlineStr">
        <is>
          <t>Ashwin cars</t>
        </is>
      </c>
      <c r="J753" s="8" t="n">
        <v>2018</v>
      </c>
      <c r="K753" s="9" t="n">
        <v>32979</v>
      </c>
      <c r="L753" s="10" t="n">
        <v>190000</v>
      </c>
      <c r="M753" s="10" t="n">
        <v>4237.29</v>
      </c>
      <c r="N753" s="11">
        <f>IF(M753="","",ROUND(M753*1.18,2))</f>
        <v/>
      </c>
      <c r="O753" s="12">
        <f>IF(M753="","",ROUND(N753-M753,2))</f>
        <v/>
      </c>
      <c r="P753" s="13">
        <f>IF(AND(A753&lt;&gt;"",B753&lt;&gt;""), A753&amp;" · "&amp;B753, "")</f>
        <v/>
      </c>
    </row>
    <row r="754">
      <c r="A754" s="6" t="inlineStr">
        <is>
          <t>FY26</t>
        </is>
      </c>
      <c r="B754" s="6" t="inlineStr">
        <is>
          <t>Feb</t>
        </is>
      </c>
      <c r="C754" s="6" t="inlineStr">
        <is>
          <t>TN</t>
        </is>
      </c>
      <c r="D754" s="7" t="inlineStr">
        <is>
          <t>TN37DP0780</t>
        </is>
      </c>
      <c r="E754" s="7" t="inlineStr">
        <is>
          <t>MARUTI SUZUKI</t>
        </is>
      </c>
      <c r="F754" s="7" t="inlineStr">
        <is>
          <t>S-Presso</t>
        </is>
      </c>
      <c r="G754" s="7" t="inlineStr">
        <is>
          <t>STEER AUTO TECHNOLOGIES PRIVATE LIMITED</t>
        </is>
      </c>
      <c r="H754" s="7" t="inlineStr">
        <is>
          <t>Non-Captive</t>
        </is>
      </c>
      <c r="I754" s="7" t="inlineStr">
        <is>
          <t>Grid 33</t>
        </is>
      </c>
      <c r="J754" s="8" t="n">
        <v>2022</v>
      </c>
      <c r="K754" s="9" t="n">
        <v>50192</v>
      </c>
      <c r="L754" s="10" t="n">
        <v>365000</v>
      </c>
      <c r="M754" s="10" t="n">
        <v>4237.29</v>
      </c>
      <c r="N754" s="11">
        <f>IF(M754="","",ROUND(M754*1.18,2))</f>
        <v/>
      </c>
      <c r="O754" s="12">
        <f>IF(M754="","",ROUND(N754-M754,2))</f>
        <v/>
      </c>
      <c r="P754" s="13">
        <f>IF(AND(A754&lt;&gt;"",B754&lt;&gt;""), A754&amp;" · "&amp;B754, "")</f>
        <v/>
      </c>
    </row>
    <row r="755">
      <c r="A755" s="6" t="inlineStr">
        <is>
          <t>FY26</t>
        </is>
      </c>
      <c r="B755" s="6" t="inlineStr">
        <is>
          <t>Feb</t>
        </is>
      </c>
      <c r="C755" s="6" t="inlineStr">
        <is>
          <t>TN</t>
        </is>
      </c>
      <c r="D755" s="7" t="inlineStr">
        <is>
          <t>TN38AX6464</t>
        </is>
      </c>
      <c r="E755" s="7" t="inlineStr">
        <is>
          <t>HONDA</t>
        </is>
      </c>
      <c r="F755" s="7" t="inlineStr">
        <is>
          <t>City</t>
        </is>
      </c>
      <c r="G755" s="7" t="inlineStr">
        <is>
          <t>EXCHANGE ROTN</t>
        </is>
      </c>
      <c r="H755" s="7" t="inlineStr">
        <is>
          <t>Captive</t>
        </is>
      </c>
      <c r="I755" s="7" t="inlineStr">
        <is>
          <t>Senthur Finance</t>
        </is>
      </c>
      <c r="J755" s="8" t="n">
        <v>2009</v>
      </c>
      <c r="K755" s="9" t="n">
        <v>107571</v>
      </c>
      <c r="L755" s="10" t="n">
        <v>240000</v>
      </c>
      <c r="M755" s="10" t="n">
        <v>8474.58</v>
      </c>
      <c r="N755" s="11">
        <f>IF(M755="","",ROUND(M755*1.18,2))</f>
        <v/>
      </c>
      <c r="O755" s="12">
        <f>IF(M755="","",ROUND(N755-M755,2))</f>
        <v/>
      </c>
      <c r="P755" s="13">
        <f>IF(AND(A755&lt;&gt;"",B755&lt;&gt;""), A755&amp;" · "&amp;B755, "")</f>
        <v/>
      </c>
    </row>
    <row r="756">
      <c r="A756" s="6" t="inlineStr">
        <is>
          <t>FY26</t>
        </is>
      </c>
      <c r="B756" s="6" t="inlineStr">
        <is>
          <t>Feb</t>
        </is>
      </c>
      <c r="C756" s="6" t="inlineStr">
        <is>
          <t>TN</t>
        </is>
      </c>
      <c r="D756" s="7" t="inlineStr">
        <is>
          <t>TN38BF2947</t>
        </is>
      </c>
      <c r="E756" s="7" t="inlineStr">
        <is>
          <t>MARUTI SUZUKI</t>
        </is>
      </c>
      <c r="F756" s="7" t="inlineStr">
        <is>
          <t>Alto K10</t>
        </is>
      </c>
      <c r="G756" s="7" t="inlineStr">
        <is>
          <t>RAMANI CARS GROUP</t>
        </is>
      </c>
      <c r="H756" s="7" t="inlineStr">
        <is>
          <t>Non-Captive</t>
        </is>
      </c>
      <c r="I756" s="7" t="inlineStr">
        <is>
          <t>Dheera Cars</t>
        </is>
      </c>
      <c r="J756" s="8" t="n">
        <v>2011</v>
      </c>
      <c r="K756" s="9" t="n">
        <v>99907</v>
      </c>
      <c r="L756" s="10" t="n">
        <v>130000</v>
      </c>
      <c r="M756" s="10" t="n">
        <v>4237.29</v>
      </c>
      <c r="N756" s="11">
        <f>IF(M756="","",ROUND(M756*1.18,2))</f>
        <v/>
      </c>
      <c r="O756" s="12">
        <f>IF(M756="","",ROUND(N756-M756,2))</f>
        <v/>
      </c>
      <c r="P756" s="13">
        <f>IF(AND(A756&lt;&gt;"",B756&lt;&gt;""), A756&amp;" · "&amp;B756, "")</f>
        <v/>
      </c>
    </row>
    <row r="757">
      <c r="A757" s="6" t="inlineStr">
        <is>
          <t>FY26</t>
        </is>
      </c>
      <c r="B757" s="6" t="inlineStr">
        <is>
          <t>Feb</t>
        </is>
      </c>
      <c r="C757" s="6" t="inlineStr">
        <is>
          <t>TN</t>
        </is>
      </c>
      <c r="D757" s="7" t="inlineStr">
        <is>
          <t>TN38BF3223</t>
        </is>
      </c>
      <c r="E757" s="7" t="inlineStr">
        <is>
          <t>FORD</t>
        </is>
      </c>
      <c r="F757" s="7" t="inlineStr">
        <is>
          <t>Figo</t>
        </is>
      </c>
      <c r="G757" s="7" t="inlineStr">
        <is>
          <t>EXCHANGE ROTN</t>
        </is>
      </c>
      <c r="H757" s="7" t="inlineStr">
        <is>
          <t>Captive</t>
        </is>
      </c>
      <c r="I757" s="7" t="inlineStr">
        <is>
          <t>Dheera Cars</t>
        </is>
      </c>
      <c r="J757" s="8" t="n">
        <v>2011</v>
      </c>
      <c r="K757" s="9" t="n">
        <v>119540</v>
      </c>
      <c r="L757" s="10" t="n">
        <v>120000</v>
      </c>
      <c r="M757" s="10" t="n">
        <v>4237.29</v>
      </c>
      <c r="N757" s="11">
        <f>IF(M757="","",ROUND(M757*1.18,2))</f>
        <v/>
      </c>
      <c r="O757" s="12">
        <f>IF(M757="","",ROUND(N757-M757,2))</f>
        <v/>
      </c>
      <c r="P757" s="13">
        <f>IF(AND(A757&lt;&gt;"",B757&lt;&gt;""), A757&amp;" · "&amp;B757, "")</f>
        <v/>
      </c>
    </row>
    <row r="758">
      <c r="A758" s="6" t="inlineStr">
        <is>
          <t>FY26</t>
        </is>
      </c>
      <c r="B758" s="6" t="inlineStr">
        <is>
          <t>Feb</t>
        </is>
      </c>
      <c r="C758" s="6" t="inlineStr">
        <is>
          <t>TN</t>
        </is>
      </c>
      <c r="D758" s="7" t="inlineStr">
        <is>
          <t>TN38BH6333</t>
        </is>
      </c>
      <c r="E758" s="7" t="inlineStr">
        <is>
          <t>FORD</t>
        </is>
      </c>
      <c r="F758" s="7" t="inlineStr">
        <is>
          <t>Figo</t>
        </is>
      </c>
      <c r="G758" s="7" t="inlineStr">
        <is>
          <t>JAIKRISHNAA AUTOSALES PRIVATE LIMITED</t>
        </is>
      </c>
      <c r="H758" s="7" t="inlineStr">
        <is>
          <t>Non-Captive</t>
        </is>
      </c>
      <c r="I758" s="7" t="inlineStr">
        <is>
          <t>Dhidugal Value Cars</t>
        </is>
      </c>
      <c r="J758" s="8" t="n">
        <v>2011</v>
      </c>
      <c r="K758" s="9" t="n">
        <v>111803</v>
      </c>
      <c r="L758" s="10" t="n">
        <v>130000</v>
      </c>
      <c r="M758" s="10" t="n">
        <v>4237.29</v>
      </c>
      <c r="N758" s="11">
        <f>IF(M758="","",ROUND(M758*1.18,2))</f>
        <v/>
      </c>
      <c r="O758" s="12">
        <f>IF(M758="","",ROUND(N758-M758,2))</f>
        <v/>
      </c>
      <c r="P758" s="13">
        <f>IF(AND(A758&lt;&gt;"",B758&lt;&gt;""), A758&amp;" · "&amp;B758, "")</f>
        <v/>
      </c>
    </row>
    <row r="759">
      <c r="A759" s="6" t="inlineStr">
        <is>
          <t>FY26</t>
        </is>
      </c>
      <c r="B759" s="6" t="inlineStr">
        <is>
          <t>Feb</t>
        </is>
      </c>
      <c r="C759" s="6" t="inlineStr">
        <is>
          <t>TN</t>
        </is>
      </c>
      <c r="D759" s="7" t="inlineStr">
        <is>
          <t>TN38BJ3768</t>
        </is>
      </c>
      <c r="E759" s="7" t="inlineStr">
        <is>
          <t>MARUTI SUZUKI</t>
        </is>
      </c>
      <c r="F759" s="7" t="inlineStr">
        <is>
          <t>Ritz</t>
        </is>
      </c>
      <c r="G759" s="7" t="inlineStr">
        <is>
          <t>EXCHANGE ROTN</t>
        </is>
      </c>
      <c r="H759" s="7" t="inlineStr">
        <is>
          <t>Captive</t>
        </is>
      </c>
      <c r="I759" s="7" t="inlineStr">
        <is>
          <t>M.S.V CAR PAINTING WORKS</t>
        </is>
      </c>
      <c r="J759" s="8" t="n">
        <v>2011</v>
      </c>
      <c r="K759" s="9" t="n">
        <v>71898</v>
      </c>
      <c r="L759" s="10" t="n">
        <v>160000</v>
      </c>
      <c r="M759" s="10" t="n">
        <v>4237.29</v>
      </c>
      <c r="N759" s="11">
        <f>IF(M759="","",ROUND(M759*1.18,2))</f>
        <v/>
      </c>
      <c r="O759" s="12">
        <f>IF(M759="","",ROUND(N759-M759,2))</f>
        <v/>
      </c>
      <c r="P759" s="13">
        <f>IF(AND(A759&lt;&gt;"",B759&lt;&gt;""), A759&amp;" · "&amp;B759, "")</f>
        <v/>
      </c>
    </row>
    <row r="760">
      <c r="A760" s="6" t="inlineStr">
        <is>
          <t>FY26</t>
        </is>
      </c>
      <c r="B760" s="6" t="inlineStr">
        <is>
          <t>Feb</t>
        </is>
      </c>
      <c r="C760" s="6" t="inlineStr">
        <is>
          <t>TN</t>
        </is>
      </c>
      <c r="D760" s="7" t="inlineStr">
        <is>
          <t>TN38BK0136</t>
        </is>
      </c>
      <c r="E760" s="7" t="inlineStr">
        <is>
          <t>MARUTI SUZUKI</t>
        </is>
      </c>
      <c r="F760" s="7" t="inlineStr">
        <is>
          <t>Wagon R</t>
        </is>
      </c>
      <c r="G760" s="7" t="inlineStr">
        <is>
          <t>EXCHANGE ROTN</t>
        </is>
      </c>
      <c r="H760" s="7" t="inlineStr">
        <is>
          <t>Captive</t>
        </is>
      </c>
      <c r="I760" s="7" t="inlineStr">
        <is>
          <t>Ashwin cars</t>
        </is>
      </c>
      <c r="J760" s="8" t="n">
        <v>2011</v>
      </c>
      <c r="K760" s="9" t="n">
        <v>104991</v>
      </c>
      <c r="L760" s="10" t="n">
        <v>165000</v>
      </c>
      <c r="M760" s="10" t="n">
        <v>4237.29</v>
      </c>
      <c r="N760" s="11">
        <f>IF(M760="","",ROUND(M760*1.18,2))</f>
        <v/>
      </c>
      <c r="O760" s="12">
        <f>IF(M760="","",ROUND(N760-M760,2))</f>
        <v/>
      </c>
      <c r="P760" s="13">
        <f>IF(AND(A760&lt;&gt;"",B760&lt;&gt;""), A760&amp;" · "&amp;B760, "")</f>
        <v/>
      </c>
    </row>
    <row r="761">
      <c r="A761" s="6" t="inlineStr">
        <is>
          <t>FY26</t>
        </is>
      </c>
      <c r="B761" s="6" t="inlineStr">
        <is>
          <t>Feb</t>
        </is>
      </c>
      <c r="C761" s="6" t="inlineStr">
        <is>
          <t>TN</t>
        </is>
      </c>
      <c r="D761" s="7" t="inlineStr">
        <is>
          <t>TN38BP3564</t>
        </is>
      </c>
      <c r="E761" s="7" t="inlineStr">
        <is>
          <t>FORD</t>
        </is>
      </c>
      <c r="F761" s="7" t="inlineStr">
        <is>
          <t>Figo</t>
        </is>
      </c>
      <c r="G761" s="7" t="inlineStr">
        <is>
          <t>EXCHANGE ROTN</t>
        </is>
      </c>
      <c r="H761" s="7" t="inlineStr">
        <is>
          <t>Captive</t>
        </is>
      </c>
      <c r="I761" s="7" t="inlineStr">
        <is>
          <t>Value Cars</t>
        </is>
      </c>
      <c r="J761" s="8" t="n">
        <v>2012</v>
      </c>
      <c r="K761" s="9" t="n">
        <v>205525</v>
      </c>
      <c r="L761" s="10" t="n">
        <v>125000</v>
      </c>
      <c r="M761" s="10" t="n">
        <v>4237.29</v>
      </c>
      <c r="N761" s="11">
        <f>IF(M761="","",ROUND(M761*1.18,2))</f>
        <v/>
      </c>
      <c r="O761" s="12">
        <f>IF(M761="","",ROUND(N761-M761,2))</f>
        <v/>
      </c>
      <c r="P761" s="13">
        <f>IF(AND(A761&lt;&gt;"",B761&lt;&gt;""), A761&amp;" · "&amp;B761, "")</f>
        <v/>
      </c>
    </row>
    <row r="762">
      <c r="A762" s="6" t="inlineStr">
        <is>
          <t>FY26</t>
        </is>
      </c>
      <c r="B762" s="6" t="inlineStr">
        <is>
          <t>Feb</t>
        </is>
      </c>
      <c r="C762" s="6" t="inlineStr">
        <is>
          <t>TN</t>
        </is>
      </c>
      <c r="D762" s="7" t="inlineStr">
        <is>
          <t>TN38BR1469</t>
        </is>
      </c>
      <c r="E762" s="7" t="inlineStr">
        <is>
          <t>HONDA</t>
        </is>
      </c>
      <c r="F762" s="7" t="inlineStr">
        <is>
          <t>Brio</t>
        </is>
      </c>
      <c r="G762" s="7" t="inlineStr">
        <is>
          <t>EXCHANGE ROTN</t>
        </is>
      </c>
      <c r="H762" s="7" t="inlineStr">
        <is>
          <t>Captive</t>
        </is>
      </c>
      <c r="I762" s="7" t="inlineStr">
        <is>
          <t>MADHURA CARS</t>
        </is>
      </c>
      <c r="J762" s="8" t="n">
        <v>2012</v>
      </c>
      <c r="K762" s="9" t="n">
        <v>92382</v>
      </c>
      <c r="L762" s="10" t="n">
        <v>205000</v>
      </c>
      <c r="M762" s="10" t="n">
        <v>4237.29</v>
      </c>
      <c r="N762" s="11">
        <f>IF(M762="","",ROUND(M762*1.18,2))</f>
        <v/>
      </c>
      <c r="O762" s="12">
        <f>IF(M762="","",ROUND(N762-M762,2))</f>
        <v/>
      </c>
      <c r="P762" s="13">
        <f>IF(AND(A762&lt;&gt;"",B762&lt;&gt;""), A762&amp;" · "&amp;B762, "")</f>
        <v/>
      </c>
    </row>
    <row r="763">
      <c r="A763" s="6" t="inlineStr">
        <is>
          <t>FY26</t>
        </is>
      </c>
      <c r="B763" s="6" t="inlineStr">
        <is>
          <t>Feb</t>
        </is>
      </c>
      <c r="C763" s="6" t="inlineStr">
        <is>
          <t>TN</t>
        </is>
      </c>
      <c r="D763" s="7" t="inlineStr">
        <is>
          <t>TN38BW0114</t>
        </is>
      </c>
      <c r="E763" s="7" t="inlineStr">
        <is>
          <t>HONDA</t>
        </is>
      </c>
      <c r="F763" s="7" t="inlineStr">
        <is>
          <t>Amaze</t>
        </is>
      </c>
      <c r="G763" s="7" t="inlineStr">
        <is>
          <t>JAIKRISHNAA AUTOSALES PRIVATE LIMITED</t>
        </is>
      </c>
      <c r="H763" s="7" t="inlineStr">
        <is>
          <t>Non-Captive</t>
        </is>
      </c>
      <c r="I763" s="7" t="inlineStr">
        <is>
          <t>Dhidugal Value Cars</t>
        </is>
      </c>
      <c r="J763" s="8" t="n">
        <v>2013</v>
      </c>
      <c r="K763" s="9" t="n">
        <v>146930</v>
      </c>
      <c r="L763" s="10" t="n">
        <v>220000</v>
      </c>
      <c r="M763" s="10" t="n">
        <v>4237.29</v>
      </c>
      <c r="N763" s="11">
        <f>IF(M763="","",ROUND(M763*1.18,2))</f>
        <v/>
      </c>
      <c r="O763" s="12">
        <f>IF(M763="","",ROUND(N763-M763,2))</f>
        <v/>
      </c>
      <c r="P763" s="13">
        <f>IF(AND(A763&lt;&gt;"",B763&lt;&gt;""), A763&amp;" · "&amp;B763, "")</f>
        <v/>
      </c>
    </row>
    <row r="764">
      <c r="A764" s="6" t="inlineStr">
        <is>
          <t>FY26</t>
        </is>
      </c>
      <c r="B764" s="6" t="inlineStr">
        <is>
          <t>Feb</t>
        </is>
      </c>
      <c r="C764" s="6" t="inlineStr">
        <is>
          <t>TN</t>
        </is>
      </c>
      <c r="D764" s="7" t="inlineStr">
        <is>
          <t>TN38BZ5139</t>
        </is>
      </c>
      <c r="E764" s="7" t="inlineStr">
        <is>
          <t>HONDA</t>
        </is>
      </c>
      <c r="F764" s="7" t="inlineStr">
        <is>
          <t>City</t>
        </is>
      </c>
      <c r="G764" s="7" t="inlineStr">
        <is>
          <t>EXCHANGE ROTN</t>
        </is>
      </c>
      <c r="H764" s="7" t="inlineStr">
        <is>
          <t>Captive</t>
        </is>
      </c>
      <c r="I764" s="7" t="inlineStr">
        <is>
          <t>Sivashankar Cars</t>
        </is>
      </c>
      <c r="J764" s="8" t="n">
        <v>2014</v>
      </c>
      <c r="K764" s="9" t="n">
        <v>252914</v>
      </c>
      <c r="L764" s="10" t="n">
        <v>315000</v>
      </c>
      <c r="M764" s="10" t="n">
        <v>10169.49</v>
      </c>
      <c r="N764" s="11">
        <f>IF(M764="","",ROUND(M764*1.18,2))</f>
        <v/>
      </c>
      <c r="O764" s="12">
        <f>IF(M764="","",ROUND(N764-M764,2))</f>
        <v/>
      </c>
      <c r="P764" s="13">
        <f>IF(AND(A764&lt;&gt;"",B764&lt;&gt;""), A764&amp;" · "&amp;B764, "")</f>
        <v/>
      </c>
    </row>
    <row r="765">
      <c r="A765" s="6" t="inlineStr">
        <is>
          <t>FY26</t>
        </is>
      </c>
      <c r="B765" s="6" t="inlineStr">
        <is>
          <t>Feb</t>
        </is>
      </c>
      <c r="C765" s="6" t="inlineStr">
        <is>
          <t>TN</t>
        </is>
      </c>
      <c r="D765" s="7" t="inlineStr">
        <is>
          <t>TN38CA0154</t>
        </is>
      </c>
      <c r="E765" s="7" t="inlineStr">
        <is>
          <t>FIAT</t>
        </is>
      </c>
      <c r="F765" s="7" t="inlineStr">
        <is>
          <t>Punto</t>
        </is>
      </c>
      <c r="G765" s="7" t="inlineStr">
        <is>
          <t>RAMANI CARS GROUP</t>
        </is>
      </c>
      <c r="H765" s="7" t="inlineStr">
        <is>
          <t>Non-Captive</t>
        </is>
      </c>
      <c r="I765" s="7" t="inlineStr">
        <is>
          <t>Dheera Cars</t>
        </is>
      </c>
      <c r="J765" s="8" t="n">
        <v>2015</v>
      </c>
      <c r="K765" s="9" t="n">
        <v>207219</v>
      </c>
      <c r="L765" s="10" t="n">
        <v>170000</v>
      </c>
      <c r="M765" s="10" t="n">
        <v>4237.29</v>
      </c>
      <c r="N765" s="11">
        <f>IF(M765="","",ROUND(M765*1.18,2))</f>
        <v/>
      </c>
      <c r="O765" s="12">
        <f>IF(M765="","",ROUND(N765-M765,2))</f>
        <v/>
      </c>
      <c r="P765" s="13">
        <f>IF(AND(A765&lt;&gt;"",B765&lt;&gt;""), A765&amp;" · "&amp;B765, "")</f>
        <v/>
      </c>
    </row>
    <row r="766">
      <c r="A766" s="6" t="inlineStr">
        <is>
          <t>FY26</t>
        </is>
      </c>
      <c r="B766" s="6" t="inlineStr">
        <is>
          <t>Feb</t>
        </is>
      </c>
      <c r="C766" s="6" t="inlineStr">
        <is>
          <t>TN</t>
        </is>
      </c>
      <c r="D766" s="7" t="inlineStr">
        <is>
          <t>TN38CR2454</t>
        </is>
      </c>
      <c r="E766" s="7" t="inlineStr">
        <is>
          <t>MARUTI SUZUKI</t>
        </is>
      </c>
      <c r="F766" s="7" t="inlineStr">
        <is>
          <t>Dzire</t>
        </is>
      </c>
      <c r="G766" s="7" t="inlineStr">
        <is>
          <t>EXCHANGE ROTN</t>
        </is>
      </c>
      <c r="H766" s="7" t="inlineStr">
        <is>
          <t>Captive</t>
        </is>
      </c>
      <c r="I766" s="7" t="inlineStr">
        <is>
          <t>Gugha Cars</t>
        </is>
      </c>
      <c r="J766" s="8" t="n">
        <v>2018</v>
      </c>
      <c r="K766" s="9" t="n">
        <v>34241</v>
      </c>
      <c r="L766" s="10" t="n">
        <v>420000</v>
      </c>
      <c r="M766" s="10" t="n">
        <v>4237.29</v>
      </c>
      <c r="N766" s="11">
        <f>IF(M766="","",ROUND(M766*1.18,2))</f>
        <v/>
      </c>
      <c r="O766" s="12">
        <f>IF(M766="","",ROUND(N766-M766,2))</f>
        <v/>
      </c>
      <c r="P766" s="13">
        <f>IF(AND(A766&lt;&gt;"",B766&lt;&gt;""), A766&amp;" · "&amp;B766, "")</f>
        <v/>
      </c>
    </row>
    <row r="767">
      <c r="A767" s="6" t="inlineStr">
        <is>
          <t>FY26</t>
        </is>
      </c>
      <c r="B767" s="6" t="inlineStr">
        <is>
          <t>Feb</t>
        </is>
      </c>
      <c r="C767" s="6" t="inlineStr">
        <is>
          <t>TN</t>
        </is>
      </c>
      <c r="D767" s="7" t="inlineStr">
        <is>
          <t>TN38CY5275</t>
        </is>
      </c>
      <c r="E767" s="7" t="inlineStr">
        <is>
          <t>MARUTI SUZUKI</t>
        </is>
      </c>
      <c r="F767" s="7" t="inlineStr">
        <is>
          <t>Alto</t>
        </is>
      </c>
      <c r="G767" s="7" t="inlineStr">
        <is>
          <t>ABT LIMITED</t>
        </is>
      </c>
      <c r="H767" s="7" t="inlineStr">
        <is>
          <t>Non-Captive</t>
        </is>
      </c>
      <c r="I767" s="7" t="inlineStr">
        <is>
          <t>M.S.V CAR PAINTING WORKS</t>
        </is>
      </c>
      <c r="J767" s="8" t="n">
        <v>2021</v>
      </c>
      <c r="K767" s="9" t="n">
        <v>7686</v>
      </c>
      <c r="L767" s="10" t="n">
        <v>235000</v>
      </c>
      <c r="M767" s="10" t="n">
        <v>4237.29</v>
      </c>
      <c r="N767" s="11">
        <f>IF(M767="","",ROUND(M767*1.18,2))</f>
        <v/>
      </c>
      <c r="O767" s="12">
        <f>IF(M767="","",ROUND(N767-M767,2))</f>
        <v/>
      </c>
      <c r="P767" s="13">
        <f>IF(AND(A767&lt;&gt;"",B767&lt;&gt;""), A767&amp;" · "&amp;B767, "")</f>
        <v/>
      </c>
    </row>
    <row r="768">
      <c r="A768" s="6" t="inlineStr">
        <is>
          <t>FY26</t>
        </is>
      </c>
      <c r="B768" s="6" t="inlineStr">
        <is>
          <t>Feb</t>
        </is>
      </c>
      <c r="C768" s="6" t="inlineStr">
        <is>
          <t>TN</t>
        </is>
      </c>
      <c r="D768" s="7" t="inlineStr">
        <is>
          <t>TN38DF4636</t>
        </is>
      </c>
      <c r="E768" s="7" t="inlineStr">
        <is>
          <t>MARUTI SUZUKI</t>
        </is>
      </c>
      <c r="F768" s="7" t="inlineStr">
        <is>
          <t>Wagon R</t>
        </is>
      </c>
      <c r="G768" s="7" t="inlineStr">
        <is>
          <t>EXCHANGE ROTN</t>
        </is>
      </c>
      <c r="H768" s="7" t="inlineStr">
        <is>
          <t>Captive</t>
        </is>
      </c>
      <c r="I768" s="7" t="inlineStr">
        <is>
          <t>Ashwin cars</t>
        </is>
      </c>
      <c r="J768" s="8" t="n">
        <v>2023</v>
      </c>
      <c r="K768" s="9" t="n">
        <v>111448</v>
      </c>
      <c r="L768" s="10" t="n">
        <v>370000</v>
      </c>
      <c r="M768" s="10" t="n">
        <v>4237.29</v>
      </c>
      <c r="N768" s="11">
        <f>IF(M768="","",ROUND(M768*1.18,2))</f>
        <v/>
      </c>
      <c r="O768" s="12">
        <f>IF(M768="","",ROUND(N768-M768,2))</f>
        <v/>
      </c>
      <c r="P768" s="13">
        <f>IF(AND(A768&lt;&gt;"",B768&lt;&gt;""), A768&amp;" · "&amp;B768, "")</f>
        <v/>
      </c>
    </row>
    <row r="769">
      <c r="A769" s="6" t="inlineStr">
        <is>
          <t>FY26</t>
        </is>
      </c>
      <c r="B769" s="6" t="inlineStr">
        <is>
          <t>Feb</t>
        </is>
      </c>
      <c r="C769" s="6" t="inlineStr">
        <is>
          <t>TN</t>
        </is>
      </c>
      <c r="D769" s="7" t="inlineStr">
        <is>
          <t>TN38M6788</t>
        </is>
      </c>
      <c r="E769" s="7" t="inlineStr">
        <is>
          <t>HYUNDAI</t>
        </is>
      </c>
      <c r="F769" s="7" t="inlineStr">
        <is>
          <t>Accent</t>
        </is>
      </c>
      <c r="G769" s="7" t="inlineStr">
        <is>
          <t>EXCHANGE ROTN</t>
        </is>
      </c>
      <c r="H769" s="7" t="inlineStr">
        <is>
          <t>Captive</t>
        </is>
      </c>
      <c r="I769" s="7" t="inlineStr">
        <is>
          <t>Sivashankar Cars</t>
        </is>
      </c>
      <c r="J769" s="8" t="n">
        <v>2001</v>
      </c>
      <c r="K769" s="9" t="n">
        <v>259668</v>
      </c>
      <c r="L769" s="10" t="n">
        <v>30000</v>
      </c>
      <c r="M769" s="10" t="n">
        <v>4237.29</v>
      </c>
      <c r="N769" s="11">
        <f>IF(M769="","",ROUND(M769*1.18,2))</f>
        <v/>
      </c>
      <c r="O769" s="12">
        <f>IF(M769="","",ROUND(N769-M769,2))</f>
        <v/>
      </c>
      <c r="P769" s="13">
        <f>IF(AND(A769&lt;&gt;"",B769&lt;&gt;""), A769&amp;" · "&amp;B769, "")</f>
        <v/>
      </c>
    </row>
    <row r="770">
      <c r="A770" s="6" t="inlineStr">
        <is>
          <t>FY26</t>
        </is>
      </c>
      <c r="B770" s="6" t="inlineStr">
        <is>
          <t>Feb</t>
        </is>
      </c>
      <c r="C770" s="6" t="inlineStr">
        <is>
          <t>TN</t>
        </is>
      </c>
      <c r="D770" s="7" t="inlineStr">
        <is>
          <t>TN39BD2288</t>
        </is>
      </c>
      <c r="E770" s="7" t="inlineStr">
        <is>
          <t>VOLKSWAGEN</t>
        </is>
      </c>
      <c r="F770" s="7" t="inlineStr">
        <is>
          <t>Vento</t>
        </is>
      </c>
      <c r="G770" s="7" t="inlineStr">
        <is>
          <t>EXCHANGE ROTN</t>
        </is>
      </c>
      <c r="H770" s="7" t="inlineStr">
        <is>
          <t>Captive</t>
        </is>
      </c>
      <c r="I770" s="7" t="inlineStr">
        <is>
          <t>Karthickeyan cars</t>
        </is>
      </c>
      <c r="J770" s="8" t="n">
        <v>2011</v>
      </c>
      <c r="K770" s="9" t="n">
        <v>177759</v>
      </c>
      <c r="L770" s="10" t="n">
        <v>205000</v>
      </c>
      <c r="M770" s="10" t="n">
        <v>10169.49</v>
      </c>
      <c r="N770" s="11">
        <f>IF(M770="","",ROUND(M770*1.18,2))</f>
        <v/>
      </c>
      <c r="O770" s="12">
        <f>IF(M770="","",ROUND(N770-M770,2))</f>
        <v/>
      </c>
      <c r="P770" s="13">
        <f>IF(AND(A770&lt;&gt;"",B770&lt;&gt;""), A770&amp;" · "&amp;B770, "")</f>
        <v/>
      </c>
    </row>
    <row r="771">
      <c r="A771" s="6" t="inlineStr">
        <is>
          <t>FY26</t>
        </is>
      </c>
      <c r="B771" s="6" t="inlineStr">
        <is>
          <t>Feb</t>
        </is>
      </c>
      <c r="C771" s="6" t="inlineStr">
        <is>
          <t>TN</t>
        </is>
      </c>
      <c r="D771" s="7" t="inlineStr">
        <is>
          <t>TN39BY1645</t>
        </is>
      </c>
      <c r="E771" s="7" t="inlineStr">
        <is>
          <t>HONDA</t>
        </is>
      </c>
      <c r="F771" s="7" t="inlineStr">
        <is>
          <t>Brio</t>
        </is>
      </c>
      <c r="G771" s="7" t="inlineStr">
        <is>
          <t>EXCHANGE ROTN</t>
        </is>
      </c>
      <c r="H771" s="7" t="inlineStr">
        <is>
          <t>Captive</t>
        </is>
      </c>
      <c r="I771" s="7" t="inlineStr">
        <is>
          <t>Ashwin cars</t>
        </is>
      </c>
      <c r="J771" s="8" t="n">
        <v>2012</v>
      </c>
      <c r="K771" s="9" t="n">
        <v>109490</v>
      </c>
      <c r="L771" s="10" t="n">
        <v>220000</v>
      </c>
      <c r="M771" s="10" t="n">
        <v>4237.29</v>
      </c>
      <c r="N771" s="11">
        <f>IF(M771="","",ROUND(M771*1.18,2))</f>
        <v/>
      </c>
      <c r="O771" s="12">
        <f>IF(M771="","",ROUND(N771-M771,2))</f>
        <v/>
      </c>
      <c r="P771" s="13">
        <f>IF(AND(A771&lt;&gt;"",B771&lt;&gt;""), A771&amp;" · "&amp;B771, "")</f>
        <v/>
      </c>
    </row>
    <row r="772">
      <c r="A772" s="6" t="inlineStr">
        <is>
          <t>FY26</t>
        </is>
      </c>
      <c r="B772" s="6" t="inlineStr">
        <is>
          <t>Feb</t>
        </is>
      </c>
      <c r="C772" s="6" t="inlineStr">
        <is>
          <t>TN</t>
        </is>
      </c>
      <c r="D772" s="7" t="inlineStr">
        <is>
          <t>TN39CA7475</t>
        </is>
      </c>
      <c r="E772" s="7" t="inlineStr">
        <is>
          <t>MARUTI SUZUKI</t>
        </is>
      </c>
      <c r="F772" s="7" t="inlineStr">
        <is>
          <t>Baleno</t>
        </is>
      </c>
      <c r="G772" s="7" t="inlineStr">
        <is>
          <t>EXCHANGE ROTN</t>
        </is>
      </c>
      <c r="H772" s="7" t="inlineStr">
        <is>
          <t>Captive</t>
        </is>
      </c>
      <c r="I772" s="7" t="inlineStr">
        <is>
          <t>Sai Cars</t>
        </is>
      </c>
      <c r="J772" s="8" t="n">
        <v>2016</v>
      </c>
      <c r="K772" s="9" t="n">
        <v>67654</v>
      </c>
      <c r="L772" s="10" t="n">
        <v>485000</v>
      </c>
      <c r="M772" s="10" t="n">
        <v>8474.58</v>
      </c>
      <c r="N772" s="11">
        <f>IF(M772="","",ROUND(M772*1.18,2))</f>
        <v/>
      </c>
      <c r="O772" s="12">
        <f>IF(M772="","",ROUND(N772-M772,2))</f>
        <v/>
      </c>
      <c r="P772" s="13">
        <f>IF(AND(A772&lt;&gt;"",B772&lt;&gt;""), A772&amp;" · "&amp;B772, "")</f>
        <v/>
      </c>
    </row>
    <row r="773">
      <c r="A773" s="6" t="inlineStr">
        <is>
          <t>FY26</t>
        </is>
      </c>
      <c r="B773" s="6" t="inlineStr">
        <is>
          <t>Feb</t>
        </is>
      </c>
      <c r="C773" s="6" t="inlineStr">
        <is>
          <t>TN</t>
        </is>
      </c>
      <c r="D773" s="7" t="inlineStr">
        <is>
          <t>TN39CY9609</t>
        </is>
      </c>
      <c r="E773" s="7" t="inlineStr">
        <is>
          <t>TOYOTA</t>
        </is>
      </c>
      <c r="F773" s="7" t="inlineStr">
        <is>
          <t>Etios</t>
        </is>
      </c>
      <c r="G773" s="7" t="inlineStr">
        <is>
          <t>EXCHANGE ROTN</t>
        </is>
      </c>
      <c r="H773" s="7" t="inlineStr">
        <is>
          <t>Captive</t>
        </is>
      </c>
      <c r="I773" s="7" t="inlineStr">
        <is>
          <t>MADHURA CARS</t>
        </is>
      </c>
      <c r="J773" s="8" t="n">
        <v>2018</v>
      </c>
      <c r="K773" s="9" t="n">
        <v>40079</v>
      </c>
      <c r="L773" s="10" t="n">
        <v>500000</v>
      </c>
      <c r="M773" s="10" t="n">
        <v>12711.86</v>
      </c>
      <c r="N773" s="11">
        <f>IF(M773="","",ROUND(M773*1.18,2))</f>
        <v/>
      </c>
      <c r="O773" s="12">
        <f>IF(M773="","",ROUND(N773-M773,2))</f>
        <v/>
      </c>
      <c r="P773" s="13">
        <f>IF(AND(A773&lt;&gt;"",B773&lt;&gt;""), A773&amp;" · "&amp;B773, "")</f>
        <v/>
      </c>
    </row>
    <row r="774">
      <c r="A774" s="6" t="inlineStr">
        <is>
          <t>FY26</t>
        </is>
      </c>
      <c r="B774" s="6" t="inlineStr">
        <is>
          <t>Feb</t>
        </is>
      </c>
      <c r="C774" s="6" t="inlineStr">
        <is>
          <t>TN</t>
        </is>
      </c>
      <c r="D774" s="7" t="inlineStr">
        <is>
          <t>TN40H4322</t>
        </is>
      </c>
      <c r="E774" s="7" t="inlineStr">
        <is>
          <t>HYUNDAI</t>
        </is>
      </c>
      <c r="F774" s="7" t="inlineStr">
        <is>
          <t>i10</t>
        </is>
      </c>
      <c r="G774" s="7" t="inlineStr">
        <is>
          <t>EXCHANGE ROTN</t>
        </is>
      </c>
      <c r="H774" s="7" t="inlineStr">
        <is>
          <t>Captive</t>
        </is>
      </c>
      <c r="I774" s="7" t="inlineStr">
        <is>
          <t>Ashwin cars</t>
        </is>
      </c>
      <c r="J774" s="8" t="n">
        <v>2013</v>
      </c>
      <c r="K774" s="9" t="n">
        <v>102330</v>
      </c>
      <c r="L774" s="10" t="n">
        <v>235000</v>
      </c>
      <c r="M774" s="10" t="n">
        <v>4237.29</v>
      </c>
      <c r="N774" s="11">
        <f>IF(M774="","",ROUND(M774*1.18,2))</f>
        <v/>
      </c>
      <c r="O774" s="12">
        <f>IF(M774="","",ROUND(N774-M774,2))</f>
        <v/>
      </c>
      <c r="P774" s="13">
        <f>IF(AND(A774&lt;&gt;"",B774&lt;&gt;""), A774&amp;" · "&amp;B774, "")</f>
        <v/>
      </c>
    </row>
    <row r="775">
      <c r="A775" s="6" t="inlineStr">
        <is>
          <t>FY26</t>
        </is>
      </c>
      <c r="B775" s="6" t="inlineStr">
        <is>
          <t>Feb</t>
        </is>
      </c>
      <c r="C775" s="6" t="inlineStr">
        <is>
          <t>TN</t>
        </is>
      </c>
      <c r="D775" s="7" t="inlineStr">
        <is>
          <t>TN41AU7025</t>
        </is>
      </c>
      <c r="E775" s="7" t="inlineStr">
        <is>
          <t>MARUTI SUZUKI</t>
        </is>
      </c>
      <c r="F775" s="7" t="inlineStr">
        <is>
          <t>Wagon R</t>
        </is>
      </c>
      <c r="G775" s="7" t="inlineStr">
        <is>
          <t>ANAAMALAIS TOYOTA</t>
        </is>
      </c>
      <c r="H775" s="7" t="inlineStr">
        <is>
          <t>Non-Captive</t>
        </is>
      </c>
      <c r="I775" s="7" t="inlineStr">
        <is>
          <t>Kandhan Cars</t>
        </is>
      </c>
      <c r="J775" s="8" t="n">
        <v>2019</v>
      </c>
      <c r="K775" s="9" t="n">
        <v>110887</v>
      </c>
      <c r="L775" s="10" t="n">
        <v>363500</v>
      </c>
      <c r="M775" s="10" t="n">
        <v>9745.76</v>
      </c>
      <c r="N775" s="11">
        <f>IF(M775="","",ROUND(M775*1.18,2))</f>
        <v/>
      </c>
      <c r="O775" s="12">
        <f>IF(M775="","",ROUND(N775-M775,2))</f>
        <v/>
      </c>
      <c r="P775" s="13">
        <f>IF(AND(A775&lt;&gt;"",B775&lt;&gt;""), A775&amp;" · "&amp;B775, "")</f>
        <v/>
      </c>
    </row>
    <row r="776">
      <c r="A776" s="6" t="inlineStr">
        <is>
          <t>FY26</t>
        </is>
      </c>
      <c r="B776" s="6" t="inlineStr">
        <is>
          <t>Feb</t>
        </is>
      </c>
      <c r="C776" s="6" t="inlineStr">
        <is>
          <t>TN</t>
        </is>
      </c>
      <c r="D776" s="7" t="inlineStr">
        <is>
          <t>TN42AB1218</t>
        </is>
      </c>
      <c r="E776" s="7" t="inlineStr">
        <is>
          <t>MARUTI SUZUKI</t>
        </is>
      </c>
      <c r="F776" s="7" t="inlineStr">
        <is>
          <t>Celerio</t>
        </is>
      </c>
      <c r="G776" s="7" t="inlineStr">
        <is>
          <t>JAIKRISHNAA AUTOSALES PRIVATE LIMITED</t>
        </is>
      </c>
      <c r="H776" s="7" t="inlineStr">
        <is>
          <t>Non-Captive</t>
        </is>
      </c>
      <c r="I776" s="7" t="inlineStr">
        <is>
          <t>Dhidugal Value Cars</t>
        </is>
      </c>
      <c r="J776" s="8" t="n">
        <v>2018</v>
      </c>
      <c r="K776" s="9" t="n">
        <v>103506</v>
      </c>
      <c r="L776" s="10" t="n">
        <v>240000</v>
      </c>
      <c r="M776" s="10" t="n">
        <v>4237.29</v>
      </c>
      <c r="N776" s="11">
        <f>IF(M776="","",ROUND(M776*1.18,2))</f>
        <v/>
      </c>
      <c r="O776" s="12">
        <f>IF(M776="","",ROUND(N776-M776,2))</f>
        <v/>
      </c>
      <c r="P776" s="13">
        <f>IF(AND(A776&lt;&gt;"",B776&lt;&gt;""), A776&amp;" · "&amp;B776, "")</f>
        <v/>
      </c>
    </row>
    <row r="777">
      <c r="A777" s="6" t="inlineStr">
        <is>
          <t>FY26</t>
        </is>
      </c>
      <c r="B777" s="6" t="inlineStr">
        <is>
          <t>Feb</t>
        </is>
      </c>
      <c r="C777" s="6" t="inlineStr">
        <is>
          <t>TN</t>
        </is>
      </c>
      <c r="D777" s="7" t="inlineStr">
        <is>
          <t>TN42P9491</t>
        </is>
      </c>
      <c r="E777" s="7" t="inlineStr">
        <is>
          <t>NISSAN</t>
        </is>
      </c>
      <c r="F777" s="7" t="inlineStr">
        <is>
          <t>Micra Active</t>
        </is>
      </c>
      <c r="G777" s="7" t="inlineStr">
        <is>
          <t>EXCHANGE ROTN</t>
        </is>
      </c>
      <c r="H777" s="7" t="inlineStr">
        <is>
          <t>Captive</t>
        </is>
      </c>
      <c r="I777" s="7" t="inlineStr">
        <is>
          <t>SRI RAJA KANAPATHY CARS</t>
        </is>
      </c>
      <c r="J777" s="8" t="n">
        <v>2016</v>
      </c>
      <c r="K777" s="9" t="n">
        <v>82008</v>
      </c>
      <c r="L777" s="10" t="n">
        <v>170000</v>
      </c>
      <c r="M777" s="10" t="n">
        <v>4237.29</v>
      </c>
      <c r="N777" s="11">
        <f>IF(M777="","",ROUND(M777*1.18,2))</f>
        <v/>
      </c>
      <c r="O777" s="12">
        <f>IF(M777="","",ROUND(N777-M777,2))</f>
        <v/>
      </c>
      <c r="P777" s="13">
        <f>IF(AND(A777&lt;&gt;"",B777&lt;&gt;""), A777&amp;" · "&amp;B777, "")</f>
        <v/>
      </c>
    </row>
    <row r="778">
      <c r="A778" s="6" t="inlineStr">
        <is>
          <t>FY26</t>
        </is>
      </c>
      <c r="B778" s="6" t="inlineStr">
        <is>
          <t>Feb</t>
        </is>
      </c>
      <c r="C778" s="6" t="inlineStr">
        <is>
          <t>TN</t>
        </is>
      </c>
      <c r="D778" s="7" t="inlineStr">
        <is>
          <t>TN45BK5549</t>
        </is>
      </c>
      <c r="E778" s="7" t="inlineStr">
        <is>
          <t>RENAULT</t>
        </is>
      </c>
      <c r="F778" s="7" t="inlineStr">
        <is>
          <t>Duster</t>
        </is>
      </c>
      <c r="G778" s="7" t="inlineStr">
        <is>
          <t>STEER AUTO TECHNOLOGIES PRIVATE LIMITED</t>
        </is>
      </c>
      <c r="H778" s="7" t="inlineStr">
        <is>
          <t>Non-Captive</t>
        </is>
      </c>
      <c r="I778" s="7" t="inlineStr">
        <is>
          <t>Rithika cars</t>
        </is>
      </c>
      <c r="J778" s="8" t="n">
        <v>2016</v>
      </c>
      <c r="K778" s="9" t="n">
        <v>67909</v>
      </c>
      <c r="L778" s="10" t="n">
        <v>540000</v>
      </c>
      <c r="M778" s="10" t="n">
        <v>3389.83</v>
      </c>
      <c r="N778" s="11">
        <f>IF(M778="","",ROUND(M778*1.18,2))</f>
        <v/>
      </c>
      <c r="O778" s="12">
        <f>IF(M778="","",ROUND(N778-M778,2))</f>
        <v/>
      </c>
      <c r="P778" s="13">
        <f>IF(AND(A778&lt;&gt;"",B778&lt;&gt;""), A778&amp;" · "&amp;B778, "")</f>
        <v/>
      </c>
    </row>
    <row r="779">
      <c r="A779" s="6" t="inlineStr">
        <is>
          <t>FY26</t>
        </is>
      </c>
      <c r="B779" s="6" t="inlineStr">
        <is>
          <t>Feb</t>
        </is>
      </c>
      <c r="C779" s="6" t="inlineStr">
        <is>
          <t>TN</t>
        </is>
      </c>
      <c r="D779" s="7" t="inlineStr">
        <is>
          <t>TN47AJ3142</t>
        </is>
      </c>
      <c r="E779" s="7" t="inlineStr">
        <is>
          <t>HONDA</t>
        </is>
      </c>
      <c r="F779" s="7" t="inlineStr">
        <is>
          <t>Amaze</t>
        </is>
      </c>
      <c r="G779" s="7" t="inlineStr">
        <is>
          <t>EXCHANGE ROTN</t>
        </is>
      </c>
      <c r="H779" s="7" t="inlineStr">
        <is>
          <t>Captive</t>
        </is>
      </c>
      <c r="I779" s="7" t="inlineStr">
        <is>
          <t>SRI RAJA KANAPATHY CARS</t>
        </is>
      </c>
      <c r="J779" s="8" t="n">
        <v>2016</v>
      </c>
      <c r="K779" s="9" t="n">
        <v>178689</v>
      </c>
      <c r="L779" s="10" t="n">
        <v>350000</v>
      </c>
      <c r="M779" s="10" t="n">
        <v>8474.58</v>
      </c>
      <c r="N779" s="11">
        <f>IF(M779="","",ROUND(M779*1.18,2))</f>
        <v/>
      </c>
      <c r="O779" s="12">
        <f>IF(M779="","",ROUND(N779-M779,2))</f>
        <v/>
      </c>
      <c r="P779" s="13">
        <f>IF(AND(A779&lt;&gt;"",B779&lt;&gt;""), A779&amp;" · "&amp;B779, "")</f>
        <v/>
      </c>
    </row>
    <row r="780">
      <c r="A780" s="6" t="inlineStr">
        <is>
          <t>FY26</t>
        </is>
      </c>
      <c r="B780" s="6" t="inlineStr">
        <is>
          <t>Feb</t>
        </is>
      </c>
      <c r="C780" s="6" t="inlineStr">
        <is>
          <t>TN</t>
        </is>
      </c>
      <c r="D780" s="7" t="inlineStr">
        <is>
          <t>TN47AR5693</t>
        </is>
      </c>
      <c r="E780" s="7" t="inlineStr">
        <is>
          <t>MARUTI SUZUKI</t>
        </is>
      </c>
      <c r="F780" s="7" t="inlineStr">
        <is>
          <t>Alto K10</t>
        </is>
      </c>
      <c r="G780" s="7" t="inlineStr">
        <is>
          <t>EXCHANGE ROTN</t>
        </is>
      </c>
      <c r="H780" s="7" t="inlineStr">
        <is>
          <t>Captive</t>
        </is>
      </c>
      <c r="I780" s="7" t="inlineStr">
        <is>
          <t>SMS Cars</t>
        </is>
      </c>
      <c r="J780" s="8" t="n">
        <v>2018</v>
      </c>
      <c r="K780" s="9" t="n">
        <v>33400</v>
      </c>
      <c r="L780" s="10" t="n">
        <v>250000</v>
      </c>
      <c r="M780" s="10" t="n">
        <v>12711.86</v>
      </c>
      <c r="N780" s="11">
        <f>IF(M780="","",ROUND(M780*1.18,2))</f>
        <v/>
      </c>
      <c r="O780" s="12">
        <f>IF(M780="","",ROUND(N780-M780,2))</f>
        <v/>
      </c>
      <c r="P780" s="13">
        <f>IF(AND(A780&lt;&gt;"",B780&lt;&gt;""), A780&amp;" · "&amp;B780, "")</f>
        <v/>
      </c>
    </row>
    <row r="781">
      <c r="A781" s="6" t="inlineStr">
        <is>
          <t>FY26</t>
        </is>
      </c>
      <c r="B781" s="6" t="inlineStr">
        <is>
          <t>Feb</t>
        </is>
      </c>
      <c r="C781" s="6" t="inlineStr">
        <is>
          <t>TN</t>
        </is>
      </c>
      <c r="D781" s="7" t="inlineStr">
        <is>
          <t>TN48AU2683</t>
        </is>
      </c>
      <c r="E781" s="7" t="inlineStr">
        <is>
          <t>HYUNDAI</t>
        </is>
      </c>
      <c r="F781" s="7" t="inlineStr">
        <is>
          <t>Verna</t>
        </is>
      </c>
      <c r="G781" s="7" t="inlineStr">
        <is>
          <t>EXCHANGE ROTN</t>
        </is>
      </c>
      <c r="H781" s="7" t="inlineStr">
        <is>
          <t>Captive</t>
        </is>
      </c>
      <c r="I781" s="7" t="inlineStr">
        <is>
          <t>Sri Murugan Cars</t>
        </is>
      </c>
      <c r="J781" s="8" t="n">
        <v>2015</v>
      </c>
      <c r="K781" s="9" t="n">
        <v>85278</v>
      </c>
      <c r="L781" s="10" t="n">
        <v>390000</v>
      </c>
      <c r="M781" s="10" t="n">
        <v>4237.29</v>
      </c>
      <c r="N781" s="11">
        <f>IF(M781="","",ROUND(M781*1.18,2))</f>
        <v/>
      </c>
      <c r="O781" s="12">
        <f>IF(M781="","",ROUND(N781-M781,2))</f>
        <v/>
      </c>
      <c r="P781" s="13">
        <f>IF(AND(A781&lt;&gt;"",B781&lt;&gt;""), A781&amp;" · "&amp;B781, "")</f>
        <v/>
      </c>
    </row>
    <row r="782">
      <c r="A782" s="6" t="inlineStr">
        <is>
          <t>FY26</t>
        </is>
      </c>
      <c r="B782" s="6" t="inlineStr">
        <is>
          <t>Feb</t>
        </is>
      </c>
      <c r="C782" s="6" t="inlineStr">
        <is>
          <t>TN</t>
        </is>
      </c>
      <c r="D782" s="7" t="inlineStr">
        <is>
          <t>TN54F2003</t>
        </is>
      </c>
      <c r="E782" s="7" t="inlineStr">
        <is>
          <t>HONDA</t>
        </is>
      </c>
      <c r="F782" s="7" t="inlineStr">
        <is>
          <t>Civic</t>
        </is>
      </c>
      <c r="G782" s="7" t="inlineStr">
        <is>
          <t>EXCHANGE ROTN</t>
        </is>
      </c>
      <c r="H782" s="7" t="inlineStr">
        <is>
          <t>Captive</t>
        </is>
      </c>
      <c r="I782" s="7" t="inlineStr">
        <is>
          <t>MSV Car Painting</t>
        </is>
      </c>
      <c r="J782" s="8" t="n">
        <v>2012</v>
      </c>
      <c r="K782" s="9" t="n">
        <v>150779</v>
      </c>
      <c r="L782" s="10" t="n">
        <v>274000</v>
      </c>
      <c r="M782" s="10" t="n">
        <v>13559.32</v>
      </c>
      <c r="N782" s="11">
        <f>IF(M782="","",ROUND(M782*1.18,2))</f>
        <v/>
      </c>
      <c r="O782" s="12">
        <f>IF(M782="","",ROUND(N782-M782,2))</f>
        <v/>
      </c>
      <c r="P782" s="13">
        <f>IF(AND(A782&lt;&gt;"",B782&lt;&gt;""), A782&amp;" · "&amp;B782, "")</f>
        <v/>
      </c>
    </row>
    <row r="783">
      <c r="A783" s="6" t="inlineStr">
        <is>
          <t>FY26</t>
        </is>
      </c>
      <c r="B783" s="6" t="inlineStr">
        <is>
          <t>Feb</t>
        </is>
      </c>
      <c r="C783" s="6" t="inlineStr">
        <is>
          <t>TN</t>
        </is>
      </c>
      <c r="D783" s="7" t="inlineStr">
        <is>
          <t>TN57AQ1108</t>
        </is>
      </c>
      <c r="E783" s="7" t="inlineStr">
        <is>
          <t>MARUTI SUZUKI</t>
        </is>
      </c>
      <c r="F783" s="7" t="inlineStr">
        <is>
          <t>Swift</t>
        </is>
      </c>
      <c r="G783" s="7" t="inlineStr">
        <is>
          <t>EXCHANGE ROTN</t>
        </is>
      </c>
      <c r="H783" s="7" t="inlineStr">
        <is>
          <t>Captive</t>
        </is>
      </c>
      <c r="I783" s="7" t="inlineStr">
        <is>
          <t>Value Cars</t>
        </is>
      </c>
      <c r="J783" s="8" t="n">
        <v>2015</v>
      </c>
      <c r="K783" s="9" t="n">
        <v>188267</v>
      </c>
      <c r="L783" s="10" t="n">
        <v>360000</v>
      </c>
      <c r="M783" s="10" t="n">
        <v>4237.29</v>
      </c>
      <c r="N783" s="11">
        <f>IF(M783="","",ROUND(M783*1.18,2))</f>
        <v/>
      </c>
      <c r="O783" s="12">
        <f>IF(M783="","",ROUND(N783-M783,2))</f>
        <v/>
      </c>
      <c r="P783" s="13">
        <f>IF(AND(A783&lt;&gt;"",B783&lt;&gt;""), A783&amp;" · "&amp;B783, "")</f>
        <v/>
      </c>
    </row>
    <row r="784">
      <c r="A784" s="6" t="inlineStr">
        <is>
          <t>FY26</t>
        </is>
      </c>
      <c r="B784" s="6" t="inlineStr">
        <is>
          <t>Feb</t>
        </is>
      </c>
      <c r="C784" s="6" t="inlineStr">
        <is>
          <t>TN</t>
        </is>
      </c>
      <c r="D784" s="7" t="inlineStr">
        <is>
          <t>TN59AV5922</t>
        </is>
      </c>
      <c r="E784" s="7" t="inlineStr">
        <is>
          <t>MARUTI SUZUKI</t>
        </is>
      </c>
      <c r="F784" s="7" t="inlineStr">
        <is>
          <t>Zen</t>
        </is>
      </c>
      <c r="G784" s="7" t="inlineStr">
        <is>
          <t>KHIVRAJ MOTOR</t>
        </is>
      </c>
      <c r="H784" s="7" t="inlineStr">
        <is>
          <t>Non-Captive</t>
        </is>
      </c>
      <c r="I784" s="7" t="inlineStr">
        <is>
          <t>Trust On wheels</t>
        </is>
      </c>
      <c r="J784" s="8" t="n">
        <v>2010</v>
      </c>
      <c r="K784" s="9" t="n">
        <v>33574</v>
      </c>
      <c r="L784" s="10" t="n">
        <v>65000</v>
      </c>
      <c r="M784" s="10" t="n">
        <v>2966.1</v>
      </c>
      <c r="N784" s="11">
        <f>IF(M784="","",ROUND(M784*1.18,2))</f>
        <v/>
      </c>
      <c r="O784" s="12">
        <f>IF(M784="","",ROUND(N784-M784,2))</f>
        <v/>
      </c>
      <c r="P784" s="13">
        <f>IF(AND(A784&lt;&gt;"",B784&lt;&gt;""), A784&amp;" · "&amp;B784, "")</f>
        <v/>
      </c>
    </row>
    <row r="785">
      <c r="A785" s="6" t="inlineStr">
        <is>
          <t>FY26</t>
        </is>
      </c>
      <c r="B785" s="6" t="inlineStr">
        <is>
          <t>Feb</t>
        </is>
      </c>
      <c r="C785" s="6" t="inlineStr">
        <is>
          <t>TN</t>
        </is>
      </c>
      <c r="D785" s="7" t="inlineStr">
        <is>
          <t>TN59BJ8491</t>
        </is>
      </c>
      <c r="E785" s="7" t="inlineStr">
        <is>
          <t>HONDA</t>
        </is>
      </c>
      <c r="F785" s="7" t="inlineStr">
        <is>
          <t>City</t>
        </is>
      </c>
      <c r="G785" s="7" t="inlineStr">
        <is>
          <t>EXCHANGE ROTN</t>
        </is>
      </c>
      <c r="H785" s="7" t="inlineStr">
        <is>
          <t>Captive</t>
        </is>
      </c>
      <c r="I785" s="7" t="inlineStr">
        <is>
          <t>Value Cars</t>
        </is>
      </c>
      <c r="J785" s="8" t="n">
        <v>2016</v>
      </c>
      <c r="K785" s="9" t="n">
        <v>288235</v>
      </c>
      <c r="L785" s="10" t="n">
        <v>380000</v>
      </c>
      <c r="M785" s="10" t="n">
        <v>8474.58</v>
      </c>
      <c r="N785" s="11">
        <f>IF(M785="","",ROUND(M785*1.18,2))</f>
        <v/>
      </c>
      <c r="O785" s="12">
        <f>IF(M785="","",ROUND(N785-M785,2))</f>
        <v/>
      </c>
      <c r="P785" s="13">
        <f>IF(AND(A785&lt;&gt;"",B785&lt;&gt;""), A785&amp;" · "&amp;B785, "")</f>
        <v/>
      </c>
    </row>
    <row r="786">
      <c r="A786" s="6" t="inlineStr">
        <is>
          <t>FY26</t>
        </is>
      </c>
      <c r="B786" s="6" t="inlineStr">
        <is>
          <t>Feb</t>
        </is>
      </c>
      <c r="C786" s="6" t="inlineStr">
        <is>
          <t>TN</t>
        </is>
      </c>
      <c r="D786" s="7" t="inlineStr">
        <is>
          <t>TN59BL7904</t>
        </is>
      </c>
      <c r="E786" s="7" t="inlineStr">
        <is>
          <t>HONDA</t>
        </is>
      </c>
      <c r="F786" s="7" t="inlineStr">
        <is>
          <t>City</t>
        </is>
      </c>
      <c r="G786" s="7" t="inlineStr">
        <is>
          <t>EXCHANGE ROTN</t>
        </is>
      </c>
      <c r="H786" s="7" t="inlineStr">
        <is>
          <t>Captive</t>
        </is>
      </c>
      <c r="I786" s="7" t="inlineStr">
        <is>
          <t>Sai Cars</t>
        </is>
      </c>
      <c r="J786" s="8" t="n">
        <v>2016</v>
      </c>
      <c r="K786" s="9" t="n">
        <v>73044</v>
      </c>
      <c r="L786" s="10" t="n">
        <v>475000</v>
      </c>
      <c r="M786" s="10" t="n">
        <v>16949.15</v>
      </c>
      <c r="N786" s="11">
        <f>IF(M786="","",ROUND(M786*1.18,2))</f>
        <v/>
      </c>
      <c r="O786" s="12">
        <f>IF(M786="","",ROUND(N786-M786,2))</f>
        <v/>
      </c>
      <c r="P786" s="13">
        <f>IF(AND(A786&lt;&gt;"",B786&lt;&gt;""), A786&amp;" · "&amp;B786, "")</f>
        <v/>
      </c>
    </row>
    <row r="787">
      <c r="A787" s="6" t="inlineStr">
        <is>
          <t>FY26</t>
        </is>
      </c>
      <c r="B787" s="6" t="inlineStr">
        <is>
          <t>Feb</t>
        </is>
      </c>
      <c r="C787" s="6" t="inlineStr">
        <is>
          <t>TN</t>
        </is>
      </c>
      <c r="D787" s="7" t="inlineStr">
        <is>
          <t>TN59CB2412</t>
        </is>
      </c>
      <c r="E787" s="7" t="inlineStr">
        <is>
          <t>HONDA</t>
        </is>
      </c>
      <c r="F787" s="7" t="inlineStr">
        <is>
          <t>Amaze</t>
        </is>
      </c>
      <c r="G787" s="7" t="inlineStr">
        <is>
          <t>EXCHANGE ROTN</t>
        </is>
      </c>
      <c r="H787" s="7" t="inlineStr">
        <is>
          <t>Captive</t>
        </is>
      </c>
      <c r="I787" s="7" t="inlineStr">
        <is>
          <t>Value Cars</t>
        </is>
      </c>
      <c r="J787" s="8" t="n">
        <v>2018</v>
      </c>
      <c r="K787" s="9" t="n">
        <v>420595</v>
      </c>
      <c r="L787" s="10" t="n">
        <v>305000</v>
      </c>
      <c r="M787" s="10" t="n">
        <v>4237.29</v>
      </c>
      <c r="N787" s="11">
        <f>IF(M787="","",ROUND(M787*1.18,2))</f>
        <v/>
      </c>
      <c r="O787" s="12">
        <f>IF(M787="","",ROUND(N787-M787,2))</f>
        <v/>
      </c>
      <c r="P787" s="13">
        <f>IF(AND(A787&lt;&gt;"",B787&lt;&gt;""), A787&amp;" · "&amp;B787, "")</f>
        <v/>
      </c>
    </row>
    <row r="788">
      <c r="A788" s="6" t="inlineStr">
        <is>
          <t>FY26</t>
        </is>
      </c>
      <c r="B788" s="6" t="inlineStr">
        <is>
          <t>Feb</t>
        </is>
      </c>
      <c r="C788" s="6" t="inlineStr">
        <is>
          <t>TN</t>
        </is>
      </c>
      <c r="D788" s="7" t="inlineStr">
        <is>
          <t>TN59CV1270</t>
        </is>
      </c>
      <c r="E788" s="7" t="inlineStr">
        <is>
          <t>HONDA</t>
        </is>
      </c>
      <c r="F788" s="7" t="inlineStr">
        <is>
          <t>WR-V</t>
        </is>
      </c>
      <c r="G788" s="7" t="inlineStr">
        <is>
          <t>EXCHANGE ROTN</t>
        </is>
      </c>
      <c r="H788" s="7" t="inlineStr">
        <is>
          <t>Captive</t>
        </is>
      </c>
      <c r="I788" s="7" t="inlineStr">
        <is>
          <t>Ashwin cars</t>
        </is>
      </c>
      <c r="J788" s="8" t="n">
        <v>2021</v>
      </c>
      <c r="K788" s="9" t="n">
        <v>71441</v>
      </c>
      <c r="L788" s="10" t="n">
        <v>575000</v>
      </c>
      <c r="M788" s="10" t="n">
        <v>12711.86</v>
      </c>
      <c r="N788" s="11">
        <f>IF(M788="","",ROUND(M788*1.18,2))</f>
        <v/>
      </c>
      <c r="O788" s="12">
        <f>IF(M788="","",ROUND(N788-M788,2))</f>
        <v/>
      </c>
      <c r="P788" s="13">
        <f>IF(AND(A788&lt;&gt;"",B788&lt;&gt;""), A788&amp;" · "&amp;B788, "")</f>
        <v/>
      </c>
    </row>
    <row r="789">
      <c r="A789" s="6" t="inlineStr">
        <is>
          <t>FY26</t>
        </is>
      </c>
      <c r="B789" s="6" t="inlineStr">
        <is>
          <t>Feb</t>
        </is>
      </c>
      <c r="C789" s="6" t="inlineStr">
        <is>
          <t>TN</t>
        </is>
      </c>
      <c r="D789" s="7" t="inlineStr">
        <is>
          <t>TN60AE2347</t>
        </is>
      </c>
      <c r="E789" s="7" t="inlineStr">
        <is>
          <t>HONDA</t>
        </is>
      </c>
      <c r="F789" s="7" t="inlineStr">
        <is>
          <t>Amaze</t>
        </is>
      </c>
      <c r="G789" s="7" t="inlineStr">
        <is>
          <t>EXCHANGE ROTN</t>
        </is>
      </c>
      <c r="H789" s="7" t="inlineStr">
        <is>
          <t>Captive</t>
        </is>
      </c>
      <c r="I789" s="7" t="inlineStr">
        <is>
          <t>Sun Cars</t>
        </is>
      </c>
      <c r="J789" s="8" t="n">
        <v>2019</v>
      </c>
      <c r="K789" s="9" t="n">
        <v>159699</v>
      </c>
      <c r="L789" s="10" t="n">
        <v>325000</v>
      </c>
      <c r="M789" s="10" t="n">
        <v>12711.86</v>
      </c>
      <c r="N789" s="11">
        <f>IF(M789="","",ROUND(M789*1.18,2))</f>
        <v/>
      </c>
      <c r="O789" s="12">
        <f>IF(M789="","",ROUND(N789-M789,2))</f>
        <v/>
      </c>
      <c r="P789" s="13">
        <f>IF(AND(A789&lt;&gt;"",B789&lt;&gt;""), A789&amp;" · "&amp;B789, "")</f>
        <v/>
      </c>
    </row>
    <row r="790">
      <c r="A790" s="6" t="inlineStr">
        <is>
          <t>FY26</t>
        </is>
      </c>
      <c r="B790" s="6" t="inlineStr">
        <is>
          <t>Feb</t>
        </is>
      </c>
      <c r="C790" s="6" t="inlineStr">
        <is>
          <t>TN</t>
        </is>
      </c>
      <c r="D790" s="7" t="inlineStr">
        <is>
          <t>TN64F3514</t>
        </is>
      </c>
      <c r="E790" s="7" t="inlineStr">
        <is>
          <t>TOYOTA</t>
        </is>
      </c>
      <c r="F790" s="7" t="inlineStr">
        <is>
          <t>Etios</t>
        </is>
      </c>
      <c r="G790" s="7" t="inlineStr">
        <is>
          <t>EXCHANGE ROTN</t>
        </is>
      </c>
      <c r="H790" s="7" t="inlineStr">
        <is>
          <t>Captive</t>
        </is>
      </c>
      <c r="I790" s="7" t="inlineStr">
        <is>
          <t>Dheera Cars</t>
        </is>
      </c>
      <c r="J790" s="8" t="n">
        <v>2013</v>
      </c>
      <c r="K790" s="9" t="n">
        <v>67451</v>
      </c>
      <c r="L790" s="10" t="n">
        <v>330000</v>
      </c>
      <c r="M790" s="10" t="n">
        <v>8474.58</v>
      </c>
      <c r="N790" s="11">
        <f>IF(M790="","",ROUND(M790*1.18,2))</f>
        <v/>
      </c>
      <c r="O790" s="12">
        <f>IF(M790="","",ROUND(N790-M790,2))</f>
        <v/>
      </c>
      <c r="P790" s="13">
        <f>IF(AND(A790&lt;&gt;"",B790&lt;&gt;""), A790&amp;" · "&amp;B790, "")</f>
        <v/>
      </c>
    </row>
    <row r="791">
      <c r="A791" s="6" t="inlineStr">
        <is>
          <t>FY26</t>
        </is>
      </c>
      <c r="B791" s="6" t="inlineStr">
        <is>
          <t>Feb</t>
        </is>
      </c>
      <c r="C791" s="6" t="inlineStr">
        <is>
          <t>TN</t>
        </is>
      </c>
      <c r="D791" s="7" t="inlineStr">
        <is>
          <t>TN66AE9955</t>
        </is>
      </c>
      <c r="E791" s="7" t="inlineStr">
        <is>
          <t>MARUTI SUZUKI</t>
        </is>
      </c>
      <c r="F791" s="7" t="inlineStr">
        <is>
          <t>S-Presso</t>
        </is>
      </c>
      <c r="G791" s="7" t="inlineStr">
        <is>
          <t>EXCHANGE ROTN</t>
        </is>
      </c>
      <c r="H791" s="7" t="inlineStr">
        <is>
          <t>Captive</t>
        </is>
      </c>
      <c r="I791" s="7" t="inlineStr">
        <is>
          <t>YUGA DHEERAN CARS</t>
        </is>
      </c>
      <c r="J791" s="8" t="n">
        <v>2020</v>
      </c>
      <c r="K791" s="9" t="n">
        <v>10964</v>
      </c>
      <c r="L791" s="10" t="n">
        <v>325000</v>
      </c>
      <c r="M791" s="10" t="n">
        <v>4237.29</v>
      </c>
      <c r="N791" s="11">
        <f>IF(M791="","",ROUND(M791*1.18,2))</f>
        <v/>
      </c>
      <c r="O791" s="12">
        <f>IF(M791="","",ROUND(N791-M791,2))</f>
        <v/>
      </c>
      <c r="P791" s="13">
        <f>IF(AND(A791&lt;&gt;"",B791&lt;&gt;""), A791&amp;" · "&amp;B791, "")</f>
        <v/>
      </c>
    </row>
    <row r="792">
      <c r="A792" s="6" t="inlineStr">
        <is>
          <t>FY26</t>
        </is>
      </c>
      <c r="B792" s="6" t="inlineStr">
        <is>
          <t>Feb</t>
        </is>
      </c>
      <c r="C792" s="6" t="inlineStr">
        <is>
          <t>TN</t>
        </is>
      </c>
      <c r="D792" s="7" t="inlineStr">
        <is>
          <t>TN66AJ0237</t>
        </is>
      </c>
      <c r="E792" s="7" t="inlineStr">
        <is>
          <t>MARUTI SUZUKI</t>
        </is>
      </c>
      <c r="F792" s="7" t="inlineStr">
        <is>
          <t>Alto</t>
        </is>
      </c>
      <c r="G792" s="7" t="inlineStr">
        <is>
          <t>EXCHANGE ROTN</t>
        </is>
      </c>
      <c r="H792" s="7" t="inlineStr">
        <is>
          <t>Captive</t>
        </is>
      </c>
      <c r="I792" s="7" t="inlineStr">
        <is>
          <t>Ashwin cars</t>
        </is>
      </c>
      <c r="J792" s="8" t="n">
        <v>2021</v>
      </c>
      <c r="K792" s="9" t="n">
        <v>61585</v>
      </c>
      <c r="L792" s="10" t="n">
        <v>255000</v>
      </c>
      <c r="M792" s="10" t="n">
        <v>4237.29</v>
      </c>
      <c r="N792" s="11">
        <f>IF(M792="","",ROUND(M792*1.18,2))</f>
        <v/>
      </c>
      <c r="O792" s="12">
        <f>IF(M792="","",ROUND(N792-M792,2))</f>
        <v/>
      </c>
      <c r="P792" s="13">
        <f>IF(AND(A792&lt;&gt;"",B792&lt;&gt;""), A792&amp;" · "&amp;B792, "")</f>
        <v/>
      </c>
    </row>
    <row r="793">
      <c r="A793" s="6" t="inlineStr">
        <is>
          <t>FY26</t>
        </is>
      </c>
      <c r="B793" s="6" t="inlineStr">
        <is>
          <t>Feb</t>
        </is>
      </c>
      <c r="C793" s="6" t="inlineStr">
        <is>
          <t>TN</t>
        </is>
      </c>
      <c r="D793" s="7" t="inlineStr">
        <is>
          <t>TN66E5544</t>
        </is>
      </c>
      <c r="E793" s="7" t="inlineStr">
        <is>
          <t>MARUTI SUZUKI</t>
        </is>
      </c>
      <c r="F793" s="7" t="inlineStr">
        <is>
          <t>Wagon R</t>
        </is>
      </c>
      <c r="G793" s="7" t="inlineStr">
        <is>
          <t>JAIKRISHNAA AUTOSALES PRIVATE LIMITED</t>
        </is>
      </c>
      <c r="H793" s="7" t="inlineStr">
        <is>
          <t>Non-Captive</t>
        </is>
      </c>
      <c r="I793" s="7" t="inlineStr">
        <is>
          <t>Dhidugal Value Cars</t>
        </is>
      </c>
      <c r="J793" s="8" t="n">
        <v>2011</v>
      </c>
      <c r="K793" s="9" t="n">
        <v>171613</v>
      </c>
      <c r="L793" s="10" t="n">
        <v>235000</v>
      </c>
      <c r="M793" s="10" t="n">
        <v>4237.29</v>
      </c>
      <c r="N793" s="11">
        <f>IF(M793="","",ROUND(M793*1.18,2))</f>
        <v/>
      </c>
      <c r="O793" s="12">
        <f>IF(M793="","",ROUND(N793-M793,2))</f>
        <v/>
      </c>
      <c r="P793" s="13">
        <f>IF(AND(A793&lt;&gt;"",B793&lt;&gt;""), A793&amp;" · "&amp;B793, "")</f>
        <v/>
      </c>
    </row>
    <row r="794">
      <c r="A794" s="6" t="inlineStr">
        <is>
          <t>FY26</t>
        </is>
      </c>
      <c r="B794" s="6" t="inlineStr">
        <is>
          <t>Feb</t>
        </is>
      </c>
      <c r="C794" s="6" t="inlineStr">
        <is>
          <t>TN</t>
        </is>
      </c>
      <c r="D794" s="7" t="inlineStr">
        <is>
          <t>TN66L7733</t>
        </is>
      </c>
      <c r="E794" s="7" t="inlineStr">
        <is>
          <t>SKODA</t>
        </is>
      </c>
      <c r="F794" s="7" t="inlineStr">
        <is>
          <t>Rapid</t>
        </is>
      </c>
      <c r="G794" s="7" t="inlineStr">
        <is>
          <t>EXCHANGE ROTN</t>
        </is>
      </c>
      <c r="H794" s="7" t="inlineStr">
        <is>
          <t>Captive</t>
        </is>
      </c>
      <c r="I794" s="7" t="inlineStr">
        <is>
          <t>Dheera Cars</t>
        </is>
      </c>
      <c r="J794" s="8" t="n">
        <v>2016</v>
      </c>
      <c r="K794" s="9" t="n">
        <v>876543</v>
      </c>
      <c r="L794" s="10" t="n">
        <v>550000</v>
      </c>
      <c r="M794" s="10" t="n">
        <v>8474.58</v>
      </c>
      <c r="N794" s="11">
        <f>IF(M794="","",ROUND(M794*1.18,2))</f>
        <v/>
      </c>
      <c r="O794" s="12">
        <f>IF(M794="","",ROUND(N794-M794,2))</f>
        <v/>
      </c>
      <c r="P794" s="13">
        <f>IF(AND(A794&lt;&gt;"",B794&lt;&gt;""), A794&amp;" · "&amp;B794, "")</f>
        <v/>
      </c>
    </row>
    <row r="795">
      <c r="A795" s="6" t="inlineStr">
        <is>
          <t>FY26</t>
        </is>
      </c>
      <c r="B795" s="6" t="inlineStr">
        <is>
          <t>Feb</t>
        </is>
      </c>
      <c r="C795" s="6" t="inlineStr">
        <is>
          <t>TN</t>
        </is>
      </c>
      <c r="D795" s="7" t="inlineStr">
        <is>
          <t>TN66M1397</t>
        </is>
      </c>
      <c r="E795" s="7" t="inlineStr">
        <is>
          <t>NISSAN</t>
        </is>
      </c>
      <c r="F795" s="7" t="inlineStr">
        <is>
          <t>Micra</t>
        </is>
      </c>
      <c r="G795" s="7" t="inlineStr">
        <is>
          <t>JAIKRISHNAA AUTOSALES PRIVATE LIMITED</t>
        </is>
      </c>
      <c r="H795" s="7" t="inlineStr">
        <is>
          <t>Non-Captive</t>
        </is>
      </c>
      <c r="I795" s="7" t="inlineStr">
        <is>
          <t>Dhidugal Value Cars</t>
        </is>
      </c>
      <c r="J795" s="8" t="n">
        <v>2014</v>
      </c>
      <c r="K795" s="9" t="n">
        <v>102000</v>
      </c>
      <c r="L795" s="10" t="n">
        <v>180000</v>
      </c>
      <c r="M795" s="10" t="n">
        <v>4237.29</v>
      </c>
      <c r="N795" s="11">
        <f>IF(M795="","",ROUND(M795*1.18,2))</f>
        <v/>
      </c>
      <c r="O795" s="12">
        <f>IF(M795="","",ROUND(N795-M795,2))</f>
        <v/>
      </c>
      <c r="P795" s="13">
        <f>IF(AND(A795&lt;&gt;"",B795&lt;&gt;""), A795&amp;" · "&amp;B795, "")</f>
        <v/>
      </c>
    </row>
    <row r="796">
      <c r="A796" s="6" t="inlineStr">
        <is>
          <t>FY26</t>
        </is>
      </c>
      <c r="B796" s="6" t="inlineStr">
        <is>
          <t>Feb</t>
        </is>
      </c>
      <c r="C796" s="6" t="inlineStr">
        <is>
          <t>TN</t>
        </is>
      </c>
      <c r="D796" s="7" t="inlineStr">
        <is>
          <t>TN66M7261</t>
        </is>
      </c>
      <c r="E796" s="7" t="inlineStr">
        <is>
          <t>MARUTI SUZUKI</t>
        </is>
      </c>
      <c r="F796" s="7" t="inlineStr">
        <is>
          <t>Alto K10</t>
        </is>
      </c>
      <c r="G796" s="7" t="inlineStr">
        <is>
          <t>JAIKRISHNAA AUTOSALES PRIVATE LIMITED</t>
        </is>
      </c>
      <c r="H796" s="7" t="inlineStr">
        <is>
          <t>Non-Captive</t>
        </is>
      </c>
      <c r="I796" s="7" t="inlineStr">
        <is>
          <t>Dhidugal Value Cars</t>
        </is>
      </c>
      <c r="J796" s="8" t="n">
        <v>2014</v>
      </c>
      <c r="K796" s="9" t="n">
        <v>159877</v>
      </c>
      <c r="L796" s="10" t="n">
        <v>210000</v>
      </c>
      <c r="M796" s="10" t="n">
        <v>4237.29</v>
      </c>
      <c r="N796" s="11">
        <f>IF(M796="","",ROUND(M796*1.18,2))</f>
        <v/>
      </c>
      <c r="O796" s="12">
        <f>IF(M796="","",ROUND(N796-M796,2))</f>
        <v/>
      </c>
      <c r="P796" s="13">
        <f>IF(AND(A796&lt;&gt;"",B796&lt;&gt;""), A796&amp;" · "&amp;B796, "")</f>
        <v/>
      </c>
    </row>
    <row r="797">
      <c r="A797" s="6" t="inlineStr">
        <is>
          <t>FY26</t>
        </is>
      </c>
      <c r="B797" s="6" t="inlineStr">
        <is>
          <t>Feb</t>
        </is>
      </c>
      <c r="C797" s="6" t="inlineStr">
        <is>
          <t>TN</t>
        </is>
      </c>
      <c r="D797" s="7" t="inlineStr">
        <is>
          <t>TN66P4007</t>
        </is>
      </c>
      <c r="E797" s="7" t="inlineStr">
        <is>
          <t>HONDA</t>
        </is>
      </c>
      <c r="F797" s="7" t="inlineStr">
        <is>
          <t>Brio</t>
        </is>
      </c>
      <c r="G797" s="7" t="inlineStr">
        <is>
          <t>EXCHANGE ROTN</t>
        </is>
      </c>
      <c r="H797" s="7" t="inlineStr">
        <is>
          <t>Captive</t>
        </is>
      </c>
      <c r="I797" s="7" t="inlineStr">
        <is>
          <t>Ashwin cars</t>
        </is>
      </c>
      <c r="J797" s="8" t="n">
        <v>2015</v>
      </c>
      <c r="K797" s="9" t="n">
        <v>98587</v>
      </c>
      <c r="L797" s="10" t="n">
        <v>275000</v>
      </c>
      <c r="M797" s="10" t="n">
        <v>4237.29</v>
      </c>
      <c r="N797" s="11">
        <f>IF(M797="","",ROUND(M797*1.18,2))</f>
        <v/>
      </c>
      <c r="O797" s="12">
        <f>IF(M797="","",ROUND(N797-M797,2))</f>
        <v/>
      </c>
      <c r="P797" s="13">
        <f>IF(AND(A797&lt;&gt;"",B797&lt;&gt;""), A797&amp;" · "&amp;B797, "")</f>
        <v/>
      </c>
    </row>
    <row r="798">
      <c r="A798" s="6" t="inlineStr">
        <is>
          <t>FY26</t>
        </is>
      </c>
      <c r="B798" s="6" t="inlineStr">
        <is>
          <t>Feb</t>
        </is>
      </c>
      <c r="C798" s="6" t="inlineStr">
        <is>
          <t>TN</t>
        </is>
      </c>
      <c r="D798" s="7" t="inlineStr">
        <is>
          <t>TN67AY5959</t>
        </is>
      </c>
      <c r="E798" s="7" t="inlineStr">
        <is>
          <t>HYUNDAI</t>
        </is>
      </c>
      <c r="F798" s="7" t="inlineStr">
        <is>
          <t>i10</t>
        </is>
      </c>
      <c r="G798" s="7" t="inlineStr">
        <is>
          <t>EXCHANGE ROTN</t>
        </is>
      </c>
      <c r="H798" s="7" t="inlineStr">
        <is>
          <t>Captive</t>
        </is>
      </c>
      <c r="I798" s="7" t="inlineStr">
        <is>
          <t>M.S.V CAR PAINTING WORKS</t>
        </is>
      </c>
      <c r="J798" s="8" t="n">
        <v>2009</v>
      </c>
      <c r="K798" s="9" t="n">
        <v>102995</v>
      </c>
      <c r="L798" s="10" t="n">
        <v>170000</v>
      </c>
      <c r="M798" s="10" t="n">
        <v>4237.29</v>
      </c>
      <c r="N798" s="11">
        <f>IF(M798="","",ROUND(M798*1.18,2))</f>
        <v/>
      </c>
      <c r="O798" s="12">
        <f>IF(M798="","",ROUND(N798-M798,2))</f>
        <v/>
      </c>
      <c r="P798" s="13">
        <f>IF(AND(A798&lt;&gt;"",B798&lt;&gt;""), A798&amp;" · "&amp;B798, "")</f>
        <v/>
      </c>
    </row>
    <row r="799">
      <c r="A799" s="6" t="inlineStr">
        <is>
          <t>FY26</t>
        </is>
      </c>
      <c r="B799" s="6" t="inlineStr">
        <is>
          <t>Feb</t>
        </is>
      </c>
      <c r="C799" s="6" t="inlineStr">
        <is>
          <t>TN</t>
        </is>
      </c>
      <c r="D799" s="7" t="inlineStr">
        <is>
          <t>TN70AC3714</t>
        </is>
      </c>
      <c r="E799" s="7" t="inlineStr">
        <is>
          <t>HONDA</t>
        </is>
      </c>
      <c r="F799" s="7" t="inlineStr">
        <is>
          <t>Amaze</t>
        </is>
      </c>
      <c r="G799" s="7" t="inlineStr">
        <is>
          <t>EXCHANGE ROTN</t>
        </is>
      </c>
      <c r="H799" s="7" t="inlineStr">
        <is>
          <t>Captive</t>
        </is>
      </c>
      <c r="I799" s="7" t="inlineStr">
        <is>
          <t>Ashwin cars</t>
        </is>
      </c>
      <c r="J799" s="8" t="n">
        <v>2019</v>
      </c>
      <c r="K799" s="9" t="n">
        <v>78064</v>
      </c>
      <c r="L799" s="10" t="n">
        <v>490000</v>
      </c>
      <c r="M799" s="10" t="n">
        <v>12711.86</v>
      </c>
      <c r="N799" s="11">
        <f>IF(M799="","",ROUND(M799*1.18,2))</f>
        <v/>
      </c>
      <c r="O799" s="12">
        <f>IF(M799="","",ROUND(N799-M799,2))</f>
        <v/>
      </c>
      <c r="P799" s="13">
        <f>IF(AND(A799&lt;&gt;"",B799&lt;&gt;""), A799&amp;" · "&amp;B799, "")</f>
        <v/>
      </c>
    </row>
    <row r="800">
      <c r="A800" s="6" t="inlineStr">
        <is>
          <t>FY26</t>
        </is>
      </c>
      <c r="B800" s="6" t="inlineStr">
        <is>
          <t>Feb</t>
        </is>
      </c>
      <c r="C800" s="6" t="inlineStr">
        <is>
          <t>TN</t>
        </is>
      </c>
      <c r="D800" s="7" t="inlineStr">
        <is>
          <t>TN70D9849</t>
        </is>
      </c>
      <c r="E800" s="7" t="inlineStr">
        <is>
          <t>CHEVROLET</t>
        </is>
      </c>
      <c r="F800" s="7" t="inlineStr">
        <is>
          <t>Spark</t>
        </is>
      </c>
      <c r="G800" s="7" t="inlineStr">
        <is>
          <t>STEER AUTO TECHNOLOGIES PRIVATE LIMITED</t>
        </is>
      </c>
      <c r="H800" s="7" t="inlineStr">
        <is>
          <t>Non-Captive</t>
        </is>
      </c>
      <c r="I800" s="7" t="inlineStr">
        <is>
          <t>Rithika cars</t>
        </is>
      </c>
      <c r="J800" s="8" t="n">
        <v>2011</v>
      </c>
      <c r="K800" s="9" t="n">
        <v>76623</v>
      </c>
      <c r="L800" s="10" t="n">
        <v>113000</v>
      </c>
      <c r="M800" s="10" t="n">
        <v>3389.83</v>
      </c>
      <c r="N800" s="11">
        <f>IF(M800="","",ROUND(M800*1.18,2))</f>
        <v/>
      </c>
      <c r="O800" s="12">
        <f>IF(M800="","",ROUND(N800-M800,2))</f>
        <v/>
      </c>
      <c r="P800" s="13">
        <f>IF(AND(A800&lt;&gt;"",B800&lt;&gt;""), A800&amp;" · "&amp;B800, "")</f>
        <v/>
      </c>
    </row>
    <row r="801">
      <c r="A801" s="6" t="inlineStr">
        <is>
          <t>FY26</t>
        </is>
      </c>
      <c r="B801" s="6" t="inlineStr">
        <is>
          <t>Feb</t>
        </is>
      </c>
      <c r="C801" s="6" t="inlineStr">
        <is>
          <t>TN</t>
        </is>
      </c>
      <c r="D801" s="7" t="inlineStr">
        <is>
          <t>TN72BK3642</t>
        </is>
      </c>
      <c r="E801" s="7" t="inlineStr">
        <is>
          <t>NISSAN</t>
        </is>
      </c>
      <c r="F801" s="7" t="inlineStr">
        <is>
          <t>Sunny</t>
        </is>
      </c>
      <c r="G801" s="7" t="inlineStr">
        <is>
          <t>TRICHUR SUNDHARAM</t>
        </is>
      </c>
      <c r="H801" s="7" t="inlineStr">
        <is>
          <t>Non-Captive</t>
        </is>
      </c>
      <c r="I801" s="7" t="inlineStr">
        <is>
          <t>Sai Cars</t>
        </is>
      </c>
      <c r="J801" s="8" t="n">
        <v>2018</v>
      </c>
      <c r="K801" s="9" t="n">
        <v>85344</v>
      </c>
      <c r="L801" s="10" t="n">
        <v>385000</v>
      </c>
      <c r="M801" s="10" t="n">
        <v>8474.58</v>
      </c>
      <c r="N801" s="11">
        <f>IF(M801="","",ROUND(M801*1.18,2))</f>
        <v/>
      </c>
      <c r="O801" s="12">
        <f>IF(M801="","",ROUND(N801-M801,2))</f>
        <v/>
      </c>
      <c r="P801" s="13">
        <f>IF(AND(A801&lt;&gt;"",B801&lt;&gt;""), A801&amp;" · "&amp;B801, "")</f>
        <v/>
      </c>
    </row>
    <row r="802">
      <c r="A802" s="6" t="inlineStr">
        <is>
          <t>FY26</t>
        </is>
      </c>
      <c r="B802" s="6" t="inlineStr">
        <is>
          <t>Feb</t>
        </is>
      </c>
      <c r="C802" s="6" t="inlineStr">
        <is>
          <t>TN</t>
        </is>
      </c>
      <c r="D802" s="7" t="inlineStr">
        <is>
          <t>TN72CV2817</t>
        </is>
      </c>
      <c r="E802" s="7" t="inlineStr">
        <is>
          <t>HYUNDAI</t>
        </is>
      </c>
      <c r="F802" s="7" t="inlineStr">
        <is>
          <t>i20</t>
        </is>
      </c>
      <c r="G802" s="7" t="inlineStr">
        <is>
          <t>STEER AUTO TECHNOLOGIES PRIVATE LIMITED</t>
        </is>
      </c>
      <c r="H802" s="7" t="inlineStr">
        <is>
          <t>Non-Captive</t>
        </is>
      </c>
      <c r="I802" s="7" t="inlineStr">
        <is>
          <t>Rithika cars</t>
        </is>
      </c>
      <c r="J802" s="8" t="n">
        <v>2022</v>
      </c>
      <c r="K802" s="9" t="n">
        <v>13916</v>
      </c>
      <c r="L802" s="10" t="n">
        <v>725000</v>
      </c>
      <c r="M802" s="10" t="n">
        <v>4237.29</v>
      </c>
      <c r="N802" s="11">
        <f>IF(M802="","",ROUND(M802*1.18,2))</f>
        <v/>
      </c>
      <c r="O802" s="12">
        <f>IF(M802="","",ROUND(N802-M802,2))</f>
        <v/>
      </c>
      <c r="P802" s="13">
        <f>IF(AND(A802&lt;&gt;"",B802&lt;&gt;""), A802&amp;" · "&amp;B802, "")</f>
        <v/>
      </c>
    </row>
    <row r="803">
      <c r="A803" s="6" t="inlineStr">
        <is>
          <t>FY26</t>
        </is>
      </c>
      <c r="B803" s="6" t="inlineStr">
        <is>
          <t>Feb</t>
        </is>
      </c>
      <c r="C803" s="6" t="inlineStr">
        <is>
          <t>TN</t>
        </is>
      </c>
      <c r="D803" s="7" t="inlineStr">
        <is>
          <t>TN77Q3947</t>
        </is>
      </c>
      <c r="E803" s="7" t="inlineStr">
        <is>
          <t>MARUTI SUZUKI</t>
        </is>
      </c>
      <c r="F803" s="7" t="inlineStr">
        <is>
          <t>Eeco</t>
        </is>
      </c>
      <c r="G803" s="7" t="inlineStr">
        <is>
          <t>EXCHANGE ROTN</t>
        </is>
      </c>
      <c r="H803" s="7" t="inlineStr">
        <is>
          <t>Captive</t>
        </is>
      </c>
      <c r="I803" s="7" t="inlineStr">
        <is>
          <t>MADHURA CARS</t>
        </is>
      </c>
      <c r="J803" s="8" t="n">
        <v>2021</v>
      </c>
      <c r="K803" s="9" t="n">
        <v>42406</v>
      </c>
      <c r="L803" s="10" t="n">
        <v>380000</v>
      </c>
      <c r="M803" s="10" t="n">
        <v>4237.29</v>
      </c>
      <c r="N803" s="11">
        <f>IF(M803="","",ROUND(M803*1.18,2))</f>
        <v/>
      </c>
      <c r="O803" s="12">
        <f>IF(M803="","",ROUND(N803-M803,2))</f>
        <v/>
      </c>
      <c r="P803" s="13">
        <f>IF(AND(A803&lt;&gt;"",B803&lt;&gt;""), A803&amp;" · "&amp;B803, "")</f>
        <v/>
      </c>
    </row>
    <row r="804">
      <c r="A804" s="6" t="inlineStr">
        <is>
          <t>FY26</t>
        </is>
      </c>
      <c r="B804" s="6" t="inlineStr">
        <is>
          <t>Feb</t>
        </is>
      </c>
      <c r="C804" s="6" t="inlineStr">
        <is>
          <t>TN</t>
        </is>
      </c>
      <c r="D804" s="7" t="inlineStr">
        <is>
          <t>TN85E0533</t>
        </is>
      </c>
      <c r="E804" s="7" t="inlineStr">
        <is>
          <t>MARUTI SUZUKI</t>
        </is>
      </c>
      <c r="F804" s="7" t="inlineStr">
        <is>
          <t>Dzire</t>
        </is>
      </c>
      <c r="G804" s="7" t="inlineStr">
        <is>
          <t>EXCHANGE CHENNAI</t>
        </is>
      </c>
      <c r="H804" s="7" t="inlineStr">
        <is>
          <t>Captive</t>
        </is>
      </c>
      <c r="I804" s="7" t="inlineStr">
        <is>
          <t>Nirmal Cars</t>
        </is>
      </c>
      <c r="J804" s="8" t="n">
        <v>2017</v>
      </c>
      <c r="K804" s="9" t="n">
        <v>69465</v>
      </c>
      <c r="L804" s="10" t="n">
        <v>475000</v>
      </c>
      <c r="M804" s="10" t="n">
        <v>8474.58</v>
      </c>
      <c r="N804" s="11">
        <f>IF(M804="","",ROUND(M804*1.18,2))</f>
        <v/>
      </c>
      <c r="O804" s="12">
        <f>IF(M804="","",ROUND(N804-M804,2))</f>
        <v/>
      </c>
      <c r="P804" s="13">
        <f>IF(AND(A804&lt;&gt;"",B804&lt;&gt;""), A804&amp;" · "&amp;B804, "")</f>
        <v/>
      </c>
    </row>
    <row r="805">
      <c r="A805" s="6" t="inlineStr">
        <is>
          <t>FY26</t>
        </is>
      </c>
      <c r="B805" s="6" t="inlineStr">
        <is>
          <t>Feb</t>
        </is>
      </c>
      <c r="C805" s="6" t="inlineStr">
        <is>
          <t>TN</t>
        </is>
      </c>
      <c r="D805" s="7" t="inlineStr">
        <is>
          <t>TN87A7087</t>
        </is>
      </c>
      <c r="E805" s="7" t="inlineStr">
        <is>
          <t>NISSAN</t>
        </is>
      </c>
      <c r="F805" s="7" t="inlineStr">
        <is>
          <t>Kicks</t>
        </is>
      </c>
      <c r="G805" s="7" t="inlineStr">
        <is>
          <t>RENAULT NISSAN AUTOMOTIVE PVT LTD</t>
        </is>
      </c>
      <c r="H805" s="7" t="inlineStr">
        <is>
          <t>Non-Captive</t>
        </is>
      </c>
      <c r="I805" s="7" t="inlineStr">
        <is>
          <t>Nirmal Cars</t>
        </is>
      </c>
      <c r="J805" s="8" t="n">
        <v>2019</v>
      </c>
      <c r="K805" s="9" t="n">
        <v>182161</v>
      </c>
      <c r="L805" s="10" t="n">
        <v>332000</v>
      </c>
      <c r="M805" s="10" t="n">
        <v>8474.58</v>
      </c>
      <c r="N805" s="11">
        <f>IF(M805="","",ROUND(M805*1.18,2))</f>
        <v/>
      </c>
      <c r="O805" s="12">
        <f>IF(M805="","",ROUND(N805-M805,2))</f>
        <v/>
      </c>
      <c r="P805" s="13">
        <f>IF(AND(A805&lt;&gt;"",B805&lt;&gt;""), A805&amp;" · "&amp;B805, "")</f>
        <v/>
      </c>
    </row>
    <row r="806">
      <c r="A806" s="6" t="inlineStr">
        <is>
          <t>FY26</t>
        </is>
      </c>
      <c r="B806" s="6" t="inlineStr">
        <is>
          <t>Feb</t>
        </is>
      </c>
      <c r="C806" s="6" t="inlineStr">
        <is>
          <t>TN</t>
        </is>
      </c>
      <c r="D806" s="7" t="inlineStr">
        <is>
          <t>TN87A7150</t>
        </is>
      </c>
      <c r="E806" s="7" t="inlineStr">
        <is>
          <t>NISSAN</t>
        </is>
      </c>
      <c r="F806" s="7" t="inlineStr">
        <is>
          <t>Kicks</t>
        </is>
      </c>
      <c r="G806" s="7" t="inlineStr">
        <is>
          <t>RENAULT NISSAN AUTOMOTIVE PVT LTD</t>
        </is>
      </c>
      <c r="H806" s="7" t="inlineStr">
        <is>
          <t>Non-Captive</t>
        </is>
      </c>
      <c r="I806" s="7" t="inlineStr">
        <is>
          <t>Nirmal Cars</t>
        </is>
      </c>
      <c r="J806" s="8" t="n">
        <v>2019</v>
      </c>
      <c r="K806" s="9" t="n">
        <v>181945</v>
      </c>
      <c r="L806" s="10" t="n">
        <v>332000</v>
      </c>
      <c r="M806" s="10" t="n">
        <v>8474.58</v>
      </c>
      <c r="N806" s="11">
        <f>IF(M806="","",ROUND(M806*1.18,2))</f>
        <v/>
      </c>
      <c r="O806" s="12">
        <f>IF(M806="","",ROUND(N806-M806,2))</f>
        <v/>
      </c>
      <c r="P806" s="13">
        <f>IF(AND(A806&lt;&gt;"",B806&lt;&gt;""), A806&amp;" · "&amp;B806, "")</f>
        <v/>
      </c>
    </row>
    <row r="807">
      <c r="A807" s="6" t="inlineStr">
        <is>
          <t>FY26</t>
        </is>
      </c>
      <c r="B807" s="6" t="inlineStr">
        <is>
          <t>Feb</t>
        </is>
      </c>
      <c r="C807" s="6" t="inlineStr">
        <is>
          <t>TN</t>
        </is>
      </c>
      <c r="D807" s="7" t="inlineStr">
        <is>
          <t>TN87A8728</t>
        </is>
      </c>
      <c r="E807" s="7" t="inlineStr">
        <is>
          <t>NISSAN</t>
        </is>
      </c>
      <c r="F807" s="7" t="inlineStr">
        <is>
          <t>Kicks</t>
        </is>
      </c>
      <c r="G807" s="7" t="inlineStr">
        <is>
          <t>RENAULT NISSAN AUTOMOTIVE PVT LTD</t>
        </is>
      </c>
      <c r="H807" s="7" t="inlineStr">
        <is>
          <t>Non-Captive</t>
        </is>
      </c>
      <c r="I807" s="7" t="inlineStr">
        <is>
          <t>Nirmal Cars</t>
        </is>
      </c>
      <c r="J807" s="8" t="n">
        <v>2019</v>
      </c>
      <c r="K807" s="9" t="n">
        <v>220537</v>
      </c>
      <c r="L807" s="10" t="n">
        <v>282000</v>
      </c>
      <c r="M807" s="10" t="n">
        <v>8474.58</v>
      </c>
      <c r="N807" s="11">
        <f>IF(M807="","",ROUND(M807*1.18,2))</f>
        <v/>
      </c>
      <c r="O807" s="12">
        <f>IF(M807="","",ROUND(N807-M807,2))</f>
        <v/>
      </c>
      <c r="P807" s="13">
        <f>IF(AND(A807&lt;&gt;"",B807&lt;&gt;""), A807&amp;" · "&amp;B807, "")</f>
        <v/>
      </c>
    </row>
    <row r="808">
      <c r="A808" s="6" t="inlineStr">
        <is>
          <t>FY26</t>
        </is>
      </c>
      <c r="B808" s="6" t="inlineStr">
        <is>
          <t>Feb</t>
        </is>
      </c>
      <c r="C808" s="6" t="inlineStr">
        <is>
          <t>TN</t>
        </is>
      </c>
      <c r="D808" s="7" t="inlineStr">
        <is>
          <t>TN87B1539</t>
        </is>
      </c>
      <c r="E808" s="7" t="inlineStr">
        <is>
          <t>NISSAN</t>
        </is>
      </c>
      <c r="F808" s="7" t="inlineStr">
        <is>
          <t>Kicks</t>
        </is>
      </c>
      <c r="G808" s="7" t="inlineStr">
        <is>
          <t>RENAULT NISSAN AUTOMOTIVE PVT LTD</t>
        </is>
      </c>
      <c r="H808" s="7" t="inlineStr">
        <is>
          <t>Non-Captive</t>
        </is>
      </c>
      <c r="I808" s="7" t="inlineStr">
        <is>
          <t>Nirmal Cars</t>
        </is>
      </c>
      <c r="J808" s="8" t="n">
        <v>2019</v>
      </c>
      <c r="K808" s="9" t="n">
        <v>130015</v>
      </c>
      <c r="L808" s="10" t="n">
        <v>302000</v>
      </c>
      <c r="M808" s="10" t="n">
        <v>8474.58</v>
      </c>
      <c r="N808" s="11">
        <f>IF(M808="","",ROUND(M808*1.18,2))</f>
        <v/>
      </c>
      <c r="O808" s="12">
        <f>IF(M808="","",ROUND(N808-M808,2))</f>
        <v/>
      </c>
      <c r="P808" s="13">
        <f>IF(AND(A808&lt;&gt;"",B808&lt;&gt;""), A808&amp;" · "&amp;B808, "")</f>
        <v/>
      </c>
    </row>
    <row r="809">
      <c r="A809" s="6" t="inlineStr">
        <is>
          <t>FY26</t>
        </is>
      </c>
      <c r="B809" s="6" t="inlineStr">
        <is>
          <t>Feb</t>
        </is>
      </c>
      <c r="C809" s="6" t="inlineStr">
        <is>
          <t>TN</t>
        </is>
      </c>
      <c r="D809" s="7" t="inlineStr">
        <is>
          <t>TN87C4176</t>
        </is>
      </c>
      <c r="E809" s="7" t="inlineStr">
        <is>
          <t>NISSAN</t>
        </is>
      </c>
      <c r="F809" s="7" t="inlineStr">
        <is>
          <t>Kicks</t>
        </is>
      </c>
      <c r="G809" s="7" t="inlineStr">
        <is>
          <t>RENAULT NISSAN AUTOMOTIVE PVT LTD</t>
        </is>
      </c>
      <c r="H809" s="7" t="inlineStr">
        <is>
          <t>Non-Captive</t>
        </is>
      </c>
      <c r="I809" s="7" t="inlineStr">
        <is>
          <t>Nirmal Cars</t>
        </is>
      </c>
      <c r="J809" s="8" t="n">
        <v>2021</v>
      </c>
      <c r="K809" s="9" t="n">
        <v>106209</v>
      </c>
      <c r="L809" s="10" t="n">
        <v>342000</v>
      </c>
      <c r="M809" s="10" t="n">
        <v>8474.58</v>
      </c>
      <c r="N809" s="11">
        <f>IF(M809="","",ROUND(M809*1.18,2))</f>
        <v/>
      </c>
      <c r="O809" s="12">
        <f>IF(M809="","",ROUND(N809-M809,2))</f>
        <v/>
      </c>
      <c r="P809" s="13">
        <f>IF(AND(A809&lt;&gt;"",B809&lt;&gt;""), A809&amp;" · "&amp;B809, "")</f>
        <v/>
      </c>
    </row>
    <row r="810">
      <c r="A810" s="6" t="inlineStr">
        <is>
          <t>FY26</t>
        </is>
      </c>
      <c r="B810" s="6" t="inlineStr">
        <is>
          <t>Feb</t>
        </is>
      </c>
      <c r="C810" s="6" t="inlineStr">
        <is>
          <t>TN</t>
        </is>
      </c>
      <c r="D810" s="7" t="inlineStr">
        <is>
          <t>TN87C6040</t>
        </is>
      </c>
      <c r="E810" s="7" t="inlineStr">
        <is>
          <t>NISSAN</t>
        </is>
      </c>
      <c r="F810" s="7" t="inlineStr">
        <is>
          <t>Kicks</t>
        </is>
      </c>
      <c r="G810" s="7" t="inlineStr">
        <is>
          <t>RENAULT NISSAN AUTOMOTIVE PVT LTD</t>
        </is>
      </c>
      <c r="H810" s="7" t="inlineStr">
        <is>
          <t>Non-Captive</t>
        </is>
      </c>
      <c r="I810" s="7" t="inlineStr">
        <is>
          <t>Nirmal Cars</t>
        </is>
      </c>
      <c r="J810" s="8" t="n">
        <v>2021</v>
      </c>
      <c r="K810" s="9" t="n">
        <v>97198</v>
      </c>
      <c r="L810" s="10" t="n">
        <v>332000</v>
      </c>
      <c r="M810" s="10" t="n">
        <v>8474.58</v>
      </c>
      <c r="N810" s="11">
        <f>IF(M810="","",ROUND(M810*1.18,2))</f>
        <v/>
      </c>
      <c r="O810" s="12">
        <f>IF(M810="","",ROUND(N810-M810,2))</f>
        <v/>
      </c>
      <c r="P810" s="13">
        <f>IF(AND(A810&lt;&gt;"",B810&lt;&gt;""), A810&amp;" · "&amp;B810, "")</f>
        <v/>
      </c>
    </row>
    <row r="811">
      <c r="A811" s="6" t="inlineStr">
        <is>
          <t>FY26</t>
        </is>
      </c>
      <c r="B811" s="6" t="inlineStr">
        <is>
          <t>Feb</t>
        </is>
      </c>
      <c r="C811" s="6" t="inlineStr">
        <is>
          <t>TN</t>
        </is>
      </c>
      <c r="D811" s="7" t="inlineStr">
        <is>
          <t>TN87C7156</t>
        </is>
      </c>
      <c r="E811" s="7" t="inlineStr">
        <is>
          <t>NISSAN</t>
        </is>
      </c>
      <c r="F811" s="7" t="inlineStr">
        <is>
          <t>Kicks</t>
        </is>
      </c>
      <c r="G811" s="7" t="inlineStr">
        <is>
          <t>RENAULT NISSAN AUTOMOTIVE PVT LTD</t>
        </is>
      </c>
      <c r="H811" s="7" t="inlineStr">
        <is>
          <t>Non-Captive</t>
        </is>
      </c>
      <c r="I811" s="7" t="inlineStr">
        <is>
          <t>Nirmal Cars</t>
        </is>
      </c>
      <c r="J811" s="8" t="n">
        <v>2021</v>
      </c>
      <c r="K811" s="9" t="n">
        <v>111772</v>
      </c>
      <c r="L811" s="10" t="n">
        <v>302000</v>
      </c>
      <c r="M811" s="10" t="n">
        <v>8474.58</v>
      </c>
      <c r="N811" s="11">
        <f>IF(M811="","",ROUND(M811*1.18,2))</f>
        <v/>
      </c>
      <c r="O811" s="12">
        <f>IF(M811="","",ROUND(N811-M811,2))</f>
        <v/>
      </c>
      <c r="P811" s="13">
        <f>IF(AND(A811&lt;&gt;"",B811&lt;&gt;""), A811&amp;" · "&amp;B811, "")</f>
        <v/>
      </c>
    </row>
    <row r="812">
      <c r="A812" s="6" t="inlineStr">
        <is>
          <t>FY26</t>
        </is>
      </c>
      <c r="B812" s="6" t="inlineStr">
        <is>
          <t>Feb</t>
        </is>
      </c>
      <c r="C812" s="6" t="inlineStr">
        <is>
          <t>TN</t>
        </is>
      </c>
      <c r="D812" s="7" t="inlineStr">
        <is>
          <t>TN87C7185</t>
        </is>
      </c>
      <c r="E812" s="7" t="inlineStr">
        <is>
          <t>NISSAN</t>
        </is>
      </c>
      <c r="F812" s="7" t="inlineStr">
        <is>
          <t>Kicks</t>
        </is>
      </c>
      <c r="G812" s="7" t="inlineStr">
        <is>
          <t>RENAULT NISSAN AUTOMOTIVE PVT LTD</t>
        </is>
      </c>
      <c r="H812" s="7" t="inlineStr">
        <is>
          <t>Non-Captive</t>
        </is>
      </c>
      <c r="I812" s="7" t="inlineStr">
        <is>
          <t>Nirmal Cars</t>
        </is>
      </c>
      <c r="J812" s="8" t="n">
        <v>2021</v>
      </c>
      <c r="K812" s="9" t="n">
        <v>118764</v>
      </c>
      <c r="L812" s="10" t="n">
        <v>302000</v>
      </c>
      <c r="M812" s="10" t="n">
        <v>8474.58</v>
      </c>
      <c r="N812" s="11">
        <f>IF(M812="","",ROUND(M812*1.18,2))</f>
        <v/>
      </c>
      <c r="O812" s="12">
        <f>IF(M812="","",ROUND(N812-M812,2))</f>
        <v/>
      </c>
      <c r="P812" s="13">
        <f>IF(AND(A812&lt;&gt;"",B812&lt;&gt;""), A812&amp;" · "&amp;B812, "")</f>
        <v/>
      </c>
    </row>
    <row r="813">
      <c r="A813" s="6" t="inlineStr">
        <is>
          <t>FY26</t>
        </is>
      </c>
      <c r="B813" s="6" t="inlineStr">
        <is>
          <t>Feb</t>
        </is>
      </c>
      <c r="C813" s="6" t="inlineStr">
        <is>
          <t>TN</t>
        </is>
      </c>
      <c r="D813" s="7" t="inlineStr">
        <is>
          <t>TN87C8665</t>
        </is>
      </c>
      <c r="E813" s="7" t="inlineStr">
        <is>
          <t>NISSAN</t>
        </is>
      </c>
      <c r="F813" s="7" t="inlineStr">
        <is>
          <t>Magnite</t>
        </is>
      </c>
      <c r="G813" s="7" t="inlineStr">
        <is>
          <t>RENAULT NISSAN AUTOMOTIVE PVT LTD</t>
        </is>
      </c>
      <c r="H813" s="7" t="inlineStr">
        <is>
          <t>Non-Captive</t>
        </is>
      </c>
      <c r="I813" s="7" t="inlineStr">
        <is>
          <t>Nirmal Cars</t>
        </is>
      </c>
      <c r="J813" s="8" t="n">
        <v>2020</v>
      </c>
      <c r="K813" s="9" t="n">
        <v>65707</v>
      </c>
      <c r="L813" s="10" t="n">
        <v>402000</v>
      </c>
      <c r="M813" s="10" t="n">
        <v>8474.58</v>
      </c>
      <c r="N813" s="11">
        <f>IF(M813="","",ROUND(M813*1.18,2))</f>
        <v/>
      </c>
      <c r="O813" s="12">
        <f>IF(M813="","",ROUND(N813-M813,2))</f>
        <v/>
      </c>
      <c r="P813" s="13">
        <f>IF(AND(A813&lt;&gt;"",B813&lt;&gt;""), A813&amp;" · "&amp;B813, "")</f>
        <v/>
      </c>
    </row>
    <row r="814">
      <c r="A814" s="6" t="inlineStr">
        <is>
          <t>FY26</t>
        </is>
      </c>
      <c r="B814" s="6" t="inlineStr">
        <is>
          <t>Feb</t>
        </is>
      </c>
      <c r="C814" s="6" t="inlineStr">
        <is>
          <t>TN</t>
        </is>
      </c>
      <c r="D814" s="7" t="inlineStr">
        <is>
          <t>TN87D7657</t>
        </is>
      </c>
      <c r="E814" s="7" t="inlineStr">
        <is>
          <t>NISSAN</t>
        </is>
      </c>
      <c r="F814" s="7" t="inlineStr">
        <is>
          <t>Kicks</t>
        </is>
      </c>
      <c r="G814" s="7" t="inlineStr">
        <is>
          <t>RENAULT NISSAN AUTOMOTIVE PVT LTD</t>
        </is>
      </c>
      <c r="H814" s="7" t="inlineStr">
        <is>
          <t>Non-Captive</t>
        </is>
      </c>
      <c r="I814" s="7" t="inlineStr">
        <is>
          <t>Nirmal Cars</t>
        </is>
      </c>
      <c r="J814" s="8" t="n">
        <v>2022</v>
      </c>
      <c r="K814" s="9" t="n">
        <v>48037</v>
      </c>
      <c r="L814" s="10" t="n">
        <v>508000</v>
      </c>
      <c r="M814" s="10" t="n">
        <v>8474.58</v>
      </c>
      <c r="N814" s="11">
        <f>IF(M814="","",ROUND(M814*1.18,2))</f>
        <v/>
      </c>
      <c r="O814" s="12">
        <f>IF(M814="","",ROUND(N814-M814,2))</f>
        <v/>
      </c>
      <c r="P814" s="13">
        <f>IF(AND(A814&lt;&gt;"",B814&lt;&gt;""), A814&amp;" · "&amp;B814, "")</f>
        <v/>
      </c>
    </row>
    <row r="815">
      <c r="A815" s="6" t="inlineStr">
        <is>
          <t>FY26</t>
        </is>
      </c>
      <c r="B815" s="6" t="inlineStr">
        <is>
          <t>Feb</t>
        </is>
      </c>
      <c r="C815" s="6" t="inlineStr">
        <is>
          <t>TN</t>
        </is>
      </c>
      <c r="D815" s="7" t="inlineStr">
        <is>
          <t>TN87E0587</t>
        </is>
      </c>
      <c r="E815" s="7" t="inlineStr">
        <is>
          <t>NISSAN</t>
        </is>
      </c>
      <c r="F815" s="7" t="inlineStr">
        <is>
          <t>Magnite</t>
        </is>
      </c>
      <c r="G815" s="7" t="inlineStr">
        <is>
          <t>RENAULT NISSAN AUTOMOTIVE PVT LTD</t>
        </is>
      </c>
      <c r="H815" s="7" t="inlineStr">
        <is>
          <t>Non-Captive</t>
        </is>
      </c>
      <c r="I815" s="7" t="inlineStr">
        <is>
          <t>Nirmal Cars</t>
        </is>
      </c>
      <c r="J815" s="8" t="n">
        <v>2023</v>
      </c>
      <c r="K815" s="9" t="n">
        <v>51682</v>
      </c>
      <c r="L815" s="10" t="n">
        <v>483000</v>
      </c>
      <c r="M815" s="10" t="n">
        <v>8474.58</v>
      </c>
      <c r="N815" s="11">
        <f>IF(M815="","",ROUND(M815*1.18,2))</f>
        <v/>
      </c>
      <c r="O815" s="12">
        <f>IF(M815="","",ROUND(N815-M815,2))</f>
        <v/>
      </c>
      <c r="P815" s="13">
        <f>IF(AND(A815&lt;&gt;"",B815&lt;&gt;""), A815&amp;" · "&amp;B815, "")</f>
        <v/>
      </c>
    </row>
    <row r="816">
      <c r="A816" s="6" t="inlineStr">
        <is>
          <t>FY26</t>
        </is>
      </c>
      <c r="B816" s="6" t="inlineStr">
        <is>
          <t>Feb</t>
        </is>
      </c>
      <c r="C816" s="6" t="inlineStr">
        <is>
          <t>TN</t>
        </is>
      </c>
      <c r="D816" s="7" t="inlineStr">
        <is>
          <t>TN88Z0927</t>
        </is>
      </c>
      <c r="E816" s="7" t="inlineStr">
        <is>
          <t>MARUTI SUZUKI</t>
        </is>
      </c>
      <c r="F816" s="7" t="inlineStr">
        <is>
          <t>Alto K10</t>
        </is>
      </c>
      <c r="G816" s="7" t="inlineStr">
        <is>
          <t>EXCHANGE ROTN</t>
        </is>
      </c>
      <c r="H816" s="7" t="inlineStr">
        <is>
          <t>Captive</t>
        </is>
      </c>
      <c r="I816" s="7" t="inlineStr">
        <is>
          <t>MADHURA CARS</t>
        </is>
      </c>
      <c r="J816" s="8" t="n">
        <v>2013</v>
      </c>
      <c r="K816" s="9" t="n">
        <v>106261</v>
      </c>
      <c r="L816" s="10" t="n">
        <v>155000</v>
      </c>
      <c r="M816" s="10" t="n">
        <v>4237.29</v>
      </c>
      <c r="N816" s="11">
        <f>IF(M816="","",ROUND(M816*1.18,2))</f>
        <v/>
      </c>
      <c r="O816" s="12">
        <f>IF(M816="","",ROUND(N816-M816,2))</f>
        <v/>
      </c>
      <c r="P816" s="13">
        <f>IF(AND(A816&lt;&gt;"",B816&lt;&gt;""), A816&amp;" · "&amp;B816, "")</f>
        <v/>
      </c>
    </row>
    <row r="817">
      <c r="A817" s="6" t="inlineStr">
        <is>
          <t>FY26</t>
        </is>
      </c>
      <c r="B817" s="6" t="inlineStr">
        <is>
          <t>Feb</t>
        </is>
      </c>
      <c r="C817" s="6" t="inlineStr">
        <is>
          <t>TN</t>
        </is>
      </c>
      <c r="D817" s="7" t="inlineStr">
        <is>
          <t>TN91K2029</t>
        </is>
      </c>
      <c r="E817" s="7" t="inlineStr">
        <is>
          <t>TATA</t>
        </is>
      </c>
      <c r="F817" s="7" t="inlineStr">
        <is>
          <t>Nexon</t>
        </is>
      </c>
      <c r="G817" s="7" t="inlineStr">
        <is>
          <t>STEER AUTO TECHNOLOGIES PRIVATE LIMITED</t>
        </is>
      </c>
      <c r="H817" s="7" t="inlineStr">
        <is>
          <t>Non-Captive</t>
        </is>
      </c>
      <c r="I817" s="7" t="inlineStr">
        <is>
          <t>Rithika cars</t>
        </is>
      </c>
      <c r="J817" s="8" t="n">
        <v>2021</v>
      </c>
      <c r="K817" s="9" t="n">
        <v>108964</v>
      </c>
      <c r="L817" s="10" t="n">
        <v>585000</v>
      </c>
      <c r="M817" s="10" t="n">
        <v>3389.83</v>
      </c>
      <c r="N817" s="11">
        <f>IF(M817="","",ROUND(M817*1.18,2))</f>
        <v/>
      </c>
      <c r="O817" s="12">
        <f>IF(M817="","",ROUND(N817-M817,2))</f>
        <v/>
      </c>
      <c r="P817" s="13">
        <f>IF(AND(A817&lt;&gt;"",B817&lt;&gt;""), A817&amp;" · "&amp;B817, "")</f>
        <v/>
      </c>
    </row>
    <row r="818">
      <c r="A818" s="6" t="inlineStr">
        <is>
          <t>FY26</t>
        </is>
      </c>
      <c r="B818" s="6" t="inlineStr">
        <is>
          <t>Feb</t>
        </is>
      </c>
      <c r="C818" s="6" t="inlineStr">
        <is>
          <t>TN</t>
        </is>
      </c>
      <c r="D818" s="7" t="inlineStr">
        <is>
          <t>TN99L5009</t>
        </is>
      </c>
      <c r="E818" s="7" t="inlineStr">
        <is>
          <t>HONDA</t>
        </is>
      </c>
      <c r="F818" s="7" t="inlineStr">
        <is>
          <t>Amaze</t>
        </is>
      </c>
      <c r="G818" s="7" t="inlineStr">
        <is>
          <t>EXCHANGE ROTN</t>
        </is>
      </c>
      <c r="H818" s="7" t="inlineStr">
        <is>
          <t>Captive</t>
        </is>
      </c>
      <c r="I818" s="7" t="inlineStr">
        <is>
          <t>Uzhavan Enterprise</t>
        </is>
      </c>
      <c r="J818" s="8" t="n">
        <v>2018</v>
      </c>
      <c r="K818" s="9" t="n">
        <v>107422</v>
      </c>
      <c r="L818" s="10" t="n">
        <v>435000</v>
      </c>
      <c r="M818" s="10" t="n">
        <v>12711.86</v>
      </c>
      <c r="N818" s="11">
        <f>IF(M818="","",ROUND(M818*1.18,2))</f>
        <v/>
      </c>
      <c r="O818" s="12">
        <f>IF(M818="","",ROUND(N818-M818,2))</f>
        <v/>
      </c>
      <c r="P818" s="13">
        <f>IF(AND(A818&lt;&gt;"",B818&lt;&gt;""), A818&amp;" · "&amp;B818, "")</f>
        <v/>
      </c>
    </row>
    <row r="819">
      <c r="A819" s="6" t="inlineStr">
        <is>
          <t>FY26</t>
        </is>
      </c>
      <c r="B819" s="6" t="inlineStr">
        <is>
          <t>Feb</t>
        </is>
      </c>
      <c r="C819" s="6" t="inlineStr">
        <is>
          <t>TN</t>
        </is>
      </c>
      <c r="D819" s="7" t="inlineStr">
        <is>
          <t>TN99L7027</t>
        </is>
      </c>
      <c r="E819" s="7" t="inlineStr">
        <is>
          <t>HONDA</t>
        </is>
      </c>
      <c r="F819" s="7" t="inlineStr">
        <is>
          <t>Amaze</t>
        </is>
      </c>
      <c r="G819" s="7" t="inlineStr">
        <is>
          <t>EXCHANGE ROTN</t>
        </is>
      </c>
      <c r="H819" s="7" t="inlineStr">
        <is>
          <t>Captive</t>
        </is>
      </c>
      <c r="I819" s="7" t="inlineStr">
        <is>
          <t>Best Cars</t>
        </is>
      </c>
      <c r="J819" s="8" t="n">
        <v>2018</v>
      </c>
      <c r="K819" s="9" t="n">
        <v>80450</v>
      </c>
      <c r="L819" s="10" t="n">
        <v>260000</v>
      </c>
      <c r="M819" s="10" t="n">
        <v>4237.29</v>
      </c>
      <c r="N819" s="11">
        <f>IF(M819="","",ROUND(M819*1.18,2))</f>
        <v/>
      </c>
      <c r="O819" s="12">
        <f>IF(M819="","",ROUND(N819-M819,2))</f>
        <v/>
      </c>
      <c r="P819" s="13">
        <f>IF(AND(A819&lt;&gt;"",B819&lt;&gt;""), A819&amp;" · "&amp;B819, "")</f>
        <v/>
      </c>
    </row>
    <row r="820">
      <c r="A820" s="6" t="inlineStr">
        <is>
          <t>FY26</t>
        </is>
      </c>
      <c r="B820" s="6" t="inlineStr">
        <is>
          <t>Mar</t>
        </is>
      </c>
      <c r="C820" s="6" t="inlineStr">
        <is>
          <t>AP/TS</t>
        </is>
      </c>
      <c r="D820" s="7" t="inlineStr">
        <is>
          <t>AP05BN2223</t>
        </is>
      </c>
      <c r="E820" s="7" t="inlineStr">
        <is>
          <t>HYUNDAI</t>
        </is>
      </c>
      <c r="F820" s="7" t="inlineStr">
        <is>
          <t>i20</t>
        </is>
      </c>
      <c r="G820" s="7" t="inlineStr">
        <is>
          <t>T SRINIVAS</t>
        </is>
      </c>
      <c r="H820" s="7" t="inlineStr">
        <is>
          <t>Non-Captive</t>
        </is>
      </c>
      <c r="I820" s="7" t="inlineStr">
        <is>
          <t>Mohammed Gouse Basha</t>
        </is>
      </c>
      <c r="J820" s="8" t="n">
        <v>2009</v>
      </c>
      <c r="K820" s="9" t="n">
        <v>231658</v>
      </c>
      <c r="L820" s="10" t="n">
        <v>96000</v>
      </c>
      <c r="M820" s="10" t="n">
        <v>5084.75</v>
      </c>
      <c r="N820" s="11">
        <f>IF(M820="","",ROUND(M820*1.18,2))</f>
        <v/>
      </c>
      <c r="O820" s="12">
        <f>IF(M820="","",ROUND(N820-M820,2))</f>
        <v/>
      </c>
      <c r="P820" s="13">
        <f>IF(AND(A820&lt;&gt;"",B820&lt;&gt;""), A820&amp;" · "&amp;B820, "")</f>
        <v/>
      </c>
    </row>
    <row r="821">
      <c r="A821" s="6" t="inlineStr">
        <is>
          <t>FY26</t>
        </is>
      </c>
      <c r="B821" s="6" t="inlineStr">
        <is>
          <t>Mar</t>
        </is>
      </c>
      <c r="C821" s="6" t="inlineStr">
        <is>
          <t>AP/TS</t>
        </is>
      </c>
      <c r="D821" s="7" t="inlineStr">
        <is>
          <t>AP05DJ8424</t>
        </is>
      </c>
      <c r="E821" s="7" t="inlineStr">
        <is>
          <t>MARUTI SUZUKI</t>
        </is>
      </c>
      <c r="F821" s="7" t="inlineStr">
        <is>
          <t>Celerio</t>
        </is>
      </c>
      <c r="G821" s="7" t="inlineStr">
        <is>
          <t>DEVARAPALLI AVINASH</t>
        </is>
      </c>
      <c r="H821" s="7" t="inlineStr">
        <is>
          <t>Non-Captive</t>
        </is>
      </c>
      <c r="I821" s="7" t="inlineStr">
        <is>
          <t>Naga Suresh Polukonda</t>
        </is>
      </c>
      <c r="J821" s="8" t="n">
        <v>2015</v>
      </c>
      <c r="K821" s="9" t="n">
        <v>145135</v>
      </c>
      <c r="L821" s="10" t="n">
        <v>150000</v>
      </c>
      <c r="M821" s="10" t="n">
        <v>2542.37</v>
      </c>
      <c r="N821" s="11">
        <f>IF(M821="","",ROUND(M821*1.18,2))</f>
        <v/>
      </c>
      <c r="O821" s="12">
        <f>IF(M821="","",ROUND(N821-M821,2))</f>
        <v/>
      </c>
      <c r="P821" s="13">
        <f>IF(AND(A821&lt;&gt;"",B821&lt;&gt;""), A821&amp;" · "&amp;B821, "")</f>
        <v/>
      </c>
    </row>
    <row r="822">
      <c r="A822" s="6" t="inlineStr">
        <is>
          <t>FY26</t>
        </is>
      </c>
      <c r="B822" s="6" t="inlineStr">
        <is>
          <t>Mar</t>
        </is>
      </c>
      <c r="C822" s="6" t="inlineStr">
        <is>
          <t>AP/TS</t>
        </is>
      </c>
      <c r="D822" s="7" t="inlineStr">
        <is>
          <t>AP05EK2686</t>
        </is>
      </c>
      <c r="E822" s="7" t="inlineStr">
        <is>
          <t>MARUTI SUZUKI</t>
        </is>
      </c>
      <c r="F822" s="7" t="inlineStr">
        <is>
          <t>Baleno</t>
        </is>
      </c>
      <c r="G822" s="7" t="inlineStr">
        <is>
          <t>EXCHANGE VIZAG</t>
        </is>
      </c>
      <c r="H822" s="7" t="inlineStr">
        <is>
          <t>Captive</t>
        </is>
      </c>
      <c r="I822" s="7" t="inlineStr">
        <is>
          <t>Kaki Dinesh Kumar</t>
        </is>
      </c>
      <c r="J822" s="8" t="n">
        <v>2018</v>
      </c>
      <c r="K822" s="9" t="n">
        <v>57116</v>
      </c>
      <c r="L822" s="10" t="n">
        <v>405000</v>
      </c>
      <c r="M822" s="10" t="n">
        <v>8474.58</v>
      </c>
      <c r="N822" s="11">
        <f>IF(M822="","",ROUND(M822*1.18,2))</f>
        <v/>
      </c>
      <c r="O822" s="12">
        <f>IF(M822="","",ROUND(N822-M822,2))</f>
        <v/>
      </c>
      <c r="P822" s="13">
        <f>IF(AND(A822&lt;&gt;"",B822&lt;&gt;""), A822&amp;" · "&amp;B822, "")</f>
        <v/>
      </c>
    </row>
    <row r="823">
      <c r="A823" s="6" t="inlineStr">
        <is>
          <t>FY26</t>
        </is>
      </c>
      <c r="B823" s="6" t="inlineStr">
        <is>
          <t>Mar</t>
        </is>
      </c>
      <c r="C823" s="6" t="inlineStr">
        <is>
          <t>AP/TS</t>
        </is>
      </c>
      <c r="D823" s="7" t="inlineStr">
        <is>
          <t>AP07AD5005</t>
        </is>
      </c>
      <c r="E823" s="7" t="inlineStr">
        <is>
          <t>HONDA</t>
        </is>
      </c>
      <c r="F823" s="7" t="inlineStr">
        <is>
          <t>City</t>
        </is>
      </c>
      <c r="G823" s="7" t="inlineStr">
        <is>
          <t>EXCHANGE VIJAYAWADA</t>
        </is>
      </c>
      <c r="H823" s="7" t="inlineStr">
        <is>
          <t>Captive</t>
        </is>
      </c>
      <c r="I823" s="7" t="inlineStr">
        <is>
          <t>Suresh Ginjupalli</t>
        </is>
      </c>
      <c r="J823" s="8" t="n">
        <v>2006</v>
      </c>
      <c r="K823" s="9" t="n">
        <v>196908</v>
      </c>
      <c r="L823" s="10" t="n">
        <v>110000</v>
      </c>
      <c r="M823" s="10" t="n">
        <v>8474.58</v>
      </c>
      <c r="N823" s="11">
        <f>IF(M823="","",ROUND(M823*1.18,2))</f>
        <v/>
      </c>
      <c r="O823" s="12">
        <f>IF(M823="","",ROUND(N823-M823,2))</f>
        <v/>
      </c>
      <c r="P823" s="13">
        <f>IF(AND(A823&lt;&gt;"",B823&lt;&gt;""), A823&amp;" · "&amp;B823, "")</f>
        <v/>
      </c>
    </row>
    <row r="824">
      <c r="A824" s="6" t="inlineStr">
        <is>
          <t>FY26</t>
        </is>
      </c>
      <c r="B824" s="6" t="inlineStr">
        <is>
          <t>Mar</t>
        </is>
      </c>
      <c r="C824" s="6" t="inlineStr">
        <is>
          <t>AP/TS</t>
        </is>
      </c>
      <c r="D824" s="7" t="inlineStr">
        <is>
          <t>AP07BH5380</t>
        </is>
      </c>
      <c r="E824" s="7" t="inlineStr">
        <is>
          <t>MARUTI SUZUKI</t>
        </is>
      </c>
      <c r="F824" s="7" t="inlineStr">
        <is>
          <t>Wagon R</t>
        </is>
      </c>
      <c r="G824" s="7" t="inlineStr">
        <is>
          <t>VINOD KUMAR MURARI</t>
        </is>
      </c>
      <c r="H824" s="7" t="inlineStr">
        <is>
          <t>Non-Captive</t>
        </is>
      </c>
      <c r="I824" s="7" t="inlineStr">
        <is>
          <t>Mohammed Gouse Basha</t>
        </is>
      </c>
      <c r="J824" s="8" t="n">
        <v>2011</v>
      </c>
      <c r="K824" s="9" t="n">
        <v>173262</v>
      </c>
      <c r="L824" s="10" t="n">
        <v>90000</v>
      </c>
      <c r="M824" s="10" t="n">
        <v>5084.75</v>
      </c>
      <c r="N824" s="11">
        <f>IF(M824="","",ROUND(M824*1.18,2))</f>
        <v/>
      </c>
      <c r="O824" s="12">
        <f>IF(M824="","",ROUND(N824-M824,2))</f>
        <v/>
      </c>
      <c r="P824" s="13">
        <f>IF(AND(A824&lt;&gt;"",B824&lt;&gt;""), A824&amp;" · "&amp;B824, "")</f>
        <v/>
      </c>
    </row>
    <row r="825">
      <c r="A825" s="6" t="inlineStr">
        <is>
          <t>FY26</t>
        </is>
      </c>
      <c r="B825" s="6" t="inlineStr">
        <is>
          <t>Mar</t>
        </is>
      </c>
      <c r="C825" s="6" t="inlineStr">
        <is>
          <t>AP/TS</t>
        </is>
      </c>
      <c r="D825" s="7" t="inlineStr">
        <is>
          <t>AP07DG1214</t>
        </is>
      </c>
      <c r="E825" s="7" t="inlineStr">
        <is>
          <t>RENAULT</t>
        </is>
      </c>
      <c r="F825" s="7" t="inlineStr">
        <is>
          <t>Kwid</t>
        </is>
      </c>
      <c r="G825" s="7" t="inlineStr">
        <is>
          <t>DEVARAPALLI AVINASH</t>
        </is>
      </c>
      <c r="H825" s="7" t="inlineStr">
        <is>
          <t>Non-Captive</t>
        </is>
      </c>
      <c r="I825" s="7" t="inlineStr">
        <is>
          <t>Gopi Nagaraju</t>
        </is>
      </c>
      <c r="J825" s="8" t="n">
        <v>2017</v>
      </c>
      <c r="K825" s="9" t="n">
        <v>123776</v>
      </c>
      <c r="L825" s="10" t="n">
        <v>150000</v>
      </c>
      <c r="M825" s="10" t="n">
        <v>2542.37</v>
      </c>
      <c r="N825" s="11">
        <f>IF(M825="","",ROUND(M825*1.18,2))</f>
        <v/>
      </c>
      <c r="O825" s="12">
        <f>IF(M825="","",ROUND(N825-M825,2))</f>
        <v/>
      </c>
      <c r="P825" s="13">
        <f>IF(AND(A825&lt;&gt;"",B825&lt;&gt;""), A825&amp;" · "&amp;B825, "")</f>
        <v/>
      </c>
    </row>
    <row r="826">
      <c r="A826" s="6" t="inlineStr">
        <is>
          <t>FY26</t>
        </is>
      </c>
      <c r="B826" s="6" t="inlineStr">
        <is>
          <t>Mar</t>
        </is>
      </c>
      <c r="C826" s="6" t="inlineStr">
        <is>
          <t>AP/TS</t>
        </is>
      </c>
      <c r="D826" s="7" t="inlineStr">
        <is>
          <t>AP09BD0374</t>
        </is>
      </c>
      <c r="E826" s="7" t="inlineStr">
        <is>
          <t>HONDA</t>
        </is>
      </c>
      <c r="F826" s="7" t="inlineStr">
        <is>
          <t>City</t>
        </is>
      </c>
      <c r="G826" s="7" t="inlineStr">
        <is>
          <t>NAKKA SHIVA SHANKER</t>
        </is>
      </c>
      <c r="H826" s="7" t="inlineStr">
        <is>
          <t>Non-Captive</t>
        </is>
      </c>
      <c r="I826" s="7" t="inlineStr">
        <is>
          <t>Odapally Sandeep</t>
        </is>
      </c>
      <c r="J826" s="8" t="n">
        <v>2006</v>
      </c>
      <c r="K826" s="9" t="n">
        <v>285682</v>
      </c>
      <c r="L826" s="10" t="n">
        <v>75000</v>
      </c>
      <c r="M826" s="10" t="n">
        <v>2118.64</v>
      </c>
      <c r="N826" s="11">
        <f>IF(M826="","",ROUND(M826*1.18,2))</f>
        <v/>
      </c>
      <c r="O826" s="12">
        <f>IF(M826="","",ROUND(N826-M826,2))</f>
        <v/>
      </c>
      <c r="P826" s="13">
        <f>IF(AND(A826&lt;&gt;"",B826&lt;&gt;""), A826&amp;" · "&amp;B826, "")</f>
        <v/>
      </c>
    </row>
    <row r="827">
      <c r="A827" s="6" t="inlineStr">
        <is>
          <t>FY26</t>
        </is>
      </c>
      <c r="B827" s="6" t="inlineStr">
        <is>
          <t>Mar</t>
        </is>
      </c>
      <c r="C827" s="6" t="inlineStr">
        <is>
          <t>AP/TS</t>
        </is>
      </c>
      <c r="D827" s="7" t="inlineStr">
        <is>
          <t>AP09BJ0297</t>
        </is>
      </c>
      <c r="E827" s="7" t="inlineStr">
        <is>
          <t>HONDA</t>
        </is>
      </c>
      <c r="F827" s="7" t="inlineStr">
        <is>
          <t>City</t>
        </is>
      </c>
      <c r="G827" s="7" t="inlineStr">
        <is>
          <t>NAKKA SHIVA SHANKER</t>
        </is>
      </c>
      <c r="H827" s="7" t="inlineStr">
        <is>
          <t>Non-Captive</t>
        </is>
      </c>
      <c r="I827" s="7" t="inlineStr">
        <is>
          <t>Odapally Sandeep</t>
        </is>
      </c>
      <c r="J827" s="8" t="n">
        <v>2007</v>
      </c>
      <c r="K827" s="9" t="n">
        <v>198825</v>
      </c>
      <c r="L827" s="10" t="n">
        <v>75000</v>
      </c>
      <c r="M827" s="10" t="n">
        <v>2118.64</v>
      </c>
      <c r="N827" s="11">
        <f>IF(M827="","",ROUND(M827*1.18,2))</f>
        <v/>
      </c>
      <c r="O827" s="12">
        <f>IF(M827="","",ROUND(N827-M827,2))</f>
        <v/>
      </c>
      <c r="P827" s="13">
        <f>IF(AND(A827&lt;&gt;"",B827&lt;&gt;""), A827&amp;" · "&amp;B827, "")</f>
        <v/>
      </c>
    </row>
    <row r="828">
      <c r="A828" s="6" t="inlineStr">
        <is>
          <t>FY26</t>
        </is>
      </c>
      <c r="B828" s="6" t="inlineStr">
        <is>
          <t>Mar</t>
        </is>
      </c>
      <c r="C828" s="6" t="inlineStr">
        <is>
          <t>AP/TS</t>
        </is>
      </c>
      <c r="D828" s="7" t="inlineStr">
        <is>
          <t>AP09BL8271</t>
        </is>
      </c>
      <c r="E828" s="7" t="inlineStr">
        <is>
          <t>HONDA</t>
        </is>
      </c>
      <c r="F828" s="7" t="inlineStr">
        <is>
          <t>City</t>
        </is>
      </c>
      <c r="G828" s="7" t="inlineStr">
        <is>
          <t>NAKKA SHIVA SHANKER</t>
        </is>
      </c>
      <c r="H828" s="7" t="inlineStr">
        <is>
          <t>Non-Captive</t>
        </is>
      </c>
      <c r="I828" s="7" t="inlineStr">
        <is>
          <t>Odapally Sandeep</t>
        </is>
      </c>
      <c r="J828" s="8" t="n">
        <v>2007</v>
      </c>
      <c r="K828" s="9" t="n">
        <v>184667</v>
      </c>
      <c r="L828" s="10" t="n">
        <v>75000</v>
      </c>
      <c r="M828" s="10" t="n">
        <v>2118.64</v>
      </c>
      <c r="N828" s="11">
        <f>IF(M828="","",ROUND(M828*1.18,2))</f>
        <v/>
      </c>
      <c r="O828" s="12">
        <f>IF(M828="","",ROUND(N828-M828,2))</f>
        <v/>
      </c>
      <c r="P828" s="13">
        <f>IF(AND(A828&lt;&gt;"",B828&lt;&gt;""), A828&amp;" · "&amp;B828, "")</f>
        <v/>
      </c>
    </row>
    <row r="829">
      <c r="A829" s="6" t="inlineStr">
        <is>
          <t>FY26</t>
        </is>
      </c>
      <c r="B829" s="6" t="inlineStr">
        <is>
          <t>Mar</t>
        </is>
      </c>
      <c r="C829" s="6" t="inlineStr">
        <is>
          <t>AP/TS</t>
        </is>
      </c>
      <c r="D829" s="7" t="inlineStr">
        <is>
          <t>AP09CC9118</t>
        </is>
      </c>
      <c r="E829" s="7" t="inlineStr">
        <is>
          <t>HYUNDAI</t>
        </is>
      </c>
      <c r="F829" s="7" t="inlineStr">
        <is>
          <t>i10</t>
        </is>
      </c>
      <c r="G829" s="7" t="inlineStr">
        <is>
          <t>PUNEET GUPTA</t>
        </is>
      </c>
      <c r="H829" s="7" t="inlineStr">
        <is>
          <t>Non-Captive</t>
        </is>
      </c>
      <c r="I829" s="7" t="inlineStr">
        <is>
          <t>Katikala Jathin Sai</t>
        </is>
      </c>
      <c r="J829" s="8" t="n">
        <v>2011</v>
      </c>
      <c r="K829" s="9" t="n">
        <v>175143</v>
      </c>
      <c r="L829" s="10" t="n">
        <v>80000</v>
      </c>
      <c r="M829" s="10" t="n">
        <v>4237.29</v>
      </c>
      <c r="N829" s="11">
        <f>IF(M829="","",ROUND(M829*1.18,2))</f>
        <v/>
      </c>
      <c r="O829" s="12">
        <f>IF(M829="","",ROUND(N829-M829,2))</f>
        <v/>
      </c>
      <c r="P829" s="13">
        <f>IF(AND(A829&lt;&gt;"",B829&lt;&gt;""), A829&amp;" · "&amp;B829, "")</f>
        <v/>
      </c>
    </row>
    <row r="830">
      <c r="A830" s="6" t="inlineStr">
        <is>
          <t>FY26</t>
        </is>
      </c>
      <c r="B830" s="6" t="inlineStr">
        <is>
          <t>Mar</t>
        </is>
      </c>
      <c r="C830" s="6" t="inlineStr">
        <is>
          <t>AP/TS</t>
        </is>
      </c>
      <c r="D830" s="7" t="inlineStr">
        <is>
          <t>AP09CN3614</t>
        </is>
      </c>
      <c r="E830" s="7" t="inlineStr">
        <is>
          <t>HYUNDAI</t>
        </is>
      </c>
      <c r="F830" s="7" t="inlineStr">
        <is>
          <t>i20</t>
        </is>
      </c>
      <c r="G830" s="7" t="inlineStr">
        <is>
          <t>DEVARAPALLI AVINASH</t>
        </is>
      </c>
      <c r="H830" s="7" t="inlineStr">
        <is>
          <t>Non-Captive</t>
        </is>
      </c>
      <c r="I830" s="7" t="inlineStr">
        <is>
          <t>Chittibomma Srinivasa Rao</t>
        </is>
      </c>
      <c r="J830" s="8" t="n">
        <v>2012</v>
      </c>
      <c r="K830" s="9" t="n">
        <v>152114</v>
      </c>
      <c r="L830" s="10" t="n">
        <v>150000</v>
      </c>
      <c r="M830" s="10" t="n">
        <v>2542.37</v>
      </c>
      <c r="N830" s="11">
        <f>IF(M830="","",ROUND(M830*1.18,2))</f>
        <v/>
      </c>
      <c r="O830" s="12">
        <f>IF(M830="","",ROUND(N830-M830,2))</f>
        <v/>
      </c>
      <c r="P830" s="13">
        <f>IF(AND(A830&lt;&gt;"",B830&lt;&gt;""), A830&amp;" · "&amp;B830, "")</f>
        <v/>
      </c>
    </row>
    <row r="831">
      <c r="A831" s="6" t="inlineStr">
        <is>
          <t>FY26</t>
        </is>
      </c>
      <c r="B831" s="6" t="inlineStr">
        <is>
          <t>Mar</t>
        </is>
      </c>
      <c r="C831" s="6" t="inlineStr">
        <is>
          <t>AP/TS</t>
        </is>
      </c>
      <c r="D831" s="7" t="inlineStr">
        <is>
          <t>AP09CP5999</t>
        </is>
      </c>
      <c r="E831" s="7" t="inlineStr">
        <is>
          <t>SKODA</t>
        </is>
      </c>
      <c r="F831" s="7" t="inlineStr">
        <is>
          <t>Rapid</t>
        </is>
      </c>
      <c r="G831" s="7" t="inlineStr">
        <is>
          <t>EXCHANGE HYDERABAD</t>
        </is>
      </c>
      <c r="H831" s="7" t="inlineStr">
        <is>
          <t>Captive</t>
        </is>
      </c>
      <c r="I831" s="7" t="inlineStr">
        <is>
          <t>Nakka Shiva Shanker</t>
        </is>
      </c>
      <c r="J831" s="8" t="n">
        <v>2013</v>
      </c>
      <c r="K831" s="9" t="n">
        <v>140846</v>
      </c>
      <c r="L831" s="10" t="n">
        <v>185000</v>
      </c>
      <c r="M831" s="10" t="n">
        <v>8474.58</v>
      </c>
      <c r="N831" s="11">
        <f>IF(M831="","",ROUND(M831*1.18,2))</f>
        <v/>
      </c>
      <c r="O831" s="12">
        <f>IF(M831="","",ROUND(N831-M831,2))</f>
        <v/>
      </c>
      <c r="P831" s="13">
        <f>IF(AND(A831&lt;&gt;"",B831&lt;&gt;""), A831&amp;" · "&amp;B831, "")</f>
        <v/>
      </c>
    </row>
    <row r="832">
      <c r="A832" s="6" t="inlineStr">
        <is>
          <t>FY26</t>
        </is>
      </c>
      <c r="B832" s="6" t="inlineStr">
        <is>
          <t>Mar</t>
        </is>
      </c>
      <c r="C832" s="6" t="inlineStr">
        <is>
          <t>AP/TS</t>
        </is>
      </c>
      <c r="D832" s="7" t="inlineStr">
        <is>
          <t>AP09CR5557</t>
        </is>
      </c>
      <c r="E832" s="7" t="inlineStr">
        <is>
          <t>HYUNDAI</t>
        </is>
      </c>
      <c r="F832" s="7" t="inlineStr">
        <is>
          <t>i20</t>
        </is>
      </c>
      <c r="G832" s="7" t="inlineStr">
        <is>
          <t>PUNEET GUPTA</t>
        </is>
      </c>
      <c r="H832" s="7" t="inlineStr">
        <is>
          <t>Non-Captive</t>
        </is>
      </c>
      <c r="I832" s="7" t="inlineStr">
        <is>
          <t>Gorenka Vinay Shravan</t>
        </is>
      </c>
      <c r="J832" s="8" t="n">
        <v>2013</v>
      </c>
      <c r="K832" s="9" t="n">
        <v>185350</v>
      </c>
      <c r="L832" s="10" t="n">
        <v>200000</v>
      </c>
      <c r="M832" s="10" t="n">
        <v>2118.64</v>
      </c>
      <c r="N832" s="11">
        <f>IF(M832="","",ROUND(M832*1.18,2))</f>
        <v/>
      </c>
      <c r="O832" s="12">
        <f>IF(M832="","",ROUND(N832-M832,2))</f>
        <v/>
      </c>
      <c r="P832" s="13">
        <f>IF(AND(A832&lt;&gt;"",B832&lt;&gt;""), A832&amp;" · "&amp;B832, "")</f>
        <v/>
      </c>
    </row>
    <row r="833">
      <c r="A833" s="6" t="inlineStr">
        <is>
          <t>FY26</t>
        </is>
      </c>
      <c r="B833" s="6" t="inlineStr">
        <is>
          <t>Mar</t>
        </is>
      </c>
      <c r="C833" s="6" t="inlineStr">
        <is>
          <t>AP/TS</t>
        </is>
      </c>
      <c r="D833" s="7" t="inlineStr">
        <is>
          <t>AP09CR6576</t>
        </is>
      </c>
      <c r="E833" s="7" t="inlineStr">
        <is>
          <t>SKODA</t>
        </is>
      </c>
      <c r="F833" s="7" t="inlineStr">
        <is>
          <t>Rapid</t>
        </is>
      </c>
      <c r="G833" s="7" t="inlineStr">
        <is>
          <t>EXCHANGE VIZAG</t>
        </is>
      </c>
      <c r="H833" s="7" t="inlineStr">
        <is>
          <t>Captive</t>
        </is>
      </c>
      <c r="I833" s="7" t="inlineStr">
        <is>
          <t>Kodukula Kausalya Devi</t>
        </is>
      </c>
      <c r="J833" s="8" t="n">
        <v>2013</v>
      </c>
      <c r="K833" s="9" t="n">
        <v>88830</v>
      </c>
      <c r="L833" s="10" t="n">
        <v>195000</v>
      </c>
      <c r="M833" s="10" t="n">
        <v>21186.44</v>
      </c>
      <c r="N833" s="11">
        <f>IF(M833="","",ROUND(M833*1.18,2))</f>
        <v/>
      </c>
      <c r="O833" s="12">
        <f>IF(M833="","",ROUND(N833-M833,2))</f>
        <v/>
      </c>
      <c r="P833" s="13">
        <f>IF(AND(A833&lt;&gt;"",B833&lt;&gt;""), A833&amp;" · "&amp;B833, "")</f>
        <v/>
      </c>
    </row>
    <row r="834">
      <c r="A834" s="6" t="inlineStr">
        <is>
          <t>FY26</t>
        </is>
      </c>
      <c r="B834" s="6" t="inlineStr">
        <is>
          <t>Mar</t>
        </is>
      </c>
      <c r="C834" s="6" t="inlineStr">
        <is>
          <t>AP/TS</t>
        </is>
      </c>
      <c r="D834" s="7" t="inlineStr">
        <is>
          <t>AP09CU5985</t>
        </is>
      </c>
      <c r="E834" s="7" t="inlineStr">
        <is>
          <t>HONDA</t>
        </is>
      </c>
      <c r="F834" s="7" t="inlineStr">
        <is>
          <t>Amaze</t>
        </is>
      </c>
      <c r="G834" s="7" t="inlineStr">
        <is>
          <t>EXCHANGE VIJAYAWADA</t>
        </is>
      </c>
      <c r="H834" s="7" t="inlineStr">
        <is>
          <t>Captive</t>
        </is>
      </c>
      <c r="I834" s="7" t="inlineStr">
        <is>
          <t>Chittibomma Srinivasa Rao</t>
        </is>
      </c>
      <c r="J834" s="8" t="n">
        <v>2013</v>
      </c>
      <c r="K834" s="9" t="n">
        <v>80697</v>
      </c>
      <c r="L834" s="10" t="n">
        <v>195000</v>
      </c>
      <c r="M834" s="10" t="n">
        <v>12711.86</v>
      </c>
      <c r="N834" s="11">
        <f>IF(M834="","",ROUND(M834*1.18,2))</f>
        <v/>
      </c>
      <c r="O834" s="12">
        <f>IF(M834="","",ROUND(N834-M834,2))</f>
        <v/>
      </c>
      <c r="P834" s="13">
        <f>IF(AND(A834&lt;&gt;"",B834&lt;&gt;""), A834&amp;" · "&amp;B834, "")</f>
        <v/>
      </c>
    </row>
    <row r="835">
      <c r="A835" s="6" t="inlineStr">
        <is>
          <t>FY26</t>
        </is>
      </c>
      <c r="B835" s="6" t="inlineStr">
        <is>
          <t>Mar</t>
        </is>
      </c>
      <c r="C835" s="6" t="inlineStr">
        <is>
          <t>AP/TS</t>
        </is>
      </c>
      <c r="D835" s="7" t="inlineStr">
        <is>
          <t>AP10AK7771</t>
        </is>
      </c>
      <c r="E835" s="7" t="inlineStr">
        <is>
          <t>HONDA</t>
        </is>
      </c>
      <c r="F835" s="7" t="inlineStr">
        <is>
          <t>City</t>
        </is>
      </c>
      <c r="G835" s="7" t="inlineStr">
        <is>
          <t>NAKKA SHIVA SHANKER</t>
        </is>
      </c>
      <c r="H835" s="7" t="inlineStr">
        <is>
          <t>Non-Captive</t>
        </is>
      </c>
      <c r="I835" s="7" t="inlineStr">
        <is>
          <t>Odapally Sandeep</t>
        </is>
      </c>
      <c r="J835" s="8" t="n">
        <v>2007</v>
      </c>
      <c r="K835" s="9" t="n">
        <v>186423</v>
      </c>
      <c r="L835" s="10" t="n">
        <v>75000</v>
      </c>
      <c r="M835" s="10" t="n">
        <v>2118.64</v>
      </c>
      <c r="N835" s="11">
        <f>IF(M835="","",ROUND(M835*1.18,2))</f>
        <v/>
      </c>
      <c r="O835" s="12">
        <f>IF(M835="","",ROUND(N835-M835,2))</f>
        <v/>
      </c>
      <c r="P835" s="13">
        <f>IF(AND(A835&lt;&gt;"",B835&lt;&gt;""), A835&amp;" · "&amp;B835, "")</f>
        <v/>
      </c>
    </row>
    <row r="836">
      <c r="A836" s="6" t="inlineStr">
        <is>
          <t>FY26</t>
        </is>
      </c>
      <c r="B836" s="6" t="inlineStr">
        <is>
          <t>Mar</t>
        </is>
      </c>
      <c r="C836" s="6" t="inlineStr">
        <is>
          <t>AP/TS</t>
        </is>
      </c>
      <c r="D836" s="7" t="inlineStr">
        <is>
          <t>AP10AU4488</t>
        </is>
      </c>
      <c r="E836" s="7" t="inlineStr">
        <is>
          <t>HYUNDAI</t>
        </is>
      </c>
      <c r="F836" s="7" t="inlineStr">
        <is>
          <t>Verna</t>
        </is>
      </c>
      <c r="G836" s="7" t="inlineStr">
        <is>
          <t>PUNEET GUPTA</t>
        </is>
      </c>
      <c r="H836" s="7" t="inlineStr">
        <is>
          <t>Non-Captive</t>
        </is>
      </c>
      <c r="I836" s="7" t="inlineStr">
        <is>
          <t>Katikala Jathin Sai</t>
        </is>
      </c>
      <c r="J836" s="8" t="n">
        <v>2010</v>
      </c>
      <c r="K836" s="9" t="n">
        <v>205254</v>
      </c>
      <c r="L836" s="10" t="n">
        <v>95000</v>
      </c>
      <c r="M836" s="10" t="n">
        <v>4237.29</v>
      </c>
      <c r="N836" s="11">
        <f>IF(M836="","",ROUND(M836*1.18,2))</f>
        <v/>
      </c>
      <c r="O836" s="12">
        <f>IF(M836="","",ROUND(N836-M836,2))</f>
        <v/>
      </c>
      <c r="P836" s="13">
        <f>IF(AND(A836&lt;&gt;"",B836&lt;&gt;""), A836&amp;" · "&amp;B836, "")</f>
        <v/>
      </c>
    </row>
    <row r="837">
      <c r="A837" s="6" t="inlineStr">
        <is>
          <t>FY26</t>
        </is>
      </c>
      <c r="B837" s="6" t="inlineStr">
        <is>
          <t>Mar</t>
        </is>
      </c>
      <c r="C837" s="6" t="inlineStr">
        <is>
          <t>AP/TS</t>
        </is>
      </c>
      <c r="D837" s="7" t="inlineStr">
        <is>
          <t>AP10BF6315</t>
        </is>
      </c>
      <c r="E837" s="7" t="inlineStr">
        <is>
          <t>HONDA</t>
        </is>
      </c>
      <c r="F837" s="7" t="inlineStr">
        <is>
          <t>Amaze</t>
        </is>
      </c>
      <c r="G837" s="7" t="inlineStr">
        <is>
          <t>ODAPALLY SANDEEP</t>
        </is>
      </c>
      <c r="H837" s="7" t="inlineStr">
        <is>
          <t>Non-Captive</t>
        </is>
      </c>
      <c r="I837" s="7" t="inlineStr">
        <is>
          <t>Nakka Shiva Shanker</t>
        </is>
      </c>
      <c r="J837" s="8" t="n">
        <v>2013</v>
      </c>
      <c r="K837" s="9" t="n">
        <v>148960</v>
      </c>
      <c r="L837" s="10" t="n">
        <v>95000</v>
      </c>
      <c r="M837" s="10" t="n">
        <v>4237.29</v>
      </c>
      <c r="N837" s="11">
        <f>IF(M837="","",ROUND(M837*1.18,2))</f>
        <v/>
      </c>
      <c r="O837" s="12">
        <f>IF(M837="","",ROUND(N837-M837,2))</f>
        <v/>
      </c>
      <c r="P837" s="13">
        <f>IF(AND(A837&lt;&gt;"",B837&lt;&gt;""), A837&amp;" · "&amp;B837, "")</f>
        <v/>
      </c>
    </row>
    <row r="838">
      <c r="A838" s="6" t="inlineStr">
        <is>
          <t>FY26</t>
        </is>
      </c>
      <c r="B838" s="6" t="inlineStr">
        <is>
          <t>Mar</t>
        </is>
      </c>
      <c r="C838" s="6" t="inlineStr">
        <is>
          <t>AP/TS</t>
        </is>
      </c>
      <c r="D838" s="7" t="inlineStr">
        <is>
          <t>AP11AS2556</t>
        </is>
      </c>
      <c r="E838" s="7" t="inlineStr">
        <is>
          <t>HYUNDAI</t>
        </is>
      </c>
      <c r="F838" s="7" t="inlineStr">
        <is>
          <t>i20</t>
        </is>
      </c>
      <c r="G838" s="7" t="inlineStr">
        <is>
          <t>PUNEET GUPTA</t>
        </is>
      </c>
      <c r="H838" s="7" t="inlineStr">
        <is>
          <t>Non-Captive</t>
        </is>
      </c>
      <c r="I838" s="7" t="inlineStr">
        <is>
          <t>Gorenka Vinay Shravan</t>
        </is>
      </c>
      <c r="J838" s="8" t="n">
        <v>2013</v>
      </c>
      <c r="K838" s="9" t="n">
        <v>168480</v>
      </c>
      <c r="L838" s="10" t="n">
        <v>200000</v>
      </c>
      <c r="M838" s="10" t="n">
        <v>2118.64</v>
      </c>
      <c r="N838" s="11">
        <f>IF(M838="","",ROUND(M838*1.18,2))</f>
        <v/>
      </c>
      <c r="O838" s="12">
        <f>IF(M838="","",ROUND(N838-M838,2))</f>
        <v/>
      </c>
      <c r="P838" s="13">
        <f>IF(AND(A838&lt;&gt;"",B838&lt;&gt;""), A838&amp;" · "&amp;B838, "")</f>
        <v/>
      </c>
    </row>
    <row r="839">
      <c r="A839" s="6" t="inlineStr">
        <is>
          <t>FY26</t>
        </is>
      </c>
      <c r="B839" s="6" t="inlineStr">
        <is>
          <t>Mar</t>
        </is>
      </c>
      <c r="C839" s="6" t="inlineStr">
        <is>
          <t>AP/TS</t>
        </is>
      </c>
      <c r="D839" s="7" t="inlineStr">
        <is>
          <t>AP13J8680</t>
        </is>
      </c>
      <c r="E839" s="7" t="inlineStr">
        <is>
          <t>HYUNDAI</t>
        </is>
      </c>
      <c r="F839" s="7" t="inlineStr">
        <is>
          <t>Santro</t>
        </is>
      </c>
      <c r="G839" s="7" t="inlineStr">
        <is>
          <t>EXCHANGE HYDERABAD</t>
        </is>
      </c>
      <c r="H839" s="7" t="inlineStr">
        <is>
          <t>Captive</t>
        </is>
      </c>
      <c r="I839" s="7" t="inlineStr">
        <is>
          <t>Abdul Mugees</t>
        </is>
      </c>
      <c r="J839" s="8" t="n">
        <v>2006</v>
      </c>
      <c r="K839" s="9" t="n">
        <v>114501</v>
      </c>
      <c r="L839" s="10" t="n">
        <v>50000</v>
      </c>
      <c r="M839" s="10" t="n">
        <v>4237.29</v>
      </c>
      <c r="N839" s="11">
        <f>IF(M839="","",ROUND(M839*1.18,2))</f>
        <v/>
      </c>
      <c r="O839" s="12">
        <f>IF(M839="","",ROUND(N839-M839,2))</f>
        <v/>
      </c>
      <c r="P839" s="13">
        <f>IF(AND(A839&lt;&gt;"",B839&lt;&gt;""), A839&amp;" · "&amp;B839, "")</f>
        <v/>
      </c>
    </row>
    <row r="840">
      <c r="A840" s="6" t="inlineStr">
        <is>
          <t>FY26</t>
        </is>
      </c>
      <c r="B840" s="6" t="inlineStr">
        <is>
          <t>Mar</t>
        </is>
      </c>
      <c r="C840" s="6" t="inlineStr">
        <is>
          <t>AP/TS</t>
        </is>
      </c>
      <c r="D840" s="7" t="inlineStr">
        <is>
          <t>AP16AS0888</t>
        </is>
      </c>
      <c r="E840" s="7" t="inlineStr">
        <is>
          <t>HONDA</t>
        </is>
      </c>
      <c r="F840" s="7" t="inlineStr">
        <is>
          <t>Amaze</t>
        </is>
      </c>
      <c r="G840" s="7" t="inlineStr">
        <is>
          <t>EXCHANGE VIJAYAWADA</t>
        </is>
      </c>
      <c r="H840" s="7" t="inlineStr">
        <is>
          <t>Captive</t>
        </is>
      </c>
      <c r="I840" s="7" t="inlineStr">
        <is>
          <t>Subbayya Tanaki</t>
        </is>
      </c>
      <c r="J840" s="8" t="n">
        <v>2016</v>
      </c>
      <c r="K840" s="9" t="n">
        <v>57272</v>
      </c>
      <c r="L840" s="10" t="n">
        <v>275000</v>
      </c>
      <c r="M840" s="10" t="n">
        <v>16949.15</v>
      </c>
      <c r="N840" s="11">
        <f>IF(M840="","",ROUND(M840*1.18,2))</f>
        <v/>
      </c>
      <c r="O840" s="12">
        <f>IF(M840="","",ROUND(N840-M840,2))</f>
        <v/>
      </c>
      <c r="P840" s="13">
        <f>IF(AND(A840&lt;&gt;"",B840&lt;&gt;""), A840&amp;" · "&amp;B840, "")</f>
        <v/>
      </c>
    </row>
    <row r="841">
      <c r="A841" s="6" t="inlineStr">
        <is>
          <t>FY26</t>
        </is>
      </c>
      <c r="B841" s="6" t="inlineStr">
        <is>
          <t>Mar</t>
        </is>
      </c>
      <c r="C841" s="6" t="inlineStr">
        <is>
          <t>AP/TS</t>
        </is>
      </c>
      <c r="D841" s="7" t="inlineStr">
        <is>
          <t>AP16BQ0720</t>
        </is>
      </c>
      <c r="E841" s="7" t="inlineStr">
        <is>
          <t>MARUTI SUZUKI</t>
        </is>
      </c>
      <c r="F841" s="7" t="inlineStr">
        <is>
          <t>Dzire</t>
        </is>
      </c>
      <c r="G841" s="7" t="inlineStr">
        <is>
          <t>VINOD KUMAR MURARI</t>
        </is>
      </c>
      <c r="H841" s="7" t="inlineStr">
        <is>
          <t>Non-Captive</t>
        </is>
      </c>
      <c r="I841" s="7" t="inlineStr">
        <is>
          <t>Mohammed Gouse Basha</t>
        </is>
      </c>
      <c r="J841" s="8" t="n">
        <v>2009</v>
      </c>
      <c r="K841" s="9" t="n">
        <v>165063</v>
      </c>
      <c r="L841" s="10" t="n">
        <v>90000</v>
      </c>
      <c r="M841" s="10" t="n">
        <v>5084.75</v>
      </c>
      <c r="N841" s="11">
        <f>IF(M841="","",ROUND(M841*1.18,2))</f>
        <v/>
      </c>
      <c r="O841" s="12">
        <f>IF(M841="","",ROUND(N841-M841,2))</f>
        <v/>
      </c>
      <c r="P841" s="13">
        <f>IF(AND(A841&lt;&gt;"",B841&lt;&gt;""), A841&amp;" · "&amp;B841, "")</f>
        <v/>
      </c>
    </row>
    <row r="842">
      <c r="A842" s="6" t="inlineStr">
        <is>
          <t>FY26</t>
        </is>
      </c>
      <c r="B842" s="6" t="inlineStr">
        <is>
          <t>Mar</t>
        </is>
      </c>
      <c r="C842" s="6" t="inlineStr">
        <is>
          <t>AP/TS</t>
        </is>
      </c>
      <c r="D842" s="7" t="inlineStr">
        <is>
          <t>AP16BS8730</t>
        </is>
      </c>
      <c r="E842" s="7" t="inlineStr">
        <is>
          <t>HYUNDAI</t>
        </is>
      </c>
      <c r="F842" s="7" t="inlineStr">
        <is>
          <t>i20</t>
        </is>
      </c>
      <c r="G842" s="7" t="inlineStr">
        <is>
          <t>NAGA SURESH POLUKONDA</t>
        </is>
      </c>
      <c r="H842" s="7" t="inlineStr">
        <is>
          <t>Non-Captive</t>
        </is>
      </c>
      <c r="I842" s="7" t="inlineStr">
        <is>
          <t>Gopi Nagaraju</t>
        </is>
      </c>
      <c r="J842" s="8" t="n">
        <v>2010</v>
      </c>
      <c r="K842" s="9" t="n">
        <v>128322</v>
      </c>
      <c r="L842" s="10" t="n">
        <v>95000</v>
      </c>
      <c r="M842" s="10" t="n">
        <v>4237.29</v>
      </c>
      <c r="N842" s="11">
        <f>IF(M842="","",ROUND(M842*1.18,2))</f>
        <v/>
      </c>
      <c r="O842" s="12">
        <f>IF(M842="","",ROUND(N842-M842,2))</f>
        <v/>
      </c>
      <c r="P842" s="13">
        <f>IF(AND(A842&lt;&gt;"",B842&lt;&gt;""), A842&amp;" · "&amp;B842, "")</f>
        <v/>
      </c>
    </row>
    <row r="843">
      <c r="A843" s="6" t="inlineStr">
        <is>
          <t>FY26</t>
        </is>
      </c>
      <c r="B843" s="6" t="inlineStr">
        <is>
          <t>Mar</t>
        </is>
      </c>
      <c r="C843" s="6" t="inlineStr">
        <is>
          <t>AP/TS</t>
        </is>
      </c>
      <c r="D843" s="7" t="inlineStr">
        <is>
          <t>AP16CF1270</t>
        </is>
      </c>
      <c r="E843" s="7" t="inlineStr">
        <is>
          <t>SKODA</t>
        </is>
      </c>
      <c r="F843" s="7" t="inlineStr">
        <is>
          <t>Fiesta</t>
        </is>
      </c>
      <c r="G843" s="7" t="inlineStr">
        <is>
          <t>GOPI NAGARAJU</t>
        </is>
      </c>
      <c r="H843" s="7" t="inlineStr">
        <is>
          <t>Non-Captive</t>
        </is>
      </c>
      <c r="I843" s="7" t="inlineStr">
        <is>
          <t>Devarapalli Avinash</t>
        </is>
      </c>
      <c r="J843" s="8" t="n">
        <v>2012</v>
      </c>
      <c r="K843" s="9" t="n">
        <v>188710</v>
      </c>
      <c r="L843" s="10" t="n">
        <v>90000</v>
      </c>
      <c r="M843" s="10" t="n">
        <v>5932.2</v>
      </c>
      <c r="N843" s="11">
        <f>IF(M843="","",ROUND(M843*1.18,2))</f>
        <v/>
      </c>
      <c r="O843" s="12">
        <f>IF(M843="","",ROUND(N843-M843,2))</f>
        <v/>
      </c>
      <c r="P843" s="13">
        <f>IF(AND(A843&lt;&gt;"",B843&lt;&gt;""), A843&amp;" · "&amp;B843, "")</f>
        <v/>
      </c>
    </row>
    <row r="844">
      <c r="A844" s="6" t="inlineStr">
        <is>
          <t>FY26</t>
        </is>
      </c>
      <c r="B844" s="6" t="inlineStr">
        <is>
          <t>Mar</t>
        </is>
      </c>
      <c r="C844" s="6" t="inlineStr">
        <is>
          <t>AP/TS</t>
        </is>
      </c>
      <c r="D844" s="7" t="inlineStr">
        <is>
          <t>AP16CG0018</t>
        </is>
      </c>
      <c r="E844" s="7" t="inlineStr">
        <is>
          <t>MARUTI SUZUKI</t>
        </is>
      </c>
      <c r="F844" s="7" t="inlineStr">
        <is>
          <t>Ritz</t>
        </is>
      </c>
      <c r="G844" s="7" t="inlineStr">
        <is>
          <t>T SRINIVAS</t>
        </is>
      </c>
      <c r="H844" s="7" t="inlineStr">
        <is>
          <t>Non-Captive</t>
        </is>
      </c>
      <c r="I844" s="7" t="inlineStr">
        <is>
          <t>Basavaraju Ratna Suresh</t>
        </is>
      </c>
      <c r="J844" s="8" t="n">
        <v>2013</v>
      </c>
      <c r="K844" s="9" t="n">
        <v>196300</v>
      </c>
      <c r="L844" s="10" t="n">
        <v>90000</v>
      </c>
      <c r="M844" s="10" t="n">
        <v>5932.2</v>
      </c>
      <c r="N844" s="11">
        <f>IF(M844="","",ROUND(M844*1.18,2))</f>
        <v/>
      </c>
      <c r="O844" s="12">
        <f>IF(M844="","",ROUND(N844-M844,2))</f>
        <v/>
      </c>
      <c r="P844" s="13">
        <f>IF(AND(A844&lt;&gt;"",B844&lt;&gt;""), A844&amp;" · "&amp;B844, "")</f>
        <v/>
      </c>
    </row>
    <row r="845">
      <c r="A845" s="6" t="inlineStr">
        <is>
          <t>FY26</t>
        </is>
      </c>
      <c r="B845" s="6" t="inlineStr">
        <is>
          <t>Mar</t>
        </is>
      </c>
      <c r="C845" s="6" t="inlineStr">
        <is>
          <t>AP/TS</t>
        </is>
      </c>
      <c r="D845" s="7" t="inlineStr">
        <is>
          <t>AP16CH7477</t>
        </is>
      </c>
      <c r="E845" s="7" t="inlineStr">
        <is>
          <t>RENAULT</t>
        </is>
      </c>
      <c r="F845" s="7" t="inlineStr">
        <is>
          <t>Scala</t>
        </is>
      </c>
      <c r="G845" s="7" t="inlineStr">
        <is>
          <t>T SRINIVAS</t>
        </is>
      </c>
      <c r="H845" s="7" t="inlineStr">
        <is>
          <t>Non-Captive</t>
        </is>
      </c>
      <c r="I845" s="7" t="inlineStr">
        <is>
          <t>Kallepalli Vimala</t>
        </is>
      </c>
      <c r="J845" s="8" t="n">
        <v>2012</v>
      </c>
      <c r="K845" s="9" t="n">
        <v>187357</v>
      </c>
      <c r="L845" s="10" t="n">
        <v>90000</v>
      </c>
      <c r="M845" s="10" t="n">
        <v>4237.29</v>
      </c>
      <c r="N845" s="11">
        <f>IF(M845="","",ROUND(M845*1.18,2))</f>
        <v/>
      </c>
      <c r="O845" s="12">
        <f>IF(M845="","",ROUND(N845-M845,2))</f>
        <v/>
      </c>
      <c r="P845" s="13">
        <f>IF(AND(A845&lt;&gt;"",B845&lt;&gt;""), A845&amp;" · "&amp;B845, "")</f>
        <v/>
      </c>
    </row>
    <row r="846">
      <c r="A846" s="6" t="inlineStr">
        <is>
          <t>FY26</t>
        </is>
      </c>
      <c r="B846" s="6" t="inlineStr">
        <is>
          <t>Mar</t>
        </is>
      </c>
      <c r="C846" s="6" t="inlineStr">
        <is>
          <t>AP/TS</t>
        </is>
      </c>
      <c r="D846" s="7" t="inlineStr">
        <is>
          <t>AP16CW0111</t>
        </is>
      </c>
      <c r="E846" s="7" t="inlineStr">
        <is>
          <t>HYUNDAI</t>
        </is>
      </c>
      <c r="F846" s="7" t="inlineStr">
        <is>
          <t>Verna</t>
        </is>
      </c>
      <c r="G846" s="7" t="inlineStr">
        <is>
          <t>DEVARAPALLI AVINASH</t>
        </is>
      </c>
      <c r="H846" s="7" t="inlineStr">
        <is>
          <t>Non-Captive</t>
        </is>
      </c>
      <c r="I846" s="7" t="inlineStr">
        <is>
          <t>Chittibomma Srinivasa Rao</t>
        </is>
      </c>
      <c r="J846" s="8" t="n">
        <v>2014</v>
      </c>
      <c r="K846" s="9" t="n">
        <v>245621</v>
      </c>
      <c r="L846" s="10" t="n">
        <v>150000</v>
      </c>
      <c r="M846" s="10" t="n">
        <v>2542.37</v>
      </c>
      <c r="N846" s="11">
        <f>IF(M846="","",ROUND(M846*1.18,2))</f>
        <v/>
      </c>
      <c r="O846" s="12">
        <f>IF(M846="","",ROUND(N846-M846,2))</f>
        <v/>
      </c>
      <c r="P846" s="13">
        <f>IF(AND(A846&lt;&gt;"",B846&lt;&gt;""), A846&amp;" · "&amp;B846, "")</f>
        <v/>
      </c>
    </row>
    <row r="847">
      <c r="A847" s="6" t="inlineStr">
        <is>
          <t>FY26</t>
        </is>
      </c>
      <c r="B847" s="6" t="inlineStr">
        <is>
          <t>Mar</t>
        </is>
      </c>
      <c r="C847" s="6" t="inlineStr">
        <is>
          <t>AP/TS</t>
        </is>
      </c>
      <c r="D847" s="7" t="inlineStr">
        <is>
          <t>AP16CZ6606</t>
        </is>
      </c>
      <c r="E847" s="7" t="inlineStr">
        <is>
          <t>HONDA</t>
        </is>
      </c>
      <c r="F847" s="7" t="inlineStr">
        <is>
          <t>Brio</t>
        </is>
      </c>
      <c r="G847" s="7" t="inlineStr">
        <is>
          <t>T SRINIVAS</t>
        </is>
      </c>
      <c r="H847" s="7" t="inlineStr">
        <is>
          <t>Non-Captive</t>
        </is>
      </c>
      <c r="I847" s="7" t="inlineStr">
        <is>
          <t>Koppuravuri Srinivasa Rao</t>
        </is>
      </c>
      <c r="J847" s="8" t="n">
        <v>2015</v>
      </c>
      <c r="K847" s="9" t="n">
        <v>171756</v>
      </c>
      <c r="L847" s="10" t="n">
        <v>95000</v>
      </c>
      <c r="M847" s="10" t="n">
        <v>4237.29</v>
      </c>
      <c r="N847" s="11">
        <f>IF(M847="","",ROUND(M847*1.18,2))</f>
        <v/>
      </c>
      <c r="O847" s="12">
        <f>IF(M847="","",ROUND(N847-M847,2))</f>
        <v/>
      </c>
      <c r="P847" s="13">
        <f>IF(AND(A847&lt;&gt;"",B847&lt;&gt;""), A847&amp;" · "&amp;B847, "")</f>
        <v/>
      </c>
    </row>
    <row r="848">
      <c r="A848" s="6" t="inlineStr">
        <is>
          <t>FY26</t>
        </is>
      </c>
      <c r="B848" s="6" t="inlineStr">
        <is>
          <t>Mar</t>
        </is>
      </c>
      <c r="C848" s="6" t="inlineStr">
        <is>
          <t>AP/TS</t>
        </is>
      </c>
      <c r="D848" s="7" t="inlineStr">
        <is>
          <t>AP16DA5959</t>
        </is>
      </c>
      <c r="E848" s="7" t="inlineStr">
        <is>
          <t>HONDA</t>
        </is>
      </c>
      <c r="F848" s="7" t="inlineStr">
        <is>
          <t>City</t>
        </is>
      </c>
      <c r="G848" s="7" t="inlineStr">
        <is>
          <t>EXCHANGE VIJAYAWADA</t>
        </is>
      </c>
      <c r="H848" s="7" t="inlineStr">
        <is>
          <t>Captive</t>
        </is>
      </c>
      <c r="I848" s="7" t="inlineStr">
        <is>
          <t>Bhanu Chandar Singaraju</t>
        </is>
      </c>
      <c r="J848" s="8" t="n">
        <v>2015</v>
      </c>
      <c r="K848" s="9" t="n">
        <v>107260</v>
      </c>
      <c r="L848" s="10" t="n">
        <v>480000</v>
      </c>
      <c r="M848" s="10" t="n">
        <v>8474.58</v>
      </c>
      <c r="N848" s="11">
        <f>IF(M848="","",ROUND(M848*1.18,2))</f>
        <v/>
      </c>
      <c r="O848" s="12">
        <f>IF(M848="","",ROUND(N848-M848,2))</f>
        <v/>
      </c>
      <c r="P848" s="13">
        <f>IF(AND(A848&lt;&gt;"",B848&lt;&gt;""), A848&amp;" · "&amp;B848, "")</f>
        <v/>
      </c>
    </row>
    <row r="849">
      <c r="A849" s="6" t="inlineStr">
        <is>
          <t>FY26</t>
        </is>
      </c>
      <c r="B849" s="6" t="inlineStr">
        <is>
          <t>Mar</t>
        </is>
      </c>
      <c r="C849" s="6" t="inlineStr">
        <is>
          <t>AP/TS</t>
        </is>
      </c>
      <c r="D849" s="7" t="inlineStr">
        <is>
          <t>AP16EF3766</t>
        </is>
      </c>
      <c r="E849" s="7" t="inlineStr">
        <is>
          <t>HONDA</t>
        </is>
      </c>
      <c r="F849" s="7" t="inlineStr">
        <is>
          <t>Brio</t>
        </is>
      </c>
      <c r="G849" s="7" t="inlineStr">
        <is>
          <t>T SRINIVAS</t>
        </is>
      </c>
      <c r="H849" s="7" t="inlineStr">
        <is>
          <t>Non-Captive</t>
        </is>
      </c>
      <c r="I849" s="7" t="inlineStr">
        <is>
          <t>Mohammed Gouse Basha</t>
        </is>
      </c>
      <c r="J849" s="8" t="n">
        <v>2017</v>
      </c>
      <c r="K849" s="9" t="n">
        <v>166661</v>
      </c>
      <c r="L849" s="10" t="n">
        <v>126000</v>
      </c>
      <c r="M849" s="10" t="n">
        <v>5084.75</v>
      </c>
      <c r="N849" s="11">
        <f>IF(M849="","",ROUND(M849*1.18,2))</f>
        <v/>
      </c>
      <c r="O849" s="12">
        <f>IF(M849="","",ROUND(N849-M849,2))</f>
        <v/>
      </c>
      <c r="P849" s="13">
        <f>IF(AND(A849&lt;&gt;"",B849&lt;&gt;""), A849&amp;" · "&amp;B849, "")</f>
        <v/>
      </c>
    </row>
    <row r="850">
      <c r="A850" s="6" t="inlineStr">
        <is>
          <t>FY26</t>
        </is>
      </c>
      <c r="B850" s="6" t="inlineStr">
        <is>
          <t>Mar</t>
        </is>
      </c>
      <c r="C850" s="6" t="inlineStr">
        <is>
          <t>AP/TS</t>
        </is>
      </c>
      <c r="D850" s="7" t="inlineStr">
        <is>
          <t>AP16EF8699</t>
        </is>
      </c>
      <c r="E850" s="7" t="inlineStr">
        <is>
          <t>HONDA</t>
        </is>
      </c>
      <c r="F850" s="7" t="inlineStr">
        <is>
          <t>City</t>
        </is>
      </c>
      <c r="G850" s="7" t="inlineStr">
        <is>
          <t>EXCHANGE VIJAYAWADA</t>
        </is>
      </c>
      <c r="H850" s="7" t="inlineStr">
        <is>
          <t>Captive</t>
        </is>
      </c>
      <c r="I850" s="7" t="inlineStr">
        <is>
          <t>Koppuravuri Srinivasa Rao</t>
        </is>
      </c>
      <c r="J850" s="8" t="n">
        <v>2017</v>
      </c>
      <c r="K850" s="9" t="n">
        <v>95211</v>
      </c>
      <c r="L850" s="10" t="n">
        <v>450000</v>
      </c>
      <c r="M850" s="10" t="n">
        <v>12711.86</v>
      </c>
      <c r="N850" s="11">
        <f>IF(M850="","",ROUND(M850*1.18,2))</f>
        <v/>
      </c>
      <c r="O850" s="12">
        <f>IF(M850="","",ROUND(N850-M850,2))</f>
        <v/>
      </c>
      <c r="P850" s="13">
        <f>IF(AND(A850&lt;&gt;"",B850&lt;&gt;""), A850&amp;" · "&amp;B850, "")</f>
        <v/>
      </c>
    </row>
    <row r="851">
      <c r="A851" s="6" t="inlineStr">
        <is>
          <t>FY26</t>
        </is>
      </c>
      <c r="B851" s="6" t="inlineStr">
        <is>
          <t>Mar</t>
        </is>
      </c>
      <c r="C851" s="6" t="inlineStr">
        <is>
          <t>AP/TS</t>
        </is>
      </c>
      <c r="D851" s="7" t="inlineStr">
        <is>
          <t>AP16EX2796</t>
        </is>
      </c>
      <c r="E851" s="7" t="inlineStr">
        <is>
          <t>MARUTI SUZUKI</t>
        </is>
      </c>
      <c r="F851" s="7" t="inlineStr">
        <is>
          <t>Alto</t>
        </is>
      </c>
      <c r="G851" s="7" t="inlineStr">
        <is>
          <t>DEVARAPALLI AVINASH</t>
        </is>
      </c>
      <c r="H851" s="7" t="inlineStr">
        <is>
          <t>Non-Captive</t>
        </is>
      </c>
      <c r="I851" s="7" t="inlineStr">
        <is>
          <t>Naga Suresh Polukonda</t>
        </is>
      </c>
      <c r="J851" s="8" t="n">
        <v>2018</v>
      </c>
      <c r="K851" s="9" t="n">
        <v>144146</v>
      </c>
      <c r="L851" s="10" t="n">
        <v>150000</v>
      </c>
      <c r="M851" s="10" t="n">
        <v>2542.37</v>
      </c>
      <c r="N851" s="11">
        <f>IF(M851="","",ROUND(M851*1.18,2))</f>
        <v/>
      </c>
      <c r="O851" s="12">
        <f>IF(M851="","",ROUND(N851-M851,2))</f>
        <v/>
      </c>
      <c r="P851" s="13">
        <f>IF(AND(A851&lt;&gt;"",B851&lt;&gt;""), A851&amp;" · "&amp;B851, "")</f>
        <v/>
      </c>
    </row>
    <row r="852">
      <c r="A852" s="6" t="inlineStr">
        <is>
          <t>FY26</t>
        </is>
      </c>
      <c r="B852" s="6" t="inlineStr">
        <is>
          <t>Mar</t>
        </is>
      </c>
      <c r="C852" s="6" t="inlineStr">
        <is>
          <t>AP/TS</t>
        </is>
      </c>
      <c r="D852" s="7" t="inlineStr">
        <is>
          <t>AP16FB8659</t>
        </is>
      </c>
      <c r="E852" s="7" t="inlineStr">
        <is>
          <t>HONDA</t>
        </is>
      </c>
      <c r="F852" s="7" t="inlineStr">
        <is>
          <t>City</t>
        </is>
      </c>
      <c r="G852" s="7" t="inlineStr">
        <is>
          <t>EXCHANGE VIJAYAWADA</t>
        </is>
      </c>
      <c r="H852" s="7" t="inlineStr">
        <is>
          <t>Captive</t>
        </is>
      </c>
      <c r="I852" s="7" t="inlineStr">
        <is>
          <t>Basavaraju Ratna Suresh</t>
        </is>
      </c>
      <c r="J852" s="8" t="n">
        <v>2018</v>
      </c>
      <c r="K852" s="9" t="n">
        <v>68012</v>
      </c>
      <c r="L852" s="10" t="n">
        <v>456500</v>
      </c>
      <c r="M852" s="10" t="n">
        <v>5508.47</v>
      </c>
      <c r="N852" s="11">
        <f>IF(M852="","",ROUND(M852*1.18,2))</f>
        <v/>
      </c>
      <c r="O852" s="12">
        <f>IF(M852="","",ROUND(N852-M852,2))</f>
        <v/>
      </c>
      <c r="P852" s="13">
        <f>IF(AND(A852&lt;&gt;"",B852&lt;&gt;""), A852&amp;" · "&amp;B852, "")</f>
        <v/>
      </c>
    </row>
    <row r="853">
      <c r="A853" s="6" t="inlineStr">
        <is>
          <t>FY26</t>
        </is>
      </c>
      <c r="B853" s="6" t="inlineStr">
        <is>
          <t>Mar</t>
        </is>
      </c>
      <c r="C853" s="6" t="inlineStr">
        <is>
          <t>AP/TS</t>
        </is>
      </c>
      <c r="D853" s="7" t="inlineStr">
        <is>
          <t>AP16FC7259</t>
        </is>
      </c>
      <c r="E853" s="7" t="inlineStr">
        <is>
          <t>HONDA</t>
        </is>
      </c>
      <c r="F853" s="7" t="inlineStr">
        <is>
          <t>WR-V</t>
        </is>
      </c>
      <c r="G853" s="7" t="inlineStr">
        <is>
          <t>EXCHANGE VIJAYAWADA</t>
        </is>
      </c>
      <c r="H853" s="7" t="inlineStr">
        <is>
          <t>Captive</t>
        </is>
      </c>
      <c r="I853" s="7" t="inlineStr">
        <is>
          <t>Mohammed Gouse Basha</t>
        </is>
      </c>
      <c r="J853" s="8" t="n">
        <v>2018</v>
      </c>
      <c r="K853" s="9" t="n">
        <v>89824</v>
      </c>
      <c r="L853" s="10" t="n">
        <v>495900</v>
      </c>
      <c r="M853" s="10" t="n">
        <v>5000</v>
      </c>
      <c r="N853" s="11">
        <f>IF(M853="","",ROUND(M853*1.18,2))</f>
        <v/>
      </c>
      <c r="O853" s="12">
        <f>IF(M853="","",ROUND(N853-M853,2))</f>
        <v/>
      </c>
      <c r="P853" s="13">
        <f>IF(AND(A853&lt;&gt;"",B853&lt;&gt;""), A853&amp;" · "&amp;B853, "")</f>
        <v/>
      </c>
    </row>
    <row r="854">
      <c r="A854" s="6" t="inlineStr">
        <is>
          <t>FY26</t>
        </is>
      </c>
      <c r="B854" s="6" t="inlineStr">
        <is>
          <t>Mar</t>
        </is>
      </c>
      <c r="C854" s="6" t="inlineStr">
        <is>
          <t>AP/TS</t>
        </is>
      </c>
      <c r="D854" s="7" t="inlineStr">
        <is>
          <t>AP16FJ9599</t>
        </is>
      </c>
      <c r="E854" s="7" t="inlineStr">
        <is>
          <t>HONDA</t>
        </is>
      </c>
      <c r="F854" s="7" t="inlineStr">
        <is>
          <t>City</t>
        </is>
      </c>
      <c r="G854" s="7" t="inlineStr">
        <is>
          <t>EXCHANGE VIJAYAWADA</t>
        </is>
      </c>
      <c r="H854" s="7" t="inlineStr">
        <is>
          <t>Captive</t>
        </is>
      </c>
      <c r="I854" s="7" t="inlineStr">
        <is>
          <t>Kallepalli Vimala</t>
        </is>
      </c>
      <c r="J854" s="8" t="n">
        <v>2018</v>
      </c>
      <c r="K854" s="9" t="n">
        <v>190815</v>
      </c>
      <c r="L854" s="10" t="n">
        <v>340000</v>
      </c>
      <c r="M854" s="10" t="n">
        <v>8474.58</v>
      </c>
      <c r="N854" s="11">
        <f>IF(M854="","",ROUND(M854*1.18,2))</f>
        <v/>
      </c>
      <c r="O854" s="12">
        <f>IF(M854="","",ROUND(N854-M854,2))</f>
        <v/>
      </c>
      <c r="P854" s="13">
        <f>IF(AND(A854&lt;&gt;"",B854&lt;&gt;""), A854&amp;" · "&amp;B854, "")</f>
        <v/>
      </c>
    </row>
    <row r="855">
      <c r="A855" s="6" t="inlineStr">
        <is>
          <t>FY26</t>
        </is>
      </c>
      <c r="B855" s="6" t="inlineStr">
        <is>
          <t>Mar</t>
        </is>
      </c>
      <c r="C855" s="6" t="inlineStr">
        <is>
          <t>AP/TS</t>
        </is>
      </c>
      <c r="D855" s="7" t="inlineStr">
        <is>
          <t>AP20AM4567</t>
        </is>
      </c>
      <c r="E855" s="7" t="inlineStr">
        <is>
          <t>SKODA</t>
        </is>
      </c>
      <c r="F855" s="7" t="inlineStr">
        <is>
          <t>Rapid</t>
        </is>
      </c>
      <c r="G855" s="7" t="inlineStr">
        <is>
          <t>DEVARAPALLI AVINASH</t>
        </is>
      </c>
      <c r="H855" s="7" t="inlineStr">
        <is>
          <t>Non-Captive</t>
        </is>
      </c>
      <c r="I855" s="7" t="inlineStr">
        <is>
          <t>Gopi Nagaraju</t>
        </is>
      </c>
      <c r="J855" s="8" t="n">
        <v>2012</v>
      </c>
      <c r="K855" s="9" t="n">
        <v>212411</v>
      </c>
      <c r="L855" s="10" t="n">
        <v>150000</v>
      </c>
      <c r="M855" s="10" t="n">
        <v>2542.37</v>
      </c>
      <c r="N855" s="11">
        <f>IF(M855="","",ROUND(M855*1.18,2))</f>
        <v/>
      </c>
      <c r="O855" s="12">
        <f>IF(M855="","",ROUND(N855-M855,2))</f>
        <v/>
      </c>
      <c r="P855" s="13">
        <f>IF(AND(A855&lt;&gt;"",B855&lt;&gt;""), A855&amp;" · "&amp;B855, "")</f>
        <v/>
      </c>
    </row>
    <row r="856">
      <c r="A856" s="6" t="inlineStr">
        <is>
          <t>FY26</t>
        </is>
      </c>
      <c r="B856" s="6" t="inlineStr">
        <is>
          <t>Mar</t>
        </is>
      </c>
      <c r="C856" s="6" t="inlineStr">
        <is>
          <t>AP/TS</t>
        </is>
      </c>
      <c r="D856" s="7" t="inlineStr">
        <is>
          <t>AP21AQ0055</t>
        </is>
      </c>
      <c r="E856" s="7" t="inlineStr">
        <is>
          <t>HYUNDAI</t>
        </is>
      </c>
      <c r="F856" s="7" t="inlineStr">
        <is>
          <t>i10</t>
        </is>
      </c>
      <c r="G856" s="7" t="inlineStr">
        <is>
          <t>T SRINIVAS</t>
        </is>
      </c>
      <c r="H856" s="7" t="inlineStr">
        <is>
          <t>Non-Captive</t>
        </is>
      </c>
      <c r="I856" s="7" t="inlineStr">
        <is>
          <t>Kallepalli Vimala</t>
        </is>
      </c>
      <c r="J856" s="8" t="n">
        <v>2012</v>
      </c>
      <c r="K856" s="9" t="n">
        <v>166051</v>
      </c>
      <c r="L856" s="10" t="n">
        <v>85000</v>
      </c>
      <c r="M856" s="10" t="n">
        <v>4237.29</v>
      </c>
      <c r="N856" s="11">
        <f>IF(M856="","",ROUND(M856*1.18,2))</f>
        <v/>
      </c>
      <c r="O856" s="12">
        <f>IF(M856="","",ROUND(N856-M856,2))</f>
        <v/>
      </c>
      <c r="P856" s="13">
        <f>IF(AND(A856&lt;&gt;"",B856&lt;&gt;""), A856&amp;" · "&amp;B856, "")</f>
        <v/>
      </c>
    </row>
    <row r="857">
      <c r="A857" s="6" t="inlineStr">
        <is>
          <t>FY26</t>
        </is>
      </c>
      <c r="B857" s="6" t="inlineStr">
        <is>
          <t>Mar</t>
        </is>
      </c>
      <c r="C857" s="6" t="inlineStr">
        <is>
          <t>AP/TS</t>
        </is>
      </c>
      <c r="D857" s="7" t="inlineStr">
        <is>
          <t>AP28BL5824</t>
        </is>
      </c>
      <c r="E857" s="7" t="inlineStr">
        <is>
          <t>CHEVROLET</t>
        </is>
      </c>
      <c r="F857" s="7" t="inlineStr">
        <is>
          <t>Spark</t>
        </is>
      </c>
      <c r="G857" s="7" t="inlineStr">
        <is>
          <t>EXCHANGE HYDERABAD</t>
        </is>
      </c>
      <c r="H857" s="7" t="inlineStr">
        <is>
          <t>Captive</t>
        </is>
      </c>
      <c r="I857" s="7" t="inlineStr">
        <is>
          <t>Prabjyoth Singh Wasu</t>
        </is>
      </c>
      <c r="J857" s="8" t="n">
        <v>2009</v>
      </c>
      <c r="K857" s="9" t="n">
        <v>79895</v>
      </c>
      <c r="L857" s="10" t="n">
        <v>40000</v>
      </c>
      <c r="M857" s="10" t="n">
        <v>12711.86</v>
      </c>
      <c r="N857" s="11">
        <f>IF(M857="","",ROUND(M857*1.18,2))</f>
        <v/>
      </c>
      <c r="O857" s="12">
        <f>IF(M857="","",ROUND(N857-M857,2))</f>
        <v/>
      </c>
      <c r="P857" s="13">
        <f>IF(AND(A857&lt;&gt;"",B857&lt;&gt;""), A857&amp;" · "&amp;B857, "")</f>
        <v/>
      </c>
    </row>
    <row r="858">
      <c r="A858" s="6" t="inlineStr">
        <is>
          <t>FY26</t>
        </is>
      </c>
      <c r="B858" s="6" t="inlineStr">
        <is>
          <t>Mar</t>
        </is>
      </c>
      <c r="C858" s="6" t="inlineStr">
        <is>
          <t>AP/TS</t>
        </is>
      </c>
      <c r="D858" s="7" t="inlineStr">
        <is>
          <t>AP28BW7475</t>
        </is>
      </c>
      <c r="E858" s="7" t="inlineStr">
        <is>
          <t>HYUNDAI</t>
        </is>
      </c>
      <c r="F858" s="7" t="inlineStr">
        <is>
          <t>i20</t>
        </is>
      </c>
      <c r="G858" s="7" t="inlineStr">
        <is>
          <t>PUNEET GUPTA</t>
        </is>
      </c>
      <c r="H858" s="7" t="inlineStr">
        <is>
          <t>Non-Captive</t>
        </is>
      </c>
      <c r="I858" s="7" t="inlineStr">
        <is>
          <t>Gorenka Vinay Shravan</t>
        </is>
      </c>
      <c r="J858" s="8" t="n">
        <v>2013</v>
      </c>
      <c r="K858" s="9" t="n">
        <v>177805</v>
      </c>
      <c r="L858" s="10" t="n">
        <v>200000</v>
      </c>
      <c r="M858" s="10" t="n">
        <v>2118.64</v>
      </c>
      <c r="N858" s="11">
        <f>IF(M858="","",ROUND(M858*1.18,2))</f>
        <v/>
      </c>
      <c r="O858" s="12">
        <f>IF(M858="","",ROUND(N858-M858,2))</f>
        <v/>
      </c>
      <c r="P858" s="13">
        <f>IF(AND(A858&lt;&gt;"",B858&lt;&gt;""), A858&amp;" · "&amp;B858, "")</f>
        <v/>
      </c>
    </row>
    <row r="859">
      <c r="A859" s="6" t="inlineStr">
        <is>
          <t>FY26</t>
        </is>
      </c>
      <c r="B859" s="6" t="inlineStr">
        <is>
          <t>Mar</t>
        </is>
      </c>
      <c r="C859" s="6" t="inlineStr">
        <is>
          <t>AP/TS</t>
        </is>
      </c>
      <c r="D859" s="7" t="inlineStr">
        <is>
          <t>AP28DS6201</t>
        </is>
      </c>
      <c r="E859" s="7" t="inlineStr">
        <is>
          <t>HYUNDAI</t>
        </is>
      </c>
      <c r="F859" s="7" t="inlineStr">
        <is>
          <t>i10</t>
        </is>
      </c>
      <c r="G859" s="7" t="inlineStr">
        <is>
          <t>PUNEET GUPTA</t>
        </is>
      </c>
      <c r="H859" s="7" t="inlineStr">
        <is>
          <t>Non-Captive</t>
        </is>
      </c>
      <c r="I859" s="7" t="inlineStr">
        <is>
          <t>Katikala Jathin Sai</t>
        </is>
      </c>
      <c r="J859" s="8" t="n">
        <v>2012</v>
      </c>
      <c r="K859" s="9" t="n">
        <v>170400</v>
      </c>
      <c r="L859" s="10" t="n">
        <v>85000</v>
      </c>
      <c r="M859" s="10" t="n">
        <v>4237.29</v>
      </c>
      <c r="N859" s="11">
        <f>IF(M859="","",ROUND(M859*1.18,2))</f>
        <v/>
      </c>
      <c r="O859" s="12">
        <f>IF(M859="","",ROUND(N859-M859,2))</f>
        <v/>
      </c>
      <c r="P859" s="13">
        <f>IF(AND(A859&lt;&gt;"",B859&lt;&gt;""), A859&amp;" · "&amp;B859, "")</f>
        <v/>
      </c>
    </row>
    <row r="860">
      <c r="A860" s="6" t="inlineStr">
        <is>
          <t>FY26</t>
        </is>
      </c>
      <c r="B860" s="6" t="inlineStr">
        <is>
          <t>Mar</t>
        </is>
      </c>
      <c r="C860" s="6" t="inlineStr">
        <is>
          <t>AP/TS</t>
        </is>
      </c>
      <c r="D860" s="7" t="inlineStr">
        <is>
          <t>AP28DX7899</t>
        </is>
      </c>
      <c r="E860" s="7" t="inlineStr">
        <is>
          <t>HONDA</t>
        </is>
      </c>
      <c r="F860" s="7" t="inlineStr">
        <is>
          <t>City</t>
        </is>
      </c>
      <c r="G860" s="7" t="inlineStr">
        <is>
          <t>T SRINIVAS</t>
        </is>
      </c>
      <c r="H860" s="7" t="inlineStr">
        <is>
          <t>Non-Captive</t>
        </is>
      </c>
      <c r="I860" s="7" t="inlineStr">
        <is>
          <t>Koppuravuri Srinivasa Rao</t>
        </is>
      </c>
      <c r="J860" s="8" t="n">
        <v>2014</v>
      </c>
      <c r="K860" s="9" t="n">
        <v>289225</v>
      </c>
      <c r="L860" s="10" t="n">
        <v>95000</v>
      </c>
      <c r="M860" s="10" t="n">
        <v>4237.29</v>
      </c>
      <c r="N860" s="11">
        <f>IF(M860="","",ROUND(M860*1.18,2))</f>
        <v/>
      </c>
      <c r="O860" s="12">
        <f>IF(M860="","",ROUND(N860-M860,2))</f>
        <v/>
      </c>
      <c r="P860" s="13">
        <f>IF(AND(A860&lt;&gt;"",B860&lt;&gt;""), A860&amp;" · "&amp;B860, "")</f>
        <v/>
      </c>
    </row>
    <row r="861">
      <c r="A861" s="6" t="inlineStr">
        <is>
          <t>FY26</t>
        </is>
      </c>
      <c r="B861" s="6" t="inlineStr">
        <is>
          <t>Mar</t>
        </is>
      </c>
      <c r="C861" s="6" t="inlineStr">
        <is>
          <t>AP/TS</t>
        </is>
      </c>
      <c r="D861" s="7" t="inlineStr">
        <is>
          <t>AP29CA0567</t>
        </is>
      </c>
      <c r="E861" s="7" t="inlineStr">
        <is>
          <t>HONDA</t>
        </is>
      </c>
      <c r="F861" s="7" t="inlineStr">
        <is>
          <t>Amaze</t>
        </is>
      </c>
      <c r="G861" s="7" t="inlineStr">
        <is>
          <t>ODAPALLY SANDEEP</t>
        </is>
      </c>
      <c r="H861" s="7" t="inlineStr">
        <is>
          <t>Non-Captive</t>
        </is>
      </c>
      <c r="I861" s="7" t="inlineStr">
        <is>
          <t>Nakka Shiva Shanker</t>
        </is>
      </c>
      <c r="J861" s="8" t="n">
        <v>2013</v>
      </c>
      <c r="K861" s="9" t="n">
        <v>189152</v>
      </c>
      <c r="L861" s="10" t="n">
        <v>95000</v>
      </c>
      <c r="M861" s="10" t="n">
        <v>4237.29</v>
      </c>
      <c r="N861" s="11">
        <f>IF(M861="","",ROUND(M861*1.18,2))</f>
        <v/>
      </c>
      <c r="O861" s="12">
        <f>IF(M861="","",ROUND(N861-M861,2))</f>
        <v/>
      </c>
      <c r="P861" s="13">
        <f>IF(AND(A861&lt;&gt;"",B861&lt;&gt;""), A861&amp;" · "&amp;B861, "")</f>
        <v/>
      </c>
    </row>
    <row r="862">
      <c r="A862" s="6" t="inlineStr">
        <is>
          <t>FY26</t>
        </is>
      </c>
      <c r="B862" s="6" t="inlineStr">
        <is>
          <t>Mar</t>
        </is>
      </c>
      <c r="C862" s="6" t="inlineStr">
        <is>
          <t>AP/TS</t>
        </is>
      </c>
      <c r="D862" s="7" t="inlineStr">
        <is>
          <t>AP31AC9019</t>
        </is>
      </c>
      <c r="E862" s="7" t="inlineStr">
        <is>
          <t>TATA</t>
        </is>
      </c>
      <c r="F862" s="7" t="inlineStr">
        <is>
          <t>Indigo</t>
        </is>
      </c>
      <c r="G862" s="7" t="inlineStr">
        <is>
          <t>B VENKATA RAO</t>
        </is>
      </c>
      <c r="H862" s="7" t="inlineStr">
        <is>
          <t>Non-Captive</t>
        </is>
      </c>
      <c r="I862" s="7" t="inlineStr">
        <is>
          <t>Kesireddy Saikiran</t>
        </is>
      </c>
      <c r="J862" s="8" t="n">
        <v>2003</v>
      </c>
      <c r="K862" s="9" t="n">
        <v>145549</v>
      </c>
      <c r="L862" s="10" t="n">
        <v>35000</v>
      </c>
      <c r="M862" s="10" t="n">
        <v>4237.29</v>
      </c>
      <c r="N862" s="11">
        <f>IF(M862="","",ROUND(M862*1.18,2))</f>
        <v/>
      </c>
      <c r="O862" s="12">
        <f>IF(M862="","",ROUND(N862-M862,2))</f>
        <v/>
      </c>
      <c r="P862" s="13">
        <f>IF(AND(A862&lt;&gt;"",B862&lt;&gt;""), A862&amp;" · "&amp;B862, "")</f>
        <v/>
      </c>
    </row>
    <row r="863">
      <c r="A863" s="6" t="inlineStr">
        <is>
          <t>FY26</t>
        </is>
      </c>
      <c r="B863" s="6" t="inlineStr">
        <is>
          <t>Mar</t>
        </is>
      </c>
      <c r="C863" s="6" t="inlineStr">
        <is>
          <t>AP/TS</t>
        </is>
      </c>
      <c r="D863" s="7" t="inlineStr">
        <is>
          <t>AP31AJ0003</t>
        </is>
      </c>
      <c r="E863" s="7" t="inlineStr">
        <is>
          <t>HONDA</t>
        </is>
      </c>
      <c r="F863" s="7" t="inlineStr">
        <is>
          <t>City</t>
        </is>
      </c>
      <c r="G863" s="7" t="inlineStr">
        <is>
          <t>AVAALA RAJU</t>
        </is>
      </c>
      <c r="H863" s="7" t="inlineStr">
        <is>
          <t>Non-Captive</t>
        </is>
      </c>
      <c r="I863" s="7" t="inlineStr">
        <is>
          <t>Kaki Dinesh Kumar</t>
        </is>
      </c>
      <c r="J863" s="8" t="n">
        <v>2005</v>
      </c>
      <c r="K863" s="9" t="n">
        <v>235147</v>
      </c>
      <c r="L863" s="10" t="n">
        <v>30000</v>
      </c>
      <c r="M863" s="10" t="n">
        <v>2118.64</v>
      </c>
      <c r="N863" s="11">
        <f>IF(M863="","",ROUND(M863*1.18,2))</f>
        <v/>
      </c>
      <c r="O863" s="12">
        <f>IF(M863="","",ROUND(N863-M863,2))</f>
        <v/>
      </c>
      <c r="P863" s="13">
        <f>IF(AND(A863&lt;&gt;"",B863&lt;&gt;""), A863&amp;" · "&amp;B863, "")</f>
        <v/>
      </c>
    </row>
    <row r="864">
      <c r="A864" s="6" t="inlineStr">
        <is>
          <t>FY26</t>
        </is>
      </c>
      <c r="B864" s="6" t="inlineStr">
        <is>
          <t>Mar</t>
        </is>
      </c>
      <c r="C864" s="6" t="inlineStr">
        <is>
          <t>AP/TS</t>
        </is>
      </c>
      <c r="D864" s="7" t="inlineStr">
        <is>
          <t>AP31BE5857</t>
        </is>
      </c>
      <c r="E864" s="7" t="inlineStr">
        <is>
          <t>CHEVROLET</t>
        </is>
      </c>
      <c r="F864" s="7" t="inlineStr">
        <is>
          <t>Spark</t>
        </is>
      </c>
      <c r="G864" s="7" t="inlineStr">
        <is>
          <t>AVAALA RAJU</t>
        </is>
      </c>
      <c r="H864" s="7" t="inlineStr">
        <is>
          <t>Non-Captive</t>
        </is>
      </c>
      <c r="I864" s="7" t="inlineStr">
        <is>
          <t>Kaki Dinesh Kumar</t>
        </is>
      </c>
      <c r="J864" s="8" t="n">
        <v>2009</v>
      </c>
      <c r="K864" s="9" t="n">
        <v>193572</v>
      </c>
      <c r="L864" s="10" t="n">
        <v>30000</v>
      </c>
      <c r="M864" s="10" t="n">
        <v>2118.64</v>
      </c>
      <c r="N864" s="11">
        <f>IF(M864="","",ROUND(M864*1.18,2))</f>
        <v/>
      </c>
      <c r="O864" s="12">
        <f>IF(M864="","",ROUND(N864-M864,2))</f>
        <v/>
      </c>
      <c r="P864" s="13">
        <f>IF(AND(A864&lt;&gt;"",B864&lt;&gt;""), A864&amp;" · "&amp;B864, "")</f>
        <v/>
      </c>
    </row>
    <row r="865">
      <c r="A865" s="6" t="inlineStr">
        <is>
          <t>FY26</t>
        </is>
      </c>
      <c r="B865" s="6" t="inlineStr">
        <is>
          <t>Mar</t>
        </is>
      </c>
      <c r="C865" s="6" t="inlineStr">
        <is>
          <t>AP/TS</t>
        </is>
      </c>
      <c r="D865" s="7" t="inlineStr">
        <is>
          <t>AP31BH0415</t>
        </is>
      </c>
      <c r="E865" s="7" t="inlineStr">
        <is>
          <t>HONDA</t>
        </is>
      </c>
      <c r="F865" s="7" t="inlineStr">
        <is>
          <t>City</t>
        </is>
      </c>
      <c r="G865" s="7" t="inlineStr">
        <is>
          <t>T SRINIVAS</t>
        </is>
      </c>
      <c r="H865" s="7" t="inlineStr">
        <is>
          <t>Non-Captive</t>
        </is>
      </c>
      <c r="I865" s="7" t="inlineStr">
        <is>
          <t>Guthi Ravi Krishna</t>
        </is>
      </c>
      <c r="J865" s="8" t="n">
        <v>2010</v>
      </c>
      <c r="K865" s="9" t="n">
        <v>177121</v>
      </c>
      <c r="L865" s="10" t="n">
        <v>150000</v>
      </c>
      <c r="M865" s="10" t="n">
        <v>5084.75</v>
      </c>
      <c r="N865" s="11">
        <f>IF(M865="","",ROUND(M865*1.18,2))</f>
        <v/>
      </c>
      <c r="O865" s="12">
        <f>IF(M865="","",ROUND(N865-M865,2))</f>
        <v/>
      </c>
      <c r="P865" s="13">
        <f>IF(AND(A865&lt;&gt;"",B865&lt;&gt;""), A865&amp;" · "&amp;B865, "")</f>
        <v/>
      </c>
    </row>
    <row r="866">
      <c r="A866" s="6" t="inlineStr">
        <is>
          <t>FY26</t>
        </is>
      </c>
      <c r="B866" s="6" t="inlineStr">
        <is>
          <t>Mar</t>
        </is>
      </c>
      <c r="C866" s="6" t="inlineStr">
        <is>
          <t>AP/TS</t>
        </is>
      </c>
      <c r="D866" s="7" t="inlineStr">
        <is>
          <t>AP31CC9919</t>
        </is>
      </c>
      <c r="E866" s="7" t="inlineStr">
        <is>
          <t>NISSAN</t>
        </is>
      </c>
      <c r="F866" s="7" t="inlineStr">
        <is>
          <t>Sunny</t>
        </is>
      </c>
      <c r="G866" s="7" t="inlineStr">
        <is>
          <t>EXCHANGE VIZAG</t>
        </is>
      </c>
      <c r="H866" s="7" t="inlineStr">
        <is>
          <t>Captive</t>
        </is>
      </c>
      <c r="I866" s="7" t="inlineStr">
        <is>
          <t>Kesireddy Saikiran</t>
        </is>
      </c>
      <c r="J866" s="8" t="n">
        <v>2012</v>
      </c>
      <c r="K866" s="9" t="n">
        <v>136729</v>
      </c>
      <c r="L866" s="10" t="n">
        <v>125000</v>
      </c>
      <c r="M866" s="10" t="n">
        <v>12711.86</v>
      </c>
      <c r="N866" s="11">
        <f>IF(M866="","",ROUND(M866*1.18,2))</f>
        <v/>
      </c>
      <c r="O866" s="12">
        <f>IF(M866="","",ROUND(N866-M866,2))</f>
        <v/>
      </c>
      <c r="P866" s="13">
        <f>IF(AND(A866&lt;&gt;"",B866&lt;&gt;""), A866&amp;" · "&amp;B866, "")</f>
        <v/>
      </c>
    </row>
    <row r="867">
      <c r="A867" s="6" t="inlineStr">
        <is>
          <t>FY26</t>
        </is>
      </c>
      <c r="B867" s="6" t="inlineStr">
        <is>
          <t>Mar</t>
        </is>
      </c>
      <c r="C867" s="6" t="inlineStr">
        <is>
          <t>AP/TS</t>
        </is>
      </c>
      <c r="D867" s="7" t="inlineStr">
        <is>
          <t>AP31CP6091</t>
        </is>
      </c>
      <c r="E867" s="7" t="inlineStr">
        <is>
          <t>HONDA</t>
        </is>
      </c>
      <c r="F867" s="7" t="inlineStr">
        <is>
          <t>Brio</t>
        </is>
      </c>
      <c r="G867" s="7" t="inlineStr">
        <is>
          <t>EXCHANGE VIZAG</t>
        </is>
      </c>
      <c r="H867" s="7" t="inlineStr">
        <is>
          <t>Captive</t>
        </is>
      </c>
      <c r="I867" s="7" t="inlineStr">
        <is>
          <t>Gadi Sri Bharathi</t>
        </is>
      </c>
      <c r="J867" s="8" t="n">
        <v>2014</v>
      </c>
      <c r="K867" s="9" t="n">
        <v>53215</v>
      </c>
      <c r="L867" s="10" t="n">
        <v>212000</v>
      </c>
      <c r="M867" s="10" t="n">
        <v>10169.49</v>
      </c>
      <c r="N867" s="11">
        <f>IF(M867="","",ROUND(M867*1.18,2))</f>
        <v/>
      </c>
      <c r="O867" s="12">
        <f>IF(M867="","",ROUND(N867-M867,2))</f>
        <v/>
      </c>
      <c r="P867" s="13">
        <f>IF(AND(A867&lt;&gt;"",B867&lt;&gt;""), A867&amp;" · "&amp;B867, "")</f>
        <v/>
      </c>
    </row>
    <row r="868">
      <c r="A868" s="6" t="inlineStr">
        <is>
          <t>FY26</t>
        </is>
      </c>
      <c r="B868" s="6" t="inlineStr">
        <is>
          <t>Mar</t>
        </is>
      </c>
      <c r="C868" s="6" t="inlineStr">
        <is>
          <t>AP/TS</t>
        </is>
      </c>
      <c r="D868" s="7" t="inlineStr">
        <is>
          <t>AP31CW7558</t>
        </is>
      </c>
      <c r="E868" s="7" t="inlineStr">
        <is>
          <t>HYUNDAI</t>
        </is>
      </c>
      <c r="F868" s="7" t="inlineStr">
        <is>
          <t>Xcent</t>
        </is>
      </c>
      <c r="G868" s="7" t="inlineStr">
        <is>
          <t>EXCHANGE VIJAYAWADA</t>
        </is>
      </c>
      <c r="H868" s="7" t="inlineStr">
        <is>
          <t>Captive</t>
        </is>
      </c>
      <c r="I868" s="7" t="inlineStr">
        <is>
          <t>Tenali Srinivas</t>
        </is>
      </c>
      <c r="J868" s="8" t="n">
        <v>2015</v>
      </c>
      <c r="K868" s="9" t="n">
        <v>135504</v>
      </c>
      <c r="L868" s="10" t="n">
        <v>250000</v>
      </c>
      <c r="M868" s="10" t="n">
        <v>12711.86</v>
      </c>
      <c r="N868" s="11">
        <f>IF(M868="","",ROUND(M868*1.18,2))</f>
        <v/>
      </c>
      <c r="O868" s="12">
        <f>IF(M868="","",ROUND(N868-M868,2))</f>
        <v/>
      </c>
      <c r="P868" s="13">
        <f>IF(AND(A868&lt;&gt;"",B868&lt;&gt;""), A868&amp;" · "&amp;B868, "")</f>
        <v/>
      </c>
    </row>
    <row r="869">
      <c r="A869" s="6" t="inlineStr">
        <is>
          <t>FY26</t>
        </is>
      </c>
      <c r="B869" s="6" t="inlineStr">
        <is>
          <t>Mar</t>
        </is>
      </c>
      <c r="C869" s="6" t="inlineStr">
        <is>
          <t>AP/TS</t>
        </is>
      </c>
      <c r="D869" s="7" t="inlineStr">
        <is>
          <t>AP36AW4479</t>
        </is>
      </c>
      <c r="E869" s="7" t="inlineStr">
        <is>
          <t>HONDA</t>
        </is>
      </c>
      <c r="F869" s="7" t="inlineStr">
        <is>
          <t>Amaze</t>
        </is>
      </c>
      <c r="G869" s="7" t="inlineStr">
        <is>
          <t>T SRINIVAS</t>
        </is>
      </c>
      <c r="H869" s="7" t="inlineStr">
        <is>
          <t>Non-Captive</t>
        </is>
      </c>
      <c r="I869" s="7" t="inlineStr">
        <is>
          <t>Mohammed Gouse Basha</t>
        </is>
      </c>
      <c r="J869" s="8" t="n">
        <v>2013</v>
      </c>
      <c r="K869" s="9" t="n">
        <v>254376</v>
      </c>
      <c r="L869" s="10" t="n">
        <v>106000</v>
      </c>
      <c r="M869" s="10" t="n">
        <v>5084.75</v>
      </c>
      <c r="N869" s="11">
        <f>IF(M869="","",ROUND(M869*1.18,2))</f>
        <v/>
      </c>
      <c r="O869" s="12">
        <f>IF(M869="","",ROUND(N869-M869,2))</f>
        <v/>
      </c>
      <c r="P869" s="13">
        <f>IF(AND(A869&lt;&gt;"",B869&lt;&gt;""), A869&amp;" · "&amp;B869, "")</f>
        <v/>
      </c>
    </row>
    <row r="870">
      <c r="A870" s="6" t="inlineStr">
        <is>
          <t>FY26</t>
        </is>
      </c>
      <c r="B870" s="6" t="inlineStr">
        <is>
          <t>Mar</t>
        </is>
      </c>
      <c r="C870" s="6" t="inlineStr">
        <is>
          <t>AP/TS</t>
        </is>
      </c>
      <c r="D870" s="7" t="inlineStr">
        <is>
          <t>AP37AY5679</t>
        </is>
      </c>
      <c r="E870" s="7" t="inlineStr">
        <is>
          <t>HYUNDAI</t>
        </is>
      </c>
      <c r="F870" s="7" t="inlineStr">
        <is>
          <t>i10</t>
        </is>
      </c>
      <c r="G870" s="7" t="inlineStr">
        <is>
          <t>T SRINIVAS</t>
        </is>
      </c>
      <c r="H870" s="7" t="inlineStr">
        <is>
          <t>Non-Captive</t>
        </is>
      </c>
      <c r="I870" s="7" t="inlineStr">
        <is>
          <t>Mohammed Gouse Basha</t>
        </is>
      </c>
      <c r="J870" s="8" t="n">
        <v>2010</v>
      </c>
      <c r="K870" s="9" t="n">
        <v>156679</v>
      </c>
      <c r="L870" s="10" t="n">
        <v>96000</v>
      </c>
      <c r="M870" s="10" t="n">
        <v>5084.75</v>
      </c>
      <c r="N870" s="11">
        <f>IF(M870="","",ROUND(M870*1.18,2))</f>
        <v/>
      </c>
      <c r="O870" s="12">
        <f>IF(M870="","",ROUND(N870-M870,2))</f>
        <v/>
      </c>
      <c r="P870" s="13">
        <f>IF(AND(A870&lt;&gt;"",B870&lt;&gt;""), A870&amp;" · "&amp;B870, "")</f>
        <v/>
      </c>
    </row>
    <row r="871">
      <c r="A871" s="6" t="inlineStr">
        <is>
          <t>FY26</t>
        </is>
      </c>
      <c r="B871" s="6" t="inlineStr">
        <is>
          <t>Mar</t>
        </is>
      </c>
      <c r="C871" s="6" t="inlineStr">
        <is>
          <t>AP/TS</t>
        </is>
      </c>
      <c r="D871" s="7" t="inlineStr">
        <is>
          <t>AP37BJ0289</t>
        </is>
      </c>
      <c r="E871" s="7" t="inlineStr">
        <is>
          <t>TOYOTA</t>
        </is>
      </c>
      <c r="F871" s="7" t="inlineStr">
        <is>
          <t>Etios</t>
        </is>
      </c>
      <c r="G871" s="7" t="inlineStr">
        <is>
          <t>GOPI NAGARAJU</t>
        </is>
      </c>
      <c r="H871" s="7" t="inlineStr">
        <is>
          <t>Non-Captive</t>
        </is>
      </c>
      <c r="I871" s="7" t="inlineStr">
        <is>
          <t>Naga Suresh Polukonda</t>
        </is>
      </c>
      <c r="J871" s="8" t="n">
        <v>2011</v>
      </c>
      <c r="K871" s="9" t="n">
        <v>172519</v>
      </c>
      <c r="L871" s="10" t="n">
        <v>80000</v>
      </c>
      <c r="M871" s="10" t="n">
        <v>5084.75</v>
      </c>
      <c r="N871" s="11">
        <f>IF(M871="","",ROUND(M871*1.18,2))</f>
        <v/>
      </c>
      <c r="O871" s="12">
        <f>IF(M871="","",ROUND(N871-M871,2))</f>
        <v/>
      </c>
      <c r="P871" s="13">
        <f>IF(AND(A871&lt;&gt;"",B871&lt;&gt;""), A871&amp;" · "&amp;B871, "")</f>
        <v/>
      </c>
    </row>
    <row r="872">
      <c r="A872" s="6" t="inlineStr">
        <is>
          <t>FY26</t>
        </is>
      </c>
      <c r="B872" s="6" t="inlineStr">
        <is>
          <t>Mar</t>
        </is>
      </c>
      <c r="C872" s="6" t="inlineStr">
        <is>
          <t>AP/TS</t>
        </is>
      </c>
      <c r="D872" s="7" t="inlineStr">
        <is>
          <t>AP39HL0002</t>
        </is>
      </c>
      <c r="E872" s="7" t="inlineStr">
        <is>
          <t>HONDA</t>
        </is>
      </c>
      <c r="F872" s="7" t="inlineStr">
        <is>
          <t>Amaze</t>
        </is>
      </c>
      <c r="G872" s="7" t="inlineStr">
        <is>
          <t>EXCHANGE VIJAYAWADA</t>
        </is>
      </c>
      <c r="H872" s="7" t="inlineStr">
        <is>
          <t>Captive</t>
        </is>
      </c>
      <c r="I872" s="7" t="inlineStr">
        <is>
          <t>Guthi Ravi Krishna</t>
        </is>
      </c>
      <c r="J872" s="8" t="n">
        <v>2020</v>
      </c>
      <c r="K872" s="9" t="n">
        <v>113245</v>
      </c>
      <c r="L872" s="10" t="n">
        <v>470000</v>
      </c>
      <c r="M872" s="10" t="n">
        <v>8474.58</v>
      </c>
      <c r="N872" s="11">
        <f>IF(M872="","",ROUND(M872*1.18,2))</f>
        <v/>
      </c>
      <c r="O872" s="12">
        <f>IF(M872="","",ROUND(N872-M872,2))</f>
        <v/>
      </c>
      <c r="P872" s="13">
        <f>IF(AND(A872&lt;&gt;"",B872&lt;&gt;""), A872&amp;" · "&amp;B872, "")</f>
        <v/>
      </c>
    </row>
    <row r="873">
      <c r="A873" s="6" t="inlineStr">
        <is>
          <t>FY26</t>
        </is>
      </c>
      <c r="B873" s="6" t="inlineStr">
        <is>
          <t>Mar</t>
        </is>
      </c>
      <c r="C873" s="6" t="inlineStr">
        <is>
          <t>AP/TS</t>
        </is>
      </c>
      <c r="D873" s="7" t="inlineStr">
        <is>
          <t>TS08EG1112</t>
        </is>
      </c>
      <c r="E873" s="7" t="inlineStr">
        <is>
          <t>HYUNDAI</t>
        </is>
      </c>
      <c r="F873" s="7" t="inlineStr">
        <is>
          <t>i20</t>
        </is>
      </c>
      <c r="G873" s="7" t="inlineStr">
        <is>
          <t>PUNEET GUPTA</t>
        </is>
      </c>
      <c r="H873" s="7" t="inlineStr">
        <is>
          <t>Non-Captive</t>
        </is>
      </c>
      <c r="I873" s="7" t="inlineStr">
        <is>
          <t>Gorenka Vinay Shravan</t>
        </is>
      </c>
      <c r="J873" s="8" t="n">
        <v>2014</v>
      </c>
      <c r="K873" s="9" t="n">
        <v>175456</v>
      </c>
      <c r="L873" s="10" t="n">
        <v>200000</v>
      </c>
      <c r="M873" s="10" t="n">
        <v>2118.64</v>
      </c>
      <c r="N873" s="11">
        <f>IF(M873="","",ROUND(M873*1.18,2))</f>
        <v/>
      </c>
      <c r="O873" s="12">
        <f>IF(M873="","",ROUND(N873-M873,2))</f>
        <v/>
      </c>
      <c r="P873" s="13">
        <f>IF(AND(A873&lt;&gt;"",B873&lt;&gt;""), A873&amp;" · "&amp;B873, "")</f>
        <v/>
      </c>
    </row>
    <row r="874">
      <c r="A874" s="6" t="inlineStr">
        <is>
          <t>FY26</t>
        </is>
      </c>
      <c r="B874" s="6" t="inlineStr">
        <is>
          <t>Mar</t>
        </is>
      </c>
      <c r="C874" s="6" t="inlineStr">
        <is>
          <t>AP/TS</t>
        </is>
      </c>
      <c r="D874" s="7" t="inlineStr">
        <is>
          <t>TS08JL8020</t>
        </is>
      </c>
      <c r="E874" s="7" t="inlineStr">
        <is>
          <t>MARUTI SUZUKI</t>
        </is>
      </c>
      <c r="F874" s="7" t="inlineStr">
        <is>
          <t>Alto K10</t>
        </is>
      </c>
      <c r="G874" s="7" t="inlineStr">
        <is>
          <t>EXCHANGE HYDERABAD</t>
        </is>
      </c>
      <c r="H874" s="7" t="inlineStr">
        <is>
          <t>Captive</t>
        </is>
      </c>
      <c r="I874" s="7" t="inlineStr">
        <is>
          <t>Prasanna Kulkarni</t>
        </is>
      </c>
      <c r="J874" s="8" t="n">
        <v>2022</v>
      </c>
      <c r="K874" s="9" t="n">
        <v>24512</v>
      </c>
      <c r="L874" s="10" t="n">
        <v>205000</v>
      </c>
      <c r="M874" s="10" t="n">
        <v>4237.29</v>
      </c>
      <c r="N874" s="11">
        <f>IF(M874="","",ROUND(M874*1.18,2))</f>
        <v/>
      </c>
      <c r="O874" s="12">
        <f>IF(M874="","",ROUND(N874-M874,2))</f>
        <v/>
      </c>
      <c r="P874" s="13">
        <f>IF(AND(A874&lt;&gt;"",B874&lt;&gt;""), A874&amp;" · "&amp;B874, "")</f>
        <v/>
      </c>
    </row>
    <row r="875">
      <c r="A875" s="6" t="inlineStr">
        <is>
          <t>FY26</t>
        </is>
      </c>
      <c r="B875" s="6" t="inlineStr">
        <is>
          <t>Mar</t>
        </is>
      </c>
      <c r="C875" s="6" t="inlineStr">
        <is>
          <t>AP/TS</t>
        </is>
      </c>
      <c r="D875" s="7" t="inlineStr">
        <is>
          <t>TS09ES4663</t>
        </is>
      </c>
      <c r="E875" s="7" t="inlineStr">
        <is>
          <t>HYUNDAI</t>
        </is>
      </c>
      <c r="F875" s="7" t="inlineStr">
        <is>
          <t>Eon</t>
        </is>
      </c>
      <c r="G875" s="7" t="inlineStr">
        <is>
          <t>ABDUL MUGEES</t>
        </is>
      </c>
      <c r="H875" s="7" t="inlineStr">
        <is>
          <t>Non-Captive</t>
        </is>
      </c>
      <c r="I875" s="7" t="inlineStr">
        <is>
          <t>Mohammed Abdul Razzaq</t>
        </is>
      </c>
      <c r="J875" s="8" t="n">
        <v>2016</v>
      </c>
      <c r="K875" s="9" t="n">
        <v>184585</v>
      </c>
      <c r="L875" s="10" t="n">
        <v>95000</v>
      </c>
      <c r="M875" s="10" t="n">
        <v>4237.29</v>
      </c>
      <c r="N875" s="11">
        <f>IF(M875="","",ROUND(M875*1.18,2))</f>
        <v/>
      </c>
      <c r="O875" s="12">
        <f>IF(M875="","",ROUND(N875-M875,2))</f>
        <v/>
      </c>
      <c r="P875" s="13">
        <f>IF(AND(A875&lt;&gt;"",B875&lt;&gt;""), A875&amp;" · "&amp;B875, "")</f>
        <v/>
      </c>
    </row>
    <row r="876">
      <c r="A876" s="6" t="inlineStr">
        <is>
          <t>FY26</t>
        </is>
      </c>
      <c r="B876" s="6" t="inlineStr">
        <is>
          <t>Mar</t>
        </is>
      </c>
      <c r="C876" s="6" t="inlineStr">
        <is>
          <t>AP/TS</t>
        </is>
      </c>
      <c r="D876" s="7" t="inlineStr">
        <is>
          <t>TS09FC6907</t>
        </is>
      </c>
      <c r="E876" s="7" t="inlineStr">
        <is>
          <t>HONDA</t>
        </is>
      </c>
      <c r="F876" s="7" t="inlineStr">
        <is>
          <t>Amaze</t>
        </is>
      </c>
      <c r="G876" s="7" t="inlineStr">
        <is>
          <t>EXCHANGE HYDERABAD</t>
        </is>
      </c>
      <c r="H876" s="7" t="inlineStr">
        <is>
          <t>Captive</t>
        </is>
      </c>
      <c r="I876" s="7" t="inlineStr">
        <is>
          <t>Abdul Mugees</t>
        </is>
      </c>
      <c r="J876" s="8" t="n">
        <v>2018</v>
      </c>
      <c r="K876" s="9" t="n">
        <v>79767</v>
      </c>
      <c r="L876" s="10" t="n">
        <v>340000</v>
      </c>
      <c r="M876" s="10" t="n">
        <v>8474.58</v>
      </c>
      <c r="N876" s="11">
        <f>IF(M876="","",ROUND(M876*1.18,2))</f>
        <v/>
      </c>
      <c r="O876" s="12">
        <f>IF(M876="","",ROUND(N876-M876,2))</f>
        <v/>
      </c>
      <c r="P876" s="13">
        <f>IF(AND(A876&lt;&gt;"",B876&lt;&gt;""), A876&amp;" · "&amp;B876, "")</f>
        <v/>
      </c>
    </row>
    <row r="877">
      <c r="A877" s="6" t="inlineStr">
        <is>
          <t>FY26</t>
        </is>
      </c>
      <c r="B877" s="6" t="inlineStr">
        <is>
          <t>Mar</t>
        </is>
      </c>
      <c r="C877" s="6" t="inlineStr">
        <is>
          <t>AP/TS</t>
        </is>
      </c>
      <c r="D877" s="7" t="inlineStr">
        <is>
          <t>TS10EA9276</t>
        </is>
      </c>
      <c r="E877" s="7" t="inlineStr">
        <is>
          <t>HONDA</t>
        </is>
      </c>
      <c r="F877" s="7" t="inlineStr">
        <is>
          <t>Amaze</t>
        </is>
      </c>
      <c r="G877" s="7" t="inlineStr">
        <is>
          <t>EXCHANGE HYDERABAD</t>
        </is>
      </c>
      <c r="H877" s="7" t="inlineStr">
        <is>
          <t>Captive</t>
        </is>
      </c>
      <c r="I877" s="7" t="inlineStr">
        <is>
          <t>Gorenka Vinay Shravan</t>
        </is>
      </c>
      <c r="J877" s="8" t="n">
        <v>2014</v>
      </c>
      <c r="K877" s="9" t="n">
        <v>73502</v>
      </c>
      <c r="L877" s="10" t="n">
        <v>200000</v>
      </c>
      <c r="M877" s="10" t="n">
        <v>8474.58</v>
      </c>
      <c r="N877" s="11">
        <f>IF(M877="","",ROUND(M877*1.18,2))</f>
        <v/>
      </c>
      <c r="O877" s="12">
        <f>IF(M877="","",ROUND(N877-M877,2))</f>
        <v/>
      </c>
      <c r="P877" s="13">
        <f>IF(AND(A877&lt;&gt;"",B877&lt;&gt;""), A877&amp;" · "&amp;B877, "")</f>
        <v/>
      </c>
    </row>
    <row r="878">
      <c r="A878" s="6" t="inlineStr">
        <is>
          <t>FY26</t>
        </is>
      </c>
      <c r="B878" s="6" t="inlineStr">
        <is>
          <t>Mar</t>
        </is>
      </c>
      <c r="C878" s="6" t="inlineStr">
        <is>
          <t>AP/TS</t>
        </is>
      </c>
      <c r="D878" s="7" t="inlineStr">
        <is>
          <t>TS10EQ2394</t>
        </is>
      </c>
      <c r="E878" s="7" t="inlineStr">
        <is>
          <t>HONDA</t>
        </is>
      </c>
      <c r="F878" s="7" t="inlineStr">
        <is>
          <t>Jazz</t>
        </is>
      </c>
      <c r="G878" s="7" t="inlineStr">
        <is>
          <t>EXCHANGE HYDERABAD</t>
        </is>
      </c>
      <c r="H878" s="7" t="inlineStr">
        <is>
          <t>Captive</t>
        </is>
      </c>
      <c r="I878" s="7" t="inlineStr">
        <is>
          <t>Mohammed Abdul Razzaq</t>
        </is>
      </c>
      <c r="J878" s="8" t="n">
        <v>2018</v>
      </c>
      <c r="K878" s="9" t="n">
        <v>83632</v>
      </c>
      <c r="L878" s="10" t="n">
        <v>290000</v>
      </c>
      <c r="M878" s="10" t="n">
        <v>8474.58</v>
      </c>
      <c r="N878" s="11">
        <f>IF(M878="","",ROUND(M878*1.18,2))</f>
        <v/>
      </c>
      <c r="O878" s="12">
        <f>IF(M878="","",ROUND(N878-M878,2))</f>
        <v/>
      </c>
      <c r="P878" s="13">
        <f>IF(AND(A878&lt;&gt;"",B878&lt;&gt;""), A878&amp;" · "&amp;B878, "")</f>
        <v/>
      </c>
    </row>
    <row r="879">
      <c r="A879" s="6" t="inlineStr">
        <is>
          <t>FY26</t>
        </is>
      </c>
      <c r="B879" s="6" t="inlineStr">
        <is>
          <t>Mar</t>
        </is>
      </c>
      <c r="C879" s="6" t="inlineStr">
        <is>
          <t>AP/TS</t>
        </is>
      </c>
      <c r="D879" s="7" t="inlineStr">
        <is>
          <t>TS10ES7943</t>
        </is>
      </c>
      <c r="E879" s="7" t="inlineStr">
        <is>
          <t>MARUTI SUZUKI</t>
        </is>
      </c>
      <c r="F879" s="7" t="inlineStr">
        <is>
          <t>Baleno</t>
        </is>
      </c>
      <c r="G879" s="7" t="inlineStr">
        <is>
          <t>EXCHANGE HYDERABAD</t>
        </is>
      </c>
      <c r="H879" s="7" t="inlineStr">
        <is>
          <t>Captive</t>
        </is>
      </c>
      <c r="I879" s="7" t="inlineStr">
        <is>
          <t>Nakka Shiva Shanker</t>
        </is>
      </c>
      <c r="J879" s="8" t="n">
        <v>2018</v>
      </c>
      <c r="K879" s="9" t="n">
        <v>49846</v>
      </c>
      <c r="L879" s="10" t="n">
        <v>270000</v>
      </c>
      <c r="M879" s="10" t="n">
        <v>8474.58</v>
      </c>
      <c r="N879" s="11">
        <f>IF(M879="","",ROUND(M879*1.18,2))</f>
        <v/>
      </c>
      <c r="O879" s="12">
        <f>IF(M879="","",ROUND(N879-M879,2))</f>
        <v/>
      </c>
      <c r="P879" s="13">
        <f>IF(AND(A879&lt;&gt;"",B879&lt;&gt;""), A879&amp;" · "&amp;B879, "")</f>
        <v/>
      </c>
    </row>
    <row r="880">
      <c r="A880" s="6" t="inlineStr">
        <is>
          <t>FY26</t>
        </is>
      </c>
      <c r="B880" s="6" t="inlineStr">
        <is>
          <t>Mar</t>
        </is>
      </c>
      <c r="C880" s="6" t="inlineStr">
        <is>
          <t>Kerala</t>
        </is>
      </c>
      <c r="D880" s="7" t="inlineStr">
        <is>
          <t>KL01AS0123</t>
        </is>
      </c>
      <c r="E880" s="7" t="inlineStr">
        <is>
          <t>HONDA</t>
        </is>
      </c>
      <c r="F880" s="7" t="inlineStr">
        <is>
          <t>City</t>
        </is>
      </c>
      <c r="G880" s="7" t="inlineStr">
        <is>
          <t>SANTHOSH</t>
        </is>
      </c>
      <c r="H880" s="7" t="inlineStr">
        <is>
          <t>Non-Captive</t>
        </is>
      </c>
      <c r="I880" s="7" t="inlineStr">
        <is>
          <t>POPULAR MARUTI</t>
        </is>
      </c>
      <c r="J880" s="8" t="n"/>
      <c r="K880" s="9" t="n">
        <v>116000</v>
      </c>
      <c r="L880" s="10" t="n">
        <v>55000</v>
      </c>
      <c r="M880" s="10" t="n">
        <v>4237.29</v>
      </c>
      <c r="N880" s="11">
        <f>IF(M880="","",ROUND(M880*1.18,2))</f>
        <v/>
      </c>
      <c r="O880" s="12">
        <f>IF(M880="","",ROUND(N880-M880,2))</f>
        <v/>
      </c>
      <c r="P880" s="13">
        <f>IF(AND(A880&lt;&gt;"",B880&lt;&gt;""), A880&amp;" · "&amp;B880, "")</f>
        <v/>
      </c>
    </row>
    <row r="881">
      <c r="A881" s="6" t="inlineStr">
        <is>
          <t>FY26</t>
        </is>
      </c>
      <c r="B881" s="6" t="inlineStr">
        <is>
          <t>Mar</t>
        </is>
      </c>
      <c r="C881" s="6" t="inlineStr">
        <is>
          <t>Kerala</t>
        </is>
      </c>
      <c r="D881" s="7" t="inlineStr">
        <is>
          <t>KL01BL9922</t>
        </is>
      </c>
      <c r="E881" s="7" t="inlineStr">
        <is>
          <t>MARUTI SUZUKI</t>
        </is>
      </c>
      <c r="F881" s="7" t="inlineStr">
        <is>
          <t>Wagon R</t>
        </is>
      </c>
      <c r="G881" s="7" t="inlineStr">
        <is>
          <t>SHAHAR</t>
        </is>
      </c>
      <c r="H881" s="7" t="inlineStr">
        <is>
          <t>Non-Captive</t>
        </is>
      </c>
      <c r="I881" s="7" t="inlineStr">
        <is>
          <t>LUXON TATA</t>
        </is>
      </c>
      <c r="J881" s="8" t="n"/>
      <c r="K881" s="9" t="n">
        <v>69300</v>
      </c>
      <c r="L881" s="10" t="n">
        <v>195000</v>
      </c>
      <c r="M881" s="10" t="n">
        <v>4237.29</v>
      </c>
      <c r="N881" s="11">
        <f>IF(M881="","",ROUND(M881*1.18,2))</f>
        <v/>
      </c>
      <c r="O881" s="12">
        <f>IF(M881="","",ROUND(N881-M881,2))</f>
        <v/>
      </c>
      <c r="P881" s="13">
        <f>IF(AND(A881&lt;&gt;"",B881&lt;&gt;""), A881&amp;" · "&amp;B881, "")</f>
        <v/>
      </c>
    </row>
    <row r="882">
      <c r="A882" s="6" t="inlineStr">
        <is>
          <t>FY26</t>
        </is>
      </c>
      <c r="B882" s="6" t="inlineStr">
        <is>
          <t>Mar</t>
        </is>
      </c>
      <c r="C882" s="6" t="inlineStr">
        <is>
          <t>Kerala</t>
        </is>
      </c>
      <c r="D882" s="7" t="inlineStr">
        <is>
          <t>KL01BN4327</t>
        </is>
      </c>
      <c r="E882" s="7" t="inlineStr">
        <is>
          <t>MARUTI SUZUKI</t>
        </is>
      </c>
      <c r="F882" s="7" t="inlineStr">
        <is>
          <t>A-Star</t>
        </is>
      </c>
      <c r="G882" s="7" t="inlineStr">
        <is>
          <t>MUHAMMAD SHAJI</t>
        </is>
      </c>
      <c r="H882" s="7" t="inlineStr">
        <is>
          <t>Non-Captive</t>
        </is>
      </c>
      <c r="I882" s="7" t="inlineStr">
        <is>
          <t>DREAM DRIVE</t>
        </is>
      </c>
      <c r="J882" s="8" t="n"/>
      <c r="K882" s="9" t="n">
        <v>80790</v>
      </c>
      <c r="L882" s="10" t="n">
        <v>233000</v>
      </c>
      <c r="M882" s="10" t="n">
        <v>8474.58</v>
      </c>
      <c r="N882" s="11">
        <f>IF(M882="","",ROUND(M882*1.18,2))</f>
        <v/>
      </c>
      <c r="O882" s="12">
        <f>IF(M882="","",ROUND(N882-M882,2))</f>
        <v/>
      </c>
      <c r="P882" s="13">
        <f>IF(AND(A882&lt;&gt;"",B882&lt;&gt;""), A882&amp;" · "&amp;B882, "")</f>
        <v/>
      </c>
    </row>
    <row r="883">
      <c r="A883" s="6" t="inlineStr">
        <is>
          <t>FY26</t>
        </is>
      </c>
      <c r="B883" s="6" t="inlineStr">
        <is>
          <t>Mar</t>
        </is>
      </c>
      <c r="C883" s="6" t="inlineStr">
        <is>
          <t>Kerala</t>
        </is>
      </c>
      <c r="D883" s="7" t="inlineStr">
        <is>
          <t>KL01CK0561</t>
        </is>
      </c>
      <c r="E883" s="7" t="inlineStr">
        <is>
          <t>TATA</t>
        </is>
      </c>
      <c r="F883" s="7" t="inlineStr">
        <is>
          <t>Nexon</t>
        </is>
      </c>
      <c r="G883" s="7" t="inlineStr">
        <is>
          <t>MUTHOOT HONDA</t>
        </is>
      </c>
      <c r="H883" s="7" t="inlineStr">
        <is>
          <t>Non-Captive</t>
        </is>
      </c>
      <c r="I883" s="7" t="inlineStr">
        <is>
          <t>Aitos Cars</t>
        </is>
      </c>
      <c r="J883" s="8" t="n"/>
      <c r="K883" s="9" t="n">
        <v>59671</v>
      </c>
      <c r="L883" s="10" t="n">
        <v>440000</v>
      </c>
      <c r="M883" s="10" t="n">
        <v>8474.58</v>
      </c>
      <c r="N883" s="11">
        <f>IF(M883="","",ROUND(M883*1.18,2))</f>
        <v/>
      </c>
      <c r="O883" s="12">
        <f>IF(M883="","",ROUND(N883-M883,2))</f>
        <v/>
      </c>
      <c r="P883" s="13">
        <f>IF(AND(A883&lt;&gt;"",B883&lt;&gt;""), A883&amp;" · "&amp;B883, "")</f>
        <v/>
      </c>
    </row>
    <row r="884">
      <c r="A884" s="6" t="inlineStr">
        <is>
          <t>FY26</t>
        </is>
      </c>
      <c r="B884" s="6" t="inlineStr">
        <is>
          <t>Mar</t>
        </is>
      </c>
      <c r="C884" s="6" t="inlineStr">
        <is>
          <t>Kerala</t>
        </is>
      </c>
      <c r="D884" s="7" t="inlineStr">
        <is>
          <t>KL01CP7253</t>
        </is>
      </c>
      <c r="E884" s="7" t="inlineStr">
        <is>
          <t>MARUTI SUZUKI</t>
        </is>
      </c>
      <c r="F884" s="7" t="inlineStr">
        <is>
          <t>Ertiga</t>
        </is>
      </c>
      <c r="G884" s="7" t="inlineStr">
        <is>
          <t>REFERENCE</t>
        </is>
      </c>
      <c r="H884" s="7" t="inlineStr">
        <is>
          <t>Non-Captive</t>
        </is>
      </c>
      <c r="I884" s="7" t="inlineStr">
        <is>
          <t>PRAJOTH</t>
        </is>
      </c>
      <c r="J884" s="8" t="n"/>
      <c r="K884" s="9" t="n">
        <v>54500</v>
      </c>
      <c r="L884" s="10" t="n">
        <v>695000</v>
      </c>
      <c r="M884" s="10" t="n">
        <v>8474.58</v>
      </c>
      <c r="N884" s="11">
        <f>IF(M884="","",ROUND(M884*1.18,2))</f>
        <v/>
      </c>
      <c r="O884" s="12">
        <f>IF(M884="","",ROUND(N884-M884,2))</f>
        <v/>
      </c>
      <c r="P884" s="13">
        <f>IF(AND(A884&lt;&gt;"",B884&lt;&gt;""), A884&amp;" · "&amp;B884, "")</f>
        <v/>
      </c>
    </row>
    <row r="885">
      <c r="A885" s="6" t="inlineStr">
        <is>
          <t>FY26</t>
        </is>
      </c>
      <c r="B885" s="6" t="inlineStr">
        <is>
          <t>Mar</t>
        </is>
      </c>
      <c r="C885" s="6" t="inlineStr">
        <is>
          <t>Kerala</t>
        </is>
      </c>
      <c r="D885" s="7" t="inlineStr">
        <is>
          <t>KL01DG4009</t>
        </is>
      </c>
      <c r="E885" s="7" t="inlineStr">
        <is>
          <t>RENAULT</t>
        </is>
      </c>
      <c r="F885" s="7" t="inlineStr">
        <is>
          <t>Triber</t>
        </is>
      </c>
      <c r="G885" s="7" t="inlineStr">
        <is>
          <t>ABHISHEK</t>
        </is>
      </c>
      <c r="H885" s="7" t="inlineStr">
        <is>
          <t>Non-Captive</t>
        </is>
      </c>
      <c r="I885" s="7" t="inlineStr">
        <is>
          <t>CBC MAHINDRA</t>
        </is>
      </c>
      <c r="J885" s="8" t="n"/>
      <c r="K885" s="9" t="n">
        <v>3500</v>
      </c>
      <c r="L885" s="10" t="n">
        <v>620000</v>
      </c>
      <c r="M885" s="10" t="n">
        <v>8474.58</v>
      </c>
      <c r="N885" s="11">
        <f>IF(M885="","",ROUND(M885*1.18,2))</f>
        <v/>
      </c>
      <c r="O885" s="12">
        <f>IF(M885="","",ROUND(N885-M885,2))</f>
        <v/>
      </c>
      <c r="P885" s="13">
        <f>IF(AND(A885&lt;&gt;"",B885&lt;&gt;""), A885&amp;" · "&amp;B885, "")</f>
        <v/>
      </c>
    </row>
    <row r="886">
      <c r="A886" s="6" t="inlineStr">
        <is>
          <t>FY26</t>
        </is>
      </c>
      <c r="B886" s="6" t="inlineStr">
        <is>
          <t>Mar</t>
        </is>
      </c>
      <c r="C886" s="6" t="inlineStr">
        <is>
          <t>Kerala</t>
        </is>
      </c>
      <c r="D886" s="7" t="inlineStr">
        <is>
          <t>KL02AG7333</t>
        </is>
      </c>
      <c r="E886" s="7" t="inlineStr">
        <is>
          <t>MARUTI SUZUKI</t>
        </is>
      </c>
      <c r="F886" s="7" t="inlineStr">
        <is>
          <t>SX4</t>
        </is>
      </c>
      <c r="G886" s="7" t="inlineStr">
        <is>
          <t>UNAISE</t>
        </is>
      </c>
      <c r="H886" s="7" t="inlineStr">
        <is>
          <t>Non-Captive</t>
        </is>
      </c>
      <c r="I886" s="7" t="inlineStr">
        <is>
          <t>UCD ABHILASH</t>
        </is>
      </c>
      <c r="J886" s="8" t="n"/>
      <c r="K886" s="9" t="n">
        <v>140000</v>
      </c>
      <c r="L886" s="10" t="n">
        <v>120000</v>
      </c>
      <c r="M886" s="10" t="n">
        <v>5932.2</v>
      </c>
      <c r="N886" s="11">
        <f>IF(M886="","",ROUND(M886*1.18,2))</f>
        <v/>
      </c>
      <c r="O886" s="12">
        <f>IF(M886="","",ROUND(N886-M886,2))</f>
        <v/>
      </c>
      <c r="P886" s="13">
        <f>IF(AND(A886&lt;&gt;"",B886&lt;&gt;""), A886&amp;" · "&amp;B886, "")</f>
        <v/>
      </c>
    </row>
    <row r="887">
      <c r="A887" s="6" t="inlineStr">
        <is>
          <t>FY26</t>
        </is>
      </c>
      <c r="B887" s="6" t="inlineStr">
        <is>
          <t>Mar</t>
        </is>
      </c>
      <c r="C887" s="6" t="inlineStr">
        <is>
          <t>Kerala</t>
        </is>
      </c>
      <c r="D887" s="7" t="inlineStr">
        <is>
          <t>KL02AM8111</t>
        </is>
      </c>
      <c r="E887" s="7" t="inlineStr">
        <is>
          <t>VOLKSWAGEN</t>
        </is>
      </c>
      <c r="F887" s="7" t="inlineStr">
        <is>
          <t>Vento</t>
        </is>
      </c>
      <c r="G887" s="7" t="inlineStr">
        <is>
          <t>SHIBU</t>
        </is>
      </c>
      <c r="H887" s="7" t="inlineStr">
        <is>
          <t>Non-Captive</t>
        </is>
      </c>
      <c r="I887" s="7" t="inlineStr">
        <is>
          <t>REFERENCE</t>
        </is>
      </c>
      <c r="J887" s="8" t="n"/>
      <c r="K887" s="9" t="n">
        <v>123000</v>
      </c>
      <c r="L887" s="10" t="n">
        <v>225000</v>
      </c>
      <c r="M887" s="10" t="n">
        <v>4237.29</v>
      </c>
      <c r="N887" s="11">
        <f>IF(M887="","",ROUND(M887*1.18,2))</f>
        <v/>
      </c>
      <c r="O887" s="12">
        <f>IF(M887="","",ROUND(N887-M887,2))</f>
        <v/>
      </c>
      <c r="P887" s="13">
        <f>IF(AND(A887&lt;&gt;"",B887&lt;&gt;""), A887&amp;" · "&amp;B887, "")</f>
        <v/>
      </c>
    </row>
    <row r="888">
      <c r="A888" s="6" t="inlineStr">
        <is>
          <t>FY26</t>
        </is>
      </c>
      <c r="B888" s="6" t="inlineStr">
        <is>
          <t>Mar</t>
        </is>
      </c>
      <c r="C888" s="6" t="inlineStr">
        <is>
          <t>Kerala</t>
        </is>
      </c>
      <c r="D888" s="7" t="inlineStr">
        <is>
          <t>KL02AU2788</t>
        </is>
      </c>
      <c r="E888" s="7" t="inlineStr">
        <is>
          <t>MARUTI SUZUKI</t>
        </is>
      </c>
      <c r="F888" s="7" t="inlineStr">
        <is>
          <t>Wagon R</t>
        </is>
      </c>
      <c r="G888" s="7" t="inlineStr">
        <is>
          <t>NASIM</t>
        </is>
      </c>
      <c r="H888" s="7" t="inlineStr">
        <is>
          <t>Non-Captive</t>
        </is>
      </c>
      <c r="I888" s="7" t="inlineStr">
        <is>
          <t>LUXON TATA</t>
        </is>
      </c>
      <c r="J888" s="8" t="n"/>
      <c r="K888" s="9" t="n">
        <v>146557</v>
      </c>
      <c r="L888" s="10" t="n">
        <v>190000</v>
      </c>
      <c r="M888" s="10" t="n">
        <v>5932.2</v>
      </c>
      <c r="N888" s="11">
        <f>IF(M888="","",ROUND(M888*1.18,2))</f>
        <v/>
      </c>
      <c r="O888" s="12">
        <f>IF(M888="","",ROUND(N888-M888,2))</f>
        <v/>
      </c>
      <c r="P888" s="13">
        <f>IF(AND(A888&lt;&gt;"",B888&lt;&gt;""), A888&amp;" · "&amp;B888, "")</f>
        <v/>
      </c>
    </row>
    <row r="889">
      <c r="A889" s="6" t="inlineStr">
        <is>
          <t>FY26</t>
        </is>
      </c>
      <c r="B889" s="6" t="inlineStr">
        <is>
          <t>Mar</t>
        </is>
      </c>
      <c r="C889" s="6" t="inlineStr">
        <is>
          <t>Kerala</t>
        </is>
      </c>
      <c r="D889" s="7" t="inlineStr">
        <is>
          <t>KL02AW3991</t>
        </is>
      </c>
      <c r="E889" s="7" t="inlineStr">
        <is>
          <t>HYUNDAI</t>
        </is>
      </c>
      <c r="F889" s="7" t="inlineStr">
        <is>
          <t>Grand i10</t>
        </is>
      </c>
      <c r="G889" s="7" t="inlineStr">
        <is>
          <t>AKHILNATH</t>
        </is>
      </c>
      <c r="H889" s="7" t="inlineStr">
        <is>
          <t>Non-Captive</t>
        </is>
      </c>
      <c r="I889" s="7" t="inlineStr">
        <is>
          <t>PINNACLE NISSAN</t>
        </is>
      </c>
      <c r="J889" s="8" t="n"/>
      <c r="K889" s="9" t="n">
        <v>36538</v>
      </c>
      <c r="L889" s="10" t="n">
        <v>285000</v>
      </c>
      <c r="M889" s="10" t="n">
        <v>4237.29</v>
      </c>
      <c r="N889" s="11">
        <f>IF(M889="","",ROUND(M889*1.18,2))</f>
        <v/>
      </c>
      <c r="O889" s="12">
        <f>IF(M889="","",ROUND(N889-M889,2))</f>
        <v/>
      </c>
      <c r="P889" s="13">
        <f>IF(AND(A889&lt;&gt;"",B889&lt;&gt;""), A889&amp;" · "&amp;B889, "")</f>
        <v/>
      </c>
    </row>
    <row r="890">
      <c r="A890" s="6" t="inlineStr">
        <is>
          <t>FY26</t>
        </is>
      </c>
      <c r="B890" s="6" t="inlineStr">
        <is>
          <t>Mar</t>
        </is>
      </c>
      <c r="C890" s="6" t="inlineStr">
        <is>
          <t>Kerala</t>
        </is>
      </c>
      <c r="D890" s="7" t="inlineStr">
        <is>
          <t>KL02BH2945</t>
        </is>
      </c>
      <c r="E890" s="7" t="inlineStr">
        <is>
          <t>TATA</t>
        </is>
      </c>
      <c r="F890" s="7" t="inlineStr">
        <is>
          <t>Tiago</t>
        </is>
      </c>
      <c r="G890" s="7" t="inlineStr">
        <is>
          <t>SARATHY MARUTI</t>
        </is>
      </c>
      <c r="H890" s="7" t="inlineStr">
        <is>
          <t>Non-Captive</t>
        </is>
      </c>
      <c r="I890" s="7" t="inlineStr">
        <is>
          <t>SETHUNATH</t>
        </is>
      </c>
      <c r="J890" s="8" t="n"/>
      <c r="K890" s="9" t="n">
        <v>42400</v>
      </c>
      <c r="L890" s="10" t="n">
        <v>195000</v>
      </c>
      <c r="M890" s="10" t="n">
        <v>4237.29</v>
      </c>
      <c r="N890" s="11">
        <f>IF(M890="","",ROUND(M890*1.18,2))</f>
        <v/>
      </c>
      <c r="O890" s="12">
        <f>IF(M890="","",ROUND(N890-M890,2))</f>
        <v/>
      </c>
      <c r="P890" s="13">
        <f>IF(AND(A890&lt;&gt;"",B890&lt;&gt;""), A890&amp;" · "&amp;B890, "")</f>
        <v/>
      </c>
    </row>
    <row r="891">
      <c r="A891" s="6" t="inlineStr">
        <is>
          <t>FY26</t>
        </is>
      </c>
      <c r="B891" s="6" t="inlineStr">
        <is>
          <t>Mar</t>
        </is>
      </c>
      <c r="C891" s="6" t="inlineStr">
        <is>
          <t>Kerala</t>
        </is>
      </c>
      <c r="D891" s="7" t="inlineStr">
        <is>
          <t>KL04W8682</t>
        </is>
      </c>
      <c r="E891" s="7" t="inlineStr">
        <is>
          <t>MARUTI SUZUKI</t>
        </is>
      </c>
      <c r="F891" s="7" t="inlineStr">
        <is>
          <t>Alto</t>
        </is>
      </c>
      <c r="G891" s="7" t="inlineStr">
        <is>
          <t>PRAMOD</t>
        </is>
      </c>
      <c r="H891" s="7" t="inlineStr">
        <is>
          <t>Non-Captive</t>
        </is>
      </c>
      <c r="I891" s="7" t="inlineStr">
        <is>
          <t>PINNACLE NISSAN</t>
        </is>
      </c>
      <c r="J891" s="8" t="n"/>
      <c r="K891" s="9" t="n">
        <v>64000</v>
      </c>
      <c r="L891" s="10" t="n">
        <v>42000</v>
      </c>
      <c r="M891" s="10" t="n">
        <v>4237.29</v>
      </c>
      <c r="N891" s="11">
        <f>IF(M891="","",ROUND(M891*1.18,2))</f>
        <v/>
      </c>
      <c r="O891" s="12">
        <f>IF(M891="","",ROUND(N891-M891,2))</f>
        <v/>
      </c>
      <c r="P891" s="13">
        <f>IF(AND(A891&lt;&gt;"",B891&lt;&gt;""), A891&amp;" · "&amp;B891, "")</f>
        <v/>
      </c>
    </row>
    <row r="892">
      <c r="A892" s="6" t="inlineStr">
        <is>
          <t>FY26</t>
        </is>
      </c>
      <c r="B892" s="6" t="inlineStr">
        <is>
          <t>Mar</t>
        </is>
      </c>
      <c r="C892" s="6" t="inlineStr">
        <is>
          <t>Kerala</t>
        </is>
      </c>
      <c r="D892" s="7" t="inlineStr">
        <is>
          <t>KL05AM2339</t>
        </is>
      </c>
      <c r="E892" s="7" t="inlineStr">
        <is>
          <t>FORD</t>
        </is>
      </c>
      <c r="F892" s="7" t="inlineStr">
        <is>
          <t>Figo</t>
        </is>
      </c>
      <c r="G892" s="7" t="inlineStr">
        <is>
          <t>POPULAR MARUTI</t>
        </is>
      </c>
      <c r="H892" s="7" t="inlineStr">
        <is>
          <t>Non-Captive</t>
        </is>
      </c>
      <c r="I892" s="7" t="inlineStr">
        <is>
          <t>DREAM DRIVE</t>
        </is>
      </c>
      <c r="J892" s="8" t="n"/>
      <c r="K892" s="9" t="n">
        <v>104540</v>
      </c>
      <c r="L892" s="10" t="n">
        <v>200000</v>
      </c>
      <c r="M892" s="10" t="n">
        <v>8474.58</v>
      </c>
      <c r="N892" s="11">
        <f>IF(M892="","",ROUND(M892*1.18,2))</f>
        <v/>
      </c>
      <c r="O892" s="12">
        <f>IF(M892="","",ROUND(N892-M892,2))</f>
        <v/>
      </c>
      <c r="P892" s="13">
        <f>IF(AND(A892&lt;&gt;"",B892&lt;&gt;""), A892&amp;" · "&amp;B892, "")</f>
        <v/>
      </c>
    </row>
    <row r="893">
      <c r="A893" s="6" t="inlineStr">
        <is>
          <t>FY26</t>
        </is>
      </c>
      <c r="B893" s="6" t="inlineStr">
        <is>
          <t>Mar</t>
        </is>
      </c>
      <c r="C893" s="6" t="inlineStr">
        <is>
          <t>Kerala</t>
        </is>
      </c>
      <c r="D893" s="7" t="inlineStr">
        <is>
          <t>KL05AU4097</t>
        </is>
      </c>
      <c r="E893" s="7" t="inlineStr">
        <is>
          <t>TATA</t>
        </is>
      </c>
      <c r="F893" s="7" t="inlineStr">
        <is>
          <t>Tiago</t>
        </is>
      </c>
      <c r="G893" s="7" t="inlineStr">
        <is>
          <t>PRAJOD</t>
        </is>
      </c>
      <c r="H893" s="7" t="inlineStr">
        <is>
          <t>Non-Captive</t>
        </is>
      </c>
      <c r="I893" s="7" t="inlineStr">
        <is>
          <t>PPS SKODA</t>
        </is>
      </c>
      <c r="J893" s="8" t="n"/>
      <c r="K893" s="9" t="n">
        <v>44800</v>
      </c>
      <c r="L893" s="10" t="n">
        <v>240000</v>
      </c>
      <c r="M893" s="10" t="n">
        <v>8474.58</v>
      </c>
      <c r="N893" s="11">
        <f>IF(M893="","",ROUND(M893*1.18,2))</f>
        <v/>
      </c>
      <c r="O893" s="12">
        <f>IF(M893="","",ROUND(N893-M893,2))</f>
        <v/>
      </c>
      <c r="P893" s="13">
        <f>IF(AND(A893&lt;&gt;"",B893&lt;&gt;""), A893&amp;" · "&amp;B893, "")</f>
        <v/>
      </c>
    </row>
    <row r="894">
      <c r="A894" s="6" t="inlineStr">
        <is>
          <t>FY26</t>
        </is>
      </c>
      <c r="B894" s="6" t="inlineStr">
        <is>
          <t>Mar</t>
        </is>
      </c>
      <c r="C894" s="6" t="inlineStr">
        <is>
          <t>Kerala</t>
        </is>
      </c>
      <c r="D894" s="7" t="inlineStr">
        <is>
          <t>KL05AU6118</t>
        </is>
      </c>
      <c r="E894" s="7" t="inlineStr">
        <is>
          <t>HYUNDAI</t>
        </is>
      </c>
      <c r="F894" s="7" t="inlineStr">
        <is>
          <t>Grand i10</t>
        </is>
      </c>
      <c r="G894" s="7" t="inlineStr">
        <is>
          <t>POPULAR MARUTI</t>
        </is>
      </c>
      <c r="H894" s="7" t="inlineStr">
        <is>
          <t>Non-Captive</t>
        </is>
      </c>
      <c r="I894" s="7" t="inlineStr">
        <is>
          <t>DREAM DRIVE</t>
        </is>
      </c>
      <c r="J894" s="8" t="n"/>
      <c r="K894" s="9" t="n">
        <v>45218</v>
      </c>
      <c r="L894" s="10" t="n">
        <v>235000</v>
      </c>
      <c r="M894" s="10" t="n">
        <v>8474.58</v>
      </c>
      <c r="N894" s="11">
        <f>IF(M894="","",ROUND(M894*1.18,2))</f>
        <v/>
      </c>
      <c r="O894" s="12">
        <f>IF(M894="","",ROUND(N894-M894,2))</f>
        <v/>
      </c>
      <c r="P894" s="13">
        <f>IF(AND(A894&lt;&gt;"",B894&lt;&gt;""), A894&amp;" · "&amp;B894, "")</f>
        <v/>
      </c>
    </row>
    <row r="895">
      <c r="A895" s="6" t="inlineStr">
        <is>
          <t>FY26</t>
        </is>
      </c>
      <c r="B895" s="6" t="inlineStr">
        <is>
          <t>Mar</t>
        </is>
      </c>
      <c r="C895" s="6" t="inlineStr">
        <is>
          <t>Kerala</t>
        </is>
      </c>
      <c r="D895" s="7" t="inlineStr">
        <is>
          <t>KL05R5362</t>
        </is>
      </c>
      <c r="E895" s="7" t="inlineStr">
        <is>
          <t>MARUTI SUZUKI</t>
        </is>
      </c>
      <c r="F895" s="7" t="inlineStr">
        <is>
          <t>Alto</t>
        </is>
      </c>
      <c r="G895" s="7" t="inlineStr">
        <is>
          <t>POPULAR MARUTI</t>
        </is>
      </c>
      <c r="H895" s="7" t="inlineStr">
        <is>
          <t>Non-Captive</t>
        </is>
      </c>
      <c r="I895" s="7" t="inlineStr">
        <is>
          <t>RAFEEK T A</t>
        </is>
      </c>
      <c r="J895" s="8" t="n"/>
      <c r="K895" s="9" t="n">
        <v>92000</v>
      </c>
      <c r="L895" s="10" t="n">
        <v>45000</v>
      </c>
      <c r="M895" s="10" t="n">
        <v>8474.58</v>
      </c>
      <c r="N895" s="11">
        <f>IF(M895="","",ROUND(M895*1.18,2))</f>
        <v/>
      </c>
      <c r="O895" s="12">
        <f>IF(M895="","",ROUND(N895-M895,2))</f>
        <v/>
      </c>
      <c r="P895" s="13">
        <f>IF(AND(A895&lt;&gt;"",B895&lt;&gt;""), A895&amp;" · "&amp;B895, "")</f>
        <v/>
      </c>
    </row>
    <row r="896">
      <c r="A896" s="6" t="inlineStr">
        <is>
          <t>FY26</t>
        </is>
      </c>
      <c r="B896" s="6" t="inlineStr">
        <is>
          <t>Mar</t>
        </is>
      </c>
      <c r="C896" s="6" t="inlineStr">
        <is>
          <t>Kerala</t>
        </is>
      </c>
      <c r="D896" s="7" t="inlineStr">
        <is>
          <t>KL05Y8435</t>
        </is>
      </c>
      <c r="E896" s="7" t="inlineStr">
        <is>
          <t>MARUTI SUZUKI</t>
        </is>
      </c>
      <c r="F896" s="7" t="inlineStr">
        <is>
          <t>Alto</t>
        </is>
      </c>
      <c r="G896" s="7" t="inlineStr">
        <is>
          <t>POPULAR MARUTI</t>
        </is>
      </c>
      <c r="H896" s="7" t="inlineStr">
        <is>
          <t>Non-Captive</t>
        </is>
      </c>
      <c r="I896" s="7" t="inlineStr">
        <is>
          <t>RAFEEK T A</t>
        </is>
      </c>
      <c r="J896" s="8" t="n"/>
      <c r="K896" s="9" t="n">
        <v>108797</v>
      </c>
      <c r="L896" s="10" t="n">
        <v>74000</v>
      </c>
      <c r="M896" s="10" t="n">
        <v>8474.58</v>
      </c>
      <c r="N896" s="11">
        <f>IF(M896="","",ROUND(M896*1.18,2))</f>
        <v/>
      </c>
      <c r="O896" s="12">
        <f>IF(M896="","",ROUND(N896-M896,2))</f>
        <v/>
      </c>
      <c r="P896" s="13">
        <f>IF(AND(A896&lt;&gt;"",B896&lt;&gt;""), A896&amp;" · "&amp;B896, "")</f>
        <v/>
      </c>
    </row>
    <row r="897">
      <c r="A897" s="6" t="inlineStr">
        <is>
          <t>FY26</t>
        </is>
      </c>
      <c r="B897" s="6" t="inlineStr">
        <is>
          <t>Mar</t>
        </is>
      </c>
      <c r="C897" s="6" t="inlineStr">
        <is>
          <t>Kerala</t>
        </is>
      </c>
      <c r="D897" s="7" t="inlineStr">
        <is>
          <t>KL07AE9663</t>
        </is>
      </c>
      <c r="E897" s="7" t="inlineStr">
        <is>
          <t>MARUTI SUZUKI</t>
        </is>
      </c>
      <c r="F897" s="7" t="inlineStr">
        <is>
          <t>800</t>
        </is>
      </c>
      <c r="G897" s="7" t="inlineStr">
        <is>
          <t>SETHUNATH</t>
        </is>
      </c>
      <c r="H897" s="7" t="inlineStr">
        <is>
          <t>Non-Captive</t>
        </is>
      </c>
      <c r="I897" s="7" t="inlineStr">
        <is>
          <t>LUXON TATA</t>
        </is>
      </c>
      <c r="J897" s="8" t="n"/>
      <c r="K897" s="9" t="n">
        <v>92000</v>
      </c>
      <c r="L897" s="10" t="n">
        <v>15000</v>
      </c>
      <c r="M897" s="10" t="n">
        <v>4237.29</v>
      </c>
      <c r="N897" s="11">
        <f>IF(M897="","",ROUND(M897*1.18,2))</f>
        <v/>
      </c>
      <c r="O897" s="12">
        <f>IF(M897="","",ROUND(N897-M897,2))</f>
        <v/>
      </c>
      <c r="P897" s="13">
        <f>IF(AND(A897&lt;&gt;"",B897&lt;&gt;""), A897&amp;" · "&amp;B897, "")</f>
        <v/>
      </c>
    </row>
    <row r="898">
      <c r="A898" s="6" t="inlineStr">
        <is>
          <t>FY26</t>
        </is>
      </c>
      <c r="B898" s="6" t="inlineStr">
        <is>
          <t>Mar</t>
        </is>
      </c>
      <c r="C898" s="6" t="inlineStr">
        <is>
          <t>Kerala</t>
        </is>
      </c>
      <c r="D898" s="7" t="inlineStr">
        <is>
          <t>KL07BF2159</t>
        </is>
      </c>
      <c r="E898" s="7" t="inlineStr">
        <is>
          <t>HONDA</t>
        </is>
      </c>
      <c r="F898" s="7" t="inlineStr">
        <is>
          <t>City</t>
        </is>
      </c>
      <c r="G898" s="7" t="inlineStr">
        <is>
          <t>POPULAR MARUTI</t>
        </is>
      </c>
      <c r="H898" s="7" t="inlineStr">
        <is>
          <t>Non-Captive</t>
        </is>
      </c>
      <c r="I898" s="7" t="inlineStr">
        <is>
          <t>PRAJOTH</t>
        </is>
      </c>
      <c r="J898" s="8" t="n"/>
      <c r="K898" s="9" t="n">
        <v>77140</v>
      </c>
      <c r="L898" s="10" t="n">
        <v>50000</v>
      </c>
      <c r="M898" s="10" t="n">
        <v>5084.75</v>
      </c>
      <c r="N898" s="11">
        <f>IF(M898="","",ROUND(M898*1.18,2))</f>
        <v/>
      </c>
      <c r="O898" s="12">
        <f>IF(M898="","",ROUND(N898-M898,2))</f>
        <v/>
      </c>
      <c r="P898" s="13">
        <f>IF(AND(A898&lt;&gt;"",B898&lt;&gt;""), A898&amp;" · "&amp;B898, "")</f>
        <v/>
      </c>
    </row>
    <row r="899">
      <c r="A899" s="6" t="inlineStr">
        <is>
          <t>FY26</t>
        </is>
      </c>
      <c r="B899" s="6" t="inlineStr">
        <is>
          <t>Mar</t>
        </is>
      </c>
      <c r="C899" s="6" t="inlineStr">
        <is>
          <t>Kerala</t>
        </is>
      </c>
      <c r="D899" s="7" t="inlineStr">
        <is>
          <t>KL07BL0181</t>
        </is>
      </c>
      <c r="E899" s="7" t="inlineStr">
        <is>
          <t>HYUNDAI</t>
        </is>
      </c>
      <c r="F899" s="7" t="inlineStr">
        <is>
          <t>i10</t>
        </is>
      </c>
      <c r="G899" s="7" t="inlineStr">
        <is>
          <t>JOHNS HONDA CARS</t>
        </is>
      </c>
      <c r="H899" s="7" t="inlineStr">
        <is>
          <t>Non-Captive</t>
        </is>
      </c>
      <c r="I899" s="7" t="inlineStr">
        <is>
          <t>Aitos Cars</t>
        </is>
      </c>
      <c r="J899" s="8" t="n"/>
      <c r="K899" s="9" t="n">
        <v>59500</v>
      </c>
      <c r="L899" s="10" t="n">
        <v>155000</v>
      </c>
      <c r="M899" s="10" t="n">
        <v>8474.58</v>
      </c>
      <c r="N899" s="11">
        <f>IF(M899="","",ROUND(M899*1.18,2))</f>
        <v/>
      </c>
      <c r="O899" s="12">
        <f>IF(M899="","",ROUND(N899-M899,2))</f>
        <v/>
      </c>
      <c r="P899" s="13">
        <f>IF(AND(A899&lt;&gt;"",B899&lt;&gt;""), A899&amp;" · "&amp;B899, "")</f>
        <v/>
      </c>
    </row>
    <row r="900">
      <c r="A900" s="6" t="inlineStr">
        <is>
          <t>FY26</t>
        </is>
      </c>
      <c r="B900" s="6" t="inlineStr">
        <is>
          <t>Mar</t>
        </is>
      </c>
      <c r="C900" s="6" t="inlineStr">
        <is>
          <t>Kerala</t>
        </is>
      </c>
      <c r="D900" s="7" t="inlineStr">
        <is>
          <t>KL07BM6035</t>
        </is>
      </c>
      <c r="E900" s="7" t="inlineStr">
        <is>
          <t>HYUNDAI</t>
        </is>
      </c>
      <c r="F900" s="7" t="inlineStr">
        <is>
          <t>Santro</t>
        </is>
      </c>
      <c r="G900" s="7" t="inlineStr">
        <is>
          <t>SANOOP KM</t>
        </is>
      </c>
      <c r="H900" s="7" t="inlineStr">
        <is>
          <t>Non-Captive</t>
        </is>
      </c>
      <c r="I900" s="7" t="inlineStr">
        <is>
          <t>BIMAL</t>
        </is>
      </c>
      <c r="J900" s="8" t="n"/>
      <c r="K900" s="9" t="n">
        <v>100000</v>
      </c>
      <c r="L900" s="10" t="n">
        <v>65000</v>
      </c>
      <c r="M900" s="10" t="n">
        <v>4237.29</v>
      </c>
      <c r="N900" s="11">
        <f>IF(M900="","",ROUND(M900*1.18,2))</f>
        <v/>
      </c>
      <c r="O900" s="12">
        <f>IF(M900="","",ROUND(N900-M900,2))</f>
        <v/>
      </c>
      <c r="P900" s="13">
        <f>IF(AND(A900&lt;&gt;"",B900&lt;&gt;""), A900&amp;" · "&amp;B900, "")</f>
        <v/>
      </c>
    </row>
    <row r="901">
      <c r="A901" s="6" t="inlineStr">
        <is>
          <t>FY26</t>
        </is>
      </c>
      <c r="B901" s="6" t="inlineStr">
        <is>
          <t>Mar</t>
        </is>
      </c>
      <c r="C901" s="6" t="inlineStr">
        <is>
          <t>Kerala</t>
        </is>
      </c>
      <c r="D901" s="7" t="inlineStr">
        <is>
          <t>KL07BN7180</t>
        </is>
      </c>
      <c r="E901" s="7" t="inlineStr">
        <is>
          <t>MARUTI SUZUKI</t>
        </is>
      </c>
      <c r="F901" s="7" t="inlineStr">
        <is>
          <t>Zen</t>
        </is>
      </c>
      <c r="G901" s="7" t="inlineStr">
        <is>
          <t>POPULAR MARUTI</t>
        </is>
      </c>
      <c r="H901" s="7" t="inlineStr">
        <is>
          <t>Non-Captive</t>
        </is>
      </c>
      <c r="I901" s="7" t="inlineStr">
        <is>
          <t>HUSSAIN O E</t>
        </is>
      </c>
      <c r="J901" s="8" t="n"/>
      <c r="K901" s="9" t="n">
        <v>45303</v>
      </c>
      <c r="L901" s="10" t="n">
        <v>50000</v>
      </c>
      <c r="M901" s="10" t="n">
        <v>8474.58</v>
      </c>
      <c r="N901" s="11">
        <f>IF(M901="","",ROUND(M901*1.18,2))</f>
        <v/>
      </c>
      <c r="O901" s="12">
        <f>IF(M901="","",ROUND(N901-M901,2))</f>
        <v/>
      </c>
      <c r="P901" s="13">
        <f>IF(AND(A901&lt;&gt;"",B901&lt;&gt;""), A901&amp;" · "&amp;B901, "")</f>
        <v/>
      </c>
    </row>
    <row r="902">
      <c r="A902" s="6" t="inlineStr">
        <is>
          <t>FY26</t>
        </is>
      </c>
      <c r="B902" s="6" t="inlineStr">
        <is>
          <t>Mar</t>
        </is>
      </c>
      <c r="C902" s="6" t="inlineStr">
        <is>
          <t>Kerala</t>
        </is>
      </c>
      <c r="D902" s="7" t="inlineStr">
        <is>
          <t>KL07BV7056</t>
        </is>
      </c>
      <c r="E902" s="7" t="inlineStr">
        <is>
          <t>HYUNDAI</t>
        </is>
      </c>
      <c r="F902" s="7" t="inlineStr">
        <is>
          <t>Eon</t>
        </is>
      </c>
      <c r="G902" s="7" t="inlineStr">
        <is>
          <t>JISHNU PRIYAN</t>
        </is>
      </c>
      <c r="H902" s="7" t="inlineStr">
        <is>
          <t>Non-Captive</t>
        </is>
      </c>
      <c r="I902" s="7" t="inlineStr">
        <is>
          <t>VTJ</t>
        </is>
      </c>
      <c r="J902" s="8" t="n"/>
      <c r="K902" s="9" t="n">
        <v>36217</v>
      </c>
      <c r="L902" s="10" t="n">
        <v>100000</v>
      </c>
      <c r="M902" s="10" t="n">
        <v>8474.58</v>
      </c>
      <c r="N902" s="11">
        <f>IF(M902="","",ROUND(M902*1.18,2))</f>
        <v/>
      </c>
      <c r="O902" s="12">
        <f>IF(M902="","",ROUND(N902-M902,2))</f>
        <v/>
      </c>
      <c r="P902" s="13">
        <f>IF(AND(A902&lt;&gt;"",B902&lt;&gt;""), A902&amp;" · "&amp;B902, "")</f>
        <v/>
      </c>
    </row>
    <row r="903">
      <c r="A903" s="6" t="inlineStr">
        <is>
          <t>FY26</t>
        </is>
      </c>
      <c r="B903" s="6" t="inlineStr">
        <is>
          <t>Mar</t>
        </is>
      </c>
      <c r="C903" s="6" t="inlineStr">
        <is>
          <t>Kerala</t>
        </is>
      </c>
      <c r="D903" s="7" t="inlineStr">
        <is>
          <t>KL07BX8955</t>
        </is>
      </c>
      <c r="E903" s="7" t="inlineStr">
        <is>
          <t>VOLKSWAGEN</t>
        </is>
      </c>
      <c r="F903" s="7" t="inlineStr">
        <is>
          <t>Vento</t>
        </is>
      </c>
      <c r="G903" s="7" t="inlineStr">
        <is>
          <t>EVM VOLKSWAGEN</t>
        </is>
      </c>
      <c r="H903" s="7" t="inlineStr">
        <is>
          <t>Non-Captive</t>
        </is>
      </c>
      <c r="I903" s="7" t="inlineStr">
        <is>
          <t>VISHNU M S</t>
        </is>
      </c>
      <c r="J903" s="8" t="n"/>
      <c r="K903" s="9" t="n">
        <v>48900</v>
      </c>
      <c r="L903" s="10" t="n">
        <v>190000</v>
      </c>
      <c r="M903" s="10" t="n">
        <v>8474.58</v>
      </c>
      <c r="N903" s="11">
        <f>IF(M903="","",ROUND(M903*1.18,2))</f>
        <v/>
      </c>
      <c r="O903" s="12">
        <f>IF(M903="","",ROUND(N903-M903,2))</f>
        <v/>
      </c>
      <c r="P903" s="13">
        <f>IF(AND(A903&lt;&gt;"",B903&lt;&gt;""), A903&amp;" · "&amp;B903, "")</f>
        <v/>
      </c>
    </row>
    <row r="904">
      <c r="A904" s="6" t="inlineStr">
        <is>
          <t>FY26</t>
        </is>
      </c>
      <c r="B904" s="6" t="inlineStr">
        <is>
          <t>Mar</t>
        </is>
      </c>
      <c r="C904" s="6" t="inlineStr">
        <is>
          <t>Kerala</t>
        </is>
      </c>
      <c r="D904" s="7" t="inlineStr">
        <is>
          <t>KL07BZ4218</t>
        </is>
      </c>
      <c r="E904" s="7" t="inlineStr">
        <is>
          <t>RENAULT</t>
        </is>
      </c>
      <c r="F904" s="7" t="inlineStr">
        <is>
          <t>Duster</t>
        </is>
      </c>
      <c r="G904" s="7" t="inlineStr">
        <is>
          <t>JISHNU PRIYAN</t>
        </is>
      </c>
      <c r="H904" s="7" t="inlineStr">
        <is>
          <t>Non-Captive</t>
        </is>
      </c>
      <c r="I904" s="7" t="inlineStr">
        <is>
          <t>4 WHEEL DRIVE</t>
        </is>
      </c>
      <c r="J904" s="8" t="n"/>
      <c r="K904" s="9" t="n">
        <v>102194</v>
      </c>
      <c r="L904" s="10" t="n">
        <v>240000</v>
      </c>
      <c r="M904" s="10" t="n">
        <v>8474.58</v>
      </c>
      <c r="N904" s="11">
        <f>IF(M904="","",ROUND(M904*1.18,2))</f>
        <v/>
      </c>
      <c r="O904" s="12">
        <f>IF(M904="","",ROUND(N904-M904,2))</f>
        <v/>
      </c>
      <c r="P904" s="13">
        <f>IF(AND(A904&lt;&gt;"",B904&lt;&gt;""), A904&amp;" · "&amp;B904, "")</f>
        <v/>
      </c>
    </row>
    <row r="905">
      <c r="A905" s="6" t="inlineStr">
        <is>
          <t>FY26</t>
        </is>
      </c>
      <c r="B905" s="6" t="inlineStr">
        <is>
          <t>Mar</t>
        </is>
      </c>
      <c r="C905" s="6" t="inlineStr">
        <is>
          <t>Kerala</t>
        </is>
      </c>
      <c r="D905" s="7" t="inlineStr">
        <is>
          <t>KL07CD6065</t>
        </is>
      </c>
      <c r="E905" s="7" t="inlineStr">
        <is>
          <t>TATA</t>
        </is>
      </c>
      <c r="F905" s="7" t="inlineStr">
        <is>
          <t>Nano</t>
        </is>
      </c>
      <c r="G905" s="7" t="inlineStr">
        <is>
          <t>POPULAR MARUTI</t>
        </is>
      </c>
      <c r="H905" s="7" t="inlineStr">
        <is>
          <t>Non-Captive</t>
        </is>
      </c>
      <c r="I905" s="7" t="inlineStr">
        <is>
          <t>RAFEEK T A</t>
        </is>
      </c>
      <c r="J905" s="8" t="n"/>
      <c r="K905" s="9" t="n">
        <v>46000</v>
      </c>
      <c r="L905" s="10" t="n">
        <v>99000</v>
      </c>
      <c r="M905" s="10" t="n">
        <v>8474.58</v>
      </c>
      <c r="N905" s="11">
        <f>IF(M905="","",ROUND(M905*1.18,2))</f>
        <v/>
      </c>
      <c r="O905" s="12">
        <f>IF(M905="","",ROUND(N905-M905,2))</f>
        <v/>
      </c>
      <c r="P905" s="13">
        <f>IF(AND(A905&lt;&gt;"",B905&lt;&gt;""), A905&amp;" · "&amp;B905, "")</f>
        <v/>
      </c>
    </row>
    <row r="906">
      <c r="A906" s="6" t="inlineStr">
        <is>
          <t>FY26</t>
        </is>
      </c>
      <c r="B906" s="6" t="inlineStr">
        <is>
          <t>Mar</t>
        </is>
      </c>
      <c r="C906" s="6" t="inlineStr">
        <is>
          <t>Kerala</t>
        </is>
      </c>
      <c r="D906" s="7" t="inlineStr">
        <is>
          <t>KL07CL5157</t>
        </is>
      </c>
      <c r="E906" s="7" t="inlineStr">
        <is>
          <t>MARUTI SUZUKI</t>
        </is>
      </c>
      <c r="F906" s="7" t="inlineStr">
        <is>
          <t>Baleno</t>
        </is>
      </c>
      <c r="G906" s="7" t="inlineStr">
        <is>
          <t>POPULAR MARUTI</t>
        </is>
      </c>
      <c r="H906" s="7" t="inlineStr">
        <is>
          <t>Non-Captive</t>
        </is>
      </c>
      <c r="I906" s="7" t="inlineStr">
        <is>
          <t>RAJEEV A C</t>
        </is>
      </c>
      <c r="J906" s="8" t="n"/>
      <c r="K906" s="9" t="n">
        <v>46800</v>
      </c>
      <c r="L906" s="10" t="n">
        <v>325000</v>
      </c>
      <c r="M906" s="10" t="n">
        <v>8474.58</v>
      </c>
      <c r="N906" s="11">
        <f>IF(M906="","",ROUND(M906*1.18,2))</f>
        <v/>
      </c>
      <c r="O906" s="12">
        <f>IF(M906="","",ROUND(N906-M906,2))</f>
        <v/>
      </c>
      <c r="P906" s="13">
        <f>IF(AND(A906&lt;&gt;"",B906&lt;&gt;""), A906&amp;" · "&amp;B906, "")</f>
        <v/>
      </c>
    </row>
    <row r="907">
      <c r="A907" s="6" t="inlineStr">
        <is>
          <t>FY26</t>
        </is>
      </c>
      <c r="B907" s="6" t="inlineStr">
        <is>
          <t>Mar</t>
        </is>
      </c>
      <c r="C907" s="6" t="inlineStr">
        <is>
          <t>Kerala</t>
        </is>
      </c>
      <c r="D907" s="7" t="inlineStr">
        <is>
          <t>KL07CT0907</t>
        </is>
      </c>
      <c r="E907" s="7" t="inlineStr">
        <is>
          <t>MARUTI SUZUKI</t>
        </is>
      </c>
      <c r="F907" s="7" t="inlineStr">
        <is>
          <t>S-Presso</t>
        </is>
      </c>
      <c r="G907" s="7" t="inlineStr">
        <is>
          <t>AMRITH V CHANDY</t>
        </is>
      </c>
      <c r="H907" s="7" t="inlineStr">
        <is>
          <t>Non-Captive</t>
        </is>
      </c>
      <c r="I907" s="7" t="inlineStr">
        <is>
          <t>ANAS VH</t>
        </is>
      </c>
      <c r="J907" s="8" t="n"/>
      <c r="K907" s="9" t="n">
        <v>64522</v>
      </c>
      <c r="L907" s="10" t="n">
        <v>325000</v>
      </c>
      <c r="M907" s="10" t="n">
        <v>8474.58</v>
      </c>
      <c r="N907" s="11">
        <f>IF(M907="","",ROUND(M907*1.18,2))</f>
        <v/>
      </c>
      <c r="O907" s="12">
        <f>IF(M907="","",ROUND(N907-M907,2))</f>
        <v/>
      </c>
      <c r="P907" s="13">
        <f>IF(AND(A907&lt;&gt;"",B907&lt;&gt;""), A907&amp;" · "&amp;B907, "")</f>
        <v/>
      </c>
    </row>
    <row r="908">
      <c r="A908" s="6" t="inlineStr">
        <is>
          <t>FY26</t>
        </is>
      </c>
      <c r="B908" s="6" t="inlineStr">
        <is>
          <t>Mar</t>
        </is>
      </c>
      <c r="C908" s="6" t="inlineStr">
        <is>
          <t>Kerala</t>
        </is>
      </c>
      <c r="D908" s="7" t="inlineStr">
        <is>
          <t>KL07CV2148</t>
        </is>
      </c>
      <c r="E908" s="7" t="inlineStr">
        <is>
          <t>RENAULT</t>
        </is>
      </c>
      <c r="F908" s="7" t="inlineStr">
        <is>
          <t>Triber</t>
        </is>
      </c>
      <c r="G908" s="7" t="inlineStr">
        <is>
          <t>JISHNU PRIYAN</t>
        </is>
      </c>
      <c r="H908" s="7" t="inlineStr">
        <is>
          <t>Non-Captive</t>
        </is>
      </c>
      <c r="I908" s="7" t="inlineStr">
        <is>
          <t>Aitos Cars</t>
        </is>
      </c>
      <c r="J908" s="8" t="n"/>
      <c r="K908" s="9" t="n">
        <v>49100</v>
      </c>
      <c r="L908" s="10" t="n">
        <v>400000</v>
      </c>
      <c r="M908" s="10" t="n">
        <v>8474.58</v>
      </c>
      <c r="N908" s="11">
        <f>IF(M908="","",ROUND(M908*1.18,2))</f>
        <v/>
      </c>
      <c r="O908" s="12">
        <f>IF(M908="","",ROUND(N908-M908,2))</f>
        <v/>
      </c>
      <c r="P908" s="13">
        <f>IF(AND(A908&lt;&gt;"",B908&lt;&gt;""), A908&amp;" · "&amp;B908, "")</f>
        <v/>
      </c>
    </row>
    <row r="909">
      <c r="A909" s="6" t="inlineStr">
        <is>
          <t>FY26</t>
        </is>
      </c>
      <c r="B909" s="6" t="inlineStr">
        <is>
          <t>Mar</t>
        </is>
      </c>
      <c r="C909" s="6" t="inlineStr">
        <is>
          <t>Kerala</t>
        </is>
      </c>
      <c r="D909" s="7" t="inlineStr">
        <is>
          <t>KL07DD6932</t>
        </is>
      </c>
      <c r="E909" s="7" t="inlineStr">
        <is>
          <t>MAHINDRA</t>
        </is>
      </c>
      <c r="F909" s="7" t="inlineStr">
        <is>
          <t>Optimo</t>
        </is>
      </c>
      <c r="G909" s="7" t="inlineStr">
        <is>
          <t>MTBL</t>
        </is>
      </c>
      <c r="H909" s="7" t="inlineStr">
        <is>
          <t>Non-Captive</t>
        </is>
      </c>
      <c r="I909" s="7" t="inlineStr">
        <is>
          <t>GARUDA TRUCKS</t>
        </is>
      </c>
      <c r="J909" s="8" t="n"/>
      <c r="K909" s="9" t="n">
        <v>16000</v>
      </c>
      <c r="L909" s="10" t="n">
        <v>900000</v>
      </c>
      <c r="M909" s="10" t="n">
        <v>8474.58</v>
      </c>
      <c r="N909" s="11">
        <f>IF(M909="","",ROUND(M909*1.18,2))</f>
        <v/>
      </c>
      <c r="O909" s="12">
        <f>IF(M909="","",ROUND(N909-M909,2))</f>
        <v/>
      </c>
      <c r="P909" s="13">
        <f>IF(AND(A909&lt;&gt;"",B909&lt;&gt;""), A909&amp;" · "&amp;B909, "")</f>
        <v/>
      </c>
    </row>
    <row r="910">
      <c r="A910" s="6" t="inlineStr">
        <is>
          <t>FY26</t>
        </is>
      </c>
      <c r="B910" s="6" t="inlineStr">
        <is>
          <t>Mar</t>
        </is>
      </c>
      <c r="C910" s="6" t="inlineStr">
        <is>
          <t>Kerala</t>
        </is>
      </c>
      <c r="D910" s="7" t="inlineStr">
        <is>
          <t>KL08AS5205</t>
        </is>
      </c>
      <c r="E910" s="7" t="inlineStr">
        <is>
          <t>HYUNDAI</t>
        </is>
      </c>
      <c r="F910" s="7" t="inlineStr">
        <is>
          <t>i10</t>
        </is>
      </c>
      <c r="G910" s="7" t="inlineStr">
        <is>
          <t>UNAISE</t>
        </is>
      </c>
      <c r="H910" s="7" t="inlineStr">
        <is>
          <t>Non-Captive</t>
        </is>
      </c>
      <c r="I910" s="7" t="inlineStr">
        <is>
          <t>MOTOEXCHANGE</t>
        </is>
      </c>
      <c r="J910" s="8" t="n"/>
      <c r="K910" s="9" t="n">
        <v>80000</v>
      </c>
      <c r="L910" s="10" t="n">
        <v>150000</v>
      </c>
      <c r="M910" s="10" t="n">
        <v>5932.2</v>
      </c>
      <c r="N910" s="11">
        <f>IF(M910="","",ROUND(M910*1.18,2))</f>
        <v/>
      </c>
      <c r="O910" s="12">
        <f>IF(M910="","",ROUND(N910-M910,2))</f>
        <v/>
      </c>
      <c r="P910" s="13">
        <f>IF(AND(A910&lt;&gt;"",B910&lt;&gt;""), A910&amp;" · "&amp;B910, "")</f>
        <v/>
      </c>
    </row>
    <row r="911">
      <c r="A911" s="6" t="inlineStr">
        <is>
          <t>FY26</t>
        </is>
      </c>
      <c r="B911" s="6" t="inlineStr">
        <is>
          <t>Mar</t>
        </is>
      </c>
      <c r="C911" s="6" t="inlineStr">
        <is>
          <t>Kerala</t>
        </is>
      </c>
      <c r="D911" s="7" t="inlineStr">
        <is>
          <t>KL08BF2662</t>
        </is>
      </c>
      <c r="E911" s="7" t="inlineStr">
        <is>
          <t>DATSUN</t>
        </is>
      </c>
      <c r="F911" s="7" t="inlineStr">
        <is>
          <t>Go Plus</t>
        </is>
      </c>
      <c r="G911" s="7" t="inlineStr">
        <is>
          <t>PINNACLE NISSAN</t>
        </is>
      </c>
      <c r="H911" s="7" t="inlineStr">
        <is>
          <t>Non-Captive</t>
        </is>
      </c>
      <c r="I911" s="7" t="inlineStr">
        <is>
          <t>Umesh Kumar T U</t>
        </is>
      </c>
      <c r="J911" s="8" t="n"/>
      <c r="K911" s="9" t="n">
        <v>74572</v>
      </c>
      <c r="L911" s="10" t="n">
        <v>140000</v>
      </c>
      <c r="M911" s="10" t="n">
        <v>8474.58</v>
      </c>
      <c r="N911" s="11">
        <f>IF(M911="","",ROUND(M911*1.18,2))</f>
        <v/>
      </c>
      <c r="O911" s="12">
        <f>IF(M911="","",ROUND(N911-M911,2))</f>
        <v/>
      </c>
      <c r="P911" s="13">
        <f>IF(AND(A911&lt;&gt;"",B911&lt;&gt;""), A911&amp;" · "&amp;B911, "")</f>
        <v/>
      </c>
    </row>
    <row r="912">
      <c r="A912" s="6" t="inlineStr">
        <is>
          <t>FY26</t>
        </is>
      </c>
      <c r="B912" s="6" t="inlineStr">
        <is>
          <t>Mar</t>
        </is>
      </c>
      <c r="C912" s="6" t="inlineStr">
        <is>
          <t>Kerala</t>
        </is>
      </c>
      <c r="D912" s="7" t="inlineStr">
        <is>
          <t>KL08BK0717</t>
        </is>
      </c>
      <c r="E912" s="7" t="inlineStr">
        <is>
          <t>VOLKSWAGEN</t>
        </is>
      </c>
      <c r="F912" s="7" t="inlineStr">
        <is>
          <t>Polo</t>
        </is>
      </c>
      <c r="G912" s="7" t="inlineStr">
        <is>
          <t>PHOENIX VOLKSWAGEN</t>
        </is>
      </c>
      <c r="H912" s="7" t="inlineStr">
        <is>
          <t>Non-Captive</t>
        </is>
      </c>
      <c r="I912" s="7" t="inlineStr">
        <is>
          <t>Umesh Kumar T U</t>
        </is>
      </c>
      <c r="J912" s="8" t="n"/>
      <c r="K912" s="9" t="n">
        <v>20000</v>
      </c>
      <c r="L912" s="10" t="n">
        <v>700000</v>
      </c>
      <c r="M912" s="10" t="n">
        <v>12711.86</v>
      </c>
      <c r="N912" s="11">
        <f>IF(M912="","",ROUND(M912*1.18,2))</f>
        <v/>
      </c>
      <c r="O912" s="12">
        <f>IF(M912="","",ROUND(N912-M912,2))</f>
        <v/>
      </c>
      <c r="P912" s="13">
        <f>IF(AND(A912&lt;&gt;"",B912&lt;&gt;""), A912&amp;" · "&amp;B912, "")</f>
        <v/>
      </c>
    </row>
    <row r="913">
      <c r="A913" s="6" t="inlineStr">
        <is>
          <t>FY26</t>
        </is>
      </c>
      <c r="B913" s="6" t="inlineStr">
        <is>
          <t>Mar</t>
        </is>
      </c>
      <c r="C913" s="6" t="inlineStr">
        <is>
          <t>Kerala</t>
        </is>
      </c>
      <c r="D913" s="7" t="inlineStr">
        <is>
          <t>KL08BL3234</t>
        </is>
      </c>
      <c r="E913" s="7" t="inlineStr">
        <is>
          <t>SKODA</t>
        </is>
      </c>
      <c r="F913" s="7" t="inlineStr">
        <is>
          <t>Rapid</t>
        </is>
      </c>
      <c r="G913" s="7" t="inlineStr">
        <is>
          <t>PHOENIX VOLKSWAGEN</t>
        </is>
      </c>
      <c r="H913" s="7" t="inlineStr">
        <is>
          <t>Non-Captive</t>
        </is>
      </c>
      <c r="I913" s="7" t="inlineStr">
        <is>
          <t>Umesh Kumar T U</t>
        </is>
      </c>
      <c r="J913" s="8" t="n"/>
      <c r="K913" s="9" t="n">
        <v>144371</v>
      </c>
      <c r="L913" s="10" t="n">
        <v>290000</v>
      </c>
      <c r="M913" s="10" t="n">
        <v>8474.58</v>
      </c>
      <c r="N913" s="11">
        <f>IF(M913="","",ROUND(M913*1.18,2))</f>
        <v/>
      </c>
      <c r="O913" s="12">
        <f>IF(M913="","",ROUND(N913-M913,2))</f>
        <v/>
      </c>
      <c r="P913" s="13">
        <f>IF(AND(A913&lt;&gt;"",B913&lt;&gt;""), A913&amp;" · "&amp;B913, "")</f>
        <v/>
      </c>
    </row>
    <row r="914">
      <c r="A914" s="6" t="inlineStr">
        <is>
          <t>FY26</t>
        </is>
      </c>
      <c r="B914" s="6" t="inlineStr">
        <is>
          <t>Mar</t>
        </is>
      </c>
      <c r="C914" s="6" t="inlineStr">
        <is>
          <t>Kerala</t>
        </is>
      </c>
      <c r="D914" s="7" t="inlineStr">
        <is>
          <t>KL08BM6496</t>
        </is>
      </c>
      <c r="E914" s="7" t="inlineStr">
        <is>
          <t>MARUTI SUZUKI</t>
        </is>
      </c>
      <c r="F914" s="7" t="inlineStr">
        <is>
          <t>Ignis</t>
        </is>
      </c>
      <c r="G914" s="7" t="inlineStr">
        <is>
          <t>ERAM MOTORS</t>
        </is>
      </c>
      <c r="H914" s="7" t="inlineStr">
        <is>
          <t>Non-Captive</t>
        </is>
      </c>
      <c r="I914" s="7" t="inlineStr">
        <is>
          <t>Aitos Cars</t>
        </is>
      </c>
      <c r="J914" s="8" t="n"/>
      <c r="K914" s="9" t="n">
        <v>53260</v>
      </c>
      <c r="L914" s="10" t="n">
        <v>400000</v>
      </c>
      <c r="M914" s="10" t="n">
        <v>8474.58</v>
      </c>
      <c r="N914" s="11">
        <f>IF(M914="","",ROUND(M914*1.18,2))</f>
        <v/>
      </c>
      <c r="O914" s="12">
        <f>IF(M914="","",ROUND(N914-M914,2))</f>
        <v/>
      </c>
      <c r="P914" s="13">
        <f>IF(AND(A914&lt;&gt;"",B914&lt;&gt;""), A914&amp;" · "&amp;B914, "")</f>
        <v/>
      </c>
    </row>
    <row r="915">
      <c r="A915" s="6" t="inlineStr">
        <is>
          <t>FY26</t>
        </is>
      </c>
      <c r="B915" s="6" t="inlineStr">
        <is>
          <t>Mar</t>
        </is>
      </c>
      <c r="C915" s="6" t="inlineStr">
        <is>
          <t>Kerala</t>
        </is>
      </c>
      <c r="D915" s="7" t="inlineStr">
        <is>
          <t>KL08BM6884</t>
        </is>
      </c>
      <c r="E915" s="7" t="inlineStr">
        <is>
          <t>MARUTI SUZUKI</t>
        </is>
      </c>
      <c r="F915" s="7" t="inlineStr">
        <is>
          <t>Baleno</t>
        </is>
      </c>
      <c r="G915" s="7" t="inlineStr">
        <is>
          <t>PHOENIX VOLKSWAGEN</t>
        </is>
      </c>
      <c r="H915" s="7" t="inlineStr">
        <is>
          <t>Non-Captive</t>
        </is>
      </c>
      <c r="I915" s="7" t="inlineStr">
        <is>
          <t>Umesh Kumar T U</t>
        </is>
      </c>
      <c r="J915" s="8" t="n"/>
      <c r="K915" s="9" t="n">
        <v>78000</v>
      </c>
      <c r="L915" s="10" t="n">
        <v>450000</v>
      </c>
      <c r="M915" s="10" t="n">
        <v>8474.58</v>
      </c>
      <c r="N915" s="11">
        <f>IF(M915="","",ROUND(M915*1.18,2))</f>
        <v/>
      </c>
      <c r="O915" s="12">
        <f>IF(M915="","",ROUND(N915-M915,2))</f>
        <v/>
      </c>
      <c r="P915" s="13">
        <f>IF(AND(A915&lt;&gt;"",B915&lt;&gt;""), A915&amp;" · "&amp;B915, "")</f>
        <v/>
      </c>
    </row>
    <row r="916">
      <c r="A916" s="6" t="inlineStr">
        <is>
          <t>FY26</t>
        </is>
      </c>
      <c r="B916" s="6" t="inlineStr">
        <is>
          <t>Mar</t>
        </is>
      </c>
      <c r="C916" s="6" t="inlineStr">
        <is>
          <t>Kerala</t>
        </is>
      </c>
      <c r="D916" s="7" t="inlineStr">
        <is>
          <t>KL08BQ1636</t>
        </is>
      </c>
      <c r="E916" s="7" t="inlineStr">
        <is>
          <t>RENAULT</t>
        </is>
      </c>
      <c r="F916" s="7" t="inlineStr">
        <is>
          <t>Kwid</t>
        </is>
      </c>
      <c r="G916" s="7" t="inlineStr">
        <is>
          <t>JOHNS HONDA CARS</t>
        </is>
      </c>
      <c r="H916" s="7" t="inlineStr">
        <is>
          <t>Non-Captive</t>
        </is>
      </c>
      <c r="I916" s="7" t="inlineStr">
        <is>
          <t>Aitos Cars</t>
        </is>
      </c>
      <c r="J916" s="8" t="n"/>
      <c r="K916" s="9" t="n">
        <v>30000</v>
      </c>
      <c r="L916" s="10" t="n">
        <v>200000</v>
      </c>
      <c r="M916" s="10" t="n">
        <v>8474.58</v>
      </c>
      <c r="N916" s="11">
        <f>IF(M916="","",ROUND(M916*1.18,2))</f>
        <v/>
      </c>
      <c r="O916" s="12">
        <f>IF(M916="","",ROUND(N916-M916,2))</f>
        <v/>
      </c>
      <c r="P916" s="13">
        <f>IF(AND(A916&lt;&gt;"",B916&lt;&gt;""), A916&amp;" · "&amp;B916, "")</f>
        <v/>
      </c>
    </row>
    <row r="917">
      <c r="A917" s="6" t="inlineStr">
        <is>
          <t>FY26</t>
        </is>
      </c>
      <c r="B917" s="6" t="inlineStr">
        <is>
          <t>Mar</t>
        </is>
      </c>
      <c r="C917" s="6" t="inlineStr">
        <is>
          <t>Kerala</t>
        </is>
      </c>
      <c r="D917" s="7" t="inlineStr">
        <is>
          <t>KL10BH4824</t>
        </is>
      </c>
      <c r="E917" s="7" t="inlineStr">
        <is>
          <t>HYUNDAI</t>
        </is>
      </c>
      <c r="F917" s="7" t="inlineStr">
        <is>
          <t>Grand i10 Nios</t>
        </is>
      </c>
      <c r="G917" s="7" t="inlineStr">
        <is>
          <t>VIJIL</t>
        </is>
      </c>
      <c r="H917" s="7" t="inlineStr">
        <is>
          <t>Non-Captive</t>
        </is>
      </c>
      <c r="I917" s="7" t="inlineStr">
        <is>
          <t>CLASSIC HYUNDAI</t>
        </is>
      </c>
      <c r="J917" s="8" t="n"/>
      <c r="K917" s="9" t="n">
        <v>59000</v>
      </c>
      <c r="L917" s="10" t="n">
        <v>550000</v>
      </c>
      <c r="M917" s="10" t="n">
        <v>6779.66</v>
      </c>
      <c r="N917" s="11">
        <f>IF(M917="","",ROUND(M917*1.18,2))</f>
        <v/>
      </c>
      <c r="O917" s="12">
        <f>IF(M917="","",ROUND(N917-M917,2))</f>
        <v/>
      </c>
      <c r="P917" s="13">
        <f>IF(AND(A917&lt;&gt;"",B917&lt;&gt;""), A917&amp;" · "&amp;B917, "")</f>
        <v/>
      </c>
    </row>
    <row r="918">
      <c r="A918" s="6" t="inlineStr">
        <is>
          <t>FY26</t>
        </is>
      </c>
      <c r="B918" s="6" t="inlineStr">
        <is>
          <t>Mar</t>
        </is>
      </c>
      <c r="C918" s="6" t="inlineStr">
        <is>
          <t>Kerala</t>
        </is>
      </c>
      <c r="D918" s="7" t="inlineStr">
        <is>
          <t>KL11AH9649</t>
        </is>
      </c>
      <c r="E918" s="7" t="inlineStr">
        <is>
          <t>MARUTI SUZUKI</t>
        </is>
      </c>
      <c r="F918" s="7" t="inlineStr">
        <is>
          <t>Alto</t>
        </is>
      </c>
      <c r="G918" s="7" t="inlineStr">
        <is>
          <t>UNAISE</t>
        </is>
      </c>
      <c r="H918" s="7" t="inlineStr">
        <is>
          <t>Non-Captive</t>
        </is>
      </c>
      <c r="I918" s="7" t="inlineStr">
        <is>
          <t>MOTOEXCHANGE</t>
        </is>
      </c>
      <c r="J918" s="8" t="n"/>
      <c r="K918" s="9" t="n">
        <v>100000</v>
      </c>
      <c r="L918" s="10" t="n">
        <v>47000</v>
      </c>
      <c r="M918" s="10" t="n">
        <v>5084.75</v>
      </c>
      <c r="N918" s="11">
        <f>IF(M918="","",ROUND(M918*1.18,2))</f>
        <v/>
      </c>
      <c r="O918" s="12">
        <f>IF(M918="","",ROUND(N918-M918,2))</f>
        <v/>
      </c>
      <c r="P918" s="13">
        <f>IF(AND(A918&lt;&gt;"",B918&lt;&gt;""), A918&amp;" · "&amp;B918, "")</f>
        <v/>
      </c>
    </row>
    <row r="919">
      <c r="A919" s="6" t="inlineStr">
        <is>
          <t>FY26</t>
        </is>
      </c>
      <c r="B919" s="6" t="inlineStr">
        <is>
          <t>Mar</t>
        </is>
      </c>
      <c r="C919" s="6" t="inlineStr">
        <is>
          <t>Kerala</t>
        </is>
      </c>
      <c r="D919" s="7" t="inlineStr">
        <is>
          <t>KL11AV2300</t>
        </is>
      </c>
      <c r="E919" s="7" t="inlineStr">
        <is>
          <t>FORD</t>
        </is>
      </c>
      <c r="F919" s="7" t="inlineStr">
        <is>
          <t>EcoSport</t>
        </is>
      </c>
      <c r="G919" s="7" t="inlineStr">
        <is>
          <t>UNAISE</t>
        </is>
      </c>
      <c r="H919" s="7" t="inlineStr">
        <is>
          <t>Non-Captive</t>
        </is>
      </c>
      <c r="I919" s="7" t="inlineStr">
        <is>
          <t>BIMAL</t>
        </is>
      </c>
      <c r="J919" s="8" t="n"/>
      <c r="K919" s="9" t="n">
        <v>120000</v>
      </c>
      <c r="L919" s="10" t="n">
        <v>350000</v>
      </c>
      <c r="M919" s="10" t="n">
        <v>8474.58</v>
      </c>
      <c r="N919" s="11">
        <f>IF(M919="","",ROUND(M919*1.18,2))</f>
        <v/>
      </c>
      <c r="O919" s="12">
        <f>IF(M919="","",ROUND(N919-M919,2))</f>
        <v/>
      </c>
      <c r="P919" s="13">
        <f>IF(AND(A919&lt;&gt;"",B919&lt;&gt;""), A919&amp;" · "&amp;B919, "")</f>
        <v/>
      </c>
    </row>
    <row r="920">
      <c r="A920" s="6" t="inlineStr">
        <is>
          <t>FY26</t>
        </is>
      </c>
      <c r="B920" s="6" t="inlineStr">
        <is>
          <t>Mar</t>
        </is>
      </c>
      <c r="C920" s="6" t="inlineStr">
        <is>
          <t>Kerala</t>
        </is>
      </c>
      <c r="D920" s="7" t="inlineStr">
        <is>
          <t>KL11AW1914</t>
        </is>
      </c>
      <c r="E920" s="7" t="inlineStr">
        <is>
          <t>RENAULT</t>
        </is>
      </c>
      <c r="F920" s="7" t="inlineStr">
        <is>
          <t>Duster</t>
        </is>
      </c>
      <c r="G920" s="7" t="inlineStr">
        <is>
          <t>PRASEED KUMAR</t>
        </is>
      </c>
      <c r="H920" s="7" t="inlineStr">
        <is>
          <t>Non-Captive</t>
        </is>
      </c>
      <c r="I920" s="7" t="inlineStr">
        <is>
          <t>MOTOEXCHANGE</t>
        </is>
      </c>
      <c r="J920" s="8" t="n"/>
      <c r="K920" s="9" t="n">
        <v>83000</v>
      </c>
      <c r="L920" s="10" t="n">
        <v>245000</v>
      </c>
      <c r="M920" s="10" t="n">
        <v>8474.58</v>
      </c>
      <c r="N920" s="11">
        <f>IF(M920="","",ROUND(M920*1.18,2))</f>
        <v/>
      </c>
      <c r="O920" s="12">
        <f>IF(M920="","",ROUND(N920-M920,2))</f>
        <v/>
      </c>
      <c r="P920" s="13">
        <f>IF(AND(A920&lt;&gt;"",B920&lt;&gt;""), A920&amp;" · "&amp;B920, "")</f>
        <v/>
      </c>
    </row>
    <row r="921">
      <c r="A921" s="6" t="inlineStr">
        <is>
          <t>FY26</t>
        </is>
      </c>
      <c r="B921" s="6" t="inlineStr">
        <is>
          <t>Mar</t>
        </is>
      </c>
      <c r="C921" s="6" t="inlineStr">
        <is>
          <t>Kerala</t>
        </is>
      </c>
      <c r="D921" s="7" t="inlineStr">
        <is>
          <t>KL11BB2328</t>
        </is>
      </c>
      <c r="E921" s="7" t="inlineStr">
        <is>
          <t>MARUTI SUZUKI</t>
        </is>
      </c>
      <c r="F921" s="7" t="inlineStr">
        <is>
          <t>Celerio</t>
        </is>
      </c>
      <c r="G921" s="7" t="inlineStr">
        <is>
          <t>KANNUR PLATINUM</t>
        </is>
      </c>
      <c r="H921" s="7" t="inlineStr">
        <is>
          <t>Non-Captive</t>
        </is>
      </c>
      <c r="I921" s="7" t="inlineStr">
        <is>
          <t>UCD SANOOP</t>
        </is>
      </c>
      <c r="J921" s="8" t="n"/>
      <c r="K921" s="9" t="n">
        <v>55000</v>
      </c>
      <c r="L921" s="10" t="n">
        <v>300000</v>
      </c>
      <c r="M921" s="10" t="n">
        <v>4237.29</v>
      </c>
      <c r="N921" s="11">
        <f>IF(M921="","",ROUND(M921*1.18,2))</f>
        <v/>
      </c>
      <c r="O921" s="12">
        <f>IF(M921="","",ROUND(N921-M921,2))</f>
        <v/>
      </c>
      <c r="P921" s="13">
        <f>IF(AND(A921&lt;&gt;"",B921&lt;&gt;""), A921&amp;" · "&amp;B921, "")</f>
        <v/>
      </c>
    </row>
    <row r="922">
      <c r="A922" s="6" t="inlineStr">
        <is>
          <t>FY26</t>
        </is>
      </c>
      <c r="B922" s="6" t="inlineStr">
        <is>
          <t>Mar</t>
        </is>
      </c>
      <c r="C922" s="6" t="inlineStr">
        <is>
          <t>Kerala</t>
        </is>
      </c>
      <c r="D922" s="7" t="inlineStr">
        <is>
          <t>KL11BC7392</t>
        </is>
      </c>
      <c r="E922" s="7" t="inlineStr">
        <is>
          <t>MARUTI SUZUKI</t>
        </is>
      </c>
      <c r="F922" s="7" t="inlineStr">
        <is>
          <t>Alto</t>
        </is>
      </c>
      <c r="G922" s="7" t="inlineStr">
        <is>
          <t>SANOOP KM</t>
        </is>
      </c>
      <c r="H922" s="7" t="inlineStr">
        <is>
          <t>Non-Captive</t>
        </is>
      </c>
      <c r="I922" s="7" t="inlineStr">
        <is>
          <t>PK SANTOSH UCD</t>
        </is>
      </c>
      <c r="J922" s="8" t="n"/>
      <c r="K922" s="9" t="n">
        <v>44000</v>
      </c>
      <c r="L922" s="10" t="n">
        <v>215000</v>
      </c>
      <c r="M922" s="10" t="n">
        <v>8474.58</v>
      </c>
      <c r="N922" s="11">
        <f>IF(M922="","",ROUND(M922*1.18,2))</f>
        <v/>
      </c>
      <c r="O922" s="12">
        <f>IF(M922="","",ROUND(N922-M922,2))</f>
        <v/>
      </c>
      <c r="P922" s="13">
        <f>IF(AND(A922&lt;&gt;"",B922&lt;&gt;""), A922&amp;" · "&amp;B922, "")</f>
        <v/>
      </c>
    </row>
    <row r="923">
      <c r="A923" s="6" t="inlineStr">
        <is>
          <t>FY26</t>
        </is>
      </c>
      <c r="B923" s="6" t="inlineStr">
        <is>
          <t>Mar</t>
        </is>
      </c>
      <c r="C923" s="6" t="inlineStr">
        <is>
          <t>Kerala</t>
        </is>
      </c>
      <c r="D923" s="7" t="inlineStr">
        <is>
          <t>KL11BD5650</t>
        </is>
      </c>
      <c r="E923" s="7" t="inlineStr">
        <is>
          <t>MAHINDRA</t>
        </is>
      </c>
      <c r="F923" s="7" t="inlineStr">
        <is>
          <t>KUV100</t>
        </is>
      </c>
      <c r="G923" s="7" t="inlineStr">
        <is>
          <t>SUNILKUMAR S</t>
        </is>
      </c>
      <c r="H923" s="7" t="inlineStr">
        <is>
          <t>Non-Captive</t>
        </is>
      </c>
      <c r="I923" s="7" t="inlineStr">
        <is>
          <t>PK SANTOSH UCD</t>
        </is>
      </c>
      <c r="J923" s="8" t="n"/>
      <c r="K923" s="9" t="n">
        <v>84000</v>
      </c>
      <c r="L923" s="10" t="n">
        <v>215000</v>
      </c>
      <c r="M923" s="10" t="n">
        <v>8474.58</v>
      </c>
      <c r="N923" s="11">
        <f>IF(M923="","",ROUND(M923*1.18,2))</f>
        <v/>
      </c>
      <c r="O923" s="12">
        <f>IF(M923="","",ROUND(N923-M923,2))</f>
        <v/>
      </c>
      <c r="P923" s="13">
        <f>IF(AND(A923&lt;&gt;"",B923&lt;&gt;""), A923&amp;" · "&amp;B923, "")</f>
        <v/>
      </c>
    </row>
    <row r="924">
      <c r="A924" s="6" t="inlineStr">
        <is>
          <t>FY26</t>
        </is>
      </c>
      <c r="B924" s="6" t="inlineStr">
        <is>
          <t>Mar</t>
        </is>
      </c>
      <c r="C924" s="6" t="inlineStr">
        <is>
          <t>Kerala</t>
        </is>
      </c>
      <c r="D924" s="7" t="inlineStr">
        <is>
          <t>KL11BX2700</t>
        </is>
      </c>
      <c r="E924" s="7" t="inlineStr">
        <is>
          <t>NISSAN</t>
        </is>
      </c>
      <c r="F924" s="7" t="inlineStr">
        <is>
          <t>Terrano</t>
        </is>
      </c>
      <c r="G924" s="7" t="inlineStr">
        <is>
          <t>SANOOP</t>
        </is>
      </c>
      <c r="H924" s="7" t="inlineStr">
        <is>
          <t>Non-Captive</t>
        </is>
      </c>
      <c r="I924" s="7" t="inlineStr">
        <is>
          <t>HARIS</t>
        </is>
      </c>
      <c r="J924" s="8" t="n"/>
      <c r="K924" s="9" t="n">
        <v>88000</v>
      </c>
      <c r="L924" s="10" t="n">
        <v>280000</v>
      </c>
      <c r="M924" s="10" t="n">
        <v>8474.58</v>
      </c>
      <c r="N924" s="11">
        <f>IF(M924="","",ROUND(M924*1.18,2))</f>
        <v/>
      </c>
      <c r="O924" s="12">
        <f>IF(M924="","",ROUND(N924-M924,2))</f>
        <v/>
      </c>
      <c r="P924" s="13">
        <f>IF(AND(A924&lt;&gt;"",B924&lt;&gt;""), A924&amp;" · "&amp;B924, "")</f>
        <v/>
      </c>
    </row>
    <row r="925">
      <c r="A925" s="6" t="inlineStr">
        <is>
          <t>FY26</t>
        </is>
      </c>
      <c r="B925" s="6" t="inlineStr">
        <is>
          <t>Mar</t>
        </is>
      </c>
      <c r="C925" s="6" t="inlineStr">
        <is>
          <t>Kerala</t>
        </is>
      </c>
      <c r="D925" s="7" t="inlineStr">
        <is>
          <t>KL11BY4248</t>
        </is>
      </c>
      <c r="E925" s="7" t="inlineStr">
        <is>
          <t>KIA</t>
        </is>
      </c>
      <c r="F925" s="7" t="inlineStr">
        <is>
          <t>Seltos</t>
        </is>
      </c>
      <c r="G925" s="7" t="inlineStr">
        <is>
          <t>VIJIL</t>
        </is>
      </c>
      <c r="H925" s="7" t="inlineStr">
        <is>
          <t>Non-Captive</t>
        </is>
      </c>
      <c r="I925" s="7" t="inlineStr">
        <is>
          <t>DKH KIA</t>
        </is>
      </c>
      <c r="J925" s="8" t="n"/>
      <c r="K925" s="9" t="n">
        <v>80000</v>
      </c>
      <c r="L925" s="10" t="n">
        <v>1200000</v>
      </c>
      <c r="M925" s="10" t="n">
        <v>8474.58</v>
      </c>
      <c r="N925" s="11">
        <f>IF(M925="","",ROUND(M925*1.18,2))</f>
        <v/>
      </c>
      <c r="O925" s="12">
        <f>IF(M925="","",ROUND(N925-M925,2))</f>
        <v/>
      </c>
      <c r="P925" s="13">
        <f>IF(AND(A925&lt;&gt;"",B925&lt;&gt;""), A925&amp;" · "&amp;B925, "")</f>
        <v/>
      </c>
    </row>
    <row r="926">
      <c r="A926" s="6" t="inlineStr">
        <is>
          <t>FY26</t>
        </is>
      </c>
      <c r="B926" s="6" t="inlineStr">
        <is>
          <t>Mar</t>
        </is>
      </c>
      <c r="C926" s="6" t="inlineStr">
        <is>
          <t>Kerala</t>
        </is>
      </c>
      <c r="D926" s="7" t="inlineStr">
        <is>
          <t>KL12H4422</t>
        </is>
      </c>
      <c r="E926" s="7" t="inlineStr">
        <is>
          <t>HYUNDAI</t>
        </is>
      </c>
      <c r="F926" s="7" t="inlineStr">
        <is>
          <t>Eon</t>
        </is>
      </c>
      <c r="G926" s="7" t="inlineStr">
        <is>
          <t>VASIL</t>
        </is>
      </c>
      <c r="H926" s="7" t="inlineStr">
        <is>
          <t>Non-Captive</t>
        </is>
      </c>
      <c r="I926" s="7" t="inlineStr">
        <is>
          <t>AM MOTORS</t>
        </is>
      </c>
      <c r="J926" s="8" t="n"/>
      <c r="K926" s="9" t="n">
        <v>90000</v>
      </c>
      <c r="L926" s="10" t="n">
        <v>120000</v>
      </c>
      <c r="M926" s="10" t="n">
        <v>8474.58</v>
      </c>
      <c r="N926" s="11">
        <f>IF(M926="","",ROUND(M926*1.18,2))</f>
        <v/>
      </c>
      <c r="O926" s="12">
        <f>IF(M926="","",ROUND(N926-M926,2))</f>
        <v/>
      </c>
      <c r="P926" s="13">
        <f>IF(AND(A926&lt;&gt;"",B926&lt;&gt;""), A926&amp;" · "&amp;B926, "")</f>
        <v/>
      </c>
    </row>
    <row r="927">
      <c r="A927" s="6" t="inlineStr">
        <is>
          <t>FY26</t>
        </is>
      </c>
      <c r="B927" s="6" t="inlineStr">
        <is>
          <t>Mar</t>
        </is>
      </c>
      <c r="C927" s="6" t="inlineStr">
        <is>
          <t>Kerala</t>
        </is>
      </c>
      <c r="D927" s="7" t="inlineStr">
        <is>
          <t>KL13AC9904</t>
        </is>
      </c>
      <c r="E927" s="7" t="inlineStr">
        <is>
          <t>MARUTI SUZUKI</t>
        </is>
      </c>
      <c r="F927" s="7" t="inlineStr">
        <is>
          <t>Celerio</t>
        </is>
      </c>
      <c r="G927" s="7" t="inlineStr">
        <is>
          <t>SANOOP KM</t>
        </is>
      </c>
      <c r="H927" s="7" t="inlineStr">
        <is>
          <t>Non-Captive</t>
        </is>
      </c>
      <c r="I927" s="7" t="inlineStr">
        <is>
          <t>UCD ABHILASH</t>
        </is>
      </c>
      <c r="J927" s="8" t="n"/>
      <c r="K927" s="9" t="n">
        <v>35000</v>
      </c>
      <c r="L927" s="10" t="n">
        <v>225000</v>
      </c>
      <c r="M927" s="10" t="n">
        <v>8474.58</v>
      </c>
      <c r="N927" s="11">
        <f>IF(M927="","",ROUND(M927*1.18,2))</f>
        <v/>
      </c>
      <c r="O927" s="12">
        <f>IF(M927="","",ROUND(N927-M927,2))</f>
        <v/>
      </c>
      <c r="P927" s="13">
        <f>IF(AND(A927&lt;&gt;"",B927&lt;&gt;""), A927&amp;" · "&amp;B927, "")</f>
        <v/>
      </c>
    </row>
    <row r="928">
      <c r="A928" s="6" t="inlineStr">
        <is>
          <t>FY26</t>
        </is>
      </c>
      <c r="B928" s="6" t="inlineStr">
        <is>
          <t>Mar</t>
        </is>
      </c>
      <c r="C928" s="6" t="inlineStr">
        <is>
          <t>Kerala</t>
        </is>
      </c>
      <c r="D928" s="7" t="inlineStr">
        <is>
          <t>KL13AD8254</t>
        </is>
      </c>
      <c r="E928" s="7" t="inlineStr">
        <is>
          <t>MARUTI SUZUKI</t>
        </is>
      </c>
      <c r="F928" s="7" t="inlineStr">
        <is>
          <t>Wagon R</t>
        </is>
      </c>
      <c r="G928" s="7" t="inlineStr">
        <is>
          <t>MUHAMMED NIZAB</t>
        </is>
      </c>
      <c r="H928" s="7" t="inlineStr">
        <is>
          <t>Non-Captive</t>
        </is>
      </c>
      <c r="I928" s="7" t="inlineStr">
        <is>
          <t>SHAJEE CARS</t>
        </is>
      </c>
      <c r="J928" s="8" t="n"/>
      <c r="K928" s="9" t="n">
        <v>70000</v>
      </c>
      <c r="L928" s="10" t="n">
        <v>290000</v>
      </c>
      <c r="M928" s="10" t="n">
        <v>8474.58</v>
      </c>
      <c r="N928" s="11">
        <f>IF(M928="","",ROUND(M928*1.18,2))</f>
        <v/>
      </c>
      <c r="O928" s="12">
        <f>IF(M928="","",ROUND(N928-M928,2))</f>
        <v/>
      </c>
      <c r="P928" s="13">
        <f>IF(AND(A928&lt;&gt;"",B928&lt;&gt;""), A928&amp;" · "&amp;B928, "")</f>
        <v/>
      </c>
    </row>
    <row r="929">
      <c r="A929" s="6" t="inlineStr">
        <is>
          <t>FY26</t>
        </is>
      </c>
      <c r="B929" s="6" t="inlineStr">
        <is>
          <t>Mar</t>
        </is>
      </c>
      <c r="C929" s="6" t="inlineStr">
        <is>
          <t>Kerala</t>
        </is>
      </c>
      <c r="D929" s="7" t="inlineStr">
        <is>
          <t>KL13AH8640</t>
        </is>
      </c>
      <c r="E929" s="7" t="inlineStr">
        <is>
          <t>MARUTI SUZUKI</t>
        </is>
      </c>
      <c r="F929" s="7" t="inlineStr">
        <is>
          <t>Swift</t>
        </is>
      </c>
      <c r="G929" s="7" t="inlineStr">
        <is>
          <t>VASIL</t>
        </is>
      </c>
      <c r="H929" s="7" t="inlineStr">
        <is>
          <t>Non-Captive</t>
        </is>
      </c>
      <c r="I929" s="7" t="inlineStr">
        <is>
          <t>CLASSIC HYUNDAI</t>
        </is>
      </c>
      <c r="J929" s="8" t="n"/>
      <c r="K929" s="9" t="n">
        <v>62000</v>
      </c>
      <c r="L929" s="10" t="n">
        <v>370000</v>
      </c>
      <c r="M929" s="10" t="n">
        <v>8474.58</v>
      </c>
      <c r="N929" s="11">
        <f>IF(M929="","",ROUND(M929*1.18,2))</f>
        <v/>
      </c>
      <c r="O929" s="12">
        <f>IF(M929="","",ROUND(N929-M929,2))</f>
        <v/>
      </c>
      <c r="P929" s="13">
        <f>IF(AND(A929&lt;&gt;"",B929&lt;&gt;""), A929&amp;" · "&amp;B929, "")</f>
        <v/>
      </c>
    </row>
    <row r="930">
      <c r="A930" s="6" t="inlineStr">
        <is>
          <t>FY26</t>
        </is>
      </c>
      <c r="B930" s="6" t="inlineStr">
        <is>
          <t>Mar</t>
        </is>
      </c>
      <c r="C930" s="6" t="inlineStr">
        <is>
          <t>Kerala</t>
        </is>
      </c>
      <c r="D930" s="7" t="inlineStr">
        <is>
          <t>KL13AT6587</t>
        </is>
      </c>
      <c r="E930" s="7" t="inlineStr">
        <is>
          <t>HONDA</t>
        </is>
      </c>
      <c r="F930" s="7" t="inlineStr">
        <is>
          <t>Amaze</t>
        </is>
      </c>
      <c r="G930" s="7" t="inlineStr">
        <is>
          <t>AUTOBOT</t>
        </is>
      </c>
      <c r="H930" s="7" t="inlineStr">
        <is>
          <t>Non-Captive</t>
        </is>
      </c>
      <c r="I930" s="7" t="inlineStr">
        <is>
          <t>UCD PRAJOSH</t>
        </is>
      </c>
      <c r="J930" s="8" t="n"/>
      <c r="K930" s="9" t="n">
        <v>45000</v>
      </c>
      <c r="L930" s="10" t="n">
        <v>500000</v>
      </c>
      <c r="M930" s="10" t="n">
        <v>4237.29</v>
      </c>
      <c r="N930" s="11">
        <f>IF(M930="","",ROUND(M930*1.18,2))</f>
        <v/>
      </c>
      <c r="O930" s="12">
        <f>IF(M930="","",ROUND(N930-M930,2))</f>
        <v/>
      </c>
      <c r="P930" s="13">
        <f>IF(AND(A930&lt;&gt;"",B930&lt;&gt;""), A930&amp;" · "&amp;B930, "")</f>
        <v/>
      </c>
    </row>
    <row r="931">
      <c r="A931" s="6" t="inlineStr">
        <is>
          <t>FY26</t>
        </is>
      </c>
      <c r="B931" s="6" t="inlineStr">
        <is>
          <t>Mar</t>
        </is>
      </c>
      <c r="C931" s="6" t="inlineStr">
        <is>
          <t>Kerala</t>
        </is>
      </c>
      <c r="D931" s="7" t="inlineStr">
        <is>
          <t>KL13AW6601</t>
        </is>
      </c>
      <c r="E931" s="7" t="inlineStr">
        <is>
          <t>MARUTI SUZUKI</t>
        </is>
      </c>
      <c r="F931" s="7" t="inlineStr">
        <is>
          <t>Baleno</t>
        </is>
      </c>
      <c r="G931" s="7" t="inlineStr">
        <is>
          <t>PRAJOSH</t>
        </is>
      </c>
      <c r="H931" s="7" t="inlineStr">
        <is>
          <t>Non-Captive</t>
        </is>
      </c>
      <c r="I931" s="7" t="inlineStr">
        <is>
          <t>APCO HYUNDAI</t>
        </is>
      </c>
      <c r="J931" s="8" t="n"/>
      <c r="K931" s="9" t="n">
        <v>77890</v>
      </c>
      <c r="L931" s="10" t="n">
        <v>350000</v>
      </c>
      <c r="M931" s="10" t="n">
        <v>4237.29</v>
      </c>
      <c r="N931" s="11">
        <f>IF(M931="","",ROUND(M931*1.18,2))</f>
        <v/>
      </c>
      <c r="O931" s="12">
        <f>IF(M931="","",ROUND(N931-M931,2))</f>
        <v/>
      </c>
      <c r="P931" s="13">
        <f>IF(AND(A931&lt;&gt;"",B931&lt;&gt;""), A931&amp;" · "&amp;B931, "")</f>
        <v/>
      </c>
    </row>
    <row r="932">
      <c r="A932" s="6" t="inlineStr">
        <is>
          <t>FY26</t>
        </is>
      </c>
      <c r="B932" s="6" t="inlineStr">
        <is>
          <t>Mar</t>
        </is>
      </c>
      <c r="C932" s="6" t="inlineStr">
        <is>
          <t>Kerala</t>
        </is>
      </c>
      <c r="D932" s="7" t="inlineStr">
        <is>
          <t>KL13AW7090</t>
        </is>
      </c>
      <c r="E932" s="7" t="inlineStr">
        <is>
          <t>TATA</t>
        </is>
      </c>
      <c r="F932" s="7" t="inlineStr">
        <is>
          <t>Harrier</t>
        </is>
      </c>
      <c r="G932" s="7" t="inlineStr">
        <is>
          <t>MARVEL VIJIL</t>
        </is>
      </c>
      <c r="H932" s="7" t="inlineStr">
        <is>
          <t>Non-Captive</t>
        </is>
      </c>
      <c r="I932" s="7" t="inlineStr">
        <is>
          <t>KVR TATA</t>
        </is>
      </c>
      <c r="J932" s="8" t="n"/>
      <c r="K932" s="9" t="n">
        <v>42000</v>
      </c>
      <c r="L932" s="10" t="n">
        <v>1530000</v>
      </c>
      <c r="M932" s="10" t="n">
        <v>16949.15</v>
      </c>
      <c r="N932" s="11">
        <f>IF(M932="","",ROUND(M932*1.18,2))</f>
        <v/>
      </c>
      <c r="O932" s="12">
        <f>IF(M932="","",ROUND(N932-M932,2))</f>
        <v/>
      </c>
      <c r="P932" s="13">
        <f>IF(AND(A932&lt;&gt;"",B932&lt;&gt;""), A932&amp;" · "&amp;B932, "")</f>
        <v/>
      </c>
    </row>
    <row r="933">
      <c r="A933" s="6" t="inlineStr">
        <is>
          <t>FY26</t>
        </is>
      </c>
      <c r="B933" s="6" t="inlineStr">
        <is>
          <t>Mar</t>
        </is>
      </c>
      <c r="C933" s="6" t="inlineStr">
        <is>
          <t>Kerala</t>
        </is>
      </c>
      <c r="D933" s="7" t="inlineStr">
        <is>
          <t>KL14S6863</t>
        </is>
      </c>
      <c r="E933" s="7" t="inlineStr">
        <is>
          <t>HYUNDAI</t>
        </is>
      </c>
      <c r="F933" s="7" t="inlineStr">
        <is>
          <t>i10</t>
        </is>
      </c>
      <c r="G933" s="7" t="inlineStr">
        <is>
          <t>MARVEL VIJIL</t>
        </is>
      </c>
      <c r="H933" s="7" t="inlineStr">
        <is>
          <t>Non-Captive</t>
        </is>
      </c>
      <c r="I933" s="7" t="inlineStr">
        <is>
          <t>KVR TATA</t>
        </is>
      </c>
      <c r="J933" s="8" t="n"/>
      <c r="K933" s="9" t="n">
        <v>118000</v>
      </c>
      <c r="L933" s="10" t="n">
        <v>235000</v>
      </c>
      <c r="M933" s="10" t="n">
        <v>4237.29</v>
      </c>
      <c r="N933" s="11">
        <f>IF(M933="","",ROUND(M933*1.18,2))</f>
        <v/>
      </c>
      <c r="O933" s="12">
        <f>IF(M933="","",ROUND(N933-M933,2))</f>
        <v/>
      </c>
      <c r="P933" s="13">
        <f>IF(AND(A933&lt;&gt;"",B933&lt;&gt;""), A933&amp;" · "&amp;B933, "")</f>
        <v/>
      </c>
    </row>
    <row r="934">
      <c r="A934" s="6" t="inlineStr">
        <is>
          <t>FY26</t>
        </is>
      </c>
      <c r="B934" s="6" t="inlineStr">
        <is>
          <t>Mar</t>
        </is>
      </c>
      <c r="C934" s="6" t="inlineStr">
        <is>
          <t>Kerala</t>
        </is>
      </c>
      <c r="D934" s="7" t="inlineStr">
        <is>
          <t>KL14T0826</t>
        </is>
      </c>
      <c r="E934" s="7" t="inlineStr">
        <is>
          <t>MARUTI SUZUKI</t>
        </is>
      </c>
      <c r="F934" s="7" t="inlineStr">
        <is>
          <t>Swift</t>
        </is>
      </c>
      <c r="G934" s="7" t="inlineStr">
        <is>
          <t>NISAB</t>
        </is>
      </c>
      <c r="H934" s="7" t="inlineStr">
        <is>
          <t>Non-Captive</t>
        </is>
      </c>
      <c r="I934" s="7" t="inlineStr">
        <is>
          <t>PRAJOTH</t>
        </is>
      </c>
      <c r="J934" s="8" t="n"/>
      <c r="K934" s="9" t="n">
        <v>107000</v>
      </c>
      <c r="L934" s="10" t="n">
        <v>421000</v>
      </c>
      <c r="M934" s="10" t="n">
        <v>7627.12</v>
      </c>
      <c r="N934" s="11">
        <f>IF(M934="","",ROUND(M934*1.18,2))</f>
        <v/>
      </c>
      <c r="O934" s="12">
        <f>IF(M934="","",ROUND(N934-M934,2))</f>
        <v/>
      </c>
      <c r="P934" s="13">
        <f>IF(AND(A934&lt;&gt;"",B934&lt;&gt;""), A934&amp;" · "&amp;B934, "")</f>
        <v/>
      </c>
    </row>
    <row r="935">
      <c r="A935" s="6" t="inlineStr">
        <is>
          <t>FY26</t>
        </is>
      </c>
      <c r="B935" s="6" t="inlineStr">
        <is>
          <t>Mar</t>
        </is>
      </c>
      <c r="C935" s="6" t="inlineStr">
        <is>
          <t>Kerala</t>
        </is>
      </c>
      <c r="D935" s="7" t="inlineStr">
        <is>
          <t>KL17V7826</t>
        </is>
      </c>
      <c r="E935" s="7" t="inlineStr">
        <is>
          <t>HYUNDAI</t>
        </is>
      </c>
      <c r="F935" s="7" t="inlineStr">
        <is>
          <t>Santro</t>
        </is>
      </c>
      <c r="G935" s="7" t="inlineStr">
        <is>
          <t>EVM SKODA</t>
        </is>
      </c>
      <c r="H935" s="7" t="inlineStr">
        <is>
          <t>Non-Captive</t>
        </is>
      </c>
      <c r="I935" s="7" t="inlineStr">
        <is>
          <t>DINESH P S</t>
        </is>
      </c>
      <c r="J935" s="8" t="n"/>
      <c r="K935" s="9" t="n">
        <v>36711</v>
      </c>
      <c r="L935" s="10" t="n">
        <v>225000</v>
      </c>
      <c r="M935" s="10" t="n">
        <v>8474.58</v>
      </c>
      <c r="N935" s="11">
        <f>IF(M935="","",ROUND(M935*1.18,2))</f>
        <v/>
      </c>
      <c r="O935" s="12">
        <f>IF(M935="","",ROUND(N935-M935,2))</f>
        <v/>
      </c>
      <c r="P935" s="13">
        <f>IF(AND(A935&lt;&gt;"",B935&lt;&gt;""), A935&amp;" · "&amp;B935, "")</f>
        <v/>
      </c>
    </row>
    <row r="936">
      <c r="A936" s="6" t="inlineStr">
        <is>
          <t>FY26</t>
        </is>
      </c>
      <c r="B936" s="6" t="inlineStr">
        <is>
          <t>Mar</t>
        </is>
      </c>
      <c r="C936" s="6" t="inlineStr">
        <is>
          <t>Kerala</t>
        </is>
      </c>
      <c r="D936" s="7" t="inlineStr">
        <is>
          <t>KL18D9933</t>
        </is>
      </c>
      <c r="E936" s="7" t="inlineStr">
        <is>
          <t>CHEVROLET</t>
        </is>
      </c>
      <c r="F936" s="7" t="inlineStr">
        <is>
          <t>Uva</t>
        </is>
      </c>
      <c r="G936" s="7" t="inlineStr">
        <is>
          <t>ARJID</t>
        </is>
      </c>
      <c r="H936" s="7" t="inlineStr">
        <is>
          <t>Non-Captive</t>
        </is>
      </c>
      <c r="I936" s="7" t="inlineStr">
        <is>
          <t>KVR TATA</t>
        </is>
      </c>
      <c r="J936" s="8" t="n"/>
      <c r="K936" s="9" t="n">
        <v>109000</v>
      </c>
      <c r="L936" s="10" t="n">
        <v>14000</v>
      </c>
      <c r="M936" s="10" t="n">
        <v>5084.75</v>
      </c>
      <c r="N936" s="11">
        <f>IF(M936="","",ROUND(M936*1.18,2))</f>
        <v/>
      </c>
      <c r="O936" s="12">
        <f>IF(M936="","",ROUND(N936-M936,2))</f>
        <v/>
      </c>
      <c r="P936" s="13">
        <f>IF(AND(A936&lt;&gt;"",B936&lt;&gt;""), A936&amp;" · "&amp;B936, "")</f>
        <v/>
      </c>
    </row>
    <row r="937">
      <c r="A937" s="6" t="inlineStr">
        <is>
          <t>FY26</t>
        </is>
      </c>
      <c r="B937" s="6" t="inlineStr">
        <is>
          <t>Mar</t>
        </is>
      </c>
      <c r="C937" s="6" t="inlineStr">
        <is>
          <t>Kerala</t>
        </is>
      </c>
      <c r="D937" s="7" t="inlineStr">
        <is>
          <t>KL20F2154</t>
        </is>
      </c>
      <c r="E937" s="7" t="inlineStr">
        <is>
          <t>CHEVROLET</t>
        </is>
      </c>
      <c r="F937" s="7" t="inlineStr">
        <is>
          <t>Beat</t>
        </is>
      </c>
      <c r="G937" s="7" t="inlineStr">
        <is>
          <t>LUXON TATA</t>
        </is>
      </c>
      <c r="H937" s="7" t="inlineStr">
        <is>
          <t>Non-Captive</t>
        </is>
      </c>
      <c r="I937" s="7" t="inlineStr">
        <is>
          <t>ABHISHEK</t>
        </is>
      </c>
      <c r="J937" s="8" t="n"/>
      <c r="K937" s="9" t="n">
        <v>55800</v>
      </c>
      <c r="L937" s="10" t="n">
        <v>70000</v>
      </c>
      <c r="M937" s="10" t="n">
        <v>5084.75</v>
      </c>
      <c r="N937" s="11">
        <f>IF(M937="","",ROUND(M937*1.18,2))</f>
        <v/>
      </c>
      <c r="O937" s="12">
        <f>IF(M937="","",ROUND(N937-M937,2))</f>
        <v/>
      </c>
      <c r="P937" s="13">
        <f>IF(AND(A937&lt;&gt;"",B937&lt;&gt;""), A937&amp;" · "&amp;B937, "")</f>
        <v/>
      </c>
    </row>
    <row r="938">
      <c r="A938" s="6" t="inlineStr">
        <is>
          <t>FY26</t>
        </is>
      </c>
      <c r="B938" s="6" t="inlineStr">
        <is>
          <t>Mar</t>
        </is>
      </c>
      <c r="C938" s="6" t="inlineStr">
        <is>
          <t>Kerala</t>
        </is>
      </c>
      <c r="D938" s="7" t="inlineStr">
        <is>
          <t>KL20J9239</t>
        </is>
      </c>
      <c r="E938" s="7" t="inlineStr">
        <is>
          <t>HONDA</t>
        </is>
      </c>
      <c r="F938" s="7" t="inlineStr">
        <is>
          <t>Jazz</t>
        </is>
      </c>
      <c r="G938" s="7" t="inlineStr">
        <is>
          <t>POPULAR HYUNDAI</t>
        </is>
      </c>
      <c r="H938" s="7" t="inlineStr">
        <is>
          <t>Non-Captive</t>
        </is>
      </c>
      <c r="I938" s="7" t="inlineStr">
        <is>
          <t>ARAVIND</t>
        </is>
      </c>
      <c r="J938" s="8" t="n"/>
      <c r="K938" s="9" t="n">
        <v>145000</v>
      </c>
      <c r="L938" s="10" t="n">
        <v>240000</v>
      </c>
      <c r="M938" s="10" t="n">
        <v>5084.75</v>
      </c>
      <c r="N938" s="11">
        <f>IF(M938="","",ROUND(M938*1.18,2))</f>
        <v/>
      </c>
      <c r="O938" s="12">
        <f>IF(M938="","",ROUND(N938-M938,2))</f>
        <v/>
      </c>
      <c r="P938" s="13">
        <f>IF(AND(A938&lt;&gt;"",B938&lt;&gt;""), A938&amp;" · "&amp;B938, "")</f>
        <v/>
      </c>
    </row>
    <row r="939">
      <c r="A939" s="6" t="inlineStr">
        <is>
          <t>FY26</t>
        </is>
      </c>
      <c r="B939" s="6" t="inlineStr">
        <is>
          <t>Mar</t>
        </is>
      </c>
      <c r="C939" s="6" t="inlineStr">
        <is>
          <t>Kerala</t>
        </is>
      </c>
      <c r="D939" s="7" t="inlineStr">
        <is>
          <t>KL20R5356</t>
        </is>
      </c>
      <c r="E939" s="7" t="inlineStr">
        <is>
          <t>RENAULT</t>
        </is>
      </c>
      <c r="F939" s="7" t="inlineStr">
        <is>
          <t>Kiger</t>
        </is>
      </c>
      <c r="G939" s="7" t="inlineStr">
        <is>
          <t>ABHISHEK</t>
        </is>
      </c>
      <c r="H939" s="7" t="inlineStr">
        <is>
          <t>Non-Captive</t>
        </is>
      </c>
      <c r="I939" s="7" t="inlineStr">
        <is>
          <t>REFERENCE</t>
        </is>
      </c>
      <c r="J939" s="8" t="n"/>
      <c r="K939" s="9" t="n">
        <v>35000</v>
      </c>
      <c r="L939" s="10" t="n">
        <v>390000</v>
      </c>
      <c r="M939" s="10" t="n">
        <v>8474.58</v>
      </c>
      <c r="N939" s="11">
        <f>IF(M939="","",ROUND(M939*1.18,2))</f>
        <v/>
      </c>
      <c r="O939" s="12">
        <f>IF(M939="","",ROUND(N939-M939,2))</f>
        <v/>
      </c>
      <c r="P939" s="13">
        <f>IF(AND(A939&lt;&gt;"",B939&lt;&gt;""), A939&amp;" · "&amp;B939, "")</f>
        <v/>
      </c>
    </row>
    <row r="940">
      <c r="A940" s="6" t="inlineStr">
        <is>
          <t>FY26</t>
        </is>
      </c>
      <c r="B940" s="6" t="inlineStr">
        <is>
          <t>Mar</t>
        </is>
      </c>
      <c r="C940" s="6" t="inlineStr">
        <is>
          <t>Kerala</t>
        </is>
      </c>
      <c r="D940" s="7" t="inlineStr">
        <is>
          <t>KL21P8685</t>
        </is>
      </c>
      <c r="E940" s="7" t="inlineStr">
        <is>
          <t>RENAULT</t>
        </is>
      </c>
      <c r="F940" s="7" t="inlineStr">
        <is>
          <t>Kwid</t>
        </is>
      </c>
      <c r="G940" s="7" t="inlineStr">
        <is>
          <t>JISHNU PRIYAN</t>
        </is>
      </c>
      <c r="H940" s="7" t="inlineStr">
        <is>
          <t>Non-Captive</t>
        </is>
      </c>
      <c r="I940" s="7" t="inlineStr">
        <is>
          <t>VTJ</t>
        </is>
      </c>
      <c r="J940" s="8" t="n"/>
      <c r="K940" s="9" t="n">
        <v>27036</v>
      </c>
      <c r="L940" s="10" t="n">
        <v>175000</v>
      </c>
      <c r="M940" s="10" t="n">
        <v>8474.58</v>
      </c>
      <c r="N940" s="11">
        <f>IF(M940="","",ROUND(M940*1.18,2))</f>
        <v/>
      </c>
      <c r="O940" s="12">
        <f>IF(M940="","",ROUND(N940-M940,2))</f>
        <v/>
      </c>
      <c r="P940" s="13">
        <f>IF(AND(A940&lt;&gt;"",B940&lt;&gt;""), A940&amp;" · "&amp;B940, "")</f>
        <v/>
      </c>
    </row>
    <row r="941">
      <c r="A941" s="6" t="inlineStr">
        <is>
          <t>FY26</t>
        </is>
      </c>
      <c r="B941" s="6" t="inlineStr">
        <is>
          <t>Mar</t>
        </is>
      </c>
      <c r="C941" s="6" t="inlineStr">
        <is>
          <t>Kerala</t>
        </is>
      </c>
      <c r="D941" s="7" t="inlineStr">
        <is>
          <t>KL22M3580</t>
        </is>
      </c>
      <c r="E941" s="7" t="inlineStr">
        <is>
          <t>MAHINDRA</t>
        </is>
      </c>
      <c r="F941" s="7" t="inlineStr">
        <is>
          <t>KUV100</t>
        </is>
      </c>
      <c r="G941" s="7" t="inlineStr">
        <is>
          <t>DIPEESH</t>
        </is>
      </c>
      <c r="H941" s="7" t="inlineStr">
        <is>
          <t>Non-Captive</t>
        </is>
      </c>
      <c r="I941" s="7" t="inlineStr">
        <is>
          <t>TRIVANDRUM MOTORS</t>
        </is>
      </c>
      <c r="J941" s="8" t="n"/>
      <c r="K941" s="9" t="n">
        <v>45000</v>
      </c>
      <c r="L941" s="10" t="n">
        <v>200000</v>
      </c>
      <c r="M941" s="10" t="n">
        <v>8474.58</v>
      </c>
      <c r="N941" s="11">
        <f>IF(M941="","",ROUND(M941*1.18,2))</f>
        <v/>
      </c>
      <c r="O941" s="12">
        <f>IF(M941="","",ROUND(N941-M941,2))</f>
        <v/>
      </c>
      <c r="P941" s="13">
        <f>IF(AND(A941&lt;&gt;"",B941&lt;&gt;""), A941&amp;" · "&amp;B941, "")</f>
        <v/>
      </c>
    </row>
    <row r="942">
      <c r="A942" s="6" t="inlineStr">
        <is>
          <t>FY26</t>
        </is>
      </c>
      <c r="B942" s="6" t="inlineStr">
        <is>
          <t>Mar</t>
        </is>
      </c>
      <c r="C942" s="6" t="inlineStr">
        <is>
          <t>Kerala</t>
        </is>
      </c>
      <c r="D942" s="7" t="inlineStr">
        <is>
          <t>KL23K0619</t>
        </is>
      </c>
      <c r="E942" s="7" t="inlineStr">
        <is>
          <t>VOLKSWAGEN</t>
        </is>
      </c>
      <c r="F942" s="7" t="inlineStr">
        <is>
          <t>Polo</t>
        </is>
      </c>
      <c r="G942" s="7" t="inlineStr">
        <is>
          <t>SANTHOSH</t>
        </is>
      </c>
      <c r="H942" s="7" t="inlineStr">
        <is>
          <t>Non-Captive</t>
        </is>
      </c>
      <c r="I942" s="7" t="inlineStr">
        <is>
          <t>POPULAR MARUTI</t>
        </is>
      </c>
      <c r="J942" s="8" t="n"/>
      <c r="K942" s="9" t="n">
        <v>48900</v>
      </c>
      <c r="L942" s="10" t="n">
        <v>255000</v>
      </c>
      <c r="M942" s="10" t="n">
        <v>12711.86</v>
      </c>
      <c r="N942" s="11">
        <f>IF(M942="","",ROUND(M942*1.18,2))</f>
        <v/>
      </c>
      <c r="O942" s="12">
        <f>IF(M942="","",ROUND(N942-M942,2))</f>
        <v/>
      </c>
      <c r="P942" s="13">
        <f>IF(AND(A942&lt;&gt;"",B942&lt;&gt;""), A942&amp;" · "&amp;B942, "")</f>
        <v/>
      </c>
    </row>
    <row r="943">
      <c r="A943" s="6" t="inlineStr">
        <is>
          <t>FY26</t>
        </is>
      </c>
      <c r="B943" s="6" t="inlineStr">
        <is>
          <t>Mar</t>
        </is>
      </c>
      <c r="C943" s="6" t="inlineStr">
        <is>
          <t>Kerala</t>
        </is>
      </c>
      <c r="D943" s="7" t="inlineStr">
        <is>
          <t>KL24B3492</t>
        </is>
      </c>
      <c r="E943" s="7" t="inlineStr">
        <is>
          <t>MARUTI SUZUKI</t>
        </is>
      </c>
      <c r="F943" s="7" t="inlineStr">
        <is>
          <t>Wagon R</t>
        </is>
      </c>
      <c r="G943" s="7" t="inlineStr">
        <is>
          <t>AKHILNATH</t>
        </is>
      </c>
      <c r="H943" s="7" t="inlineStr">
        <is>
          <t>Non-Captive</t>
        </is>
      </c>
      <c r="I943" s="7" t="inlineStr">
        <is>
          <t>PINNACLE NISSAN</t>
        </is>
      </c>
      <c r="J943" s="8" t="n"/>
      <c r="K943" s="9" t="n">
        <v>112000</v>
      </c>
      <c r="L943" s="10" t="n">
        <v>90000</v>
      </c>
      <c r="M943" s="10" t="n">
        <v>5932.2</v>
      </c>
      <c r="N943" s="11">
        <f>IF(M943="","",ROUND(M943*1.18,2))</f>
        <v/>
      </c>
      <c r="O943" s="12">
        <f>IF(M943="","",ROUND(N943-M943,2))</f>
        <v/>
      </c>
      <c r="P943" s="13">
        <f>IF(AND(A943&lt;&gt;"",B943&lt;&gt;""), A943&amp;" · "&amp;B943, "")</f>
        <v/>
      </c>
    </row>
    <row r="944">
      <c r="A944" s="6" t="inlineStr">
        <is>
          <t>FY26</t>
        </is>
      </c>
      <c r="B944" s="6" t="inlineStr">
        <is>
          <t>Mar</t>
        </is>
      </c>
      <c r="C944" s="6" t="inlineStr">
        <is>
          <t>Kerala</t>
        </is>
      </c>
      <c r="D944" s="7" t="inlineStr">
        <is>
          <t>KL283397</t>
        </is>
      </c>
      <c r="E944" s="7" t="inlineStr">
        <is>
          <t>MARUTI SUZUKI</t>
        </is>
      </c>
      <c r="F944" s="7" t="inlineStr">
        <is>
          <t>Alto</t>
        </is>
      </c>
      <c r="G944" s="7" t="inlineStr">
        <is>
          <t>MUTHOOT TATA</t>
        </is>
      </c>
      <c r="H944" s="7" t="inlineStr">
        <is>
          <t>Non-Captive</t>
        </is>
      </c>
      <c r="I944" s="7" t="inlineStr">
        <is>
          <t>SHAHAR</t>
        </is>
      </c>
      <c r="J944" s="8" t="n"/>
      <c r="K944" s="9" t="n">
        <v>81000</v>
      </c>
      <c r="L944" s="10" t="n">
        <v>20000</v>
      </c>
      <c r="M944" s="10" t="n">
        <v>4237.29</v>
      </c>
      <c r="N944" s="11">
        <f>IF(M944="","",ROUND(M944*1.18,2))</f>
        <v/>
      </c>
      <c r="O944" s="12">
        <f>IF(M944="","",ROUND(N944-M944,2))</f>
        <v/>
      </c>
      <c r="P944" s="13">
        <f>IF(AND(A944&lt;&gt;"",B944&lt;&gt;""), A944&amp;" · "&amp;B944, "")</f>
        <v/>
      </c>
    </row>
    <row r="945">
      <c r="A945" s="6" t="inlineStr">
        <is>
          <t>FY26</t>
        </is>
      </c>
      <c r="B945" s="6" t="inlineStr">
        <is>
          <t>Mar</t>
        </is>
      </c>
      <c r="C945" s="6" t="inlineStr">
        <is>
          <t>Kerala</t>
        </is>
      </c>
      <c r="D945" s="7" t="inlineStr">
        <is>
          <t>KL29G0159</t>
        </is>
      </c>
      <c r="E945" s="7" t="inlineStr">
        <is>
          <t>MARUTI SUZUKI</t>
        </is>
      </c>
      <c r="F945" s="7" t="inlineStr">
        <is>
          <t>Swift</t>
        </is>
      </c>
      <c r="G945" s="7" t="inlineStr">
        <is>
          <t>POPULAR MARUTI</t>
        </is>
      </c>
      <c r="H945" s="7" t="inlineStr">
        <is>
          <t>Non-Captive</t>
        </is>
      </c>
      <c r="I945" s="7" t="inlineStr">
        <is>
          <t>SABU</t>
        </is>
      </c>
      <c r="J945" s="8" t="n"/>
      <c r="K945" s="9" t="n">
        <v>157711</v>
      </c>
      <c r="L945" s="10" t="n">
        <v>190000</v>
      </c>
      <c r="M945" s="10" t="n">
        <v>8474.58</v>
      </c>
      <c r="N945" s="11">
        <f>IF(M945="","",ROUND(M945*1.18,2))</f>
        <v/>
      </c>
      <c r="O945" s="12">
        <f>IF(M945="","",ROUND(N945-M945,2))</f>
        <v/>
      </c>
      <c r="P945" s="13">
        <f>IF(AND(A945&lt;&gt;"",B945&lt;&gt;""), A945&amp;" · "&amp;B945, "")</f>
        <v/>
      </c>
    </row>
    <row r="946">
      <c r="A946" s="6" t="inlineStr">
        <is>
          <t>FY26</t>
        </is>
      </c>
      <c r="B946" s="6" t="inlineStr">
        <is>
          <t>Mar</t>
        </is>
      </c>
      <c r="C946" s="6" t="inlineStr">
        <is>
          <t>Kerala</t>
        </is>
      </c>
      <c r="D946" s="7" t="inlineStr">
        <is>
          <t>KL29J1447</t>
        </is>
      </c>
      <c r="E946" s="7" t="inlineStr">
        <is>
          <t>TOYOTA</t>
        </is>
      </c>
      <c r="F946" s="7" t="inlineStr">
        <is>
          <t>Etios</t>
        </is>
      </c>
      <c r="G946" s="7" t="inlineStr">
        <is>
          <t>MAIJO MARUTI</t>
        </is>
      </c>
      <c r="H946" s="7" t="inlineStr">
        <is>
          <t>Non-Captive</t>
        </is>
      </c>
      <c r="I946" s="7" t="inlineStr">
        <is>
          <t>RAFEEK T A</t>
        </is>
      </c>
      <c r="J946" s="8" t="n"/>
      <c r="K946" s="9" t="n">
        <v>130022</v>
      </c>
      <c r="L946" s="10" t="n">
        <v>225000</v>
      </c>
      <c r="M946" s="10" t="n">
        <v>8474.58</v>
      </c>
      <c r="N946" s="11">
        <f>IF(M946="","",ROUND(M946*1.18,2))</f>
        <v/>
      </c>
      <c r="O946" s="12">
        <f>IF(M946="","",ROUND(N946-M946,2))</f>
        <v/>
      </c>
      <c r="P946" s="13">
        <f>IF(AND(A946&lt;&gt;"",B946&lt;&gt;""), A946&amp;" · "&amp;B946, "")</f>
        <v/>
      </c>
    </row>
    <row r="947">
      <c r="A947" s="6" t="inlineStr">
        <is>
          <t>FY26</t>
        </is>
      </c>
      <c r="B947" s="6" t="inlineStr">
        <is>
          <t>Mar</t>
        </is>
      </c>
      <c r="C947" s="6" t="inlineStr">
        <is>
          <t>Kerala</t>
        </is>
      </c>
      <c r="D947" s="7" t="inlineStr">
        <is>
          <t>KL30J5846</t>
        </is>
      </c>
      <c r="E947" s="7" t="inlineStr">
        <is>
          <t>TATA</t>
        </is>
      </c>
      <c r="F947" s="7" t="inlineStr">
        <is>
          <t>Nexon EV</t>
        </is>
      </c>
      <c r="G947" s="7" t="inlineStr">
        <is>
          <t>POPULAR MARUTI</t>
        </is>
      </c>
      <c r="H947" s="7" t="inlineStr">
        <is>
          <t>Non-Captive</t>
        </is>
      </c>
      <c r="I947" s="7" t="inlineStr">
        <is>
          <t>FABITH</t>
        </is>
      </c>
      <c r="J947" s="8" t="n"/>
      <c r="K947" s="9" t="n">
        <v>30130</v>
      </c>
      <c r="L947" s="10" t="n">
        <v>700000</v>
      </c>
      <c r="M947" s="10" t="n">
        <v>16949.15</v>
      </c>
      <c r="N947" s="11">
        <f>IF(M947="","",ROUND(M947*1.18,2))</f>
        <v/>
      </c>
      <c r="O947" s="12">
        <f>IF(M947="","",ROUND(N947-M947,2))</f>
        <v/>
      </c>
      <c r="P947" s="13">
        <f>IF(AND(A947&lt;&gt;"",B947&lt;&gt;""), A947&amp;" · "&amp;B947, "")</f>
        <v/>
      </c>
    </row>
    <row r="948">
      <c r="A948" s="6" t="inlineStr">
        <is>
          <t>FY26</t>
        </is>
      </c>
      <c r="B948" s="6" t="inlineStr">
        <is>
          <t>Mar</t>
        </is>
      </c>
      <c r="C948" s="6" t="inlineStr">
        <is>
          <t>Kerala</t>
        </is>
      </c>
      <c r="D948" s="7" t="inlineStr">
        <is>
          <t>KL30L0892</t>
        </is>
      </c>
      <c r="E948" s="7" t="inlineStr">
        <is>
          <t>FORD</t>
        </is>
      </c>
      <c r="F948" s="7" t="inlineStr">
        <is>
          <t>Figo</t>
        </is>
      </c>
      <c r="G948" s="7" t="inlineStr">
        <is>
          <t>MUHAMMAD SHAJI</t>
        </is>
      </c>
      <c r="H948" s="7" t="inlineStr">
        <is>
          <t>Non-Captive</t>
        </is>
      </c>
      <c r="I948" s="7" t="inlineStr">
        <is>
          <t>ANAS VH</t>
        </is>
      </c>
      <c r="J948" s="8" t="n"/>
      <c r="K948" s="9" t="n">
        <v>100000</v>
      </c>
      <c r="L948" s="10" t="n">
        <v>89000</v>
      </c>
      <c r="M948" s="10" t="n">
        <v>8474.58</v>
      </c>
      <c r="N948" s="11">
        <f>IF(M948="","",ROUND(M948*1.18,2))</f>
        <v/>
      </c>
      <c r="O948" s="12">
        <f>IF(M948="","",ROUND(N948-M948,2))</f>
        <v/>
      </c>
      <c r="P948" s="13">
        <f>IF(AND(A948&lt;&gt;"",B948&lt;&gt;""), A948&amp;" · "&amp;B948, "")</f>
        <v/>
      </c>
    </row>
    <row r="949">
      <c r="A949" s="6" t="inlineStr">
        <is>
          <t>FY26</t>
        </is>
      </c>
      <c r="B949" s="6" t="inlineStr">
        <is>
          <t>Mar</t>
        </is>
      </c>
      <c r="C949" s="6" t="inlineStr">
        <is>
          <t>Kerala</t>
        </is>
      </c>
      <c r="D949" s="7" t="inlineStr">
        <is>
          <t>KL32D9934</t>
        </is>
      </c>
      <c r="E949" s="7" t="inlineStr">
        <is>
          <t>TATA</t>
        </is>
      </c>
      <c r="F949" s="7" t="inlineStr">
        <is>
          <t>Nano</t>
        </is>
      </c>
      <c r="G949" s="7" t="inlineStr">
        <is>
          <t>EVM CITROEN</t>
        </is>
      </c>
      <c r="H949" s="7" t="inlineStr">
        <is>
          <t>Non-Captive</t>
        </is>
      </c>
      <c r="I949" s="7" t="inlineStr">
        <is>
          <t>HUSSAIN O E</t>
        </is>
      </c>
      <c r="J949" s="8" t="n"/>
      <c r="K949" s="9" t="n">
        <v>45000</v>
      </c>
      <c r="L949" s="10" t="n">
        <v>18000</v>
      </c>
      <c r="M949" s="10" t="n">
        <v>8474.58</v>
      </c>
      <c r="N949" s="11">
        <f>IF(M949="","",ROUND(M949*1.18,2))</f>
        <v/>
      </c>
      <c r="O949" s="12">
        <f>IF(M949="","",ROUND(N949-M949,2))</f>
        <v/>
      </c>
      <c r="P949" s="13">
        <f>IF(AND(A949&lt;&gt;"",B949&lt;&gt;""), A949&amp;" · "&amp;B949, "")</f>
        <v/>
      </c>
    </row>
    <row r="950">
      <c r="A950" s="6" t="inlineStr">
        <is>
          <t>FY26</t>
        </is>
      </c>
      <c r="B950" s="6" t="inlineStr">
        <is>
          <t>Mar</t>
        </is>
      </c>
      <c r="C950" s="6" t="inlineStr">
        <is>
          <t>Kerala</t>
        </is>
      </c>
      <c r="D950" s="7" t="inlineStr">
        <is>
          <t>KL32U3055</t>
        </is>
      </c>
      <c r="E950" s="7" t="inlineStr">
        <is>
          <t>TOYOTA</t>
        </is>
      </c>
      <c r="F950" s="7" t="inlineStr">
        <is>
          <t>Innova</t>
        </is>
      </c>
      <c r="G950" s="7" t="inlineStr">
        <is>
          <t>ARUN T RAJ</t>
        </is>
      </c>
      <c r="H950" s="7" t="inlineStr">
        <is>
          <t>Non-Captive</t>
        </is>
      </c>
      <c r="I950" s="7" t="inlineStr">
        <is>
          <t>TOYOTA FINANCE</t>
        </is>
      </c>
      <c r="J950" s="8" t="n"/>
      <c r="K950" s="9" t="n">
        <v>89000</v>
      </c>
      <c r="L950" s="10" t="n">
        <v>1550000</v>
      </c>
      <c r="M950" s="10" t="n">
        <v>12711.86</v>
      </c>
      <c r="N950" s="11">
        <f>IF(M950="","",ROUND(M950*1.18,2))</f>
        <v/>
      </c>
      <c r="O950" s="12">
        <f>IF(M950="","",ROUND(N950-M950,2))</f>
        <v/>
      </c>
      <c r="P950" s="13">
        <f>IF(AND(A950&lt;&gt;"",B950&lt;&gt;""), A950&amp;" · "&amp;B950, "")</f>
        <v/>
      </c>
    </row>
    <row r="951">
      <c r="A951" s="6" t="inlineStr">
        <is>
          <t>FY26</t>
        </is>
      </c>
      <c r="B951" s="6" t="inlineStr">
        <is>
          <t>Mar</t>
        </is>
      </c>
      <c r="C951" s="6" t="inlineStr">
        <is>
          <t>Kerala</t>
        </is>
      </c>
      <c r="D951" s="7" t="inlineStr">
        <is>
          <t>KL33G9508</t>
        </is>
      </c>
      <c r="E951" s="7" t="inlineStr">
        <is>
          <t>MARUTI SUZUKI</t>
        </is>
      </c>
      <c r="F951" s="7" t="inlineStr">
        <is>
          <t>Celerio</t>
        </is>
      </c>
      <c r="G951" s="7" t="inlineStr">
        <is>
          <t>POPULAR MARUTI</t>
        </is>
      </c>
      <c r="H951" s="7" t="inlineStr">
        <is>
          <t>Non-Captive</t>
        </is>
      </c>
      <c r="I951" s="7" t="inlineStr">
        <is>
          <t>4 WHEEL DRIVE</t>
        </is>
      </c>
      <c r="J951" s="8" t="n"/>
      <c r="K951" s="9" t="n">
        <v>161433</v>
      </c>
      <c r="L951" s="10" t="n">
        <v>180000</v>
      </c>
      <c r="M951" s="10" t="n">
        <v>8474.58</v>
      </c>
      <c r="N951" s="11">
        <f>IF(M951="","",ROUND(M951*1.18,2))</f>
        <v/>
      </c>
      <c r="O951" s="12">
        <f>IF(M951="","",ROUND(N951-M951,2))</f>
        <v/>
      </c>
      <c r="P951" s="13">
        <f>IF(AND(A951&lt;&gt;"",B951&lt;&gt;""), A951&amp;" · "&amp;B951, "")</f>
        <v/>
      </c>
    </row>
    <row r="952">
      <c r="A952" s="6" t="inlineStr">
        <is>
          <t>FY26</t>
        </is>
      </c>
      <c r="B952" s="6" t="inlineStr">
        <is>
          <t>Mar</t>
        </is>
      </c>
      <c r="C952" s="6" t="inlineStr">
        <is>
          <t>Kerala</t>
        </is>
      </c>
      <c r="D952" s="7" t="inlineStr">
        <is>
          <t>KL33J2526</t>
        </is>
      </c>
      <c r="E952" s="7" t="inlineStr">
        <is>
          <t>RENAULT</t>
        </is>
      </c>
      <c r="F952" s="7" t="inlineStr">
        <is>
          <t>Kwid</t>
        </is>
      </c>
      <c r="G952" s="7" t="inlineStr">
        <is>
          <t>POPULAR MARUTI</t>
        </is>
      </c>
      <c r="H952" s="7" t="inlineStr">
        <is>
          <t>Non-Captive</t>
        </is>
      </c>
      <c r="I952" s="7" t="inlineStr">
        <is>
          <t>GOOD CHOICE</t>
        </is>
      </c>
      <c r="J952" s="8" t="n"/>
      <c r="K952" s="9" t="n">
        <v>58098</v>
      </c>
      <c r="L952" s="10" t="n">
        <v>175000</v>
      </c>
      <c r="M952" s="10" t="n">
        <v>8474.58</v>
      </c>
      <c r="N952" s="11">
        <f>IF(M952="","",ROUND(M952*1.18,2))</f>
        <v/>
      </c>
      <c r="O952" s="12">
        <f>IF(M952="","",ROUND(N952-M952,2))</f>
        <v/>
      </c>
      <c r="P952" s="13">
        <f>IF(AND(A952&lt;&gt;"",B952&lt;&gt;""), A952&amp;" · "&amp;B952, "")</f>
        <v/>
      </c>
    </row>
    <row r="953">
      <c r="A953" s="6" t="inlineStr">
        <is>
          <t>FY26</t>
        </is>
      </c>
      <c r="B953" s="6" t="inlineStr">
        <is>
          <t>Mar</t>
        </is>
      </c>
      <c r="C953" s="6" t="inlineStr">
        <is>
          <t>Kerala</t>
        </is>
      </c>
      <c r="D953" s="7" t="inlineStr">
        <is>
          <t>KL35E6382</t>
        </is>
      </c>
      <c r="E953" s="7" t="inlineStr">
        <is>
          <t>MARUTI SUZUKI</t>
        </is>
      </c>
      <c r="F953" s="7" t="inlineStr">
        <is>
          <t>Ertiga</t>
        </is>
      </c>
      <c r="G953" s="7" t="inlineStr">
        <is>
          <t>POPULAR MARUTI</t>
        </is>
      </c>
      <c r="H953" s="7" t="inlineStr">
        <is>
          <t>Non-Captive</t>
        </is>
      </c>
      <c r="I953" s="7" t="inlineStr">
        <is>
          <t>Aitos Cars</t>
        </is>
      </c>
      <c r="J953" s="8" t="n"/>
      <c r="K953" s="9" t="n">
        <v>143500</v>
      </c>
      <c r="L953" s="10" t="n">
        <v>300000</v>
      </c>
      <c r="M953" s="10" t="n">
        <v>8474.58</v>
      </c>
      <c r="N953" s="11">
        <f>IF(M953="","",ROUND(M953*1.18,2))</f>
        <v/>
      </c>
      <c r="O953" s="12">
        <f>IF(M953="","",ROUND(N953-M953,2))</f>
        <v/>
      </c>
      <c r="P953" s="13">
        <f>IF(AND(A953&lt;&gt;"",B953&lt;&gt;""), A953&amp;" · "&amp;B953, "")</f>
        <v/>
      </c>
    </row>
    <row r="954">
      <c r="A954" s="6" t="inlineStr">
        <is>
          <t>FY26</t>
        </is>
      </c>
      <c r="B954" s="6" t="inlineStr">
        <is>
          <t>Mar</t>
        </is>
      </c>
      <c r="C954" s="6" t="inlineStr">
        <is>
          <t>Kerala</t>
        </is>
      </c>
      <c r="D954" s="7" t="inlineStr">
        <is>
          <t>KL35F3114</t>
        </is>
      </c>
      <c r="E954" s="7" t="inlineStr">
        <is>
          <t>HYUNDAI</t>
        </is>
      </c>
      <c r="F954" s="7" t="inlineStr">
        <is>
          <t>Eon</t>
        </is>
      </c>
      <c r="G954" s="7" t="inlineStr">
        <is>
          <t>AMRITH V CHANDY</t>
        </is>
      </c>
      <c r="H954" s="7" t="inlineStr">
        <is>
          <t>Non-Captive</t>
        </is>
      </c>
      <c r="I954" s="7" t="inlineStr">
        <is>
          <t>HUSSAIN O E</t>
        </is>
      </c>
      <c r="J954" s="8" t="n"/>
      <c r="K954" s="9" t="n">
        <v>68678</v>
      </c>
      <c r="L954" s="10" t="n">
        <v>155000</v>
      </c>
      <c r="M954" s="10" t="n">
        <v>8474.58</v>
      </c>
      <c r="N954" s="11">
        <f>IF(M954="","",ROUND(M954*1.18,2))</f>
        <v/>
      </c>
      <c r="O954" s="12">
        <f>IF(M954="","",ROUND(N954-M954,2))</f>
        <v/>
      </c>
      <c r="P954" s="13">
        <f>IF(AND(A954&lt;&gt;"",B954&lt;&gt;""), A954&amp;" · "&amp;B954, "")</f>
        <v/>
      </c>
    </row>
    <row r="955">
      <c r="A955" s="6" t="inlineStr">
        <is>
          <t>FY26</t>
        </is>
      </c>
      <c r="B955" s="6" t="inlineStr">
        <is>
          <t>Mar</t>
        </is>
      </c>
      <c r="C955" s="6" t="inlineStr">
        <is>
          <t>Kerala</t>
        </is>
      </c>
      <c r="D955" s="7" t="inlineStr">
        <is>
          <t>KL35K8029</t>
        </is>
      </c>
      <c r="E955" s="7" t="inlineStr">
        <is>
          <t>HONDA</t>
        </is>
      </c>
      <c r="F955" s="7" t="inlineStr">
        <is>
          <t>Amaze</t>
        </is>
      </c>
      <c r="G955" s="7" t="inlineStr">
        <is>
          <t>EVM SKODA</t>
        </is>
      </c>
      <c r="H955" s="7" t="inlineStr">
        <is>
          <t>Non-Captive</t>
        </is>
      </c>
      <c r="I955" s="7" t="inlineStr">
        <is>
          <t>VTJ</t>
        </is>
      </c>
      <c r="J955" s="8" t="n"/>
      <c r="K955" s="9" t="n">
        <v>39777</v>
      </c>
      <c r="L955" s="10" t="n">
        <v>585000</v>
      </c>
      <c r="M955" s="10" t="n">
        <v>8474.58</v>
      </c>
      <c r="N955" s="11">
        <f>IF(M955="","",ROUND(M955*1.18,2))</f>
        <v/>
      </c>
      <c r="O955" s="12">
        <f>IF(M955="","",ROUND(N955-M955,2))</f>
        <v/>
      </c>
      <c r="P955" s="13">
        <f>IF(AND(A955&lt;&gt;"",B955&lt;&gt;""), A955&amp;" · "&amp;B955, "")</f>
        <v/>
      </c>
    </row>
    <row r="956">
      <c r="A956" s="6" t="inlineStr">
        <is>
          <t>FY26</t>
        </is>
      </c>
      <c r="B956" s="6" t="inlineStr">
        <is>
          <t>Mar</t>
        </is>
      </c>
      <c r="C956" s="6" t="inlineStr">
        <is>
          <t>Kerala</t>
        </is>
      </c>
      <c r="D956" s="7" t="inlineStr">
        <is>
          <t>KL38J7590</t>
        </is>
      </c>
      <c r="E956" s="7" t="inlineStr">
        <is>
          <t>HYUNDAI</t>
        </is>
      </c>
      <c r="F956" s="7" t="inlineStr">
        <is>
          <t>i10</t>
        </is>
      </c>
      <c r="G956" s="7" t="inlineStr">
        <is>
          <t>KANNUR PLATINUM</t>
        </is>
      </c>
      <c r="H956" s="7" t="inlineStr">
        <is>
          <t>Non-Captive</t>
        </is>
      </c>
      <c r="I956" s="7" t="inlineStr">
        <is>
          <t>ERAM MOTORS</t>
        </is>
      </c>
      <c r="J956" s="8" t="n"/>
      <c r="K956" s="9" t="n">
        <v>70000</v>
      </c>
      <c r="L956" s="10" t="n">
        <v>220000</v>
      </c>
      <c r="M956" s="10" t="n">
        <v>4237.29</v>
      </c>
      <c r="N956" s="11">
        <f>IF(M956="","",ROUND(M956*1.18,2))</f>
        <v/>
      </c>
      <c r="O956" s="12">
        <f>IF(M956="","",ROUND(N956-M956,2))</f>
        <v/>
      </c>
      <c r="P956" s="13">
        <f>IF(AND(A956&lt;&gt;"",B956&lt;&gt;""), A956&amp;" · "&amp;B956, "")</f>
        <v/>
      </c>
    </row>
    <row r="957">
      <c r="A957" s="6" t="inlineStr">
        <is>
          <t>FY26</t>
        </is>
      </c>
      <c r="B957" s="6" t="inlineStr">
        <is>
          <t>Mar</t>
        </is>
      </c>
      <c r="C957" s="6" t="inlineStr">
        <is>
          <t>Kerala</t>
        </is>
      </c>
      <c r="D957" s="7" t="inlineStr">
        <is>
          <t>KL390300</t>
        </is>
      </c>
      <c r="E957" s="7" t="inlineStr">
        <is>
          <t>TATA</t>
        </is>
      </c>
      <c r="F957" s="7" t="inlineStr">
        <is>
          <t>Indica</t>
        </is>
      </c>
      <c r="G957" s="7" t="inlineStr">
        <is>
          <t>POPULAR MARUTI</t>
        </is>
      </c>
      <c r="H957" s="7" t="inlineStr">
        <is>
          <t>Non-Captive</t>
        </is>
      </c>
      <c r="I957" s="7" t="inlineStr">
        <is>
          <t>RAFEEK T A</t>
        </is>
      </c>
      <c r="J957" s="8" t="n"/>
      <c r="K957" s="9" t="n">
        <v>95670</v>
      </c>
      <c r="L957" s="10" t="n">
        <v>25000</v>
      </c>
      <c r="M957" s="10" t="n">
        <v>8474.58</v>
      </c>
      <c r="N957" s="11">
        <f>IF(M957="","",ROUND(M957*1.18,2))</f>
        <v/>
      </c>
      <c r="O957" s="12">
        <f>IF(M957="","",ROUND(N957-M957,2))</f>
        <v/>
      </c>
      <c r="P957" s="13">
        <f>IF(AND(A957&lt;&gt;"",B957&lt;&gt;""), A957&amp;" · "&amp;B957, "")</f>
        <v/>
      </c>
    </row>
    <row r="958">
      <c r="A958" s="6" t="inlineStr">
        <is>
          <t>FY26</t>
        </is>
      </c>
      <c r="B958" s="6" t="inlineStr">
        <is>
          <t>Mar</t>
        </is>
      </c>
      <c r="C958" s="6" t="inlineStr">
        <is>
          <t>Kerala</t>
        </is>
      </c>
      <c r="D958" s="7" t="inlineStr">
        <is>
          <t>KL398096</t>
        </is>
      </c>
      <c r="E958" s="7" t="inlineStr">
        <is>
          <t>HYUNDAI</t>
        </is>
      </c>
      <c r="F958" s="7" t="inlineStr">
        <is>
          <t>Santro</t>
        </is>
      </c>
      <c r="G958" s="7" t="inlineStr">
        <is>
          <t>JISHNU PRIYAN</t>
        </is>
      </c>
      <c r="H958" s="7" t="inlineStr">
        <is>
          <t>Non-Captive</t>
        </is>
      </c>
      <c r="I958" s="7" t="inlineStr">
        <is>
          <t>NISHAD</t>
        </is>
      </c>
      <c r="J958" s="8" t="n"/>
      <c r="K958" s="9" t="n">
        <v>78058</v>
      </c>
      <c r="L958" s="10" t="n">
        <v>60000</v>
      </c>
      <c r="M958" s="10" t="n">
        <v>6779.66</v>
      </c>
      <c r="N958" s="11">
        <f>IF(M958="","",ROUND(M958*1.18,2))</f>
        <v/>
      </c>
      <c r="O958" s="12">
        <f>IF(M958="","",ROUND(N958-M958,2))</f>
        <v/>
      </c>
      <c r="P958" s="13">
        <f>IF(AND(A958&lt;&gt;"",B958&lt;&gt;""), A958&amp;" · "&amp;B958, "")</f>
        <v/>
      </c>
    </row>
    <row r="959">
      <c r="A959" s="6" t="inlineStr">
        <is>
          <t>FY26</t>
        </is>
      </c>
      <c r="B959" s="6" t="inlineStr">
        <is>
          <t>Mar</t>
        </is>
      </c>
      <c r="C959" s="6" t="inlineStr">
        <is>
          <t>Kerala</t>
        </is>
      </c>
      <c r="D959" s="7" t="inlineStr">
        <is>
          <t>KL39A0605</t>
        </is>
      </c>
      <c r="E959" s="7" t="inlineStr">
        <is>
          <t>MARUTI SUZUKI</t>
        </is>
      </c>
      <c r="F959" s="7" t="inlineStr">
        <is>
          <t>Zen</t>
        </is>
      </c>
      <c r="G959" s="7" t="inlineStr">
        <is>
          <t>JISHNU PRIYAN</t>
        </is>
      </c>
      <c r="H959" s="7" t="inlineStr">
        <is>
          <t>Non-Captive</t>
        </is>
      </c>
      <c r="I959" s="7" t="inlineStr">
        <is>
          <t>VISHNU M S</t>
        </is>
      </c>
      <c r="J959" s="8" t="n"/>
      <c r="K959" s="9" t="n">
        <v>156845</v>
      </c>
      <c r="L959" s="10" t="n">
        <v>45000</v>
      </c>
      <c r="M959" s="10" t="n">
        <v>8474.58</v>
      </c>
      <c r="N959" s="11">
        <f>IF(M959="","",ROUND(M959*1.18,2))</f>
        <v/>
      </c>
      <c r="O959" s="12">
        <f>IF(M959="","",ROUND(N959-M959,2))</f>
        <v/>
      </c>
      <c r="P959" s="13">
        <f>IF(AND(A959&lt;&gt;"",B959&lt;&gt;""), A959&amp;" · "&amp;B959, "")</f>
        <v/>
      </c>
    </row>
    <row r="960">
      <c r="A960" s="6" t="inlineStr">
        <is>
          <t>FY26</t>
        </is>
      </c>
      <c r="B960" s="6" t="inlineStr">
        <is>
          <t>Mar</t>
        </is>
      </c>
      <c r="C960" s="6" t="inlineStr">
        <is>
          <t>Kerala</t>
        </is>
      </c>
      <c r="D960" s="7" t="inlineStr">
        <is>
          <t>KL39R4921</t>
        </is>
      </c>
      <c r="E960" s="7" t="inlineStr">
        <is>
          <t>NISSAN</t>
        </is>
      </c>
      <c r="F960" s="7" t="inlineStr">
        <is>
          <t>Magnite</t>
        </is>
      </c>
      <c r="G960" s="7" t="inlineStr">
        <is>
          <t>NIRANJAN</t>
        </is>
      </c>
      <c r="H960" s="7" t="inlineStr">
        <is>
          <t>Non-Captive</t>
        </is>
      </c>
      <c r="I960" s="7" t="inlineStr">
        <is>
          <t>SANTHOSH</t>
        </is>
      </c>
      <c r="J960" s="8" t="n"/>
      <c r="K960" s="9" t="n">
        <v>41000</v>
      </c>
      <c r="L960" s="10" t="n">
        <v>435000</v>
      </c>
      <c r="M960" s="10" t="n">
        <v>8474.58</v>
      </c>
      <c r="N960" s="11">
        <f>IF(M960="","",ROUND(M960*1.18,2))</f>
        <v/>
      </c>
      <c r="O960" s="12">
        <f>IF(M960="","",ROUND(N960-M960,2))</f>
        <v/>
      </c>
      <c r="P960" s="13">
        <f>IF(AND(A960&lt;&gt;"",B960&lt;&gt;""), A960&amp;" · "&amp;B960, "")</f>
        <v/>
      </c>
    </row>
    <row r="961">
      <c r="A961" s="6" t="inlineStr">
        <is>
          <t>FY26</t>
        </is>
      </c>
      <c r="B961" s="6" t="inlineStr">
        <is>
          <t>Mar</t>
        </is>
      </c>
      <c r="C961" s="6" t="inlineStr">
        <is>
          <t>Kerala</t>
        </is>
      </c>
      <c r="D961" s="7" t="inlineStr">
        <is>
          <t>KL41L2233</t>
        </is>
      </c>
      <c r="E961" s="7" t="inlineStr">
        <is>
          <t>FORD</t>
        </is>
      </c>
      <c r="F961" s="7" t="inlineStr">
        <is>
          <t>EcoSport</t>
        </is>
      </c>
      <c r="G961" s="7" t="inlineStr">
        <is>
          <t>AUTOMOTIVE MAHINDRA</t>
        </is>
      </c>
      <c r="H961" s="7" t="inlineStr">
        <is>
          <t>Non-Captive</t>
        </is>
      </c>
      <c r="I961" s="7" t="inlineStr">
        <is>
          <t>VTJ</t>
        </is>
      </c>
      <c r="J961" s="8" t="n"/>
      <c r="K961" s="9" t="n">
        <v>165899</v>
      </c>
      <c r="L961" s="10" t="n">
        <v>350000</v>
      </c>
      <c r="M961" s="10" t="n">
        <v>8474.58</v>
      </c>
      <c r="N961" s="11">
        <f>IF(M961="","",ROUND(M961*1.18,2))</f>
        <v/>
      </c>
      <c r="O961" s="12">
        <f>IF(M961="","",ROUND(N961-M961,2))</f>
        <v/>
      </c>
      <c r="P961" s="13">
        <f>IF(AND(A961&lt;&gt;"",B961&lt;&gt;""), A961&amp;" · "&amp;B961, "")</f>
        <v/>
      </c>
    </row>
    <row r="962">
      <c r="A962" s="6" t="inlineStr">
        <is>
          <t>FY26</t>
        </is>
      </c>
      <c r="B962" s="6" t="inlineStr">
        <is>
          <t>Mar</t>
        </is>
      </c>
      <c r="C962" s="6" t="inlineStr">
        <is>
          <t>Kerala</t>
        </is>
      </c>
      <c r="D962" s="7" t="inlineStr">
        <is>
          <t>KL41M3068</t>
        </is>
      </c>
      <c r="E962" s="7" t="inlineStr">
        <is>
          <t>MARUTI SUZUKI</t>
        </is>
      </c>
      <c r="F962" s="7" t="inlineStr">
        <is>
          <t>Celerio</t>
        </is>
      </c>
      <c r="G962" s="7" t="inlineStr">
        <is>
          <t>MAIJO MARUTI</t>
        </is>
      </c>
      <c r="H962" s="7" t="inlineStr">
        <is>
          <t>Non-Captive</t>
        </is>
      </c>
      <c r="I962" s="7" t="inlineStr">
        <is>
          <t>RAFEEK T A</t>
        </is>
      </c>
      <c r="J962" s="8" t="n"/>
      <c r="K962" s="9" t="n">
        <v>81115</v>
      </c>
      <c r="L962" s="10" t="n">
        <v>300000</v>
      </c>
      <c r="M962" s="10" t="n">
        <v>8474.58</v>
      </c>
      <c r="N962" s="11">
        <f>IF(M962="","",ROUND(M962*1.18,2))</f>
        <v/>
      </c>
      <c r="O962" s="12">
        <f>IF(M962="","",ROUND(N962-M962,2))</f>
        <v/>
      </c>
      <c r="P962" s="13">
        <f>IF(AND(A962&lt;&gt;"",B962&lt;&gt;""), A962&amp;" · "&amp;B962, "")</f>
        <v/>
      </c>
    </row>
    <row r="963">
      <c r="A963" s="6" t="inlineStr">
        <is>
          <t>FY26</t>
        </is>
      </c>
      <c r="B963" s="6" t="inlineStr">
        <is>
          <t>Mar</t>
        </is>
      </c>
      <c r="C963" s="6" t="inlineStr">
        <is>
          <t>Kerala</t>
        </is>
      </c>
      <c r="D963" s="7" t="inlineStr">
        <is>
          <t>KL41Q3839</t>
        </is>
      </c>
      <c r="E963" s="7" t="inlineStr">
        <is>
          <t>TOYOTA</t>
        </is>
      </c>
      <c r="F963" s="7" t="inlineStr">
        <is>
          <t>Etios</t>
        </is>
      </c>
      <c r="G963" s="7" t="inlineStr">
        <is>
          <t>EVM SKODA</t>
        </is>
      </c>
      <c r="H963" s="7" t="inlineStr">
        <is>
          <t>Non-Captive</t>
        </is>
      </c>
      <c r="I963" s="7" t="inlineStr">
        <is>
          <t>FABITH</t>
        </is>
      </c>
      <c r="J963" s="8" t="n"/>
      <c r="K963" s="9" t="n">
        <v>67011</v>
      </c>
      <c r="L963" s="10" t="n">
        <v>440000</v>
      </c>
      <c r="M963" s="10" t="n">
        <v>8474.58</v>
      </c>
      <c r="N963" s="11">
        <f>IF(M963="","",ROUND(M963*1.18,2))</f>
        <v/>
      </c>
      <c r="O963" s="12">
        <f>IF(M963="","",ROUND(N963-M963,2))</f>
        <v/>
      </c>
      <c r="P963" s="13">
        <f>IF(AND(A963&lt;&gt;"",B963&lt;&gt;""), A963&amp;" · "&amp;B963, "")</f>
        <v/>
      </c>
    </row>
    <row r="964">
      <c r="A964" s="6" t="inlineStr">
        <is>
          <t>FY26</t>
        </is>
      </c>
      <c r="B964" s="6" t="inlineStr">
        <is>
          <t>Mar</t>
        </is>
      </c>
      <c r="C964" s="6" t="inlineStr">
        <is>
          <t>Kerala</t>
        </is>
      </c>
      <c r="D964" s="7" t="inlineStr">
        <is>
          <t>KL43G6519</t>
        </is>
      </c>
      <c r="E964" s="7" t="inlineStr">
        <is>
          <t>RENAULT</t>
        </is>
      </c>
      <c r="F964" s="7" t="inlineStr">
        <is>
          <t>Duster</t>
        </is>
      </c>
      <c r="G964" s="7" t="inlineStr">
        <is>
          <t>INCHEON KIA</t>
        </is>
      </c>
      <c r="H964" s="7" t="inlineStr">
        <is>
          <t>Non-Captive</t>
        </is>
      </c>
      <c r="I964" s="7" t="inlineStr">
        <is>
          <t>RAFEEK T A</t>
        </is>
      </c>
      <c r="J964" s="8" t="n"/>
      <c r="K964" s="9" t="n">
        <v>200567</v>
      </c>
      <c r="L964" s="10" t="n">
        <v>240000</v>
      </c>
      <c r="M964" s="10" t="n">
        <v>8474.58</v>
      </c>
      <c r="N964" s="11">
        <f>IF(M964="","",ROUND(M964*1.18,2))</f>
        <v/>
      </c>
      <c r="O964" s="12">
        <f>IF(M964="","",ROUND(N964-M964,2))</f>
        <v/>
      </c>
      <c r="P964" s="13">
        <f>IF(AND(A964&lt;&gt;"",B964&lt;&gt;""), A964&amp;" · "&amp;B964, "")</f>
        <v/>
      </c>
    </row>
    <row r="965">
      <c r="A965" s="6" t="inlineStr">
        <is>
          <t>FY26</t>
        </is>
      </c>
      <c r="B965" s="6" t="inlineStr">
        <is>
          <t>Mar</t>
        </is>
      </c>
      <c r="C965" s="6" t="inlineStr">
        <is>
          <t>Kerala</t>
        </is>
      </c>
      <c r="D965" s="7" t="inlineStr">
        <is>
          <t>KL43L0196</t>
        </is>
      </c>
      <c r="E965" s="7" t="inlineStr">
        <is>
          <t>TOYOTA</t>
        </is>
      </c>
      <c r="F965" s="7" t="inlineStr">
        <is>
          <t>Yaris</t>
        </is>
      </c>
      <c r="G965" s="7" t="inlineStr">
        <is>
          <t>EVM CITROEN</t>
        </is>
      </c>
      <c r="H965" s="7" t="inlineStr">
        <is>
          <t>Non-Captive</t>
        </is>
      </c>
      <c r="I965" s="7" t="inlineStr">
        <is>
          <t>HAVEN MOTORS</t>
        </is>
      </c>
      <c r="J965" s="8" t="n"/>
      <c r="K965" s="9" t="n">
        <v>52000</v>
      </c>
      <c r="L965" s="10" t="n">
        <v>520000</v>
      </c>
      <c r="M965" s="10" t="n">
        <v>8474.58</v>
      </c>
      <c r="N965" s="11">
        <f>IF(M965="","",ROUND(M965*1.18,2))</f>
        <v/>
      </c>
      <c r="O965" s="12">
        <f>IF(M965="","",ROUND(N965-M965,2))</f>
        <v/>
      </c>
      <c r="P965" s="13">
        <f>IF(AND(A965&lt;&gt;"",B965&lt;&gt;""), A965&amp;" · "&amp;B965, "")</f>
        <v/>
      </c>
    </row>
    <row r="966">
      <c r="A966" s="6" t="inlineStr">
        <is>
          <t>FY26</t>
        </is>
      </c>
      <c r="B966" s="6" t="inlineStr">
        <is>
          <t>Mar</t>
        </is>
      </c>
      <c r="C966" s="6" t="inlineStr">
        <is>
          <t>Kerala</t>
        </is>
      </c>
      <c r="D966" s="7" t="inlineStr">
        <is>
          <t>KL43L0710</t>
        </is>
      </c>
      <c r="E966" s="7" t="inlineStr">
        <is>
          <t>HYUNDAI</t>
        </is>
      </c>
      <c r="F966" s="7" t="inlineStr">
        <is>
          <t>Eon</t>
        </is>
      </c>
      <c r="G966" s="7" t="inlineStr">
        <is>
          <t>CARS24</t>
        </is>
      </c>
      <c r="H966" s="7" t="inlineStr">
        <is>
          <t>Non-Captive</t>
        </is>
      </c>
      <c r="I966" s="7" t="inlineStr">
        <is>
          <t>HUSSAIN O E</t>
        </is>
      </c>
      <c r="J966" s="8" t="n"/>
      <c r="K966" s="9" t="n">
        <v>88832</v>
      </c>
      <c r="L966" s="10" t="n">
        <v>130000</v>
      </c>
      <c r="M966" s="10" t="n">
        <v>8474.58</v>
      </c>
      <c r="N966" s="11">
        <f>IF(M966="","",ROUND(M966*1.18,2))</f>
        <v/>
      </c>
      <c r="O966" s="12">
        <f>IF(M966="","",ROUND(N966-M966,2))</f>
        <v/>
      </c>
      <c r="P966" s="13">
        <f>IF(AND(A966&lt;&gt;"",B966&lt;&gt;""), A966&amp;" · "&amp;B966, "")</f>
        <v/>
      </c>
    </row>
    <row r="967">
      <c r="A967" s="6" t="inlineStr">
        <is>
          <t>FY26</t>
        </is>
      </c>
      <c r="B967" s="6" t="inlineStr">
        <is>
          <t>Mar</t>
        </is>
      </c>
      <c r="C967" s="6" t="inlineStr">
        <is>
          <t>Kerala</t>
        </is>
      </c>
      <c r="D967" s="7" t="inlineStr">
        <is>
          <t>KL43P6758</t>
        </is>
      </c>
      <c r="E967" s="7" t="inlineStr">
        <is>
          <t>RENAULT</t>
        </is>
      </c>
      <c r="F967" s="7" t="inlineStr">
        <is>
          <t>Kiger</t>
        </is>
      </c>
      <c r="G967" s="7" t="inlineStr">
        <is>
          <t>HASEENA</t>
        </is>
      </c>
      <c r="H967" s="7" t="inlineStr">
        <is>
          <t>Non-Captive</t>
        </is>
      </c>
      <c r="I967" s="7" t="inlineStr">
        <is>
          <t>UCD SANTHOSH</t>
        </is>
      </c>
      <c r="J967" s="8" t="n"/>
      <c r="K967" s="9" t="n">
        <v>23000</v>
      </c>
      <c r="L967" s="10" t="n">
        <v>540000</v>
      </c>
      <c r="M967" s="10" t="n">
        <v>8474.58</v>
      </c>
      <c r="N967" s="11">
        <f>IF(M967="","",ROUND(M967*1.18,2))</f>
        <v/>
      </c>
      <c r="O967" s="12">
        <f>IF(M967="","",ROUND(N967-M967,2))</f>
        <v/>
      </c>
      <c r="P967" s="13">
        <f>IF(AND(A967&lt;&gt;"",B967&lt;&gt;""), A967&amp;" · "&amp;B967, "")</f>
        <v/>
      </c>
    </row>
    <row r="968">
      <c r="A968" s="6" t="inlineStr">
        <is>
          <t>FY26</t>
        </is>
      </c>
      <c r="B968" s="6" t="inlineStr">
        <is>
          <t>Mar</t>
        </is>
      </c>
      <c r="C968" s="6" t="inlineStr">
        <is>
          <t>Kerala</t>
        </is>
      </c>
      <c r="D968" s="7" t="inlineStr">
        <is>
          <t>KL45V1772</t>
        </is>
      </c>
      <c r="E968" s="7" t="inlineStr">
        <is>
          <t>MARUTI SUZUKI</t>
        </is>
      </c>
      <c r="F968" s="7" t="inlineStr">
        <is>
          <t>Alto</t>
        </is>
      </c>
      <c r="G968" s="7" t="inlineStr">
        <is>
          <t>AMRITH V CHANDY</t>
        </is>
      </c>
      <c r="H968" s="7" t="inlineStr">
        <is>
          <t>Non-Captive</t>
        </is>
      </c>
      <c r="I968" s="7" t="inlineStr">
        <is>
          <t>MUHAMMAD SHAJI</t>
        </is>
      </c>
      <c r="J968" s="8" t="n"/>
      <c r="K968" s="9" t="n">
        <v>56757</v>
      </c>
      <c r="L968" s="10" t="n">
        <v>305000</v>
      </c>
      <c r="M968" s="10" t="n">
        <v>8474.58</v>
      </c>
      <c r="N968" s="11">
        <f>IF(M968="","",ROUND(M968*1.18,2))</f>
        <v/>
      </c>
      <c r="O968" s="12">
        <f>IF(M968="","",ROUND(N968-M968,2))</f>
        <v/>
      </c>
      <c r="P968" s="13">
        <f>IF(AND(A968&lt;&gt;"",B968&lt;&gt;""), A968&amp;" · "&amp;B968, "")</f>
        <v/>
      </c>
    </row>
    <row r="969">
      <c r="A969" s="6" t="inlineStr">
        <is>
          <t>FY26</t>
        </is>
      </c>
      <c r="B969" s="6" t="inlineStr">
        <is>
          <t>Mar</t>
        </is>
      </c>
      <c r="C969" s="6" t="inlineStr">
        <is>
          <t>Kerala</t>
        </is>
      </c>
      <c r="D969" s="7" t="inlineStr">
        <is>
          <t>KL48F4554</t>
        </is>
      </c>
      <c r="E969" s="7" t="inlineStr">
        <is>
          <t>SKODA</t>
        </is>
      </c>
      <c r="F969" s="7" t="inlineStr">
        <is>
          <t>Rapid</t>
        </is>
      </c>
      <c r="G969" s="7" t="inlineStr">
        <is>
          <t>MUHAMMAD SHAJI</t>
        </is>
      </c>
      <c r="H969" s="7" t="inlineStr">
        <is>
          <t>Non-Captive</t>
        </is>
      </c>
      <c r="I969" s="7" t="inlineStr">
        <is>
          <t>FABITH</t>
        </is>
      </c>
      <c r="J969" s="8" t="n"/>
      <c r="K969" s="9" t="n">
        <v>78678</v>
      </c>
      <c r="L969" s="10" t="n">
        <v>255000</v>
      </c>
      <c r="M969" s="10" t="n">
        <v>8474.58</v>
      </c>
      <c r="N969" s="11">
        <f>IF(M969="","",ROUND(M969*1.18,2))</f>
        <v/>
      </c>
      <c r="O969" s="12">
        <f>IF(M969="","",ROUND(N969-M969,2))</f>
        <v/>
      </c>
      <c r="P969" s="13">
        <f>IF(AND(A969&lt;&gt;"",B969&lt;&gt;""), A969&amp;" · "&amp;B969, "")</f>
        <v/>
      </c>
    </row>
    <row r="970">
      <c r="A970" s="6" t="inlineStr">
        <is>
          <t>FY26</t>
        </is>
      </c>
      <c r="B970" s="6" t="inlineStr">
        <is>
          <t>Mar</t>
        </is>
      </c>
      <c r="C970" s="6" t="inlineStr">
        <is>
          <t>Kerala</t>
        </is>
      </c>
      <c r="D970" s="7" t="inlineStr">
        <is>
          <t>KL48S4341</t>
        </is>
      </c>
      <c r="E970" s="7" t="inlineStr">
        <is>
          <t>VOLKSWAGEN</t>
        </is>
      </c>
      <c r="F970" s="7" t="inlineStr">
        <is>
          <t>Taigun</t>
        </is>
      </c>
      <c r="G970" s="7" t="inlineStr">
        <is>
          <t>PHOENIX VOLKSWAGEN</t>
        </is>
      </c>
      <c r="H970" s="7" t="inlineStr">
        <is>
          <t>Non-Captive</t>
        </is>
      </c>
      <c r="I970" s="7" t="inlineStr">
        <is>
          <t>KAPS CARS</t>
        </is>
      </c>
      <c r="J970" s="8" t="n"/>
      <c r="K970" s="9" t="n">
        <v>22000</v>
      </c>
      <c r="L970" s="10" t="n">
        <v>1135000</v>
      </c>
      <c r="M970" s="10" t="n">
        <v>12711.86</v>
      </c>
      <c r="N970" s="11">
        <f>IF(M970="","",ROUND(M970*1.18,2))</f>
        <v/>
      </c>
      <c r="O970" s="12">
        <f>IF(M970="","",ROUND(N970-M970,2))</f>
        <v/>
      </c>
      <c r="P970" s="13">
        <f>IF(AND(A970&lt;&gt;"",B970&lt;&gt;""), A970&amp;" · "&amp;B970, "")</f>
        <v/>
      </c>
    </row>
    <row r="971">
      <c r="A971" s="6" t="inlineStr">
        <is>
          <t>FY26</t>
        </is>
      </c>
      <c r="B971" s="6" t="inlineStr">
        <is>
          <t>Mar</t>
        </is>
      </c>
      <c r="C971" s="6" t="inlineStr">
        <is>
          <t>Kerala</t>
        </is>
      </c>
      <c r="D971" s="7" t="inlineStr">
        <is>
          <t>KL54B6926</t>
        </is>
      </c>
      <c r="E971" s="7" t="inlineStr">
        <is>
          <t>HYUNDAI</t>
        </is>
      </c>
      <c r="F971" s="7" t="inlineStr">
        <is>
          <t>i20</t>
        </is>
      </c>
      <c r="G971" s="7" t="inlineStr">
        <is>
          <t>AUTOTRUST</t>
        </is>
      </c>
      <c r="H971" s="7" t="inlineStr">
        <is>
          <t>Non-Captive</t>
        </is>
      </c>
      <c r="I971" s="7" t="inlineStr">
        <is>
          <t>CERO MAHINDRA</t>
        </is>
      </c>
      <c r="J971" s="8" t="n"/>
      <c r="K971" s="9" t="n">
        <v>200000</v>
      </c>
      <c r="L971" s="10" t="n">
        <v>20000</v>
      </c>
      <c r="M971" s="10" t="n">
        <v>4237.29</v>
      </c>
      <c r="N971" s="11">
        <f>IF(M971="","",ROUND(M971*1.18,2))</f>
        <v/>
      </c>
      <c r="O971" s="12">
        <f>IF(M971="","",ROUND(N971-M971,2))</f>
        <v/>
      </c>
      <c r="P971" s="13">
        <f>IF(AND(A971&lt;&gt;"",B971&lt;&gt;""), A971&amp;" · "&amp;B971, "")</f>
        <v/>
      </c>
    </row>
    <row r="972">
      <c r="A972" s="6" t="inlineStr">
        <is>
          <t>FY26</t>
        </is>
      </c>
      <c r="B972" s="6" t="inlineStr">
        <is>
          <t>Mar</t>
        </is>
      </c>
      <c r="C972" s="6" t="inlineStr">
        <is>
          <t>Kerala</t>
        </is>
      </c>
      <c r="D972" s="7" t="inlineStr">
        <is>
          <t>KL56T4060</t>
        </is>
      </c>
      <c r="E972" s="7" t="inlineStr">
        <is>
          <t>MARUTI SUZUKI</t>
        </is>
      </c>
      <c r="F972" s="7" t="inlineStr">
        <is>
          <t>Baleno</t>
        </is>
      </c>
      <c r="G972" s="7" t="inlineStr">
        <is>
          <t>SIRAJ K V</t>
        </is>
      </c>
      <c r="H972" s="7" t="inlineStr">
        <is>
          <t>Non-Captive</t>
        </is>
      </c>
      <c r="I972" s="7" t="inlineStr">
        <is>
          <t>KVR TATA</t>
        </is>
      </c>
      <c r="J972" s="8" t="n"/>
      <c r="K972" s="9" t="n">
        <v>46000</v>
      </c>
      <c r="L972" s="10" t="n">
        <v>470000</v>
      </c>
      <c r="M972" s="10" t="n">
        <v>8474.58</v>
      </c>
      <c r="N972" s="11">
        <f>IF(M972="","",ROUND(M972*1.18,2))</f>
        <v/>
      </c>
      <c r="O972" s="12">
        <f>IF(M972="","",ROUND(N972-M972,2))</f>
        <v/>
      </c>
      <c r="P972" s="13">
        <f>IF(AND(A972&lt;&gt;"",B972&lt;&gt;""), A972&amp;" · "&amp;B972, "")</f>
        <v/>
      </c>
    </row>
    <row r="973">
      <c r="A973" s="6" t="inlineStr">
        <is>
          <t>FY26</t>
        </is>
      </c>
      <c r="B973" s="6" t="inlineStr">
        <is>
          <t>Mar</t>
        </is>
      </c>
      <c r="C973" s="6" t="inlineStr">
        <is>
          <t>Kerala</t>
        </is>
      </c>
      <c r="D973" s="7" t="inlineStr">
        <is>
          <t>KL56T8925</t>
        </is>
      </c>
      <c r="E973" s="7" t="inlineStr">
        <is>
          <t>DATSUN</t>
        </is>
      </c>
      <c r="F973" s="7" t="inlineStr">
        <is>
          <t>Go</t>
        </is>
      </c>
      <c r="G973" s="7" t="inlineStr">
        <is>
          <t>KANNUR PLATINUM</t>
        </is>
      </c>
      <c r="H973" s="7" t="inlineStr">
        <is>
          <t>Non-Captive</t>
        </is>
      </c>
      <c r="I973" s="7" t="inlineStr">
        <is>
          <t>CETRION CALICUT</t>
        </is>
      </c>
      <c r="J973" s="8" t="n"/>
      <c r="K973" s="9" t="n">
        <v>70000</v>
      </c>
      <c r="L973" s="10" t="n">
        <v>155000</v>
      </c>
      <c r="M973" s="10" t="n">
        <v>4237.29</v>
      </c>
      <c r="N973" s="11">
        <f>IF(M973="","",ROUND(M973*1.18,2))</f>
        <v/>
      </c>
      <c r="O973" s="12">
        <f>IF(M973="","",ROUND(N973-M973,2))</f>
        <v/>
      </c>
      <c r="P973" s="13">
        <f>IF(AND(A973&lt;&gt;"",B973&lt;&gt;""), A973&amp;" · "&amp;B973, "")</f>
        <v/>
      </c>
    </row>
    <row r="974">
      <c r="A974" s="6" t="inlineStr">
        <is>
          <t>FY26</t>
        </is>
      </c>
      <c r="B974" s="6" t="inlineStr">
        <is>
          <t>Mar</t>
        </is>
      </c>
      <c r="C974" s="6" t="inlineStr">
        <is>
          <t>Kerala</t>
        </is>
      </c>
      <c r="D974" s="7" t="inlineStr">
        <is>
          <t>KL570038</t>
        </is>
      </c>
      <c r="E974" s="7" t="inlineStr">
        <is>
          <t>MARUTI SUZUKI</t>
        </is>
      </c>
      <c r="F974" s="7" t="inlineStr">
        <is>
          <t>Alto</t>
        </is>
      </c>
      <c r="G974" s="7" t="inlineStr">
        <is>
          <t>POPULAR MARUTI</t>
        </is>
      </c>
      <c r="H974" s="7" t="inlineStr">
        <is>
          <t>Non-Captive</t>
        </is>
      </c>
      <c r="I974" s="7" t="inlineStr">
        <is>
          <t>VISHNU M S</t>
        </is>
      </c>
      <c r="J974" s="8" t="n"/>
      <c r="K974" s="9" t="n">
        <v>87000</v>
      </c>
      <c r="L974" s="10" t="n">
        <v>20000</v>
      </c>
      <c r="M974" s="10" t="n">
        <v>6779.66</v>
      </c>
      <c r="N974" s="11">
        <f>IF(M974="","",ROUND(M974*1.18,2))</f>
        <v/>
      </c>
      <c r="O974" s="12">
        <f>IF(M974="","",ROUND(N974-M974,2))</f>
        <v/>
      </c>
      <c r="P974" s="13">
        <f>IF(AND(A974&lt;&gt;"",B974&lt;&gt;""), A974&amp;" · "&amp;B974, "")</f>
        <v/>
      </c>
    </row>
    <row r="975">
      <c r="A975" s="6" t="inlineStr">
        <is>
          <t>FY26</t>
        </is>
      </c>
      <c r="B975" s="6" t="inlineStr">
        <is>
          <t>Mar</t>
        </is>
      </c>
      <c r="C975" s="6" t="inlineStr">
        <is>
          <t>Kerala</t>
        </is>
      </c>
      <c r="D975" s="7" t="inlineStr">
        <is>
          <t>KL57D8282</t>
        </is>
      </c>
      <c r="E975" s="7" t="inlineStr">
        <is>
          <t>MARUTI SUZUKI</t>
        </is>
      </c>
      <c r="F975" s="7" t="inlineStr">
        <is>
          <t>Ritz</t>
        </is>
      </c>
      <c r="G975" s="7" t="inlineStr">
        <is>
          <t>PRAJOSH</t>
        </is>
      </c>
      <c r="H975" s="7" t="inlineStr">
        <is>
          <t>Non-Captive</t>
        </is>
      </c>
      <c r="I975" s="7" t="inlineStr">
        <is>
          <t>DKH KIA</t>
        </is>
      </c>
      <c r="J975" s="8" t="n"/>
      <c r="K975" s="9" t="n">
        <v>100000</v>
      </c>
      <c r="L975" s="10" t="n">
        <v>80000</v>
      </c>
      <c r="M975" s="10" t="n">
        <v>4237.29</v>
      </c>
      <c r="N975" s="11">
        <f>IF(M975="","",ROUND(M975*1.18,2))</f>
        <v/>
      </c>
      <c r="O975" s="12">
        <f>IF(M975="","",ROUND(N975-M975,2))</f>
        <v/>
      </c>
      <c r="P975" s="13">
        <f>IF(AND(A975&lt;&gt;"",B975&lt;&gt;""), A975&amp;" · "&amp;B975, "")</f>
        <v/>
      </c>
    </row>
    <row r="976">
      <c r="A976" s="6" t="inlineStr">
        <is>
          <t>FY26</t>
        </is>
      </c>
      <c r="B976" s="6" t="inlineStr">
        <is>
          <t>Mar</t>
        </is>
      </c>
      <c r="C976" s="6" t="inlineStr">
        <is>
          <t>Kerala</t>
        </is>
      </c>
      <c r="D976" s="7" t="inlineStr">
        <is>
          <t>KL57K6370</t>
        </is>
      </c>
      <c r="E976" s="7" t="inlineStr">
        <is>
          <t>HYUNDAI</t>
        </is>
      </c>
      <c r="F976" s="7" t="inlineStr">
        <is>
          <t>Xcent</t>
        </is>
      </c>
      <c r="G976" s="7" t="inlineStr">
        <is>
          <t>AUTOBOT</t>
        </is>
      </c>
      <c r="H976" s="7" t="inlineStr">
        <is>
          <t>Non-Captive</t>
        </is>
      </c>
      <c r="I976" s="7" t="inlineStr">
        <is>
          <t>ERAM MAHINDRA</t>
        </is>
      </c>
      <c r="J976" s="8" t="n"/>
      <c r="K976" s="9" t="n">
        <v>75000</v>
      </c>
      <c r="L976" s="10" t="n">
        <v>335000</v>
      </c>
      <c r="M976" s="10" t="n">
        <v>4237.29</v>
      </c>
      <c r="N976" s="11">
        <f>IF(M976="","",ROUND(M976*1.18,2))</f>
        <v/>
      </c>
      <c r="O976" s="12">
        <f>IF(M976="","",ROUND(N976-M976,2))</f>
        <v/>
      </c>
      <c r="P976" s="13">
        <f>IF(AND(A976&lt;&gt;"",B976&lt;&gt;""), A976&amp;" · "&amp;B976, "")</f>
        <v/>
      </c>
    </row>
    <row r="977">
      <c r="A977" s="6" t="inlineStr">
        <is>
          <t>FY26</t>
        </is>
      </c>
      <c r="B977" s="6" t="inlineStr">
        <is>
          <t>Mar</t>
        </is>
      </c>
      <c r="C977" s="6" t="inlineStr">
        <is>
          <t>Kerala</t>
        </is>
      </c>
      <c r="D977" s="7" t="inlineStr">
        <is>
          <t>KL57N3753</t>
        </is>
      </c>
      <c r="E977" s="7" t="inlineStr">
        <is>
          <t>HYUNDAI</t>
        </is>
      </c>
      <c r="F977" s="7" t="inlineStr">
        <is>
          <t>Grand i10</t>
        </is>
      </c>
      <c r="G977" s="7" t="inlineStr">
        <is>
          <t>PRAJOSH</t>
        </is>
      </c>
      <c r="H977" s="7" t="inlineStr">
        <is>
          <t>Non-Captive</t>
        </is>
      </c>
      <c r="I977" s="7" t="inlineStr">
        <is>
          <t>BIMAL</t>
        </is>
      </c>
      <c r="J977" s="8" t="n"/>
      <c r="K977" s="9" t="n">
        <v>46000</v>
      </c>
      <c r="L977" s="10" t="n">
        <v>265000</v>
      </c>
      <c r="M977" s="10" t="n">
        <v>4237.29</v>
      </c>
      <c r="N977" s="11">
        <f>IF(M977="","",ROUND(M977*1.18,2))</f>
        <v/>
      </c>
      <c r="O977" s="12">
        <f>IF(M977="","",ROUND(N977-M977,2))</f>
        <v/>
      </c>
      <c r="P977" s="13">
        <f>IF(AND(A977&lt;&gt;"",B977&lt;&gt;""), A977&amp;" · "&amp;B977, "")</f>
        <v/>
      </c>
    </row>
    <row r="978">
      <c r="A978" s="6" t="inlineStr">
        <is>
          <t>FY26</t>
        </is>
      </c>
      <c r="B978" s="6" t="inlineStr">
        <is>
          <t>Mar</t>
        </is>
      </c>
      <c r="C978" s="6" t="inlineStr">
        <is>
          <t>Kerala</t>
        </is>
      </c>
      <c r="D978" s="7" t="inlineStr">
        <is>
          <t>KL58AJ6903</t>
        </is>
      </c>
      <c r="E978" s="7" t="inlineStr">
        <is>
          <t>RENAULT</t>
        </is>
      </c>
      <c r="F978" s="7" t="inlineStr">
        <is>
          <t>Kwid</t>
        </is>
      </c>
      <c r="G978" s="7" t="inlineStr">
        <is>
          <t>VASIL</t>
        </is>
      </c>
      <c r="H978" s="7" t="inlineStr">
        <is>
          <t>Non-Captive</t>
        </is>
      </c>
      <c r="I978" s="7" t="inlineStr">
        <is>
          <t>ICICI BANK</t>
        </is>
      </c>
      <c r="J978" s="8" t="n"/>
      <c r="K978" s="9" t="n">
        <v>13100</v>
      </c>
      <c r="L978" s="10" t="n">
        <v>335000</v>
      </c>
      <c r="M978" s="10" t="n">
        <v>8474.58</v>
      </c>
      <c r="N978" s="11">
        <f>IF(M978="","",ROUND(M978*1.18,2))</f>
        <v/>
      </c>
      <c r="O978" s="12">
        <f>IF(M978="","",ROUND(N978-M978,2))</f>
        <v/>
      </c>
      <c r="P978" s="13">
        <f>IF(AND(A978&lt;&gt;"",B978&lt;&gt;""), A978&amp;" · "&amp;B978, "")</f>
        <v/>
      </c>
    </row>
    <row r="979">
      <c r="A979" s="6" t="inlineStr">
        <is>
          <t>FY26</t>
        </is>
      </c>
      <c r="B979" s="6" t="inlineStr">
        <is>
          <t>Mar</t>
        </is>
      </c>
      <c r="C979" s="6" t="inlineStr">
        <is>
          <t>Kerala</t>
        </is>
      </c>
      <c r="D979" s="7" t="inlineStr">
        <is>
          <t>KL58G5594</t>
        </is>
      </c>
      <c r="E979" s="7" t="inlineStr">
        <is>
          <t>MARUTI SUZUKI</t>
        </is>
      </c>
      <c r="F979" s="7" t="inlineStr">
        <is>
          <t>Swift</t>
        </is>
      </c>
      <c r="G979" s="7" t="inlineStr">
        <is>
          <t>RASIQUE BASHEER</t>
        </is>
      </c>
      <c r="H979" s="7" t="inlineStr">
        <is>
          <t>Non-Captive</t>
        </is>
      </c>
      <c r="I979" s="7" t="inlineStr">
        <is>
          <t>EVM SKODA</t>
        </is>
      </c>
      <c r="J979" s="8" t="n"/>
      <c r="K979" s="9" t="n">
        <v>117000</v>
      </c>
      <c r="L979" s="10" t="n">
        <v>247000</v>
      </c>
      <c r="M979" s="10" t="n">
        <v>4237.29</v>
      </c>
      <c r="N979" s="11">
        <f>IF(M979="","",ROUND(M979*1.18,2))</f>
        <v/>
      </c>
      <c r="O979" s="12">
        <f>IF(M979="","",ROUND(N979-M979,2))</f>
        <v/>
      </c>
      <c r="P979" s="13">
        <f>IF(AND(A979&lt;&gt;"",B979&lt;&gt;""), A979&amp;" · "&amp;B979, "")</f>
        <v/>
      </c>
    </row>
    <row r="980">
      <c r="A980" s="6" t="inlineStr">
        <is>
          <t>FY26</t>
        </is>
      </c>
      <c r="B980" s="6" t="inlineStr">
        <is>
          <t>Mar</t>
        </is>
      </c>
      <c r="C980" s="6" t="inlineStr">
        <is>
          <t>Kerala</t>
        </is>
      </c>
      <c r="D980" s="7" t="inlineStr">
        <is>
          <t>KL58H8775</t>
        </is>
      </c>
      <c r="E980" s="7" t="inlineStr">
        <is>
          <t>TATA</t>
        </is>
      </c>
      <c r="F980" s="7" t="inlineStr">
        <is>
          <t>Indica</t>
        </is>
      </c>
      <c r="G980" s="7" t="inlineStr">
        <is>
          <t>UNAISE</t>
        </is>
      </c>
      <c r="H980" s="7" t="inlineStr">
        <is>
          <t>Non-Captive</t>
        </is>
      </c>
      <c r="I980" s="7" t="inlineStr">
        <is>
          <t>MOTOEXCHANGE</t>
        </is>
      </c>
      <c r="J980" s="8" t="n"/>
      <c r="K980" s="9" t="n">
        <v>113000</v>
      </c>
      <c r="L980" s="10" t="n">
        <v>70000</v>
      </c>
      <c r="M980" s="10" t="n">
        <v>8474.58</v>
      </c>
      <c r="N980" s="11">
        <f>IF(M980="","",ROUND(M980*1.18,2))</f>
        <v/>
      </c>
      <c r="O980" s="12">
        <f>IF(M980="","",ROUND(N980-M980,2))</f>
        <v/>
      </c>
      <c r="P980" s="13">
        <f>IF(AND(A980&lt;&gt;"",B980&lt;&gt;""), A980&amp;" · "&amp;B980, "")</f>
        <v/>
      </c>
    </row>
    <row r="981">
      <c r="A981" s="6" t="inlineStr">
        <is>
          <t>FY26</t>
        </is>
      </c>
      <c r="B981" s="6" t="inlineStr">
        <is>
          <t>Mar</t>
        </is>
      </c>
      <c r="C981" s="6" t="inlineStr">
        <is>
          <t>Kerala</t>
        </is>
      </c>
      <c r="D981" s="7" t="inlineStr">
        <is>
          <t>KL58J8563</t>
        </is>
      </c>
      <c r="E981" s="7" t="inlineStr">
        <is>
          <t>HYUNDAI</t>
        </is>
      </c>
      <c r="F981" s="7" t="inlineStr">
        <is>
          <t>Eon</t>
        </is>
      </c>
      <c r="G981" s="7" t="inlineStr">
        <is>
          <t>PRAJOSH</t>
        </is>
      </c>
      <c r="H981" s="7" t="inlineStr">
        <is>
          <t>Non-Captive</t>
        </is>
      </c>
      <c r="I981" s="7" t="inlineStr">
        <is>
          <t>APCO HYUNDAI</t>
        </is>
      </c>
      <c r="J981" s="8" t="n"/>
      <c r="K981" s="9" t="n">
        <v>99000</v>
      </c>
      <c r="L981" s="10" t="n">
        <v>105000</v>
      </c>
      <c r="M981" s="10" t="n">
        <v>6779.66</v>
      </c>
      <c r="N981" s="11">
        <f>IF(M981="","",ROUND(M981*1.18,2))</f>
        <v/>
      </c>
      <c r="O981" s="12">
        <f>IF(M981="","",ROUND(N981-M981,2))</f>
        <v/>
      </c>
      <c r="P981" s="13">
        <f>IF(AND(A981&lt;&gt;"",B981&lt;&gt;""), A981&amp;" · "&amp;B981, "")</f>
        <v/>
      </c>
    </row>
    <row r="982">
      <c r="A982" s="6" t="inlineStr">
        <is>
          <t>FY26</t>
        </is>
      </c>
      <c r="B982" s="6" t="inlineStr">
        <is>
          <t>Mar</t>
        </is>
      </c>
      <c r="C982" s="6" t="inlineStr">
        <is>
          <t>Kerala</t>
        </is>
      </c>
      <c r="D982" s="7" t="inlineStr">
        <is>
          <t>KL58K3074</t>
        </is>
      </c>
      <c r="E982" s="7" t="inlineStr">
        <is>
          <t>TOYOTA</t>
        </is>
      </c>
      <c r="F982" s="7" t="inlineStr">
        <is>
          <t>Etios</t>
        </is>
      </c>
      <c r="G982" s="7" t="inlineStr">
        <is>
          <t>PRAJOSH</t>
        </is>
      </c>
      <c r="H982" s="7" t="inlineStr">
        <is>
          <t>Non-Captive</t>
        </is>
      </c>
      <c r="I982" s="7" t="inlineStr">
        <is>
          <t>EVM NISSAN</t>
        </is>
      </c>
      <c r="J982" s="8" t="n"/>
      <c r="K982" s="9" t="n">
        <v>123000</v>
      </c>
      <c r="L982" s="10" t="n">
        <v>190000</v>
      </c>
      <c r="M982" s="10" t="n">
        <v>8474.58</v>
      </c>
      <c r="N982" s="11">
        <f>IF(M982="","",ROUND(M982*1.18,2))</f>
        <v/>
      </c>
      <c r="O982" s="12">
        <f>IF(M982="","",ROUND(N982-M982,2))</f>
        <v/>
      </c>
      <c r="P982" s="13">
        <f>IF(AND(A982&lt;&gt;"",B982&lt;&gt;""), A982&amp;" · "&amp;B982, "")</f>
        <v/>
      </c>
    </row>
    <row r="983">
      <c r="A983" s="6" t="inlineStr">
        <is>
          <t>FY26</t>
        </is>
      </c>
      <c r="B983" s="6" t="inlineStr">
        <is>
          <t>Mar</t>
        </is>
      </c>
      <c r="C983" s="6" t="inlineStr">
        <is>
          <t>Kerala</t>
        </is>
      </c>
      <c r="D983" s="7" t="inlineStr">
        <is>
          <t>KL58N2833</t>
        </is>
      </c>
      <c r="E983" s="7" t="inlineStr">
        <is>
          <t>MARUTI SUZUKI</t>
        </is>
      </c>
      <c r="F983" s="7" t="inlineStr">
        <is>
          <t>Celerio</t>
        </is>
      </c>
      <c r="G983" s="7" t="inlineStr">
        <is>
          <t>SREEJITH</t>
        </is>
      </c>
      <c r="H983" s="7" t="inlineStr">
        <is>
          <t>Non-Captive</t>
        </is>
      </c>
      <c r="I983" s="7" t="inlineStr">
        <is>
          <t>SANOOP</t>
        </is>
      </c>
      <c r="J983" s="8" t="n"/>
      <c r="K983" s="9" t="n">
        <v>130000</v>
      </c>
      <c r="L983" s="10" t="n">
        <v>250000</v>
      </c>
      <c r="M983" s="10" t="n">
        <v>4237.29</v>
      </c>
      <c r="N983" s="11">
        <f>IF(M983="","",ROUND(M983*1.18,2))</f>
        <v/>
      </c>
      <c r="O983" s="12">
        <f>IF(M983="","",ROUND(N983-M983,2))</f>
        <v/>
      </c>
      <c r="P983" s="13">
        <f>IF(AND(A983&lt;&gt;"",B983&lt;&gt;""), A983&amp;" · "&amp;B983, "")</f>
        <v/>
      </c>
    </row>
    <row r="984">
      <c r="A984" s="6" t="inlineStr">
        <is>
          <t>FY26</t>
        </is>
      </c>
      <c r="B984" s="6" t="inlineStr">
        <is>
          <t>Mar</t>
        </is>
      </c>
      <c r="C984" s="6" t="inlineStr">
        <is>
          <t>Kerala</t>
        </is>
      </c>
      <c r="D984" s="7" t="inlineStr">
        <is>
          <t>KL58S9485</t>
        </is>
      </c>
      <c r="E984" s="7" t="inlineStr">
        <is>
          <t>HYUNDAI</t>
        </is>
      </c>
      <c r="F984" s="7" t="inlineStr">
        <is>
          <t>i10</t>
        </is>
      </c>
      <c r="G984" s="7" t="inlineStr">
        <is>
          <t>KANNUR PLATINUM</t>
        </is>
      </c>
      <c r="H984" s="7" t="inlineStr">
        <is>
          <t>Non-Captive</t>
        </is>
      </c>
      <c r="I984" s="7" t="inlineStr">
        <is>
          <t>KVR TATA</t>
        </is>
      </c>
      <c r="J984" s="8" t="n"/>
      <c r="K984" s="9" t="n">
        <v>78000</v>
      </c>
      <c r="L984" s="10" t="n">
        <v>230000</v>
      </c>
      <c r="M984" s="10" t="n">
        <v>4237.29</v>
      </c>
      <c r="N984" s="11">
        <f>IF(M984="","",ROUND(M984*1.18,2))</f>
        <v/>
      </c>
      <c r="O984" s="12">
        <f>IF(M984="","",ROUND(N984-M984,2))</f>
        <v/>
      </c>
      <c r="P984" s="13">
        <f>IF(AND(A984&lt;&gt;"",B984&lt;&gt;""), A984&amp;" · "&amp;B984, "")</f>
        <v/>
      </c>
    </row>
    <row r="985">
      <c r="A985" s="6" t="inlineStr">
        <is>
          <t>FY26</t>
        </is>
      </c>
      <c r="B985" s="6" t="inlineStr">
        <is>
          <t>Mar</t>
        </is>
      </c>
      <c r="C985" s="6" t="inlineStr">
        <is>
          <t>Kerala</t>
        </is>
      </c>
      <c r="D985" s="7" t="inlineStr">
        <is>
          <t>KL58V3278</t>
        </is>
      </c>
      <c r="E985" s="7" t="inlineStr">
        <is>
          <t>MARUTI SUZUKI</t>
        </is>
      </c>
      <c r="F985" s="7" t="inlineStr">
        <is>
          <t>Baleno</t>
        </is>
      </c>
      <c r="G985" s="7" t="inlineStr">
        <is>
          <t>AUTOBOT</t>
        </is>
      </c>
      <c r="H985" s="7" t="inlineStr">
        <is>
          <t>Non-Captive</t>
        </is>
      </c>
      <c r="I985" s="7" t="inlineStr">
        <is>
          <t>APCO HYUNDAI</t>
        </is>
      </c>
      <c r="J985" s="8" t="n"/>
      <c r="K985" s="9" t="n">
        <v>43000</v>
      </c>
      <c r="L985" s="10" t="n">
        <v>457000</v>
      </c>
      <c r="M985" s="10" t="n">
        <v>4237.29</v>
      </c>
      <c r="N985" s="11">
        <f>IF(M985="","",ROUND(M985*1.18,2))</f>
        <v/>
      </c>
      <c r="O985" s="12">
        <f>IF(M985="","",ROUND(N985-M985,2))</f>
        <v/>
      </c>
      <c r="P985" s="13">
        <f>IF(AND(A985&lt;&gt;"",B985&lt;&gt;""), A985&amp;" · "&amp;B985, "")</f>
        <v/>
      </c>
    </row>
    <row r="986">
      <c r="A986" s="6" t="inlineStr">
        <is>
          <t>FY26</t>
        </is>
      </c>
      <c r="B986" s="6" t="inlineStr">
        <is>
          <t>Mar</t>
        </is>
      </c>
      <c r="C986" s="6" t="inlineStr">
        <is>
          <t>Kerala</t>
        </is>
      </c>
      <c r="D986" s="7" t="inlineStr">
        <is>
          <t>KL597960</t>
        </is>
      </c>
      <c r="E986" s="7" t="inlineStr">
        <is>
          <t>MARUTI SUZUKI</t>
        </is>
      </c>
      <c r="F986" s="7" t="inlineStr">
        <is>
          <t>800</t>
        </is>
      </c>
      <c r="G986" s="7" t="inlineStr">
        <is>
          <t>PRAJOSH</t>
        </is>
      </c>
      <c r="H986" s="7" t="inlineStr">
        <is>
          <t>Non-Captive</t>
        </is>
      </c>
      <c r="I986" s="7" t="inlineStr">
        <is>
          <t>KVR TATA</t>
        </is>
      </c>
      <c r="J986" s="8" t="n"/>
      <c r="K986" s="9" t="n">
        <v>76000</v>
      </c>
      <c r="L986" s="10" t="n">
        <v>40000</v>
      </c>
      <c r="M986" s="10" t="n">
        <v>4237.29</v>
      </c>
      <c r="N986" s="11">
        <f>IF(M986="","",ROUND(M986*1.18,2))</f>
        <v/>
      </c>
      <c r="O986" s="12">
        <f>IF(M986="","",ROUND(N986-M986,2))</f>
        <v/>
      </c>
      <c r="P986" s="13">
        <f>IF(AND(A986&lt;&gt;"",B986&lt;&gt;""), A986&amp;" · "&amp;B986, "")</f>
        <v/>
      </c>
    </row>
    <row r="987">
      <c r="A987" s="6" t="inlineStr">
        <is>
          <t>FY26</t>
        </is>
      </c>
      <c r="B987" s="6" t="inlineStr">
        <is>
          <t>Mar</t>
        </is>
      </c>
      <c r="C987" s="6" t="inlineStr">
        <is>
          <t>Kerala</t>
        </is>
      </c>
      <c r="D987" s="7" t="inlineStr">
        <is>
          <t>KL59AC1605</t>
        </is>
      </c>
      <c r="E987" s="7" t="inlineStr">
        <is>
          <t>RENAULT</t>
        </is>
      </c>
      <c r="F987" s="7" t="inlineStr">
        <is>
          <t>Kwid</t>
        </is>
      </c>
      <c r="G987" s="7" t="inlineStr">
        <is>
          <t>ARJID</t>
        </is>
      </c>
      <c r="H987" s="7" t="inlineStr">
        <is>
          <t>Non-Captive</t>
        </is>
      </c>
      <c r="I987" s="7" t="inlineStr">
        <is>
          <t>CHOLA FINANCE</t>
        </is>
      </c>
      <c r="J987" s="8" t="n"/>
      <c r="K987" s="9" t="n">
        <v>4000</v>
      </c>
      <c r="L987" s="10" t="n">
        <v>360000</v>
      </c>
      <c r="M987" s="10" t="n">
        <v>5084.75</v>
      </c>
      <c r="N987" s="11">
        <f>IF(M987="","",ROUND(M987*1.18,2))</f>
        <v/>
      </c>
      <c r="O987" s="12">
        <f>IF(M987="","",ROUND(N987-M987,2))</f>
        <v/>
      </c>
      <c r="P987" s="13">
        <f>IF(AND(A987&lt;&gt;"",B987&lt;&gt;""), A987&amp;" · "&amp;B987, "")</f>
        <v/>
      </c>
    </row>
    <row r="988">
      <c r="A988" s="6" t="inlineStr">
        <is>
          <t>FY26</t>
        </is>
      </c>
      <c r="B988" s="6" t="inlineStr">
        <is>
          <t>Mar</t>
        </is>
      </c>
      <c r="C988" s="6" t="inlineStr">
        <is>
          <t>Kerala</t>
        </is>
      </c>
      <c r="D988" s="7" t="inlineStr">
        <is>
          <t>KL59B8094</t>
        </is>
      </c>
      <c r="E988" s="7" t="inlineStr">
        <is>
          <t>MAHINDRA</t>
        </is>
      </c>
      <c r="F988" s="7" t="inlineStr">
        <is>
          <t>Bolero</t>
        </is>
      </c>
      <c r="G988" s="7" t="inlineStr">
        <is>
          <t>SARITH</t>
        </is>
      </c>
      <c r="H988" s="7" t="inlineStr">
        <is>
          <t>Non-Captive</t>
        </is>
      </c>
      <c r="I988" s="7" t="inlineStr">
        <is>
          <t>BIMAL</t>
        </is>
      </c>
      <c r="J988" s="8" t="n"/>
      <c r="K988" s="9" t="n">
        <v>136000</v>
      </c>
      <c r="L988" s="10" t="n">
        <v>125000</v>
      </c>
      <c r="M988" s="10" t="n">
        <v>4237.29</v>
      </c>
      <c r="N988" s="11">
        <f>IF(M988="","",ROUND(M988*1.18,2))</f>
        <v/>
      </c>
      <c r="O988" s="12">
        <f>IF(M988="","",ROUND(N988-M988,2))</f>
        <v/>
      </c>
      <c r="P988" s="13">
        <f>IF(AND(A988&lt;&gt;"",B988&lt;&gt;""), A988&amp;" · "&amp;B988, "")</f>
        <v/>
      </c>
    </row>
    <row r="989">
      <c r="A989" s="6" t="inlineStr">
        <is>
          <t>FY26</t>
        </is>
      </c>
      <c r="B989" s="6" t="inlineStr">
        <is>
          <t>Mar</t>
        </is>
      </c>
      <c r="C989" s="6" t="inlineStr">
        <is>
          <t>Kerala</t>
        </is>
      </c>
      <c r="D989" s="7" t="inlineStr">
        <is>
          <t>KL59E3031</t>
        </is>
      </c>
      <c r="E989" s="7" t="inlineStr">
        <is>
          <t>MARUTI SUZUKI</t>
        </is>
      </c>
      <c r="F989" s="7" t="inlineStr">
        <is>
          <t>Celerio</t>
        </is>
      </c>
      <c r="G989" s="7" t="inlineStr">
        <is>
          <t>NIDEESH MOHAN</t>
        </is>
      </c>
      <c r="H989" s="7" t="inlineStr">
        <is>
          <t>Non-Captive</t>
        </is>
      </c>
      <c r="I989" s="7" t="inlineStr">
        <is>
          <t>BIMAL</t>
        </is>
      </c>
      <c r="J989" s="8" t="n"/>
      <c r="K989" s="9" t="n">
        <v>35000</v>
      </c>
      <c r="L989" s="10" t="n">
        <v>215000</v>
      </c>
      <c r="M989" s="10" t="n">
        <v>4237.29</v>
      </c>
      <c r="N989" s="11">
        <f>IF(M989="","",ROUND(M989*1.18,2))</f>
        <v/>
      </c>
      <c r="O989" s="12">
        <f>IF(M989="","",ROUND(N989-M989,2))</f>
        <v/>
      </c>
      <c r="P989" s="13">
        <f>IF(AND(A989&lt;&gt;"",B989&lt;&gt;""), A989&amp;" · "&amp;B989, "")</f>
        <v/>
      </c>
    </row>
    <row r="990">
      <c r="A990" s="6" t="inlineStr">
        <is>
          <t>FY26</t>
        </is>
      </c>
      <c r="B990" s="6" t="inlineStr">
        <is>
          <t>Mar</t>
        </is>
      </c>
      <c r="C990" s="6" t="inlineStr">
        <is>
          <t>Kerala</t>
        </is>
      </c>
      <c r="D990" s="7" t="inlineStr">
        <is>
          <t>KL59Q6576</t>
        </is>
      </c>
      <c r="E990" s="7" t="inlineStr">
        <is>
          <t>TATA</t>
        </is>
      </c>
      <c r="F990" s="7" t="inlineStr">
        <is>
          <t>Tigor</t>
        </is>
      </c>
      <c r="G990" s="7" t="inlineStr">
        <is>
          <t>SHAJEE CARS</t>
        </is>
      </c>
      <c r="H990" s="7" t="inlineStr">
        <is>
          <t>Non-Captive</t>
        </is>
      </c>
      <c r="I990" s="7" t="inlineStr">
        <is>
          <t>SRIRAM FINANCE</t>
        </is>
      </c>
      <c r="J990" s="8" t="n"/>
      <c r="K990" s="9" t="n">
        <v>70000</v>
      </c>
      <c r="L990" s="10" t="n">
        <v>160000</v>
      </c>
      <c r="M990" s="10" t="n">
        <v>4237.29</v>
      </c>
      <c r="N990" s="11">
        <f>IF(M990="","",ROUND(M990*1.18,2))</f>
        <v/>
      </c>
      <c r="O990" s="12">
        <f>IF(M990="","",ROUND(N990-M990,2))</f>
        <v/>
      </c>
      <c r="P990" s="13">
        <f>IF(AND(A990&lt;&gt;"",B990&lt;&gt;""), A990&amp;" · "&amp;B990, "")</f>
        <v/>
      </c>
    </row>
    <row r="991">
      <c r="A991" s="6" t="inlineStr">
        <is>
          <t>FY26</t>
        </is>
      </c>
      <c r="B991" s="6" t="inlineStr">
        <is>
          <t>Mar</t>
        </is>
      </c>
      <c r="C991" s="6" t="inlineStr">
        <is>
          <t>Kerala</t>
        </is>
      </c>
      <c r="D991" s="7" t="inlineStr">
        <is>
          <t>KL60V2537</t>
        </is>
      </c>
      <c r="E991" s="7" t="inlineStr">
        <is>
          <t>TATA</t>
        </is>
      </c>
      <c r="F991" s="7" t="inlineStr">
        <is>
          <t>Tiago</t>
        </is>
      </c>
      <c r="G991" s="7" t="inlineStr">
        <is>
          <t>NIDEESH MOHAN</t>
        </is>
      </c>
      <c r="H991" s="7" t="inlineStr">
        <is>
          <t>Non-Captive</t>
        </is>
      </c>
      <c r="I991" s="7" t="inlineStr">
        <is>
          <t>KVR TATA</t>
        </is>
      </c>
      <c r="J991" s="8" t="n"/>
      <c r="K991" s="9" t="n">
        <v>27000</v>
      </c>
      <c r="L991" s="10" t="n">
        <v>555000</v>
      </c>
      <c r="M991" s="10" t="n">
        <v>4237.29</v>
      </c>
      <c r="N991" s="11">
        <f>IF(M991="","",ROUND(M991*1.18,2))</f>
        <v/>
      </c>
      <c r="O991" s="12">
        <f>IF(M991="","",ROUND(N991-M991,2))</f>
        <v/>
      </c>
      <c r="P991" s="13">
        <f>IF(AND(A991&lt;&gt;"",B991&lt;&gt;""), A991&amp;" · "&amp;B991, "")</f>
        <v/>
      </c>
    </row>
    <row r="992">
      <c r="A992" s="6" t="inlineStr">
        <is>
          <t>FY26</t>
        </is>
      </c>
      <c r="B992" s="6" t="inlineStr">
        <is>
          <t>Mar</t>
        </is>
      </c>
      <c r="C992" s="6" t="inlineStr">
        <is>
          <t>Kerala</t>
        </is>
      </c>
      <c r="D992" s="7" t="inlineStr">
        <is>
          <t>KL62B2102</t>
        </is>
      </c>
      <c r="E992" s="7" t="inlineStr">
        <is>
          <t>MARUTI SUZUKI</t>
        </is>
      </c>
      <c r="F992" s="7" t="inlineStr">
        <is>
          <t>Alto</t>
        </is>
      </c>
      <c r="G992" s="7" t="inlineStr">
        <is>
          <t>INCHEON KIA</t>
        </is>
      </c>
      <c r="H992" s="7" t="inlineStr">
        <is>
          <t>Non-Captive</t>
        </is>
      </c>
      <c r="I992" s="7" t="inlineStr">
        <is>
          <t>HUSSAIN O E</t>
        </is>
      </c>
      <c r="J992" s="8" t="n"/>
      <c r="K992" s="9" t="n">
        <v>83000</v>
      </c>
      <c r="L992" s="10" t="n">
        <v>135000</v>
      </c>
      <c r="M992" s="10" t="n">
        <v>8474.58</v>
      </c>
      <c r="N992" s="11">
        <f>IF(M992="","",ROUND(M992*1.18,2))</f>
        <v/>
      </c>
      <c r="O992" s="12">
        <f>IF(M992="","",ROUND(N992-M992,2))</f>
        <v/>
      </c>
      <c r="P992" s="13">
        <f>IF(AND(A992&lt;&gt;"",B992&lt;&gt;""), A992&amp;" · "&amp;B992, "")</f>
        <v/>
      </c>
    </row>
    <row r="993">
      <c r="A993" s="6" t="inlineStr">
        <is>
          <t>FY26</t>
        </is>
      </c>
      <c r="B993" s="6" t="inlineStr">
        <is>
          <t>Mar</t>
        </is>
      </c>
      <c r="C993" s="6" t="inlineStr">
        <is>
          <t>Kerala</t>
        </is>
      </c>
      <c r="D993" s="7" t="inlineStr">
        <is>
          <t>KL63G1831</t>
        </is>
      </c>
      <c r="E993" s="7" t="inlineStr">
        <is>
          <t>RENAULT</t>
        </is>
      </c>
      <c r="F993" s="7" t="inlineStr">
        <is>
          <t>Kwid</t>
        </is>
      </c>
      <c r="G993" s="7" t="inlineStr">
        <is>
          <t>POPULAR MARUTI</t>
        </is>
      </c>
      <c r="H993" s="7" t="inlineStr">
        <is>
          <t>Non-Captive</t>
        </is>
      </c>
      <c r="I993" s="7" t="inlineStr">
        <is>
          <t>VTJ</t>
        </is>
      </c>
      <c r="J993" s="8" t="n"/>
      <c r="K993" s="9" t="n">
        <v>69494</v>
      </c>
      <c r="L993" s="10" t="n">
        <v>190000</v>
      </c>
      <c r="M993" s="10" t="n">
        <v>8474.58</v>
      </c>
      <c r="N993" s="11">
        <f>IF(M993="","",ROUND(M993*1.18,2))</f>
        <v/>
      </c>
      <c r="O993" s="12">
        <f>IF(M993="","",ROUND(N993-M993,2))</f>
        <v/>
      </c>
      <c r="P993" s="13">
        <f>IF(AND(A993&lt;&gt;"",B993&lt;&gt;""), A993&amp;" · "&amp;B993, "")</f>
        <v/>
      </c>
    </row>
    <row r="994">
      <c r="A994" s="6" t="inlineStr">
        <is>
          <t>FY26</t>
        </is>
      </c>
      <c r="B994" s="6" t="inlineStr">
        <is>
          <t>Mar</t>
        </is>
      </c>
      <c r="C994" s="6" t="inlineStr">
        <is>
          <t>Kerala</t>
        </is>
      </c>
      <c r="D994" s="7" t="inlineStr">
        <is>
          <t>KL63G6635</t>
        </is>
      </c>
      <c r="E994" s="7" t="inlineStr">
        <is>
          <t>RENAULT</t>
        </is>
      </c>
      <c r="F994" s="7" t="inlineStr">
        <is>
          <t>Kwid</t>
        </is>
      </c>
      <c r="G994" s="7" t="inlineStr">
        <is>
          <t>RAFEEK T A</t>
        </is>
      </c>
      <c r="H994" s="7" t="inlineStr">
        <is>
          <t>Non-Captive</t>
        </is>
      </c>
      <c r="I994" s="7" t="inlineStr">
        <is>
          <t>ABDUL SALAM K K</t>
        </is>
      </c>
      <c r="J994" s="8" t="n"/>
      <c r="K994" s="9" t="n">
        <v>9944</v>
      </c>
      <c r="L994" s="10" t="n">
        <v>265000</v>
      </c>
      <c r="M994" s="10" t="n">
        <v>8474.58</v>
      </c>
      <c r="N994" s="11">
        <f>IF(M994="","",ROUND(M994*1.18,2))</f>
        <v/>
      </c>
      <c r="O994" s="12">
        <f>IF(M994="","",ROUND(N994-M994,2))</f>
        <v/>
      </c>
      <c r="P994" s="13">
        <f>IF(AND(A994&lt;&gt;"",B994&lt;&gt;""), A994&amp;" · "&amp;B994, "")</f>
        <v/>
      </c>
    </row>
    <row r="995">
      <c r="A995" s="6" t="inlineStr">
        <is>
          <t>FY26</t>
        </is>
      </c>
      <c r="B995" s="6" t="inlineStr">
        <is>
          <t>Mar</t>
        </is>
      </c>
      <c r="C995" s="6" t="inlineStr">
        <is>
          <t>Kerala</t>
        </is>
      </c>
      <c r="D995" s="7" t="inlineStr">
        <is>
          <t>KL63H8212</t>
        </is>
      </c>
      <c r="E995" s="7" t="inlineStr">
        <is>
          <t>MARUTI SUZUKI</t>
        </is>
      </c>
      <c r="F995" s="7" t="inlineStr">
        <is>
          <t>Wagon R</t>
        </is>
      </c>
      <c r="G995" s="7" t="inlineStr">
        <is>
          <t>EVM CITROEN</t>
        </is>
      </c>
      <c r="H995" s="7" t="inlineStr">
        <is>
          <t>Non-Captive</t>
        </is>
      </c>
      <c r="I995" s="7" t="inlineStr">
        <is>
          <t>VTJ</t>
        </is>
      </c>
      <c r="J995" s="8" t="n"/>
      <c r="K995" s="9" t="n">
        <v>15436</v>
      </c>
      <c r="L995" s="10" t="n">
        <v>430000</v>
      </c>
      <c r="M995" s="10" t="n">
        <v>8474.58</v>
      </c>
      <c r="N995" s="11">
        <f>IF(M995="","",ROUND(M995*1.18,2))</f>
        <v/>
      </c>
      <c r="O995" s="12">
        <f>IF(M995="","",ROUND(N995-M995,2))</f>
        <v/>
      </c>
      <c r="P995" s="13">
        <f>IF(AND(A995&lt;&gt;"",B995&lt;&gt;""), A995&amp;" · "&amp;B995, "")</f>
        <v/>
      </c>
    </row>
    <row r="996">
      <c r="A996" s="6" t="inlineStr">
        <is>
          <t>FY26</t>
        </is>
      </c>
      <c r="B996" s="6" t="inlineStr">
        <is>
          <t>Mar</t>
        </is>
      </c>
      <c r="C996" s="6" t="inlineStr">
        <is>
          <t>Kerala</t>
        </is>
      </c>
      <c r="D996" s="7" t="inlineStr">
        <is>
          <t>KL64L4249</t>
        </is>
      </c>
      <c r="E996" s="7" t="inlineStr">
        <is>
          <t>NISSAN</t>
        </is>
      </c>
      <c r="F996" s="7" t="inlineStr">
        <is>
          <t>Magnite</t>
        </is>
      </c>
      <c r="G996" s="7" t="inlineStr">
        <is>
          <t>GOKULAM TATA</t>
        </is>
      </c>
      <c r="H996" s="7" t="inlineStr">
        <is>
          <t>Non-Captive</t>
        </is>
      </c>
      <c r="I996" s="7" t="inlineStr">
        <is>
          <t>Aitos Cars</t>
        </is>
      </c>
      <c r="J996" s="8" t="n"/>
      <c r="K996" s="9" t="n">
        <v>51874</v>
      </c>
      <c r="L996" s="10" t="n">
        <v>450000</v>
      </c>
      <c r="M996" s="10" t="n">
        <v>8474.58</v>
      </c>
      <c r="N996" s="11">
        <f>IF(M996="","",ROUND(M996*1.18,2))</f>
        <v/>
      </c>
      <c r="O996" s="12">
        <f>IF(M996="","",ROUND(N996-M996,2))</f>
        <v/>
      </c>
      <c r="P996" s="13">
        <f>IF(AND(A996&lt;&gt;"",B996&lt;&gt;""), A996&amp;" · "&amp;B996, "")</f>
        <v/>
      </c>
    </row>
    <row r="997">
      <c r="A997" s="6" t="inlineStr">
        <is>
          <t>FY26</t>
        </is>
      </c>
      <c r="B997" s="6" t="inlineStr">
        <is>
          <t>Mar</t>
        </is>
      </c>
      <c r="C997" s="6" t="inlineStr">
        <is>
          <t>Kerala</t>
        </is>
      </c>
      <c r="D997" s="7" t="inlineStr">
        <is>
          <t>KL65B2399</t>
        </is>
      </c>
      <c r="E997" s="7" t="inlineStr">
        <is>
          <t>HYUNDAI</t>
        </is>
      </c>
      <c r="F997" s="7" t="inlineStr">
        <is>
          <t>Eon</t>
        </is>
      </c>
      <c r="G997" s="7" t="inlineStr">
        <is>
          <t>RAYON JOY</t>
        </is>
      </c>
      <c r="H997" s="7" t="inlineStr">
        <is>
          <t>Non-Captive</t>
        </is>
      </c>
      <c r="I997" s="7" t="inlineStr">
        <is>
          <t>ROTANA TATA</t>
        </is>
      </c>
      <c r="J997" s="8" t="n"/>
      <c r="K997" s="9" t="n">
        <v>198000</v>
      </c>
      <c r="L997" s="10" t="n">
        <v>60000</v>
      </c>
      <c r="M997" s="10" t="n">
        <v>4237.29</v>
      </c>
      <c r="N997" s="11">
        <f>IF(M997="","",ROUND(M997*1.18,2))</f>
        <v/>
      </c>
      <c r="O997" s="12">
        <f>IF(M997="","",ROUND(N997-M997,2))</f>
        <v/>
      </c>
      <c r="P997" s="13">
        <f>IF(AND(A997&lt;&gt;"",B997&lt;&gt;""), A997&amp;" · "&amp;B997, "")</f>
        <v/>
      </c>
    </row>
    <row r="998">
      <c r="A998" s="6" t="inlineStr">
        <is>
          <t>FY26</t>
        </is>
      </c>
      <c r="B998" s="6" t="inlineStr">
        <is>
          <t>Mar</t>
        </is>
      </c>
      <c r="C998" s="6" t="inlineStr">
        <is>
          <t>Kerala</t>
        </is>
      </c>
      <c r="D998" s="7" t="inlineStr">
        <is>
          <t>KL65F5035</t>
        </is>
      </c>
      <c r="E998" s="7" t="inlineStr">
        <is>
          <t>MARUTI SUZUKI</t>
        </is>
      </c>
      <c r="F998" s="7" t="inlineStr">
        <is>
          <t>Swift</t>
        </is>
      </c>
      <c r="G998" s="7" t="inlineStr">
        <is>
          <t>RAYON JOY</t>
        </is>
      </c>
      <c r="H998" s="7" t="inlineStr">
        <is>
          <t>Non-Captive</t>
        </is>
      </c>
      <c r="I998" s="7" t="inlineStr">
        <is>
          <t>DKH KIA</t>
        </is>
      </c>
      <c r="J998" s="8" t="n"/>
      <c r="K998" s="9" t="n">
        <v>27708</v>
      </c>
      <c r="L998" s="10" t="n">
        <v>290000</v>
      </c>
      <c r="M998" s="10" t="n">
        <v>4237.29</v>
      </c>
      <c r="N998" s="11">
        <f>IF(M998="","",ROUND(M998*1.18,2))</f>
        <v/>
      </c>
      <c r="O998" s="12">
        <f>IF(M998="","",ROUND(N998-M998,2))</f>
        <v/>
      </c>
      <c r="P998" s="13">
        <f>IF(AND(A998&lt;&gt;"",B998&lt;&gt;""), A998&amp;" · "&amp;B998, "")</f>
        <v/>
      </c>
    </row>
    <row r="999">
      <c r="A999" s="6" t="inlineStr">
        <is>
          <t>FY26</t>
        </is>
      </c>
      <c r="B999" s="6" t="inlineStr">
        <is>
          <t>Mar</t>
        </is>
      </c>
      <c r="C999" s="6" t="inlineStr">
        <is>
          <t>Kerala</t>
        </is>
      </c>
      <c r="D999" s="7" t="inlineStr">
        <is>
          <t>KL69A0755</t>
        </is>
      </c>
      <c r="E999" s="7" t="inlineStr">
        <is>
          <t>FIAT</t>
        </is>
      </c>
      <c r="F999" s="7" t="inlineStr">
        <is>
          <t>Avventura</t>
        </is>
      </c>
      <c r="G999" s="7" t="inlineStr">
        <is>
          <t>CARS24</t>
        </is>
      </c>
      <c r="H999" s="7" t="inlineStr">
        <is>
          <t>Non-Captive</t>
        </is>
      </c>
      <c r="I999" s="7" t="inlineStr">
        <is>
          <t>ASHRAF T A</t>
        </is>
      </c>
      <c r="J999" s="8" t="n"/>
      <c r="K999" s="9" t="n">
        <v>68238</v>
      </c>
      <c r="L999" s="10" t="n">
        <v>200000</v>
      </c>
      <c r="M999" s="10" t="n">
        <v>8474.58</v>
      </c>
      <c r="N999" s="11">
        <f>IF(M999="","",ROUND(M999*1.18,2))</f>
        <v/>
      </c>
      <c r="O999" s="12">
        <f>IF(M999="","",ROUND(N999-M999,2))</f>
        <v/>
      </c>
      <c r="P999" s="13">
        <f>IF(AND(A999&lt;&gt;"",B999&lt;&gt;""), A999&amp;" · "&amp;B999, "")</f>
        <v/>
      </c>
    </row>
    <row r="1000">
      <c r="A1000" s="6" t="inlineStr">
        <is>
          <t>FY26</t>
        </is>
      </c>
      <c r="B1000" s="6" t="inlineStr">
        <is>
          <t>Mar</t>
        </is>
      </c>
      <c r="C1000" s="6" t="inlineStr">
        <is>
          <t>Kerala</t>
        </is>
      </c>
      <c r="D1000" s="7" t="inlineStr">
        <is>
          <t>KL78B7964</t>
        </is>
      </c>
      <c r="E1000" s="7" t="inlineStr">
        <is>
          <t>TATA</t>
        </is>
      </c>
      <c r="F1000" s="7" t="inlineStr">
        <is>
          <t>Punch</t>
        </is>
      </c>
      <c r="G1000" s="7" t="inlineStr">
        <is>
          <t>KANNUR PLATINUM</t>
        </is>
      </c>
      <c r="H1000" s="7" t="inlineStr">
        <is>
          <t>Non-Captive</t>
        </is>
      </c>
      <c r="I1000" s="7" t="inlineStr">
        <is>
          <t>APCO HYUNDAI</t>
        </is>
      </c>
      <c r="J1000" s="8" t="n"/>
      <c r="K1000" s="9" t="n">
        <v>66000</v>
      </c>
      <c r="L1000" s="10" t="n">
        <v>450000</v>
      </c>
      <c r="M1000" s="10" t="n">
        <v>4237.29</v>
      </c>
      <c r="N1000" s="11">
        <f>IF(M1000="","",ROUND(M1000*1.18,2))</f>
        <v/>
      </c>
      <c r="O1000" s="12">
        <f>IF(M1000="","",ROUND(N1000-M1000,2))</f>
        <v/>
      </c>
      <c r="P1000" s="13">
        <f>IF(AND(A1000&lt;&gt;"",B1000&lt;&gt;""), A1000&amp;" · "&amp;B1000, "")</f>
        <v/>
      </c>
    </row>
    <row r="1001">
      <c r="A1001" s="6" t="inlineStr">
        <is>
          <t>FY26</t>
        </is>
      </c>
      <c r="B1001" s="6" t="inlineStr">
        <is>
          <t>Mar</t>
        </is>
      </c>
      <c r="C1001" s="6" t="inlineStr">
        <is>
          <t>Kerala</t>
        </is>
      </c>
      <c r="D1001" s="7" t="inlineStr">
        <is>
          <t>KL79A4567</t>
        </is>
      </c>
      <c r="E1001" s="7" t="inlineStr">
        <is>
          <t>HYUNDAI</t>
        </is>
      </c>
      <c r="F1001" s="7" t="inlineStr">
        <is>
          <t>Alcazar</t>
        </is>
      </c>
      <c r="G1001" s="7" t="inlineStr">
        <is>
          <t>SANOOP KM</t>
        </is>
      </c>
      <c r="H1001" s="7" t="inlineStr">
        <is>
          <t>Non-Captive</t>
        </is>
      </c>
      <c r="I1001" s="7" t="inlineStr">
        <is>
          <t>ERAM MAHINDRA</t>
        </is>
      </c>
      <c r="J1001" s="8" t="n"/>
      <c r="K1001" s="9" t="n">
        <v>107000</v>
      </c>
      <c r="L1001" s="10" t="n">
        <v>950000</v>
      </c>
      <c r="M1001" s="10" t="n">
        <v>8474.58</v>
      </c>
      <c r="N1001" s="11">
        <f>IF(M1001="","",ROUND(M1001*1.18,2))</f>
        <v/>
      </c>
      <c r="O1001" s="12">
        <f>IF(M1001="","",ROUND(N1001-M1001,2))</f>
        <v/>
      </c>
      <c r="P1001" s="13">
        <f>IF(AND(A1001&lt;&gt;"",B1001&lt;&gt;""), A1001&amp;" · "&amp;B1001, "")</f>
        <v/>
      </c>
    </row>
    <row r="1002">
      <c r="A1002" s="6" t="inlineStr">
        <is>
          <t>FY26</t>
        </is>
      </c>
      <c r="B1002" s="6" t="inlineStr">
        <is>
          <t>Mar</t>
        </is>
      </c>
      <c r="C1002" s="6" t="inlineStr">
        <is>
          <t>Kerala</t>
        </is>
      </c>
      <c r="D1002" s="7" t="inlineStr">
        <is>
          <t>KL859348</t>
        </is>
      </c>
      <c r="E1002" s="7" t="inlineStr">
        <is>
          <t>RENAULT</t>
        </is>
      </c>
      <c r="F1002" s="7" t="inlineStr">
        <is>
          <t>Kiger</t>
        </is>
      </c>
      <c r="G1002" s="7" t="inlineStr">
        <is>
          <t>SANU</t>
        </is>
      </c>
      <c r="H1002" s="7" t="inlineStr">
        <is>
          <t>Non-Captive</t>
        </is>
      </c>
      <c r="I1002" s="7" t="inlineStr">
        <is>
          <t>EVM NISSAN</t>
        </is>
      </c>
      <c r="J1002" s="8" t="n"/>
      <c r="K1002" s="9" t="n">
        <v>46321</v>
      </c>
      <c r="L1002" s="10" t="n">
        <v>380000</v>
      </c>
      <c r="M1002" s="10" t="n">
        <v>8474.58</v>
      </c>
      <c r="N1002" s="11">
        <f>IF(M1002="","",ROUND(M1002*1.18,2))</f>
        <v/>
      </c>
      <c r="O1002" s="12">
        <f>IF(M1002="","",ROUND(N1002-M1002,2))</f>
        <v/>
      </c>
      <c r="P1002" s="13">
        <f>IF(AND(A1002&lt;&gt;"",B1002&lt;&gt;""), A1002&amp;" · "&amp;B1002, "")</f>
        <v/>
      </c>
    </row>
    <row r="1003">
      <c r="A1003" s="6" t="inlineStr">
        <is>
          <t>FY26</t>
        </is>
      </c>
      <c r="B1003" s="6" t="inlineStr">
        <is>
          <t>Mar</t>
        </is>
      </c>
      <c r="C1003" s="6" t="inlineStr">
        <is>
          <t>TN</t>
        </is>
      </c>
      <c r="D1003" s="7" t="inlineStr">
        <is>
          <t>AP37BF9161</t>
        </is>
      </c>
      <c r="E1003" s="7" t="inlineStr">
        <is>
          <t>MARUTI SUZUKI</t>
        </is>
      </c>
      <c r="F1003" s="7" t="inlineStr">
        <is>
          <t>Alto</t>
        </is>
      </c>
      <c r="G1003" s="7" t="inlineStr">
        <is>
          <t>EXCHANGE CHENNAI</t>
        </is>
      </c>
      <c r="H1003" s="7" t="inlineStr">
        <is>
          <t>Captive</t>
        </is>
      </c>
      <c r="I1003" s="7" t="inlineStr">
        <is>
          <t>RAJESH WARI (RAM CARS</t>
        </is>
      </c>
      <c r="J1003" s="8" t="n">
        <v>2010</v>
      </c>
      <c r="K1003" s="9" t="n">
        <v>112620</v>
      </c>
      <c r="L1003" s="10" t="n">
        <v>45000</v>
      </c>
      <c r="M1003" s="10" t="n">
        <v>5084.75</v>
      </c>
      <c r="N1003" s="11">
        <f>IF(M1003="","",ROUND(M1003*1.18,2))</f>
        <v/>
      </c>
      <c r="O1003" s="12">
        <f>IF(M1003="","",ROUND(N1003-M1003,2))</f>
        <v/>
      </c>
      <c r="P1003" s="13">
        <f>IF(AND(A1003&lt;&gt;"",B1003&lt;&gt;""), A1003&amp;" · "&amp;B1003, "")</f>
        <v/>
      </c>
    </row>
    <row r="1004">
      <c r="A1004" s="6" t="inlineStr">
        <is>
          <t>FY26</t>
        </is>
      </c>
      <c r="B1004" s="6" t="inlineStr">
        <is>
          <t>Mar</t>
        </is>
      </c>
      <c r="C1004" s="6" t="inlineStr">
        <is>
          <t>TN</t>
        </is>
      </c>
      <c r="D1004" s="7" t="inlineStr">
        <is>
          <t>DL3CCE6673</t>
        </is>
      </c>
      <c r="E1004" s="7" t="inlineStr">
        <is>
          <t>HONDA</t>
        </is>
      </c>
      <c r="F1004" s="7" t="inlineStr">
        <is>
          <t>Jazz</t>
        </is>
      </c>
      <c r="G1004" s="7" t="inlineStr">
        <is>
          <t>EXCHANGE ROTN</t>
        </is>
      </c>
      <c r="H1004" s="7" t="inlineStr">
        <is>
          <t>Captive</t>
        </is>
      </c>
      <c r="I1004" s="7" t="inlineStr">
        <is>
          <t>MS Cars</t>
        </is>
      </c>
      <c r="J1004" s="8" t="n">
        <v>2016</v>
      </c>
      <c r="K1004" s="9" t="n">
        <v>81658</v>
      </c>
      <c r="L1004" s="10" t="n">
        <v>250000</v>
      </c>
      <c r="M1004" s="10" t="n">
        <v>5932.2</v>
      </c>
      <c r="N1004" s="11">
        <f>IF(M1004="","",ROUND(M1004*1.18,2))</f>
        <v/>
      </c>
      <c r="O1004" s="12">
        <f>IF(M1004="","",ROUND(N1004-M1004,2))</f>
        <v/>
      </c>
      <c r="P1004" s="13">
        <f>IF(AND(A1004&lt;&gt;"",B1004&lt;&gt;""), A1004&amp;" · "&amp;B1004, "")</f>
        <v/>
      </c>
    </row>
    <row r="1005">
      <c r="A1005" s="6" t="inlineStr">
        <is>
          <t>FY26</t>
        </is>
      </c>
      <c r="B1005" s="6" t="inlineStr">
        <is>
          <t>Mar</t>
        </is>
      </c>
      <c r="C1005" s="6" t="inlineStr">
        <is>
          <t>TN</t>
        </is>
      </c>
      <c r="D1005" s="7" t="inlineStr">
        <is>
          <t>KA01MQ1419</t>
        </is>
      </c>
      <c r="E1005" s="7" t="inlineStr">
        <is>
          <t>HONDA</t>
        </is>
      </c>
      <c r="F1005" s="7" t="inlineStr">
        <is>
          <t>Jazz</t>
        </is>
      </c>
      <c r="G1005" s="7" t="inlineStr">
        <is>
          <t>EXCHANGE CHENNAI</t>
        </is>
      </c>
      <c r="H1005" s="7" t="inlineStr">
        <is>
          <t>Captive</t>
        </is>
      </c>
      <c r="I1005" s="7" t="inlineStr">
        <is>
          <t>Essar Preowned Cars</t>
        </is>
      </c>
      <c r="J1005" s="8" t="n">
        <v>2017</v>
      </c>
      <c r="K1005" s="9" t="n">
        <v>54881</v>
      </c>
      <c r="L1005" s="10" t="n">
        <v>335000</v>
      </c>
      <c r="M1005" s="10" t="n">
        <v>8474.58</v>
      </c>
      <c r="N1005" s="11">
        <f>IF(M1005="","",ROUND(M1005*1.18,2))</f>
        <v/>
      </c>
      <c r="O1005" s="12">
        <f>IF(M1005="","",ROUND(N1005-M1005,2))</f>
        <v/>
      </c>
      <c r="P1005" s="13">
        <f>IF(AND(A1005&lt;&gt;"",B1005&lt;&gt;""), A1005&amp;" · "&amp;B1005, "")</f>
        <v/>
      </c>
    </row>
    <row r="1006">
      <c r="A1006" s="6" t="inlineStr">
        <is>
          <t>FY26</t>
        </is>
      </c>
      <c r="B1006" s="6" t="inlineStr">
        <is>
          <t>Mar</t>
        </is>
      </c>
      <c r="C1006" s="6" t="inlineStr">
        <is>
          <t>TN</t>
        </is>
      </c>
      <c r="D1006" s="7" t="inlineStr">
        <is>
          <t>KL01BQ9346</t>
        </is>
      </c>
      <c r="E1006" s="7" t="inlineStr">
        <is>
          <t>MARUTI SUZUKI</t>
        </is>
      </c>
      <c r="F1006" s="7" t="inlineStr">
        <is>
          <t>Celerio</t>
        </is>
      </c>
      <c r="G1006" s="7" t="inlineStr">
        <is>
          <t>DERIK MOTORS PRIVATE LIMITED</t>
        </is>
      </c>
      <c r="H1006" s="7" t="inlineStr">
        <is>
          <t>Non-Captive</t>
        </is>
      </c>
      <c r="I1006" s="7" t="inlineStr">
        <is>
          <t>Popular Thrissur</t>
        </is>
      </c>
      <c r="J1006" s="8" t="n">
        <v>2014</v>
      </c>
      <c r="K1006" s="9" t="n">
        <v>67520</v>
      </c>
      <c r="L1006" s="10" t="n">
        <v>280000</v>
      </c>
      <c r="M1006" s="10" t="n">
        <v>5000</v>
      </c>
      <c r="N1006" s="11">
        <f>IF(M1006="","",ROUND(M1006*1.18,2))</f>
        <v/>
      </c>
      <c r="O1006" s="12">
        <f>IF(M1006="","",ROUND(N1006-M1006,2))</f>
        <v/>
      </c>
      <c r="P1006" s="13">
        <f>IF(AND(A1006&lt;&gt;"",B1006&lt;&gt;""), A1006&amp;" · "&amp;B1006, "")</f>
        <v/>
      </c>
    </row>
    <row r="1007">
      <c r="A1007" s="6" t="inlineStr">
        <is>
          <t>FY26</t>
        </is>
      </c>
      <c r="B1007" s="6" t="inlineStr">
        <is>
          <t>Mar</t>
        </is>
      </c>
      <c r="C1007" s="6" t="inlineStr">
        <is>
          <t>TN</t>
        </is>
      </c>
      <c r="D1007" s="7" t="inlineStr">
        <is>
          <t>KL01BS8645</t>
        </is>
      </c>
      <c r="E1007" s="7" t="inlineStr">
        <is>
          <t>MARUTI SUZUKI</t>
        </is>
      </c>
      <c r="F1007" s="7" t="inlineStr">
        <is>
          <t>Alto K10</t>
        </is>
      </c>
      <c r="G1007" s="7" t="inlineStr">
        <is>
          <t>DERIK MOTORS PRIVATE LIMITED</t>
        </is>
      </c>
      <c r="H1007" s="7" t="inlineStr">
        <is>
          <t>Non-Captive</t>
        </is>
      </c>
      <c r="I1007" s="7" t="inlineStr">
        <is>
          <t>Popular Trivandrum</t>
        </is>
      </c>
      <c r="J1007" s="8" t="n">
        <v>2015</v>
      </c>
      <c r="K1007" s="9" t="n"/>
      <c r="L1007" s="10" t="n">
        <v>272000</v>
      </c>
      <c r="M1007" s="10" t="n">
        <v>5000</v>
      </c>
      <c r="N1007" s="11">
        <f>IF(M1007="","",ROUND(M1007*1.18,2))</f>
        <v/>
      </c>
      <c r="O1007" s="12">
        <f>IF(M1007="","",ROUND(N1007-M1007,2))</f>
        <v/>
      </c>
      <c r="P1007" s="13">
        <f>IF(AND(A1007&lt;&gt;"",B1007&lt;&gt;""), A1007&amp;" · "&amp;B1007, "")</f>
        <v/>
      </c>
    </row>
    <row r="1008">
      <c r="A1008" s="6" t="inlineStr">
        <is>
          <t>FY26</t>
        </is>
      </c>
      <c r="B1008" s="6" t="inlineStr">
        <is>
          <t>Mar</t>
        </is>
      </c>
      <c r="C1008" s="6" t="inlineStr">
        <is>
          <t>TN</t>
        </is>
      </c>
      <c r="D1008" s="7" t="inlineStr">
        <is>
          <t>KL01CC4065</t>
        </is>
      </c>
      <c r="E1008" s="7" t="inlineStr">
        <is>
          <t>MARUTI SUZUKI</t>
        </is>
      </c>
      <c r="F1008" s="7" t="inlineStr">
        <is>
          <t>Wagon R</t>
        </is>
      </c>
      <c r="G1008" s="7" t="inlineStr">
        <is>
          <t>POPULAR MOTORWORLD PVT LTD</t>
        </is>
      </c>
      <c r="H1008" s="7" t="inlineStr">
        <is>
          <t>Non-Captive</t>
        </is>
      </c>
      <c r="I1008" s="7" t="inlineStr">
        <is>
          <t>Popular Thrissur</t>
        </is>
      </c>
      <c r="J1008" s="8" t="n">
        <v>2017</v>
      </c>
      <c r="K1008" s="9" t="n">
        <v>48254</v>
      </c>
      <c r="L1008" s="10" t="n">
        <v>375000</v>
      </c>
      <c r="M1008" s="10" t="n">
        <v>5000</v>
      </c>
      <c r="N1008" s="11">
        <f>IF(M1008="","",ROUND(M1008*1.18,2))</f>
        <v/>
      </c>
      <c r="O1008" s="12">
        <f>IF(M1008="","",ROUND(N1008-M1008,2))</f>
        <v/>
      </c>
      <c r="P1008" s="13">
        <f>IF(AND(A1008&lt;&gt;"",B1008&lt;&gt;""), A1008&amp;" · "&amp;B1008, "")</f>
        <v/>
      </c>
    </row>
    <row r="1009">
      <c r="A1009" s="6" t="inlineStr">
        <is>
          <t>FY26</t>
        </is>
      </c>
      <c r="B1009" s="6" t="inlineStr">
        <is>
          <t>Mar</t>
        </is>
      </c>
      <c r="C1009" s="6" t="inlineStr">
        <is>
          <t>TN</t>
        </is>
      </c>
      <c r="D1009" s="7" t="inlineStr">
        <is>
          <t>KL01CE4878</t>
        </is>
      </c>
      <c r="E1009" s="7" t="inlineStr">
        <is>
          <t>MARUTI SUZUKI</t>
        </is>
      </c>
      <c r="F1009" s="7" t="inlineStr">
        <is>
          <t>Ignis</t>
        </is>
      </c>
      <c r="G1009" s="7" t="inlineStr">
        <is>
          <t>DERIK MOTORS PRIVATE LIMITED</t>
        </is>
      </c>
      <c r="H1009" s="7" t="inlineStr">
        <is>
          <t>Non-Captive</t>
        </is>
      </c>
      <c r="I1009" s="7" t="inlineStr">
        <is>
          <t>Popular Thrissur</t>
        </is>
      </c>
      <c r="J1009" s="8" t="n">
        <v>2017</v>
      </c>
      <c r="K1009" s="9" t="n">
        <v>45132</v>
      </c>
      <c r="L1009" s="10" t="n">
        <v>450000</v>
      </c>
      <c r="M1009" s="10" t="n">
        <v>5000</v>
      </c>
      <c r="N1009" s="11">
        <f>IF(M1009="","",ROUND(M1009*1.18,2))</f>
        <v/>
      </c>
      <c r="O1009" s="12">
        <f>IF(M1009="","",ROUND(N1009-M1009,2))</f>
        <v/>
      </c>
      <c r="P1009" s="13">
        <f>IF(AND(A1009&lt;&gt;"",B1009&lt;&gt;""), A1009&amp;" · "&amp;B1009, "")</f>
        <v/>
      </c>
    </row>
    <row r="1010">
      <c r="A1010" s="6" t="inlineStr">
        <is>
          <t>FY26</t>
        </is>
      </c>
      <c r="B1010" s="6" t="inlineStr">
        <is>
          <t>Mar</t>
        </is>
      </c>
      <c r="C1010" s="6" t="inlineStr">
        <is>
          <t>TN</t>
        </is>
      </c>
      <c r="D1010" s="7" t="inlineStr">
        <is>
          <t>KL01CF1636</t>
        </is>
      </c>
      <c r="E1010" s="7" t="inlineStr">
        <is>
          <t>MARUTI SUZUKI</t>
        </is>
      </c>
      <c r="F1010" s="7" t="inlineStr">
        <is>
          <t>Swift</t>
        </is>
      </c>
      <c r="G1010" s="7" t="inlineStr">
        <is>
          <t>POPULAR MOTORWORLD PVT LTD</t>
        </is>
      </c>
      <c r="H1010" s="7" t="inlineStr">
        <is>
          <t>Non-Captive</t>
        </is>
      </c>
      <c r="I1010" s="7" t="inlineStr">
        <is>
          <t>Popular Thrissur</t>
        </is>
      </c>
      <c r="J1010" s="8" t="n">
        <v>2018</v>
      </c>
      <c r="K1010" s="9" t="n">
        <v>77365</v>
      </c>
      <c r="L1010" s="10" t="n">
        <v>450000</v>
      </c>
      <c r="M1010" s="10" t="n">
        <v>5000</v>
      </c>
      <c r="N1010" s="11">
        <f>IF(M1010="","",ROUND(M1010*1.18,2))</f>
        <v/>
      </c>
      <c r="O1010" s="12">
        <f>IF(M1010="","",ROUND(N1010-M1010,2))</f>
        <v/>
      </c>
      <c r="P1010" s="13">
        <f>IF(AND(A1010&lt;&gt;"",B1010&lt;&gt;""), A1010&amp;" · "&amp;B1010, "")</f>
        <v/>
      </c>
    </row>
    <row r="1011">
      <c r="A1011" s="6" t="inlineStr">
        <is>
          <t>FY26</t>
        </is>
      </c>
      <c r="B1011" s="6" t="inlineStr">
        <is>
          <t>Mar</t>
        </is>
      </c>
      <c r="C1011" s="6" t="inlineStr">
        <is>
          <t>TN</t>
        </is>
      </c>
      <c r="D1011" s="7" t="inlineStr">
        <is>
          <t>KL01CS0135</t>
        </is>
      </c>
      <c r="E1011" s="7" t="inlineStr">
        <is>
          <t>MARUTI SUZUKI</t>
        </is>
      </c>
      <c r="F1011" s="7" t="inlineStr">
        <is>
          <t>Vitara Brezza</t>
        </is>
      </c>
      <c r="G1011" s="7" t="inlineStr">
        <is>
          <t>DERIK MOTORS PRIVATE LIMITED</t>
        </is>
      </c>
      <c r="H1011" s="7" t="inlineStr">
        <is>
          <t>Non-Captive</t>
        </is>
      </c>
      <c r="I1011" s="7" t="inlineStr">
        <is>
          <t>Popular Thrissur</t>
        </is>
      </c>
      <c r="J1011" s="8" t="n">
        <v>2021</v>
      </c>
      <c r="K1011" s="9" t="n">
        <v>76567</v>
      </c>
      <c r="L1011" s="10" t="n">
        <v>650000</v>
      </c>
      <c r="M1011" s="10" t="n">
        <v>5000</v>
      </c>
      <c r="N1011" s="11">
        <f>IF(M1011="","",ROUND(M1011*1.18,2))</f>
        <v/>
      </c>
      <c r="O1011" s="12">
        <f>IF(M1011="","",ROUND(N1011-M1011,2))</f>
        <v/>
      </c>
      <c r="P1011" s="13">
        <f>IF(AND(A1011&lt;&gt;"",B1011&lt;&gt;""), A1011&amp;" · "&amp;B1011, "")</f>
        <v/>
      </c>
    </row>
    <row r="1012">
      <c r="A1012" s="6" t="inlineStr">
        <is>
          <t>FY26</t>
        </is>
      </c>
      <c r="B1012" s="6" t="inlineStr">
        <is>
          <t>Mar</t>
        </is>
      </c>
      <c r="C1012" s="6" t="inlineStr">
        <is>
          <t>TN</t>
        </is>
      </c>
      <c r="D1012" s="7" t="inlineStr">
        <is>
          <t>KL08BS0657</t>
        </is>
      </c>
      <c r="E1012" s="7" t="inlineStr">
        <is>
          <t>MARUTI SUZUKI</t>
        </is>
      </c>
      <c r="F1012" s="7" t="inlineStr">
        <is>
          <t>Wagon R</t>
        </is>
      </c>
      <c r="G1012" s="7" t="inlineStr">
        <is>
          <t>EXCHANGE ROTN</t>
        </is>
      </c>
      <c r="H1012" s="7" t="inlineStr">
        <is>
          <t>Captive</t>
        </is>
      </c>
      <c r="I1012" s="7" t="inlineStr">
        <is>
          <t>Sai Cars</t>
        </is>
      </c>
      <c r="J1012" s="8" t="n">
        <v>2013</v>
      </c>
      <c r="K1012" s="9" t="n">
        <v>58363</v>
      </c>
      <c r="L1012" s="10" t="n">
        <v>180000</v>
      </c>
      <c r="M1012" s="10" t="n">
        <v>8474.58</v>
      </c>
      <c r="N1012" s="11">
        <f>IF(M1012="","",ROUND(M1012*1.18,2))</f>
        <v/>
      </c>
      <c r="O1012" s="12">
        <f>IF(M1012="","",ROUND(N1012-M1012,2))</f>
        <v/>
      </c>
      <c r="P1012" s="13">
        <f>IF(AND(A1012&lt;&gt;"",B1012&lt;&gt;""), A1012&amp;" · "&amp;B1012, "")</f>
        <v/>
      </c>
    </row>
    <row r="1013">
      <c r="A1013" s="6" t="inlineStr">
        <is>
          <t>FY26</t>
        </is>
      </c>
      <c r="B1013" s="6" t="inlineStr">
        <is>
          <t>Mar</t>
        </is>
      </c>
      <c r="C1013" s="6" t="inlineStr">
        <is>
          <t>TN</t>
        </is>
      </c>
      <c r="D1013" s="7" t="inlineStr">
        <is>
          <t>KL16N6842</t>
        </is>
      </c>
      <c r="E1013" s="7" t="inlineStr">
        <is>
          <t>MARUTI SUZUKI</t>
        </is>
      </c>
      <c r="F1013" s="7" t="inlineStr">
        <is>
          <t>Wagon R</t>
        </is>
      </c>
      <c r="G1013" s="7" t="inlineStr">
        <is>
          <t>NIPPON MOTOR CORPORATION PVT LTD</t>
        </is>
      </c>
      <c r="H1013" s="7" t="inlineStr">
        <is>
          <t>Non-Captive</t>
        </is>
      </c>
      <c r="I1013" s="7" t="inlineStr">
        <is>
          <t>SHAMNAD AH</t>
        </is>
      </c>
      <c r="J1013" s="8" t="n">
        <v>2015</v>
      </c>
      <c r="K1013" s="9" t="n">
        <v>129865</v>
      </c>
      <c r="L1013" s="10" t="n">
        <v>200000</v>
      </c>
      <c r="M1013" s="10" t="n">
        <v>5932.2</v>
      </c>
      <c r="N1013" s="11">
        <f>IF(M1013="","",ROUND(M1013*1.18,2))</f>
        <v/>
      </c>
      <c r="O1013" s="12">
        <f>IF(M1013="","",ROUND(N1013-M1013,2))</f>
        <v/>
      </c>
      <c r="P1013" s="13">
        <f>IF(AND(A1013&lt;&gt;"",B1013&lt;&gt;""), A1013&amp;" · "&amp;B1013, "")</f>
        <v/>
      </c>
    </row>
    <row r="1014">
      <c r="A1014" s="6" t="inlineStr">
        <is>
          <t>FY26</t>
        </is>
      </c>
      <c r="B1014" s="6" t="inlineStr">
        <is>
          <t>Mar</t>
        </is>
      </c>
      <c r="C1014" s="6" t="inlineStr">
        <is>
          <t>TN</t>
        </is>
      </c>
      <c r="D1014" s="7" t="inlineStr">
        <is>
          <t>KL16R7654</t>
        </is>
      </c>
      <c r="E1014" s="7" t="inlineStr">
        <is>
          <t>MARUTI SUZUKI</t>
        </is>
      </c>
      <c r="F1014" s="7" t="inlineStr">
        <is>
          <t>Swift</t>
        </is>
      </c>
      <c r="G1014" s="7" t="inlineStr">
        <is>
          <t>POPULAR MOTORWORLD PVT LTD</t>
        </is>
      </c>
      <c r="H1014" s="7" t="inlineStr">
        <is>
          <t>Non-Captive</t>
        </is>
      </c>
      <c r="I1014" s="7" t="inlineStr">
        <is>
          <t>Popular Thrissur</t>
        </is>
      </c>
      <c r="J1014" s="8" t="n">
        <v>2017</v>
      </c>
      <c r="K1014" s="9" t="n">
        <v>35381</v>
      </c>
      <c r="L1014" s="10" t="n">
        <v>420000</v>
      </c>
      <c r="M1014" s="10" t="n">
        <v>5000</v>
      </c>
      <c r="N1014" s="11">
        <f>IF(M1014="","",ROUND(M1014*1.18,2))</f>
        <v/>
      </c>
      <c r="O1014" s="12">
        <f>IF(M1014="","",ROUND(N1014-M1014,2))</f>
        <v/>
      </c>
      <c r="P1014" s="13">
        <f>IF(AND(A1014&lt;&gt;"",B1014&lt;&gt;""), A1014&amp;" · "&amp;B1014, "")</f>
        <v/>
      </c>
    </row>
    <row r="1015">
      <c r="A1015" s="6" t="inlineStr">
        <is>
          <t>FY26</t>
        </is>
      </c>
      <c r="B1015" s="6" t="inlineStr">
        <is>
          <t>Mar</t>
        </is>
      </c>
      <c r="C1015" s="6" t="inlineStr">
        <is>
          <t>TN</t>
        </is>
      </c>
      <c r="D1015" s="7" t="inlineStr">
        <is>
          <t>KL16R7868</t>
        </is>
      </c>
      <c r="E1015" s="7" t="inlineStr">
        <is>
          <t>MARUTI SUZUKI</t>
        </is>
      </c>
      <c r="F1015" s="7" t="inlineStr">
        <is>
          <t>Swift</t>
        </is>
      </c>
      <c r="G1015" s="7" t="inlineStr">
        <is>
          <t>FORTUNE MALAYALAM AUTOMOBILES PRIVATE LIMITED</t>
        </is>
      </c>
      <c r="H1015" s="7" t="inlineStr">
        <is>
          <t>Non-Captive</t>
        </is>
      </c>
      <c r="I1015" s="7" t="inlineStr">
        <is>
          <t>Popular Alleppy</t>
        </is>
      </c>
      <c r="J1015" s="8" t="n">
        <v>2017</v>
      </c>
      <c r="K1015" s="9" t="n">
        <v>66859</v>
      </c>
      <c r="L1015" s="10" t="n">
        <v>420000</v>
      </c>
      <c r="M1015" s="10" t="n">
        <v>5000</v>
      </c>
      <c r="N1015" s="11">
        <f>IF(M1015="","",ROUND(M1015*1.18,2))</f>
        <v/>
      </c>
      <c r="O1015" s="12">
        <f>IF(M1015="","",ROUND(N1015-M1015,2))</f>
        <v/>
      </c>
      <c r="P1015" s="13">
        <f>IF(AND(A1015&lt;&gt;"",B1015&lt;&gt;""), A1015&amp;" · "&amp;B1015, "")</f>
        <v/>
      </c>
    </row>
    <row r="1016">
      <c r="A1016" s="6" t="inlineStr">
        <is>
          <t>FY26</t>
        </is>
      </c>
      <c r="B1016" s="6" t="inlineStr">
        <is>
          <t>Mar</t>
        </is>
      </c>
      <c r="C1016" s="6" t="inlineStr">
        <is>
          <t>TN</t>
        </is>
      </c>
      <c r="D1016" s="7" t="inlineStr">
        <is>
          <t>KL21P1815</t>
        </is>
      </c>
      <c r="E1016" s="7" t="inlineStr">
        <is>
          <t>SKODA</t>
        </is>
      </c>
      <c r="F1016" s="7" t="inlineStr">
        <is>
          <t>Rapid</t>
        </is>
      </c>
      <c r="G1016" s="7" t="inlineStr">
        <is>
          <t>KHIVRAJ MOTOR</t>
        </is>
      </c>
      <c r="H1016" s="7" t="inlineStr">
        <is>
          <t>Non-Captive</t>
        </is>
      </c>
      <c r="I1016" s="7" t="inlineStr">
        <is>
          <t>Nirmal Cars</t>
        </is>
      </c>
      <c r="J1016" s="8" t="n">
        <v>2017</v>
      </c>
      <c r="K1016" s="9" t="n">
        <v>38921</v>
      </c>
      <c r="L1016" s="10" t="n">
        <v>400000</v>
      </c>
      <c r="M1016" s="10" t="n">
        <v>3389.83</v>
      </c>
      <c r="N1016" s="11">
        <f>IF(M1016="","",ROUND(M1016*1.18,2))</f>
        <v/>
      </c>
      <c r="O1016" s="12">
        <f>IF(M1016="","",ROUND(N1016-M1016,2))</f>
        <v/>
      </c>
      <c r="P1016" s="13">
        <f>IF(AND(A1016&lt;&gt;"",B1016&lt;&gt;""), A1016&amp;" · "&amp;B1016, "")</f>
        <v/>
      </c>
    </row>
    <row r="1017">
      <c r="A1017" s="6" t="inlineStr">
        <is>
          <t>FY26</t>
        </is>
      </c>
      <c r="B1017" s="6" t="inlineStr">
        <is>
          <t>Mar</t>
        </is>
      </c>
      <c r="C1017" s="6" t="inlineStr">
        <is>
          <t>TN</t>
        </is>
      </c>
      <c r="D1017" s="7" t="inlineStr">
        <is>
          <t>KL22F7878</t>
        </is>
      </c>
      <c r="E1017" s="7" t="inlineStr">
        <is>
          <t>MARUTI SUZUKI</t>
        </is>
      </c>
      <c r="F1017" s="7" t="inlineStr">
        <is>
          <t>Celerio</t>
        </is>
      </c>
      <c r="G1017" s="7" t="inlineStr">
        <is>
          <t>NIPPON MOTOR CORPORATION PVT LTD</t>
        </is>
      </c>
      <c r="H1017" s="7" t="inlineStr">
        <is>
          <t>Non-Captive</t>
        </is>
      </c>
      <c r="I1017" s="7" t="inlineStr">
        <is>
          <t>SHAMNAD AH</t>
        </is>
      </c>
      <c r="J1017" s="8" t="n">
        <v>2014</v>
      </c>
      <c r="K1017" s="9" t="n">
        <v>88745</v>
      </c>
      <c r="L1017" s="10" t="n">
        <v>205000</v>
      </c>
      <c r="M1017" s="10" t="n">
        <v>5932.2</v>
      </c>
      <c r="N1017" s="11">
        <f>IF(M1017="","",ROUND(M1017*1.18,2))</f>
        <v/>
      </c>
      <c r="O1017" s="12">
        <f>IF(M1017="","",ROUND(N1017-M1017,2))</f>
        <v/>
      </c>
      <c r="P1017" s="13">
        <f>IF(AND(A1017&lt;&gt;"",B1017&lt;&gt;""), A1017&amp;" · "&amp;B1017, "")</f>
        <v/>
      </c>
    </row>
    <row r="1018">
      <c r="A1018" s="6" t="inlineStr">
        <is>
          <t>FY26</t>
        </is>
      </c>
      <c r="B1018" s="6" t="inlineStr">
        <is>
          <t>Mar</t>
        </is>
      </c>
      <c r="C1018" s="6" t="inlineStr">
        <is>
          <t>TN</t>
        </is>
      </c>
      <c r="D1018" s="7" t="inlineStr">
        <is>
          <t>KL25K9912</t>
        </is>
      </c>
      <c r="E1018" s="7" t="inlineStr">
        <is>
          <t>MARUTI SUZUKI</t>
        </is>
      </c>
      <c r="F1018" s="7" t="inlineStr">
        <is>
          <t>Celerio</t>
        </is>
      </c>
      <c r="G1018" s="7" t="inlineStr">
        <is>
          <t>NIPPON MOTOR CORPORATION PVT LTD</t>
        </is>
      </c>
      <c r="H1018" s="7" t="inlineStr">
        <is>
          <t>Non-Captive</t>
        </is>
      </c>
      <c r="I1018" s="7" t="inlineStr">
        <is>
          <t>SHAMNAD AH</t>
        </is>
      </c>
      <c r="J1018" s="8" t="n">
        <v>2018</v>
      </c>
      <c r="K1018" s="9" t="n">
        <v>92670</v>
      </c>
      <c r="L1018" s="10" t="n">
        <v>290000</v>
      </c>
      <c r="M1018" s="10" t="n">
        <v>5932.2</v>
      </c>
      <c r="N1018" s="11">
        <f>IF(M1018="","",ROUND(M1018*1.18,2))</f>
        <v/>
      </c>
      <c r="O1018" s="12">
        <f>IF(M1018="","",ROUND(N1018-M1018,2))</f>
        <v/>
      </c>
      <c r="P1018" s="13">
        <f>IF(AND(A1018&lt;&gt;"",B1018&lt;&gt;""), A1018&amp;" · "&amp;B1018, "")</f>
        <v/>
      </c>
    </row>
    <row r="1019">
      <c r="A1019" s="6" t="inlineStr">
        <is>
          <t>FY26</t>
        </is>
      </c>
      <c r="B1019" s="6" t="inlineStr">
        <is>
          <t>Mar</t>
        </is>
      </c>
      <c r="C1019" s="6" t="inlineStr">
        <is>
          <t>TN</t>
        </is>
      </c>
      <c r="D1019" s="7" t="inlineStr">
        <is>
          <t>KL30D4854</t>
        </is>
      </c>
      <c r="E1019" s="7" t="inlineStr">
        <is>
          <t>MARUTI SUZUKI</t>
        </is>
      </c>
      <c r="F1019" s="7" t="inlineStr">
        <is>
          <t>Alto</t>
        </is>
      </c>
      <c r="G1019" s="7" t="inlineStr">
        <is>
          <t>POPULAR MOTORWORLD PVT LTD</t>
        </is>
      </c>
      <c r="H1019" s="7" t="inlineStr">
        <is>
          <t>Non-Captive</t>
        </is>
      </c>
      <c r="I1019" s="7" t="inlineStr">
        <is>
          <t>Popular Thrissur</t>
        </is>
      </c>
      <c r="J1019" s="8" t="n">
        <v>2014</v>
      </c>
      <c r="K1019" s="9" t="n">
        <v>79534</v>
      </c>
      <c r="L1019" s="10" t="n">
        <v>165000</v>
      </c>
      <c r="M1019" s="10" t="n">
        <v>5000</v>
      </c>
      <c r="N1019" s="11">
        <f>IF(M1019="","",ROUND(M1019*1.18,2))</f>
        <v/>
      </c>
      <c r="O1019" s="12">
        <f>IF(M1019="","",ROUND(N1019-M1019,2))</f>
        <v/>
      </c>
      <c r="P1019" s="13">
        <f>IF(AND(A1019&lt;&gt;"",B1019&lt;&gt;""), A1019&amp;" · "&amp;B1019, "")</f>
        <v/>
      </c>
    </row>
    <row r="1020">
      <c r="A1020" s="6" t="inlineStr">
        <is>
          <t>FY26</t>
        </is>
      </c>
      <c r="B1020" s="6" t="inlineStr">
        <is>
          <t>Mar</t>
        </is>
      </c>
      <c r="C1020" s="6" t="inlineStr">
        <is>
          <t>TN</t>
        </is>
      </c>
      <c r="D1020" s="7" t="inlineStr">
        <is>
          <t>KL34E4223</t>
        </is>
      </c>
      <c r="E1020" s="7" t="inlineStr">
        <is>
          <t>HYUNDAI</t>
        </is>
      </c>
      <c r="F1020" s="7" t="inlineStr">
        <is>
          <t>Grand i10</t>
        </is>
      </c>
      <c r="G1020" s="7" t="inlineStr">
        <is>
          <t>NIPPON MOTOR CORPORATION PVT LTD</t>
        </is>
      </c>
      <c r="H1020" s="7" t="inlineStr">
        <is>
          <t>Non-Captive</t>
        </is>
      </c>
      <c r="I1020" s="7" t="inlineStr">
        <is>
          <t>Popular Thrissur</t>
        </is>
      </c>
      <c r="J1020" s="8" t="n">
        <v>2017</v>
      </c>
      <c r="K1020" s="9" t="n">
        <v>25982</v>
      </c>
      <c r="L1020" s="10" t="n">
        <v>335000</v>
      </c>
      <c r="M1020" s="10" t="n">
        <v>5000</v>
      </c>
      <c r="N1020" s="11">
        <f>IF(M1020="","",ROUND(M1020*1.18,2))</f>
        <v/>
      </c>
      <c r="O1020" s="12">
        <f>IF(M1020="","",ROUND(N1020-M1020,2))</f>
        <v/>
      </c>
      <c r="P1020" s="13">
        <f>IF(AND(A1020&lt;&gt;"",B1020&lt;&gt;""), A1020&amp;" · "&amp;B1020, "")</f>
        <v/>
      </c>
    </row>
    <row r="1021">
      <c r="A1021" s="6" t="inlineStr">
        <is>
          <t>FY26</t>
        </is>
      </c>
      <c r="B1021" s="6" t="inlineStr">
        <is>
          <t>Mar</t>
        </is>
      </c>
      <c r="C1021" s="6" t="inlineStr">
        <is>
          <t>TN</t>
        </is>
      </c>
      <c r="D1021" s="7" t="inlineStr">
        <is>
          <t>KL51E1985</t>
        </is>
      </c>
      <c r="E1021" s="7" t="inlineStr">
        <is>
          <t>NISSAN</t>
        </is>
      </c>
      <c r="F1021" s="7" t="inlineStr">
        <is>
          <t>Sunny</t>
        </is>
      </c>
      <c r="G1021" s="7" t="inlineStr">
        <is>
          <t>EXCHANGE ROTN</t>
        </is>
      </c>
      <c r="H1021" s="7" t="inlineStr">
        <is>
          <t>Captive</t>
        </is>
      </c>
      <c r="I1021" s="7" t="inlineStr">
        <is>
          <t>Sai Cars</t>
        </is>
      </c>
      <c r="J1021" s="8" t="n">
        <v>2013</v>
      </c>
      <c r="K1021" s="9" t="n">
        <v>126799</v>
      </c>
      <c r="L1021" s="10" t="n">
        <v>150000</v>
      </c>
      <c r="M1021" s="10" t="n">
        <v>4237.29</v>
      </c>
      <c r="N1021" s="11">
        <f>IF(M1021="","",ROUND(M1021*1.18,2))</f>
        <v/>
      </c>
      <c r="O1021" s="12">
        <f>IF(M1021="","",ROUND(N1021-M1021,2))</f>
        <v/>
      </c>
      <c r="P1021" s="13">
        <f>IF(AND(A1021&lt;&gt;"",B1021&lt;&gt;""), A1021&amp;" · "&amp;B1021, "")</f>
        <v/>
      </c>
    </row>
    <row r="1022">
      <c r="A1022" s="6" t="inlineStr">
        <is>
          <t>FY26</t>
        </is>
      </c>
      <c r="B1022" s="6" t="inlineStr">
        <is>
          <t>Mar</t>
        </is>
      </c>
      <c r="C1022" s="6" t="inlineStr">
        <is>
          <t>TN</t>
        </is>
      </c>
      <c r="D1022" s="7" t="inlineStr">
        <is>
          <t>PY01CV8329</t>
        </is>
      </c>
      <c r="E1022" s="7" t="inlineStr">
        <is>
          <t>MARUTI SUZUKI</t>
        </is>
      </c>
      <c r="F1022" s="7" t="inlineStr">
        <is>
          <t>Ciaz</t>
        </is>
      </c>
      <c r="G1022" s="7" t="inlineStr">
        <is>
          <t>PRODUCTIVITY ELEMENTS PRIVATE LIMITED</t>
        </is>
      </c>
      <c r="H1022" s="7" t="inlineStr">
        <is>
          <t>Non-Captive</t>
        </is>
      </c>
      <c r="I1022" s="7" t="inlineStr">
        <is>
          <t>KB Motor</t>
        </is>
      </c>
      <c r="J1022" s="8" t="n">
        <v>2019</v>
      </c>
      <c r="K1022" s="9" t="n">
        <v>79354</v>
      </c>
      <c r="L1022" s="10" t="n">
        <v>650000</v>
      </c>
      <c r="M1022" s="10" t="n">
        <v>2118.64</v>
      </c>
      <c r="N1022" s="11">
        <f>IF(M1022="","",ROUND(M1022*1.18,2))</f>
        <v/>
      </c>
      <c r="O1022" s="12">
        <f>IF(M1022="","",ROUND(N1022-M1022,2))</f>
        <v/>
      </c>
      <c r="P1022" s="13">
        <f>IF(AND(A1022&lt;&gt;"",B1022&lt;&gt;""), A1022&amp;" · "&amp;B1022, "")</f>
        <v/>
      </c>
    </row>
    <row r="1023">
      <c r="A1023" s="6" t="inlineStr">
        <is>
          <t>FY26</t>
        </is>
      </c>
      <c r="B1023" s="6" t="inlineStr">
        <is>
          <t>Mar</t>
        </is>
      </c>
      <c r="C1023" s="6" t="inlineStr">
        <is>
          <t>TN</t>
        </is>
      </c>
      <c r="D1023" s="7" t="inlineStr">
        <is>
          <t>PY05H0456</t>
        </is>
      </c>
      <c r="E1023" s="7" t="inlineStr">
        <is>
          <t>TOYOTA</t>
        </is>
      </c>
      <c r="F1023" s="7" t="inlineStr">
        <is>
          <t>Innova</t>
        </is>
      </c>
      <c r="G1023" s="7" t="inlineStr">
        <is>
          <t>EXCHANGE CHENNAI</t>
        </is>
      </c>
      <c r="H1023" s="7" t="inlineStr">
        <is>
          <t>Captive</t>
        </is>
      </c>
      <c r="I1023" s="7" t="inlineStr">
        <is>
          <t>Santhosh Cars</t>
        </is>
      </c>
      <c r="J1023" s="8" t="n">
        <v>2019</v>
      </c>
      <c r="K1023" s="9" t="n">
        <v>96245</v>
      </c>
      <c r="L1023" s="10" t="n">
        <v>1550000</v>
      </c>
      <c r="M1023" s="10" t="n">
        <v>12711.86</v>
      </c>
      <c r="N1023" s="11">
        <f>IF(M1023="","",ROUND(M1023*1.18,2))</f>
        <v/>
      </c>
      <c r="O1023" s="12">
        <f>IF(M1023="","",ROUND(N1023-M1023,2))</f>
        <v/>
      </c>
      <c r="P1023" s="13">
        <f>IF(AND(A1023&lt;&gt;"",B1023&lt;&gt;""), A1023&amp;" · "&amp;B1023, "")</f>
        <v/>
      </c>
    </row>
    <row r="1024">
      <c r="A1024" s="6" t="inlineStr">
        <is>
          <t>FY26</t>
        </is>
      </c>
      <c r="B1024" s="6" t="inlineStr">
        <is>
          <t>Mar</t>
        </is>
      </c>
      <c r="C1024" s="6" t="inlineStr">
        <is>
          <t>TN</t>
        </is>
      </c>
      <c r="D1024" s="7" t="inlineStr">
        <is>
          <t>TN01AC4548</t>
        </is>
      </c>
      <c r="E1024" s="7" t="inlineStr">
        <is>
          <t>MARUTI SUZUKI</t>
        </is>
      </c>
      <c r="F1024" s="7" t="inlineStr">
        <is>
          <t>800</t>
        </is>
      </c>
      <c r="G1024" s="7" t="inlineStr">
        <is>
          <t>KHIVRAJ MOTOR</t>
        </is>
      </c>
      <c r="H1024" s="7" t="inlineStr">
        <is>
          <t>Non-Captive</t>
        </is>
      </c>
      <c r="I1024" s="7" t="inlineStr">
        <is>
          <t>AS Cars Gopi</t>
        </is>
      </c>
      <c r="J1024" s="8" t="n">
        <v>2007</v>
      </c>
      <c r="K1024" s="9" t="n">
        <v>274887</v>
      </c>
      <c r="L1024" s="10" t="n">
        <v>49000</v>
      </c>
      <c r="M1024" s="10" t="n">
        <v>5084.75</v>
      </c>
      <c r="N1024" s="11">
        <f>IF(M1024="","",ROUND(M1024*1.18,2))</f>
        <v/>
      </c>
      <c r="O1024" s="12">
        <f>IF(M1024="","",ROUND(N1024-M1024,2))</f>
        <v/>
      </c>
      <c r="P1024" s="13">
        <f>IF(AND(A1024&lt;&gt;"",B1024&lt;&gt;""), A1024&amp;" · "&amp;B1024, "")</f>
        <v/>
      </c>
    </row>
    <row r="1025">
      <c r="A1025" s="6" t="inlineStr">
        <is>
          <t>FY26</t>
        </is>
      </c>
      <c r="B1025" s="6" t="inlineStr">
        <is>
          <t>Mar</t>
        </is>
      </c>
      <c r="C1025" s="6" t="inlineStr">
        <is>
          <t>TN</t>
        </is>
      </c>
      <c r="D1025" s="7" t="inlineStr">
        <is>
          <t>TN01AF7486</t>
        </is>
      </c>
      <c r="E1025" s="7" t="inlineStr">
        <is>
          <t>MARUTI SUZUKI</t>
        </is>
      </c>
      <c r="F1025" s="7" t="inlineStr">
        <is>
          <t>Wagon R</t>
        </is>
      </c>
      <c r="G1025" s="7" t="inlineStr">
        <is>
          <t>KALYANI MOTORS MARUTI</t>
        </is>
      </c>
      <c r="H1025" s="7" t="inlineStr">
        <is>
          <t>Non-Captive</t>
        </is>
      </c>
      <c r="I1025" s="7" t="inlineStr">
        <is>
          <t>Santhosh Cars</t>
        </is>
      </c>
      <c r="J1025" s="8" t="n">
        <v>2008</v>
      </c>
      <c r="K1025" s="9" t="n">
        <v>100512</v>
      </c>
      <c r="L1025" s="10" t="n">
        <v>100000</v>
      </c>
      <c r="M1025" s="10" t="n">
        <v>2118.64</v>
      </c>
      <c r="N1025" s="11">
        <f>IF(M1025="","",ROUND(M1025*1.18,2))</f>
        <v/>
      </c>
      <c r="O1025" s="12">
        <f>IF(M1025="","",ROUND(N1025-M1025,2))</f>
        <v/>
      </c>
      <c r="P1025" s="13">
        <f>IF(AND(A1025&lt;&gt;"",B1025&lt;&gt;""), A1025&amp;" · "&amp;B1025, "")</f>
        <v/>
      </c>
    </row>
    <row r="1026">
      <c r="A1026" s="6" t="inlineStr">
        <is>
          <t>FY26</t>
        </is>
      </c>
      <c r="B1026" s="6" t="inlineStr">
        <is>
          <t>Mar</t>
        </is>
      </c>
      <c r="C1026" s="6" t="inlineStr">
        <is>
          <t>TN</t>
        </is>
      </c>
      <c r="D1026" s="7" t="inlineStr">
        <is>
          <t>TN01AH1546</t>
        </is>
      </c>
      <c r="E1026" s="7" t="inlineStr">
        <is>
          <t>MARUTI SUZUKI</t>
        </is>
      </c>
      <c r="F1026" s="7" t="inlineStr">
        <is>
          <t>Swift</t>
        </is>
      </c>
      <c r="G1026" s="7" t="inlineStr">
        <is>
          <t>KHIVRAJ MOTOR</t>
        </is>
      </c>
      <c r="H1026" s="7" t="inlineStr">
        <is>
          <t>Non-Captive</t>
        </is>
      </c>
      <c r="I1026" s="7" t="inlineStr">
        <is>
          <t>Pine Autos</t>
        </is>
      </c>
      <c r="J1026" s="8" t="n">
        <v>2008</v>
      </c>
      <c r="K1026" s="9" t="n">
        <v>117939</v>
      </c>
      <c r="L1026" s="10" t="n">
        <v>110000</v>
      </c>
      <c r="M1026" s="10" t="n">
        <v>3389.83</v>
      </c>
      <c r="N1026" s="11">
        <f>IF(M1026="","",ROUND(M1026*1.18,2))</f>
        <v/>
      </c>
      <c r="O1026" s="12">
        <f>IF(M1026="","",ROUND(N1026-M1026,2))</f>
        <v/>
      </c>
      <c r="P1026" s="13">
        <f>IF(AND(A1026&lt;&gt;"",B1026&lt;&gt;""), A1026&amp;" · "&amp;B1026, "")</f>
        <v/>
      </c>
    </row>
    <row r="1027">
      <c r="A1027" s="6" t="inlineStr">
        <is>
          <t>FY26</t>
        </is>
      </c>
      <c r="B1027" s="6" t="inlineStr">
        <is>
          <t>Mar</t>
        </is>
      </c>
      <c r="C1027" s="6" t="inlineStr">
        <is>
          <t>TN</t>
        </is>
      </c>
      <c r="D1027" s="7" t="inlineStr">
        <is>
          <t>TN01AJ2458</t>
        </is>
      </c>
      <c r="E1027" s="7" t="inlineStr">
        <is>
          <t>HONDA</t>
        </is>
      </c>
      <c r="F1027" s="7" t="inlineStr">
        <is>
          <t>City</t>
        </is>
      </c>
      <c r="G1027" s="7" t="inlineStr">
        <is>
          <t>EXCHANGE ROTN</t>
        </is>
      </c>
      <c r="H1027" s="7" t="inlineStr">
        <is>
          <t>Captive</t>
        </is>
      </c>
      <c r="I1027" s="7" t="inlineStr">
        <is>
          <t>Sai Cars</t>
        </is>
      </c>
      <c r="J1027" s="8" t="n">
        <v>2009</v>
      </c>
      <c r="K1027" s="9" t="n">
        <v>97670</v>
      </c>
      <c r="L1027" s="10" t="n">
        <v>110000</v>
      </c>
      <c r="M1027" s="10" t="n">
        <v>5932.2</v>
      </c>
      <c r="N1027" s="11">
        <f>IF(M1027="","",ROUND(M1027*1.18,2))</f>
        <v/>
      </c>
      <c r="O1027" s="12">
        <f>IF(M1027="","",ROUND(N1027-M1027,2))</f>
        <v/>
      </c>
      <c r="P1027" s="13">
        <f>IF(AND(A1027&lt;&gt;"",B1027&lt;&gt;""), A1027&amp;" · "&amp;B1027, "")</f>
        <v/>
      </c>
    </row>
    <row r="1028">
      <c r="A1028" s="6" t="inlineStr">
        <is>
          <t>FY26</t>
        </is>
      </c>
      <c r="B1028" s="6" t="inlineStr">
        <is>
          <t>Mar</t>
        </is>
      </c>
      <c r="C1028" s="6" t="inlineStr">
        <is>
          <t>TN</t>
        </is>
      </c>
      <c r="D1028" s="7" t="inlineStr">
        <is>
          <t>TN01AP6116</t>
        </is>
      </c>
      <c r="E1028" s="7" t="inlineStr">
        <is>
          <t>HYUNDAI</t>
        </is>
      </c>
      <c r="F1028" s="7" t="inlineStr">
        <is>
          <t>Santro</t>
        </is>
      </c>
      <c r="G1028" s="7" t="inlineStr">
        <is>
          <t>KHIVRAJ MOTOR</t>
        </is>
      </c>
      <c r="H1028" s="7" t="inlineStr">
        <is>
          <t>Non-Captive</t>
        </is>
      </c>
      <c r="I1028" s="7" t="inlineStr">
        <is>
          <t>Sri Shakthi Vinayaga Cars</t>
        </is>
      </c>
      <c r="J1028" s="8" t="n">
        <v>2011</v>
      </c>
      <c r="K1028" s="9" t="n">
        <v>103400</v>
      </c>
      <c r="L1028" s="10" t="n">
        <v>160000</v>
      </c>
      <c r="M1028" s="10" t="n">
        <v>2118.64</v>
      </c>
      <c r="N1028" s="11">
        <f>IF(M1028="","",ROUND(M1028*1.18,2))</f>
        <v/>
      </c>
      <c r="O1028" s="12">
        <f>IF(M1028="","",ROUND(N1028-M1028,2))</f>
        <v/>
      </c>
      <c r="P1028" s="13">
        <f>IF(AND(A1028&lt;&gt;"",B1028&lt;&gt;""), A1028&amp;" · "&amp;B1028, "")</f>
        <v/>
      </c>
    </row>
    <row r="1029">
      <c r="A1029" s="6" t="inlineStr">
        <is>
          <t>FY26</t>
        </is>
      </c>
      <c r="B1029" s="6" t="inlineStr">
        <is>
          <t>Mar</t>
        </is>
      </c>
      <c r="C1029" s="6" t="inlineStr">
        <is>
          <t>TN</t>
        </is>
      </c>
      <c r="D1029" s="7" t="inlineStr">
        <is>
          <t>TN01AS0317</t>
        </is>
      </c>
      <c r="E1029" s="7" t="inlineStr">
        <is>
          <t>VOLKSWAGEN</t>
        </is>
      </c>
      <c r="F1029" s="7" t="inlineStr">
        <is>
          <t>Vento</t>
        </is>
      </c>
      <c r="G1029" s="7" t="inlineStr">
        <is>
          <t>KHIVRAJ MOTOR</t>
        </is>
      </c>
      <c r="H1029" s="7" t="inlineStr">
        <is>
          <t>Non-Captive</t>
        </is>
      </c>
      <c r="I1029" s="7" t="inlineStr">
        <is>
          <t>Yes Cars</t>
        </is>
      </c>
      <c r="J1029" s="8" t="n">
        <v>2012</v>
      </c>
      <c r="K1029" s="9" t="n">
        <v>49700</v>
      </c>
      <c r="L1029" s="10" t="n">
        <v>230000</v>
      </c>
      <c r="M1029" s="10" t="n">
        <v>2118.64</v>
      </c>
      <c r="N1029" s="11">
        <f>IF(M1029="","",ROUND(M1029*1.18,2))</f>
        <v/>
      </c>
      <c r="O1029" s="12">
        <f>IF(M1029="","",ROUND(N1029-M1029,2))</f>
        <v/>
      </c>
      <c r="P1029" s="13">
        <f>IF(AND(A1029&lt;&gt;"",B1029&lt;&gt;""), A1029&amp;" · "&amp;B1029, "")</f>
        <v/>
      </c>
    </row>
    <row r="1030">
      <c r="A1030" s="6" t="inlineStr">
        <is>
          <t>FY26</t>
        </is>
      </c>
      <c r="B1030" s="6" t="inlineStr">
        <is>
          <t>Mar</t>
        </is>
      </c>
      <c r="C1030" s="6" t="inlineStr">
        <is>
          <t>TN</t>
        </is>
      </c>
      <c r="D1030" s="7" t="inlineStr">
        <is>
          <t>TN01AS8662</t>
        </is>
      </c>
      <c r="E1030" s="7" t="inlineStr">
        <is>
          <t>MARUTI SUZUKI</t>
        </is>
      </c>
      <c r="F1030" s="7" t="inlineStr">
        <is>
          <t>Dzire</t>
        </is>
      </c>
      <c r="G1030" s="7" t="inlineStr">
        <is>
          <t>KHIVRAJ MOTOR</t>
        </is>
      </c>
      <c r="H1030" s="7" t="inlineStr">
        <is>
          <t>Non-Captive</t>
        </is>
      </c>
      <c r="I1030" s="7" t="inlineStr">
        <is>
          <t>Santhosh Cars</t>
        </is>
      </c>
      <c r="J1030" s="8" t="n">
        <v>2012</v>
      </c>
      <c r="K1030" s="9" t="n">
        <v>45000</v>
      </c>
      <c r="L1030" s="10" t="n">
        <v>200000</v>
      </c>
      <c r="M1030" s="10" t="n">
        <v>2118.64</v>
      </c>
      <c r="N1030" s="11">
        <f>IF(M1030="","",ROUND(M1030*1.18,2))</f>
        <v/>
      </c>
      <c r="O1030" s="12">
        <f>IF(M1030="","",ROUND(N1030-M1030,2))</f>
        <v/>
      </c>
      <c r="P1030" s="13">
        <f>IF(AND(A1030&lt;&gt;"",B1030&lt;&gt;""), A1030&amp;" · "&amp;B1030, "")</f>
        <v/>
      </c>
    </row>
    <row r="1031">
      <c r="A1031" s="6" t="inlineStr">
        <is>
          <t>FY26</t>
        </is>
      </c>
      <c r="B1031" s="6" t="inlineStr">
        <is>
          <t>Mar</t>
        </is>
      </c>
      <c r="C1031" s="6" t="inlineStr">
        <is>
          <t>TN</t>
        </is>
      </c>
      <c r="D1031" s="7" t="inlineStr">
        <is>
          <t>TN01AX8418</t>
        </is>
      </c>
      <c r="E1031" s="7" t="inlineStr">
        <is>
          <t>HONDA</t>
        </is>
      </c>
      <c r="F1031" s="7" t="inlineStr">
        <is>
          <t>City</t>
        </is>
      </c>
      <c r="G1031" s="7" t="inlineStr">
        <is>
          <t>NIRMAL</t>
        </is>
      </c>
      <c r="H1031" s="7" t="inlineStr">
        <is>
          <t>Non-Captive</t>
        </is>
      </c>
      <c r="I1031" s="7" t="inlineStr">
        <is>
          <t>Value Drive Tecnologies</t>
        </is>
      </c>
      <c r="J1031" s="8" t="n">
        <v>2015</v>
      </c>
      <c r="K1031" s="9" t="n">
        <v>69967</v>
      </c>
      <c r="L1031" s="10" t="n">
        <v>373000</v>
      </c>
      <c r="M1031" s="10" t="n">
        <v>5084.75</v>
      </c>
      <c r="N1031" s="11">
        <f>IF(M1031="","",ROUND(M1031*1.18,2))</f>
        <v/>
      </c>
      <c r="O1031" s="12">
        <f>IF(M1031="","",ROUND(N1031-M1031,2))</f>
        <v/>
      </c>
      <c r="P1031" s="13">
        <f>IF(AND(A1031&lt;&gt;"",B1031&lt;&gt;""), A1031&amp;" · "&amp;B1031, "")</f>
        <v/>
      </c>
    </row>
    <row r="1032">
      <c r="A1032" s="6" t="inlineStr">
        <is>
          <t>FY26</t>
        </is>
      </c>
      <c r="B1032" s="6" t="inlineStr">
        <is>
          <t>Mar</t>
        </is>
      </c>
      <c r="C1032" s="6" t="inlineStr">
        <is>
          <t>TN</t>
        </is>
      </c>
      <c r="D1032" s="7" t="inlineStr">
        <is>
          <t>TN01AY1234</t>
        </is>
      </c>
      <c r="E1032" s="7" t="inlineStr">
        <is>
          <t>TOYOTA</t>
        </is>
      </c>
      <c r="F1032" s="7" t="inlineStr">
        <is>
          <t>Etios</t>
        </is>
      </c>
      <c r="G1032" s="7" t="inlineStr">
        <is>
          <t>KHIVRAJ MOTOR</t>
        </is>
      </c>
      <c r="H1032" s="7" t="inlineStr">
        <is>
          <t>Non-Captive</t>
        </is>
      </c>
      <c r="I1032" s="7" t="inlineStr">
        <is>
          <t>Nirmal Cars</t>
        </is>
      </c>
      <c r="J1032" s="8" t="n">
        <v>2012</v>
      </c>
      <c r="K1032" s="9" t="n">
        <v>79890</v>
      </c>
      <c r="L1032" s="10" t="n">
        <v>260000</v>
      </c>
      <c r="M1032" s="10" t="n">
        <v>2118.64</v>
      </c>
      <c r="N1032" s="11">
        <f>IF(M1032="","",ROUND(M1032*1.18,2))</f>
        <v/>
      </c>
      <c r="O1032" s="12">
        <f>IF(M1032="","",ROUND(N1032-M1032,2))</f>
        <v/>
      </c>
      <c r="P1032" s="13">
        <f>IF(AND(A1032&lt;&gt;"",B1032&lt;&gt;""), A1032&amp;" · "&amp;B1032, "")</f>
        <v/>
      </c>
    </row>
    <row r="1033">
      <c r="A1033" s="6" t="inlineStr">
        <is>
          <t>FY26</t>
        </is>
      </c>
      <c r="B1033" s="6" t="inlineStr">
        <is>
          <t>Mar</t>
        </is>
      </c>
      <c r="C1033" s="6" t="inlineStr">
        <is>
          <t>TN</t>
        </is>
      </c>
      <c r="D1033" s="7" t="inlineStr">
        <is>
          <t>TN01AY5676</t>
        </is>
      </c>
      <c r="E1033" s="7" t="inlineStr">
        <is>
          <t>HONDA</t>
        </is>
      </c>
      <c r="F1033" s="7" t="inlineStr">
        <is>
          <t>City</t>
        </is>
      </c>
      <c r="G1033" s="7" t="inlineStr">
        <is>
          <t>EXCHANGE CHENNAI</t>
        </is>
      </c>
      <c r="H1033" s="7" t="inlineStr">
        <is>
          <t>Captive</t>
        </is>
      </c>
      <c r="I1033" s="7" t="inlineStr">
        <is>
          <t>Nirmal Cars</t>
        </is>
      </c>
      <c r="J1033" s="8" t="n">
        <v>2015</v>
      </c>
      <c r="K1033" s="9" t="n">
        <v>63862</v>
      </c>
      <c r="L1033" s="10" t="n">
        <v>410000</v>
      </c>
      <c r="M1033" s="10" t="n">
        <v>5932.2</v>
      </c>
      <c r="N1033" s="11">
        <f>IF(M1033="","",ROUND(M1033*1.18,2))</f>
        <v/>
      </c>
      <c r="O1033" s="12">
        <f>IF(M1033="","",ROUND(N1033-M1033,2))</f>
        <v/>
      </c>
      <c r="P1033" s="13">
        <f>IF(AND(A1033&lt;&gt;"",B1033&lt;&gt;""), A1033&amp;" · "&amp;B1033, "")</f>
        <v/>
      </c>
    </row>
    <row r="1034">
      <c r="A1034" s="6" t="inlineStr">
        <is>
          <t>FY26</t>
        </is>
      </c>
      <c r="B1034" s="6" t="inlineStr">
        <is>
          <t>Mar</t>
        </is>
      </c>
      <c r="C1034" s="6" t="inlineStr">
        <is>
          <t>TN</t>
        </is>
      </c>
      <c r="D1034" s="7" t="inlineStr">
        <is>
          <t>TN01AZ2866</t>
        </is>
      </c>
      <c r="E1034" s="7" t="inlineStr">
        <is>
          <t>MARUTI SUZUKI</t>
        </is>
      </c>
      <c r="F1034" s="7" t="inlineStr">
        <is>
          <t>Swift</t>
        </is>
      </c>
      <c r="G1034" s="7" t="inlineStr">
        <is>
          <t>SANTHOSH CARS</t>
        </is>
      </c>
      <c r="H1034" s="7" t="inlineStr">
        <is>
          <t>Non-Captive</t>
        </is>
      </c>
      <c r="I1034" s="7" t="inlineStr">
        <is>
          <t>Aasim Motors</t>
        </is>
      </c>
      <c r="J1034" s="8" t="n">
        <v>2015</v>
      </c>
      <c r="K1034" s="9" t="n">
        <v>131300</v>
      </c>
      <c r="L1034" s="10" t="n">
        <v>350000</v>
      </c>
      <c r="M1034" s="10" t="n">
        <v>4237.29</v>
      </c>
      <c r="N1034" s="11">
        <f>IF(M1034="","",ROUND(M1034*1.18,2))</f>
        <v/>
      </c>
      <c r="O1034" s="12">
        <f>IF(M1034="","",ROUND(N1034-M1034,2))</f>
        <v/>
      </c>
      <c r="P1034" s="13">
        <f>IF(AND(A1034&lt;&gt;"",B1034&lt;&gt;""), A1034&amp;" · "&amp;B1034, "")</f>
        <v/>
      </c>
    </row>
    <row r="1035">
      <c r="A1035" s="6" t="inlineStr">
        <is>
          <t>FY26</t>
        </is>
      </c>
      <c r="B1035" s="6" t="inlineStr">
        <is>
          <t>Mar</t>
        </is>
      </c>
      <c r="C1035" s="6" t="inlineStr">
        <is>
          <t>TN</t>
        </is>
      </c>
      <c r="D1035" s="7" t="inlineStr">
        <is>
          <t>TN01AZ4383</t>
        </is>
      </c>
      <c r="E1035" s="7" t="inlineStr">
        <is>
          <t>MARUTI SUZUKI</t>
        </is>
      </c>
      <c r="F1035" s="7" t="inlineStr">
        <is>
          <t>Baleno</t>
        </is>
      </c>
      <c r="G1035" s="7" t="inlineStr">
        <is>
          <t>KHIVRAJ MOTOR</t>
        </is>
      </c>
      <c r="H1035" s="7" t="inlineStr">
        <is>
          <t>Non-Captive</t>
        </is>
      </c>
      <c r="I1035" s="7" t="inlineStr">
        <is>
          <t>Santhosh Cars</t>
        </is>
      </c>
      <c r="J1035" s="8" t="n">
        <v>2015</v>
      </c>
      <c r="K1035" s="9" t="n">
        <v>19926</v>
      </c>
      <c r="L1035" s="10" t="n">
        <v>350000</v>
      </c>
      <c r="M1035" s="10" t="n">
        <v>2118.64</v>
      </c>
      <c r="N1035" s="11">
        <f>IF(M1035="","",ROUND(M1035*1.18,2))</f>
        <v/>
      </c>
      <c r="O1035" s="12">
        <f>IF(M1035="","",ROUND(N1035-M1035,2))</f>
        <v/>
      </c>
      <c r="P1035" s="13">
        <f>IF(AND(A1035&lt;&gt;"",B1035&lt;&gt;""), A1035&amp;" · "&amp;B1035, "")</f>
        <v/>
      </c>
    </row>
    <row r="1036">
      <c r="A1036" s="6" t="inlineStr">
        <is>
          <t>FY26</t>
        </is>
      </c>
      <c r="B1036" s="6" t="inlineStr">
        <is>
          <t>Mar</t>
        </is>
      </c>
      <c r="C1036" s="6" t="inlineStr">
        <is>
          <t>TN</t>
        </is>
      </c>
      <c r="D1036" s="7" t="inlineStr">
        <is>
          <t>TN01BB7579</t>
        </is>
      </c>
      <c r="E1036" s="7" t="inlineStr">
        <is>
          <t>MARUTI SUZUKI</t>
        </is>
      </c>
      <c r="F1036" s="7" t="inlineStr">
        <is>
          <t>S-Cross</t>
        </is>
      </c>
      <c r="G1036" s="7" t="inlineStr">
        <is>
          <t>KHIVRAJ MOTOR</t>
        </is>
      </c>
      <c r="H1036" s="7" t="inlineStr">
        <is>
          <t>Non-Captive</t>
        </is>
      </c>
      <c r="I1036" s="7" t="inlineStr">
        <is>
          <t>Nirmal Cars</t>
        </is>
      </c>
      <c r="J1036" s="8" t="n">
        <v>2017</v>
      </c>
      <c r="K1036" s="9" t="n">
        <v>69221</v>
      </c>
      <c r="L1036" s="10" t="n">
        <v>450000</v>
      </c>
      <c r="M1036" s="10" t="n">
        <v>2118.64</v>
      </c>
      <c r="N1036" s="11">
        <f>IF(M1036="","",ROUND(M1036*1.18,2))</f>
        <v/>
      </c>
      <c r="O1036" s="12">
        <f>IF(M1036="","",ROUND(N1036-M1036,2))</f>
        <v/>
      </c>
      <c r="P1036" s="13">
        <f>IF(AND(A1036&lt;&gt;"",B1036&lt;&gt;""), A1036&amp;" · "&amp;B1036, "")</f>
        <v/>
      </c>
    </row>
    <row r="1037">
      <c r="A1037" s="6" t="inlineStr">
        <is>
          <t>FY26</t>
        </is>
      </c>
      <c r="B1037" s="6" t="inlineStr">
        <is>
          <t>Mar</t>
        </is>
      </c>
      <c r="C1037" s="6" t="inlineStr">
        <is>
          <t>TN</t>
        </is>
      </c>
      <c r="D1037" s="7" t="inlineStr">
        <is>
          <t>TN01BB9684</t>
        </is>
      </c>
      <c r="E1037" s="7" t="inlineStr">
        <is>
          <t>HYUNDAI</t>
        </is>
      </c>
      <c r="F1037" s="7" t="inlineStr">
        <is>
          <t>i20</t>
        </is>
      </c>
      <c r="G1037" s="7" t="inlineStr">
        <is>
          <t>KALYANI MOTORS MARUTI</t>
        </is>
      </c>
      <c r="H1037" s="7" t="inlineStr">
        <is>
          <t>Non-Captive</t>
        </is>
      </c>
      <c r="I1037" s="7" t="inlineStr">
        <is>
          <t>Nirmal Cars</t>
        </is>
      </c>
      <c r="J1037" s="8" t="n">
        <v>2017</v>
      </c>
      <c r="K1037" s="9" t="n">
        <v>46937</v>
      </c>
      <c r="L1037" s="10" t="n">
        <v>420000</v>
      </c>
      <c r="M1037" s="10" t="n">
        <v>4237.29</v>
      </c>
      <c r="N1037" s="11">
        <f>IF(M1037="","",ROUND(M1037*1.18,2))</f>
        <v/>
      </c>
      <c r="O1037" s="12">
        <f>IF(M1037="","",ROUND(N1037-M1037,2))</f>
        <v/>
      </c>
      <c r="P1037" s="13">
        <f>IF(AND(A1037&lt;&gt;"",B1037&lt;&gt;""), A1037&amp;" · "&amp;B1037, "")</f>
        <v/>
      </c>
    </row>
    <row r="1038">
      <c r="A1038" s="6" t="inlineStr">
        <is>
          <t>FY26</t>
        </is>
      </c>
      <c r="B1038" s="6" t="inlineStr">
        <is>
          <t>Mar</t>
        </is>
      </c>
      <c r="C1038" s="6" t="inlineStr">
        <is>
          <t>TN</t>
        </is>
      </c>
      <c r="D1038" s="7" t="inlineStr">
        <is>
          <t>TN01BH3622</t>
        </is>
      </c>
      <c r="E1038" s="7" t="inlineStr">
        <is>
          <t>MARUTI SUZUKI</t>
        </is>
      </c>
      <c r="F1038" s="7" t="inlineStr">
        <is>
          <t>Baleno</t>
        </is>
      </c>
      <c r="G1038" s="7" t="inlineStr">
        <is>
          <t>KHIVRAJ MOTOR</t>
        </is>
      </c>
      <c r="H1038" s="7" t="inlineStr">
        <is>
          <t>Non-Captive</t>
        </is>
      </c>
      <c r="I1038" s="7" t="inlineStr">
        <is>
          <t>Santhosh Cars</t>
        </is>
      </c>
      <c r="J1038" s="8" t="n">
        <v>2019</v>
      </c>
      <c r="K1038" s="9" t="n">
        <v>25947</v>
      </c>
      <c r="L1038" s="10" t="n">
        <v>500000</v>
      </c>
      <c r="M1038" s="10" t="n">
        <v>2118.64</v>
      </c>
      <c r="N1038" s="11">
        <f>IF(M1038="","",ROUND(M1038*1.18,2))</f>
        <v/>
      </c>
      <c r="O1038" s="12">
        <f>IF(M1038="","",ROUND(N1038-M1038,2))</f>
        <v/>
      </c>
      <c r="P1038" s="13">
        <f>IF(AND(A1038&lt;&gt;"",B1038&lt;&gt;""), A1038&amp;" · "&amp;B1038, "")</f>
        <v/>
      </c>
    </row>
    <row r="1039">
      <c r="A1039" s="6" t="inlineStr">
        <is>
          <t>FY26</t>
        </is>
      </c>
      <c r="B1039" s="6" t="inlineStr">
        <is>
          <t>Mar</t>
        </is>
      </c>
      <c r="C1039" s="6" t="inlineStr">
        <is>
          <t>TN</t>
        </is>
      </c>
      <c r="D1039" s="7" t="inlineStr">
        <is>
          <t>TN01BH5973</t>
        </is>
      </c>
      <c r="E1039" s="7" t="inlineStr">
        <is>
          <t>HONDA</t>
        </is>
      </c>
      <c r="F1039" s="7" t="inlineStr">
        <is>
          <t>Amaze</t>
        </is>
      </c>
      <c r="G1039" s="7" t="inlineStr">
        <is>
          <t>EXCHANGE CHENNAI</t>
        </is>
      </c>
      <c r="H1039" s="7" t="inlineStr">
        <is>
          <t>Captive</t>
        </is>
      </c>
      <c r="I1039" s="7" t="inlineStr">
        <is>
          <t>AS Cars Gopi</t>
        </is>
      </c>
      <c r="J1039" s="8" t="n">
        <v>2019</v>
      </c>
      <c r="K1039" s="9" t="n">
        <v>236917</v>
      </c>
      <c r="L1039" s="10" t="n">
        <v>500000</v>
      </c>
      <c r="M1039" s="10" t="n">
        <v>8474.58</v>
      </c>
      <c r="N1039" s="11">
        <f>IF(M1039="","",ROUND(M1039*1.18,2))</f>
        <v/>
      </c>
      <c r="O1039" s="12">
        <f>IF(M1039="","",ROUND(N1039-M1039,2))</f>
        <v/>
      </c>
      <c r="P1039" s="13">
        <f>IF(AND(A1039&lt;&gt;"",B1039&lt;&gt;""), A1039&amp;" · "&amp;B1039, "")</f>
        <v/>
      </c>
    </row>
    <row r="1040">
      <c r="A1040" s="6" t="inlineStr">
        <is>
          <t>FY26</t>
        </is>
      </c>
      <c r="B1040" s="6" t="inlineStr">
        <is>
          <t>Mar</t>
        </is>
      </c>
      <c r="C1040" s="6" t="inlineStr">
        <is>
          <t>TN</t>
        </is>
      </c>
      <c r="D1040" s="7" t="inlineStr">
        <is>
          <t>TN01BP2254</t>
        </is>
      </c>
      <c r="E1040" s="7" t="inlineStr">
        <is>
          <t>MARUTI SUZUKI</t>
        </is>
      </c>
      <c r="F1040" s="7" t="inlineStr">
        <is>
          <t>Wagon R</t>
        </is>
      </c>
      <c r="G1040" s="7" t="inlineStr">
        <is>
          <t>KHIVRAJ MOTOR</t>
        </is>
      </c>
      <c r="H1040" s="7" t="inlineStr">
        <is>
          <t>Non-Captive</t>
        </is>
      </c>
      <c r="I1040" s="7" t="inlineStr">
        <is>
          <t>Nirmal Cars</t>
        </is>
      </c>
      <c r="J1040" s="8" t="n">
        <v>2022</v>
      </c>
      <c r="K1040" s="9" t="n">
        <v>87420</v>
      </c>
      <c r="L1040" s="10" t="n">
        <v>400000</v>
      </c>
      <c r="M1040" s="10" t="n">
        <v>2118.64</v>
      </c>
      <c r="N1040" s="11">
        <f>IF(M1040="","",ROUND(M1040*1.18,2))</f>
        <v/>
      </c>
      <c r="O1040" s="12">
        <f>IF(M1040="","",ROUND(N1040-M1040,2))</f>
        <v/>
      </c>
      <c r="P1040" s="13">
        <f>IF(AND(A1040&lt;&gt;"",B1040&lt;&gt;""), A1040&amp;" · "&amp;B1040, "")</f>
        <v/>
      </c>
    </row>
    <row r="1041">
      <c r="A1041" s="6" t="inlineStr">
        <is>
          <t>FY26</t>
        </is>
      </c>
      <c r="B1041" s="6" t="inlineStr">
        <is>
          <t>Mar</t>
        </is>
      </c>
      <c r="C1041" s="6" t="inlineStr">
        <is>
          <t>TN</t>
        </is>
      </c>
      <c r="D1041" s="7" t="inlineStr">
        <is>
          <t>TN01BS5348</t>
        </is>
      </c>
      <c r="E1041" s="7" t="inlineStr">
        <is>
          <t>MARUTI SUZUKI</t>
        </is>
      </c>
      <c r="F1041" s="7" t="inlineStr">
        <is>
          <t>Wagon R</t>
        </is>
      </c>
      <c r="G1041" s="7" t="inlineStr">
        <is>
          <t>KHIVRAJ MOTOR</t>
        </is>
      </c>
      <c r="H1041" s="7" t="inlineStr">
        <is>
          <t>Non-Captive</t>
        </is>
      </c>
      <c r="I1041" s="7" t="inlineStr">
        <is>
          <t>AAA Cars</t>
        </is>
      </c>
      <c r="J1041" s="8" t="n">
        <v>2023</v>
      </c>
      <c r="K1041" s="9" t="n">
        <v>25448</v>
      </c>
      <c r="L1041" s="10" t="n">
        <v>315000</v>
      </c>
      <c r="M1041" s="10" t="n">
        <v>5084.75</v>
      </c>
      <c r="N1041" s="11">
        <f>IF(M1041="","",ROUND(M1041*1.18,2))</f>
        <v/>
      </c>
      <c r="O1041" s="12">
        <f>IF(M1041="","",ROUND(N1041-M1041,2))</f>
        <v/>
      </c>
      <c r="P1041" s="13">
        <f>IF(AND(A1041&lt;&gt;"",B1041&lt;&gt;""), A1041&amp;" · "&amp;B1041, "")</f>
        <v/>
      </c>
    </row>
    <row r="1042">
      <c r="A1042" s="6" t="inlineStr">
        <is>
          <t>FY26</t>
        </is>
      </c>
      <c r="B1042" s="6" t="inlineStr">
        <is>
          <t>Mar</t>
        </is>
      </c>
      <c r="C1042" s="6" t="inlineStr">
        <is>
          <t>TN</t>
        </is>
      </c>
      <c r="D1042" s="7" t="inlineStr">
        <is>
          <t>TN01BU4318</t>
        </is>
      </c>
      <c r="E1042" s="7" t="inlineStr">
        <is>
          <t>MARUTI SUZUKI</t>
        </is>
      </c>
      <c r="F1042" s="7" t="inlineStr">
        <is>
          <t>Tour</t>
        </is>
      </c>
      <c r="G1042" s="7" t="inlineStr">
        <is>
          <t>KHIVRAJ MOTOR</t>
        </is>
      </c>
      <c r="H1042" s="7" t="inlineStr">
        <is>
          <t>Non-Captive</t>
        </is>
      </c>
      <c r="I1042" s="7" t="inlineStr">
        <is>
          <t>Nirmal Cars</t>
        </is>
      </c>
      <c r="J1042" s="8" t="n">
        <v>2024</v>
      </c>
      <c r="K1042" s="9" t="n">
        <v>90197</v>
      </c>
      <c r="L1042" s="10" t="n">
        <v>200000</v>
      </c>
      <c r="M1042" s="10" t="n">
        <v>2118.64</v>
      </c>
      <c r="N1042" s="11">
        <f>IF(M1042="","",ROUND(M1042*1.18,2))</f>
        <v/>
      </c>
      <c r="O1042" s="12">
        <f>IF(M1042="","",ROUND(N1042-M1042,2))</f>
        <v/>
      </c>
      <c r="P1042" s="13">
        <f>IF(AND(A1042&lt;&gt;"",B1042&lt;&gt;""), A1042&amp;" · "&amp;B1042, "")</f>
        <v/>
      </c>
    </row>
    <row r="1043">
      <c r="A1043" s="6" t="inlineStr">
        <is>
          <t>FY26</t>
        </is>
      </c>
      <c r="B1043" s="6" t="inlineStr">
        <is>
          <t>Mar</t>
        </is>
      </c>
      <c r="C1043" s="6" t="inlineStr">
        <is>
          <t>TN</t>
        </is>
      </c>
      <c r="D1043" s="7" t="inlineStr">
        <is>
          <t>TN01Y2485</t>
        </is>
      </c>
      <c r="E1043" s="7" t="inlineStr">
        <is>
          <t>MARUTI SUZUKI</t>
        </is>
      </c>
      <c r="F1043" s="7" t="inlineStr">
        <is>
          <t>Zen</t>
        </is>
      </c>
      <c r="G1043" s="7" t="inlineStr">
        <is>
          <t>KALYANI MOTORS MARUTI</t>
        </is>
      </c>
      <c r="H1043" s="7" t="inlineStr">
        <is>
          <t>Non-Captive</t>
        </is>
      </c>
      <c r="I1043" s="7" t="inlineStr">
        <is>
          <t>Nirmal Cars</t>
        </is>
      </c>
      <c r="J1043" s="8" t="n">
        <v>2004</v>
      </c>
      <c r="K1043" s="9" t="n">
        <v>13027</v>
      </c>
      <c r="L1043" s="10" t="n">
        <v>120000</v>
      </c>
      <c r="M1043" s="10" t="n">
        <v>4237.29</v>
      </c>
      <c r="N1043" s="11">
        <f>IF(M1043="","",ROUND(M1043*1.18,2))</f>
        <v/>
      </c>
      <c r="O1043" s="12">
        <f>IF(M1043="","",ROUND(N1043-M1043,2))</f>
        <v/>
      </c>
      <c r="P1043" s="13">
        <f>IF(AND(A1043&lt;&gt;"",B1043&lt;&gt;""), A1043&amp;" · "&amp;B1043, "")</f>
        <v/>
      </c>
    </row>
    <row r="1044">
      <c r="A1044" s="6" t="inlineStr">
        <is>
          <t>FY26</t>
        </is>
      </c>
      <c r="B1044" s="6" t="inlineStr">
        <is>
          <t>Mar</t>
        </is>
      </c>
      <c r="C1044" s="6" t="inlineStr">
        <is>
          <t>TN</t>
        </is>
      </c>
      <c r="D1044" s="7" t="inlineStr">
        <is>
          <t>TN02AL1739</t>
        </is>
      </c>
      <c r="E1044" s="7" t="inlineStr">
        <is>
          <t>MARUTI SUZUKI</t>
        </is>
      </c>
      <c r="F1044" s="7" t="inlineStr">
        <is>
          <t>Wagon R</t>
        </is>
      </c>
      <c r="G1044" s="7" t="inlineStr">
        <is>
          <t>KHIVRAJ MOTOR</t>
        </is>
      </c>
      <c r="H1044" s="7" t="inlineStr">
        <is>
          <t>Non-Captive</t>
        </is>
      </c>
      <c r="I1044" s="7" t="inlineStr">
        <is>
          <t>Sri Shakthi Vinayaga Cars</t>
        </is>
      </c>
      <c r="J1044" s="8" t="n">
        <v>2010</v>
      </c>
      <c r="K1044" s="9" t="n">
        <v>87018</v>
      </c>
      <c r="L1044" s="10" t="n">
        <v>130000</v>
      </c>
      <c r="M1044" s="10" t="n">
        <v>2118.64</v>
      </c>
      <c r="N1044" s="11">
        <f>IF(M1044="","",ROUND(M1044*1.18,2))</f>
        <v/>
      </c>
      <c r="O1044" s="12">
        <f>IF(M1044="","",ROUND(N1044-M1044,2))</f>
        <v/>
      </c>
      <c r="P1044" s="13">
        <f>IF(AND(A1044&lt;&gt;"",B1044&lt;&gt;""), A1044&amp;" · "&amp;B1044, "")</f>
        <v/>
      </c>
    </row>
    <row r="1045">
      <c r="A1045" s="6" t="inlineStr">
        <is>
          <t>FY26</t>
        </is>
      </c>
      <c r="B1045" s="6" t="inlineStr">
        <is>
          <t>Mar</t>
        </is>
      </c>
      <c r="C1045" s="6" t="inlineStr">
        <is>
          <t>TN</t>
        </is>
      </c>
      <c r="D1045" s="7" t="inlineStr">
        <is>
          <t>TN02AQ1302</t>
        </is>
      </c>
      <c r="E1045" s="7" t="inlineStr">
        <is>
          <t>MARUTI SUZUKI</t>
        </is>
      </c>
      <c r="F1045" s="7" t="inlineStr">
        <is>
          <t>Alto K10</t>
        </is>
      </c>
      <c r="G1045" s="7" t="inlineStr">
        <is>
          <t>KHIVRAJ MOTOR</t>
        </is>
      </c>
      <c r="H1045" s="7" t="inlineStr">
        <is>
          <t>Non-Captive</t>
        </is>
      </c>
      <c r="I1045" s="7" t="inlineStr">
        <is>
          <t>Santhosh Cars</t>
        </is>
      </c>
      <c r="J1045" s="8" t="n">
        <v>2010</v>
      </c>
      <c r="K1045" s="9" t="n">
        <v>38214</v>
      </c>
      <c r="L1045" s="10" t="n">
        <v>145000</v>
      </c>
      <c r="M1045" s="10" t="n">
        <v>2118.64</v>
      </c>
      <c r="N1045" s="11">
        <f>IF(M1045="","",ROUND(M1045*1.18,2))</f>
        <v/>
      </c>
      <c r="O1045" s="12">
        <f>IF(M1045="","",ROUND(N1045-M1045,2))</f>
        <v/>
      </c>
      <c r="P1045" s="13">
        <f>IF(AND(A1045&lt;&gt;"",B1045&lt;&gt;""), A1045&amp;" · "&amp;B1045, "")</f>
        <v/>
      </c>
    </row>
    <row r="1046">
      <c r="A1046" s="6" t="inlineStr">
        <is>
          <t>FY26</t>
        </is>
      </c>
      <c r="B1046" s="6" t="inlineStr">
        <is>
          <t>Mar</t>
        </is>
      </c>
      <c r="C1046" s="6" t="inlineStr">
        <is>
          <t>TN</t>
        </is>
      </c>
      <c r="D1046" s="7" t="inlineStr">
        <is>
          <t>TN02AQ4041</t>
        </is>
      </c>
      <c r="E1046" s="7" t="inlineStr">
        <is>
          <t>TOYOTA</t>
        </is>
      </c>
      <c r="F1046" s="7" t="inlineStr">
        <is>
          <t>Innova</t>
        </is>
      </c>
      <c r="G1046" s="7" t="inlineStr">
        <is>
          <t>KHIVRAJ MOTOR</t>
        </is>
      </c>
      <c r="H1046" s="7" t="inlineStr">
        <is>
          <t>Non-Captive</t>
        </is>
      </c>
      <c r="I1046" s="7" t="inlineStr">
        <is>
          <t>RAJESH WARI (RAM CARS</t>
        </is>
      </c>
      <c r="J1046" s="8" t="n">
        <v>2011</v>
      </c>
      <c r="K1046" s="9" t="n">
        <v>156582</v>
      </c>
      <c r="L1046" s="10" t="n">
        <v>600000</v>
      </c>
      <c r="M1046" s="10" t="n">
        <v>2118.64</v>
      </c>
      <c r="N1046" s="11">
        <f>IF(M1046="","",ROUND(M1046*1.18,2))</f>
        <v/>
      </c>
      <c r="O1046" s="12">
        <f>IF(M1046="","",ROUND(N1046-M1046,2))</f>
        <v/>
      </c>
      <c r="P1046" s="13">
        <f>IF(AND(A1046&lt;&gt;"",B1046&lt;&gt;""), A1046&amp;" · "&amp;B1046, "")</f>
        <v/>
      </c>
    </row>
    <row r="1047">
      <c r="A1047" s="6" t="inlineStr">
        <is>
          <t>FY26</t>
        </is>
      </c>
      <c r="B1047" s="6" t="inlineStr">
        <is>
          <t>Mar</t>
        </is>
      </c>
      <c r="C1047" s="6" t="inlineStr">
        <is>
          <t>TN</t>
        </is>
      </c>
      <c r="D1047" s="7" t="inlineStr">
        <is>
          <t>TN02AR1599</t>
        </is>
      </c>
      <c r="E1047" s="7" t="inlineStr">
        <is>
          <t>MARUTI SUZUKI</t>
        </is>
      </c>
      <c r="F1047" s="7" t="inlineStr">
        <is>
          <t>Alto K10</t>
        </is>
      </c>
      <c r="G1047" s="7" t="inlineStr">
        <is>
          <t>KHIVRAJ MOTOR</t>
        </is>
      </c>
      <c r="H1047" s="7" t="inlineStr">
        <is>
          <t>Non-Captive</t>
        </is>
      </c>
      <c r="I1047" s="7" t="inlineStr">
        <is>
          <t>33 Cars</t>
        </is>
      </c>
      <c r="J1047" s="8" t="n">
        <v>2011</v>
      </c>
      <c r="K1047" s="9" t="n">
        <v>73241</v>
      </c>
      <c r="L1047" s="10" t="n">
        <v>114000</v>
      </c>
      <c r="M1047" s="10" t="n">
        <v>5084.75</v>
      </c>
      <c r="N1047" s="11">
        <f>IF(M1047="","",ROUND(M1047*1.18,2))</f>
        <v/>
      </c>
      <c r="O1047" s="12">
        <f>IF(M1047="","",ROUND(N1047-M1047,2))</f>
        <v/>
      </c>
      <c r="P1047" s="13">
        <f>IF(AND(A1047&lt;&gt;"",B1047&lt;&gt;""), A1047&amp;" · "&amp;B1047, "")</f>
        <v/>
      </c>
    </row>
    <row r="1048">
      <c r="A1048" s="6" t="inlineStr">
        <is>
          <t>FY26</t>
        </is>
      </c>
      <c r="B1048" s="6" t="inlineStr">
        <is>
          <t>Mar</t>
        </is>
      </c>
      <c r="C1048" s="6" t="inlineStr">
        <is>
          <t>TN</t>
        </is>
      </c>
      <c r="D1048" s="7" t="inlineStr">
        <is>
          <t>TN02AR7256</t>
        </is>
      </c>
      <c r="E1048" s="7" t="inlineStr">
        <is>
          <t>FORD</t>
        </is>
      </c>
      <c r="F1048" s="7" t="inlineStr">
        <is>
          <t>Fiesta</t>
        </is>
      </c>
      <c r="G1048" s="7" t="inlineStr">
        <is>
          <t>STEER AUTO TECHNOLOGIES PRIVATE LIMITED</t>
        </is>
      </c>
      <c r="H1048" s="7" t="inlineStr">
        <is>
          <t>Non-Captive</t>
        </is>
      </c>
      <c r="I1048" s="7" t="inlineStr">
        <is>
          <t>Pine Autos</t>
        </is>
      </c>
      <c r="J1048" s="8" t="n">
        <v>2011</v>
      </c>
      <c r="K1048" s="9" t="n">
        <v>84145</v>
      </c>
      <c r="L1048" s="10" t="n">
        <v>80000</v>
      </c>
      <c r="M1048" s="10" t="n">
        <v>3389.83</v>
      </c>
      <c r="N1048" s="11">
        <f>IF(M1048="","",ROUND(M1048*1.18,2))</f>
        <v/>
      </c>
      <c r="O1048" s="12">
        <f>IF(M1048="","",ROUND(N1048-M1048,2))</f>
        <v/>
      </c>
      <c r="P1048" s="13">
        <f>IF(AND(A1048&lt;&gt;"",B1048&lt;&gt;""), A1048&amp;" · "&amp;B1048, "")</f>
        <v/>
      </c>
    </row>
    <row r="1049">
      <c r="A1049" s="6" t="inlineStr">
        <is>
          <t>FY26</t>
        </is>
      </c>
      <c r="B1049" s="6" t="inlineStr">
        <is>
          <t>Mar</t>
        </is>
      </c>
      <c r="C1049" s="6" t="inlineStr">
        <is>
          <t>TN</t>
        </is>
      </c>
      <c r="D1049" s="7" t="inlineStr">
        <is>
          <t>TN02AU7056</t>
        </is>
      </c>
      <c r="E1049" s="7" t="inlineStr">
        <is>
          <t>VOLKSWAGEN</t>
        </is>
      </c>
      <c r="F1049" s="7" t="inlineStr">
        <is>
          <t>Vento</t>
        </is>
      </c>
      <c r="G1049" s="7" t="inlineStr">
        <is>
          <t>KHIVRAJ MOTOR</t>
        </is>
      </c>
      <c r="H1049" s="7" t="inlineStr">
        <is>
          <t>Non-Captive</t>
        </is>
      </c>
      <c r="I1049" s="7" t="inlineStr">
        <is>
          <t>AS Cars Gopi</t>
        </is>
      </c>
      <c r="J1049" s="8" t="n">
        <v>2012</v>
      </c>
      <c r="K1049" s="9" t="n">
        <v>77930</v>
      </c>
      <c r="L1049" s="10" t="n">
        <v>185000</v>
      </c>
      <c r="M1049" s="10" t="n">
        <v>5084.75</v>
      </c>
      <c r="N1049" s="11">
        <f>IF(M1049="","",ROUND(M1049*1.18,2))</f>
        <v/>
      </c>
      <c r="O1049" s="12">
        <f>IF(M1049="","",ROUND(N1049-M1049,2))</f>
        <v/>
      </c>
      <c r="P1049" s="13">
        <f>IF(AND(A1049&lt;&gt;"",B1049&lt;&gt;""), A1049&amp;" · "&amp;B1049, "")</f>
        <v/>
      </c>
    </row>
    <row r="1050">
      <c r="A1050" s="6" t="inlineStr">
        <is>
          <t>FY26</t>
        </is>
      </c>
      <c r="B1050" s="6" t="inlineStr">
        <is>
          <t>Mar</t>
        </is>
      </c>
      <c r="C1050" s="6" t="inlineStr">
        <is>
          <t>TN</t>
        </is>
      </c>
      <c r="D1050" s="7" t="inlineStr">
        <is>
          <t>TN02AV8493</t>
        </is>
      </c>
      <c r="E1050" s="7" t="inlineStr">
        <is>
          <t>MARUTI SUZUKI</t>
        </is>
      </c>
      <c r="F1050" s="7" t="inlineStr">
        <is>
          <t>Swift</t>
        </is>
      </c>
      <c r="G1050" s="7" t="inlineStr">
        <is>
          <t>SANTHOSH CARS</t>
        </is>
      </c>
      <c r="H1050" s="7" t="inlineStr">
        <is>
          <t>Non-Captive</t>
        </is>
      </c>
      <c r="I1050" s="7" t="inlineStr">
        <is>
          <t>Thiya Cars</t>
        </is>
      </c>
      <c r="J1050" s="8" t="n">
        <v>2012</v>
      </c>
      <c r="K1050" s="9" t="n">
        <v>55287</v>
      </c>
      <c r="L1050" s="10" t="n">
        <v>250000</v>
      </c>
      <c r="M1050" s="10" t="n">
        <v>5932.2</v>
      </c>
      <c r="N1050" s="11">
        <f>IF(M1050="","",ROUND(M1050*1.18,2))</f>
        <v/>
      </c>
      <c r="O1050" s="12">
        <f>IF(M1050="","",ROUND(N1050-M1050,2))</f>
        <v/>
      </c>
      <c r="P1050" s="13">
        <f>IF(AND(A1050&lt;&gt;"",B1050&lt;&gt;""), A1050&amp;" · "&amp;B1050, "")</f>
        <v/>
      </c>
    </row>
    <row r="1051">
      <c r="A1051" s="6" t="inlineStr">
        <is>
          <t>FY26</t>
        </is>
      </c>
      <c r="B1051" s="6" t="inlineStr">
        <is>
          <t>Mar</t>
        </is>
      </c>
      <c r="C1051" s="6" t="inlineStr">
        <is>
          <t>TN</t>
        </is>
      </c>
      <c r="D1051" s="7" t="inlineStr">
        <is>
          <t>TN02AW6242</t>
        </is>
      </c>
      <c r="E1051" s="7" t="inlineStr">
        <is>
          <t>MARUTI SUZUKI</t>
        </is>
      </c>
      <c r="F1051" s="7" t="inlineStr">
        <is>
          <t>Alto</t>
        </is>
      </c>
      <c r="G1051" s="7" t="inlineStr">
        <is>
          <t>EXCHANGE ROTN</t>
        </is>
      </c>
      <c r="H1051" s="7" t="inlineStr">
        <is>
          <t>Captive</t>
        </is>
      </c>
      <c r="I1051" s="7" t="inlineStr">
        <is>
          <t>Geethanjali cars</t>
        </is>
      </c>
      <c r="J1051" s="8" t="n">
        <v>2013</v>
      </c>
      <c r="K1051" s="9" t="n">
        <v>27587</v>
      </c>
      <c r="L1051" s="10" t="n">
        <v>130000</v>
      </c>
      <c r="M1051" s="10" t="n">
        <v>8474.58</v>
      </c>
      <c r="N1051" s="11">
        <f>IF(M1051="","",ROUND(M1051*1.18,2))</f>
        <v/>
      </c>
      <c r="O1051" s="12">
        <f>IF(M1051="","",ROUND(N1051-M1051,2))</f>
        <v/>
      </c>
      <c r="P1051" s="13">
        <f>IF(AND(A1051&lt;&gt;"",B1051&lt;&gt;""), A1051&amp;" · "&amp;B1051, "")</f>
        <v/>
      </c>
    </row>
    <row r="1052">
      <c r="A1052" s="6" t="inlineStr">
        <is>
          <t>FY26</t>
        </is>
      </c>
      <c r="B1052" s="6" t="inlineStr">
        <is>
          <t>Mar</t>
        </is>
      </c>
      <c r="C1052" s="6" t="inlineStr">
        <is>
          <t>TN</t>
        </is>
      </c>
      <c r="D1052" s="7" t="inlineStr">
        <is>
          <t>TN02AX0756</t>
        </is>
      </c>
      <c r="E1052" s="7" t="inlineStr">
        <is>
          <t>TOYOTA</t>
        </is>
      </c>
      <c r="F1052" s="7" t="inlineStr">
        <is>
          <t>Etios</t>
        </is>
      </c>
      <c r="G1052" s="7" t="inlineStr">
        <is>
          <t>CARS INDIA</t>
        </is>
      </c>
      <c r="H1052" s="7" t="inlineStr">
        <is>
          <t>Non-Captive</t>
        </is>
      </c>
      <c r="I1052" s="7" t="inlineStr">
        <is>
          <t>Pine Autos</t>
        </is>
      </c>
      <c r="J1052" s="8" t="n">
        <v>2013</v>
      </c>
      <c r="K1052" s="9" t="n">
        <v>93454</v>
      </c>
      <c r="L1052" s="10" t="n">
        <v>200000</v>
      </c>
      <c r="M1052" s="10" t="n">
        <v>3389.83</v>
      </c>
      <c r="N1052" s="11">
        <f>IF(M1052="","",ROUND(M1052*1.18,2))</f>
        <v/>
      </c>
      <c r="O1052" s="12">
        <f>IF(M1052="","",ROUND(N1052-M1052,2))</f>
        <v/>
      </c>
      <c r="P1052" s="13">
        <f>IF(AND(A1052&lt;&gt;"",B1052&lt;&gt;""), A1052&amp;" · "&amp;B1052, "")</f>
        <v/>
      </c>
    </row>
    <row r="1053">
      <c r="A1053" s="6" t="inlineStr">
        <is>
          <t>FY26</t>
        </is>
      </c>
      <c r="B1053" s="6" t="inlineStr">
        <is>
          <t>Mar</t>
        </is>
      </c>
      <c r="C1053" s="6" t="inlineStr">
        <is>
          <t>TN</t>
        </is>
      </c>
      <c r="D1053" s="7" t="inlineStr">
        <is>
          <t>TN02BA8382</t>
        </is>
      </c>
      <c r="E1053" s="7" t="inlineStr">
        <is>
          <t>HONDA</t>
        </is>
      </c>
      <c r="F1053" s="7" t="inlineStr">
        <is>
          <t>City</t>
        </is>
      </c>
      <c r="G1053" s="7" t="inlineStr">
        <is>
          <t>KHIVRAJ MOTOR</t>
        </is>
      </c>
      <c r="H1053" s="7" t="inlineStr">
        <is>
          <t>Non-Captive</t>
        </is>
      </c>
      <c r="I1053" s="7" t="inlineStr">
        <is>
          <t>Aasim Motors</t>
        </is>
      </c>
      <c r="J1053" s="8" t="n">
        <v>2014</v>
      </c>
      <c r="K1053" s="9" t="n">
        <v>74481</v>
      </c>
      <c r="L1053" s="10" t="n">
        <v>333000</v>
      </c>
      <c r="M1053" s="10" t="n">
        <v>5084.75</v>
      </c>
      <c r="N1053" s="11">
        <f>IF(M1053="","",ROUND(M1053*1.18,2))</f>
        <v/>
      </c>
      <c r="O1053" s="12">
        <f>IF(M1053="","",ROUND(N1053-M1053,2))</f>
        <v/>
      </c>
      <c r="P1053" s="13">
        <f>IF(AND(A1053&lt;&gt;"",B1053&lt;&gt;""), A1053&amp;" · "&amp;B1053, "")</f>
        <v/>
      </c>
    </row>
    <row r="1054">
      <c r="A1054" s="6" t="inlineStr">
        <is>
          <t>FY26</t>
        </is>
      </c>
      <c r="B1054" s="6" t="inlineStr">
        <is>
          <t>Mar</t>
        </is>
      </c>
      <c r="C1054" s="6" t="inlineStr">
        <is>
          <t>TN</t>
        </is>
      </c>
      <c r="D1054" s="7" t="inlineStr">
        <is>
          <t>TN02BB2503</t>
        </is>
      </c>
      <c r="E1054" s="7" t="inlineStr">
        <is>
          <t>MARUTI SUZUKI</t>
        </is>
      </c>
      <c r="F1054" s="7" t="inlineStr">
        <is>
          <t>Ciaz</t>
        </is>
      </c>
      <c r="G1054" s="7" t="inlineStr">
        <is>
          <t>EXCHANGE CHENNAI</t>
        </is>
      </c>
      <c r="H1054" s="7" t="inlineStr">
        <is>
          <t>Captive</t>
        </is>
      </c>
      <c r="I1054" s="7" t="inlineStr">
        <is>
          <t>Nirmal Cars</t>
        </is>
      </c>
      <c r="J1054" s="8" t="n">
        <v>2015</v>
      </c>
      <c r="K1054" s="9" t="n">
        <v>40752</v>
      </c>
      <c r="L1054" s="10" t="n">
        <v>375000</v>
      </c>
      <c r="M1054" s="10" t="n">
        <v>8474.58</v>
      </c>
      <c r="N1054" s="11">
        <f>IF(M1054="","",ROUND(M1054*1.18,2))</f>
        <v/>
      </c>
      <c r="O1054" s="12">
        <f>IF(M1054="","",ROUND(N1054-M1054,2))</f>
        <v/>
      </c>
      <c r="P1054" s="13">
        <f>IF(AND(A1054&lt;&gt;"",B1054&lt;&gt;""), A1054&amp;" · "&amp;B1054, "")</f>
        <v/>
      </c>
    </row>
    <row r="1055">
      <c r="A1055" s="6" t="inlineStr">
        <is>
          <t>FY26</t>
        </is>
      </c>
      <c r="B1055" s="6" t="inlineStr">
        <is>
          <t>Mar</t>
        </is>
      </c>
      <c r="C1055" s="6" t="inlineStr">
        <is>
          <t>TN</t>
        </is>
      </c>
      <c r="D1055" s="7" t="inlineStr">
        <is>
          <t>TN02BC6194</t>
        </is>
      </c>
      <c r="E1055" s="7" t="inlineStr">
        <is>
          <t>MARUTI SUZUKI</t>
        </is>
      </c>
      <c r="F1055" s="7" t="inlineStr">
        <is>
          <t>Ciaz</t>
        </is>
      </c>
      <c r="G1055" s="7" t="inlineStr">
        <is>
          <t>KHIVRAJ MOTOR</t>
        </is>
      </c>
      <c r="H1055" s="7" t="inlineStr">
        <is>
          <t>Non-Captive</t>
        </is>
      </c>
      <c r="I1055" s="7" t="inlineStr">
        <is>
          <t>Nirmal Cars</t>
        </is>
      </c>
      <c r="J1055" s="8" t="n">
        <v>2015</v>
      </c>
      <c r="K1055" s="9" t="n">
        <v>102000</v>
      </c>
      <c r="L1055" s="10" t="n">
        <v>350000</v>
      </c>
      <c r="M1055" s="10" t="n">
        <v>2118.64</v>
      </c>
      <c r="N1055" s="11">
        <f>IF(M1055="","",ROUND(M1055*1.18,2))</f>
        <v/>
      </c>
      <c r="O1055" s="12">
        <f>IF(M1055="","",ROUND(N1055-M1055,2))</f>
        <v/>
      </c>
      <c r="P1055" s="13">
        <f>IF(AND(A1055&lt;&gt;"",B1055&lt;&gt;""), A1055&amp;" · "&amp;B1055, "")</f>
        <v/>
      </c>
    </row>
    <row r="1056">
      <c r="A1056" s="6" t="inlineStr">
        <is>
          <t>FY26</t>
        </is>
      </c>
      <c r="B1056" s="6" t="inlineStr">
        <is>
          <t>Mar</t>
        </is>
      </c>
      <c r="C1056" s="6" t="inlineStr">
        <is>
          <t>TN</t>
        </is>
      </c>
      <c r="D1056" s="7" t="inlineStr">
        <is>
          <t>TN02BD5299</t>
        </is>
      </c>
      <c r="E1056" s="7" t="inlineStr">
        <is>
          <t>HYUNDAI</t>
        </is>
      </c>
      <c r="F1056" s="7" t="inlineStr">
        <is>
          <t>Eon</t>
        </is>
      </c>
      <c r="G1056" s="7" t="inlineStr">
        <is>
          <t>EXCHANGE CHENNAI</t>
        </is>
      </c>
      <c r="H1056" s="7" t="inlineStr">
        <is>
          <t>Captive</t>
        </is>
      </c>
      <c r="I1056" s="7" t="inlineStr">
        <is>
          <t>Santhosh Cars</t>
        </is>
      </c>
      <c r="J1056" s="8" t="n">
        <v>2015</v>
      </c>
      <c r="K1056" s="9" t="n">
        <v>55799</v>
      </c>
      <c r="L1056" s="10" t="n">
        <v>200000</v>
      </c>
      <c r="M1056" s="10" t="n">
        <v>4237.29</v>
      </c>
      <c r="N1056" s="11">
        <f>IF(M1056="","",ROUND(M1056*1.18,2))</f>
        <v/>
      </c>
      <c r="O1056" s="12">
        <f>IF(M1056="","",ROUND(N1056-M1056,2))</f>
        <v/>
      </c>
      <c r="P1056" s="13">
        <f>IF(AND(A1056&lt;&gt;"",B1056&lt;&gt;""), A1056&amp;" · "&amp;B1056, "")</f>
        <v/>
      </c>
    </row>
    <row r="1057">
      <c r="A1057" s="6" t="inlineStr">
        <is>
          <t>FY26</t>
        </is>
      </c>
      <c r="B1057" s="6" t="inlineStr">
        <is>
          <t>Mar</t>
        </is>
      </c>
      <c r="C1057" s="6" t="inlineStr">
        <is>
          <t>TN</t>
        </is>
      </c>
      <c r="D1057" s="7" t="inlineStr">
        <is>
          <t>TN02BF6507</t>
        </is>
      </c>
      <c r="E1057" s="7" t="inlineStr">
        <is>
          <t>MARUTI SUZUKI</t>
        </is>
      </c>
      <c r="F1057" s="7" t="inlineStr">
        <is>
          <t>Celerio</t>
        </is>
      </c>
      <c r="G1057" s="7" t="inlineStr">
        <is>
          <t>POPULAR VEHICLES</t>
        </is>
      </c>
      <c r="H1057" s="7" t="inlineStr">
        <is>
          <t>Non-Captive</t>
        </is>
      </c>
      <c r="I1057" s="7" t="inlineStr">
        <is>
          <t>Aasim Motors</t>
        </is>
      </c>
      <c r="J1057" s="8" t="n">
        <v>2016</v>
      </c>
      <c r="K1057" s="9" t="n">
        <v>73503</v>
      </c>
      <c r="L1057" s="10" t="n">
        <v>250000</v>
      </c>
      <c r="M1057" s="10" t="n">
        <v>4237.29</v>
      </c>
      <c r="N1057" s="11">
        <f>IF(M1057="","",ROUND(M1057*1.18,2))</f>
        <v/>
      </c>
      <c r="O1057" s="12">
        <f>IF(M1057="","",ROUND(N1057-M1057,2))</f>
        <v/>
      </c>
      <c r="P1057" s="13">
        <f>IF(AND(A1057&lt;&gt;"",B1057&lt;&gt;""), A1057&amp;" · "&amp;B1057, "")</f>
        <v/>
      </c>
    </row>
    <row r="1058">
      <c r="A1058" s="6" t="inlineStr">
        <is>
          <t>FY26</t>
        </is>
      </c>
      <c r="B1058" s="6" t="inlineStr">
        <is>
          <t>Mar</t>
        </is>
      </c>
      <c r="C1058" s="6" t="inlineStr">
        <is>
          <t>TN</t>
        </is>
      </c>
      <c r="D1058" s="7" t="inlineStr">
        <is>
          <t>TN02BF9613</t>
        </is>
      </c>
      <c r="E1058" s="7" t="inlineStr">
        <is>
          <t>MARUTI SUZUKI</t>
        </is>
      </c>
      <c r="F1058" s="7" t="inlineStr">
        <is>
          <t>Wagon R</t>
        </is>
      </c>
      <c r="G1058" s="7" t="inlineStr">
        <is>
          <t>KHIVRAJ MOTOR</t>
        </is>
      </c>
      <c r="H1058" s="7" t="inlineStr">
        <is>
          <t>Non-Captive</t>
        </is>
      </c>
      <c r="I1058" s="7" t="inlineStr">
        <is>
          <t>AS Cars Gopi</t>
        </is>
      </c>
      <c r="J1058" s="8" t="n">
        <v>2016</v>
      </c>
      <c r="K1058" s="9" t="n">
        <v>136069</v>
      </c>
      <c r="L1058" s="10" t="n">
        <v>219000</v>
      </c>
      <c r="M1058" s="10" t="n">
        <v>5084.75</v>
      </c>
      <c r="N1058" s="11">
        <f>IF(M1058="","",ROUND(M1058*1.18,2))</f>
        <v/>
      </c>
      <c r="O1058" s="12">
        <f>IF(M1058="","",ROUND(N1058-M1058,2))</f>
        <v/>
      </c>
      <c r="P1058" s="13">
        <f>IF(AND(A1058&lt;&gt;"",B1058&lt;&gt;""), A1058&amp;" · "&amp;B1058, "")</f>
        <v/>
      </c>
    </row>
    <row r="1059">
      <c r="A1059" s="6" t="inlineStr">
        <is>
          <t>FY26</t>
        </is>
      </c>
      <c r="B1059" s="6" t="inlineStr">
        <is>
          <t>Mar</t>
        </is>
      </c>
      <c r="C1059" s="6" t="inlineStr">
        <is>
          <t>TN</t>
        </is>
      </c>
      <c r="D1059" s="7" t="inlineStr">
        <is>
          <t>TN02BH6411</t>
        </is>
      </c>
      <c r="E1059" s="7" t="inlineStr">
        <is>
          <t>MARUTI SUZUKI</t>
        </is>
      </c>
      <c r="F1059" s="7" t="inlineStr">
        <is>
          <t>Dzire</t>
        </is>
      </c>
      <c r="G1059" s="7" t="inlineStr">
        <is>
          <t>KHIVRAJ MOTOR</t>
        </is>
      </c>
      <c r="H1059" s="7" t="inlineStr">
        <is>
          <t>Non-Captive</t>
        </is>
      </c>
      <c r="I1059" s="7" t="inlineStr">
        <is>
          <t>Sri Shakthi Vinayaga Cars</t>
        </is>
      </c>
      <c r="J1059" s="8" t="n">
        <v>2017</v>
      </c>
      <c r="K1059" s="9" t="n">
        <v>112720</v>
      </c>
      <c r="L1059" s="10" t="n">
        <v>375000</v>
      </c>
      <c r="M1059" s="10" t="n">
        <v>2118.64</v>
      </c>
      <c r="N1059" s="11">
        <f>IF(M1059="","",ROUND(M1059*1.18,2))</f>
        <v/>
      </c>
      <c r="O1059" s="12">
        <f>IF(M1059="","",ROUND(N1059-M1059,2))</f>
        <v/>
      </c>
      <c r="P1059" s="13">
        <f>IF(AND(A1059&lt;&gt;"",B1059&lt;&gt;""), A1059&amp;" · "&amp;B1059, "")</f>
        <v/>
      </c>
    </row>
    <row r="1060">
      <c r="A1060" s="6" t="inlineStr">
        <is>
          <t>FY26</t>
        </is>
      </c>
      <c r="B1060" s="6" t="inlineStr">
        <is>
          <t>Mar</t>
        </is>
      </c>
      <c r="C1060" s="6" t="inlineStr">
        <is>
          <t>TN</t>
        </is>
      </c>
      <c r="D1060" s="7" t="inlineStr">
        <is>
          <t>TN02BJ2223</t>
        </is>
      </c>
      <c r="E1060" s="7" t="inlineStr">
        <is>
          <t>MARUTI SUZUKI</t>
        </is>
      </c>
      <c r="F1060" s="7" t="inlineStr">
        <is>
          <t>Baleno</t>
        </is>
      </c>
      <c r="G1060" s="7" t="inlineStr">
        <is>
          <t>KALYANI MOTORS MARUTI</t>
        </is>
      </c>
      <c r="H1060" s="7" t="inlineStr">
        <is>
          <t>Non-Captive</t>
        </is>
      </c>
      <c r="I1060" s="7" t="inlineStr">
        <is>
          <t>Nirmal Cars</t>
        </is>
      </c>
      <c r="J1060" s="8" t="n">
        <v>2017</v>
      </c>
      <c r="K1060" s="9" t="n">
        <v>58162</v>
      </c>
      <c r="L1060" s="10" t="n">
        <v>400000</v>
      </c>
      <c r="M1060" s="10" t="n">
        <v>4237.29</v>
      </c>
      <c r="N1060" s="11">
        <f>IF(M1060="","",ROUND(M1060*1.18,2))</f>
        <v/>
      </c>
      <c r="O1060" s="12">
        <f>IF(M1060="","",ROUND(N1060-M1060,2))</f>
        <v/>
      </c>
      <c r="P1060" s="13">
        <f>IF(AND(A1060&lt;&gt;"",B1060&lt;&gt;""), A1060&amp;" · "&amp;B1060, "")</f>
        <v/>
      </c>
    </row>
    <row r="1061">
      <c r="A1061" s="6" t="inlineStr">
        <is>
          <t>FY26</t>
        </is>
      </c>
      <c r="B1061" s="6" t="inlineStr">
        <is>
          <t>Mar</t>
        </is>
      </c>
      <c r="C1061" s="6" t="inlineStr">
        <is>
          <t>TN</t>
        </is>
      </c>
      <c r="D1061" s="7" t="inlineStr">
        <is>
          <t>TN02BJ5738</t>
        </is>
      </c>
      <c r="E1061" s="7" t="inlineStr">
        <is>
          <t>MARUTI SUZUKI</t>
        </is>
      </c>
      <c r="F1061" s="7" t="inlineStr">
        <is>
          <t>Ignis</t>
        </is>
      </c>
      <c r="G1061" s="7" t="inlineStr">
        <is>
          <t>KHIVRAJ MOTOR</t>
        </is>
      </c>
      <c r="H1061" s="7" t="inlineStr">
        <is>
          <t>Non-Captive</t>
        </is>
      </c>
      <c r="I1061" s="7" t="inlineStr">
        <is>
          <t>AS Cars Gopi</t>
        </is>
      </c>
      <c r="J1061" s="8" t="n">
        <v>2017</v>
      </c>
      <c r="K1061" s="9" t="n">
        <v>39160</v>
      </c>
      <c r="L1061" s="10" t="n">
        <v>340000</v>
      </c>
      <c r="M1061" s="10" t="n">
        <v>2118.64</v>
      </c>
      <c r="N1061" s="11">
        <f>IF(M1061="","",ROUND(M1061*1.18,2))</f>
        <v/>
      </c>
      <c r="O1061" s="12">
        <f>IF(M1061="","",ROUND(N1061-M1061,2))</f>
        <v/>
      </c>
      <c r="P1061" s="13">
        <f>IF(AND(A1061&lt;&gt;"",B1061&lt;&gt;""), A1061&amp;" · "&amp;B1061, "")</f>
        <v/>
      </c>
    </row>
    <row r="1062">
      <c r="A1062" s="6" t="inlineStr">
        <is>
          <t>FY26</t>
        </is>
      </c>
      <c r="B1062" s="6" t="inlineStr">
        <is>
          <t>Mar</t>
        </is>
      </c>
      <c r="C1062" s="6" t="inlineStr">
        <is>
          <t>TN</t>
        </is>
      </c>
      <c r="D1062" s="7" t="inlineStr">
        <is>
          <t>TN02BP1251</t>
        </is>
      </c>
      <c r="E1062" s="7" t="inlineStr">
        <is>
          <t>HONDA</t>
        </is>
      </c>
      <c r="F1062" s="7" t="inlineStr">
        <is>
          <t>WR-V</t>
        </is>
      </c>
      <c r="G1062" s="7" t="inlineStr">
        <is>
          <t>VISHNU CARS PRIVATE LIMITED</t>
        </is>
      </c>
      <c r="H1062" s="7" t="inlineStr">
        <is>
          <t>Non-Captive</t>
        </is>
      </c>
      <c r="I1062" s="7" t="inlineStr">
        <is>
          <t>Santhosh Cars</t>
        </is>
      </c>
      <c r="J1062" s="8" t="n">
        <v>2018</v>
      </c>
      <c r="K1062" s="9" t="n">
        <v>47279</v>
      </c>
      <c r="L1062" s="10" t="n">
        <v>300000</v>
      </c>
      <c r="M1062" s="10" t="n">
        <v>2118.64</v>
      </c>
      <c r="N1062" s="11">
        <f>IF(M1062="","",ROUND(M1062*1.18,2))</f>
        <v/>
      </c>
      <c r="O1062" s="12">
        <f>IF(M1062="","",ROUND(N1062-M1062,2))</f>
        <v/>
      </c>
      <c r="P1062" s="13">
        <f>IF(AND(A1062&lt;&gt;"",B1062&lt;&gt;""), A1062&amp;" · "&amp;B1062, "")</f>
        <v/>
      </c>
    </row>
    <row r="1063">
      <c r="A1063" s="6" t="inlineStr">
        <is>
          <t>FY26</t>
        </is>
      </c>
      <c r="B1063" s="6" t="inlineStr">
        <is>
          <t>Mar</t>
        </is>
      </c>
      <c r="C1063" s="6" t="inlineStr">
        <is>
          <t>TN</t>
        </is>
      </c>
      <c r="D1063" s="7" t="inlineStr">
        <is>
          <t>TN02BQ9436</t>
        </is>
      </c>
      <c r="E1063" s="7" t="inlineStr">
        <is>
          <t>HYUNDAI</t>
        </is>
      </c>
      <c r="F1063" s="7" t="inlineStr">
        <is>
          <t>Grand i10</t>
        </is>
      </c>
      <c r="G1063" s="7" t="inlineStr">
        <is>
          <t>KHIVRAJ MOTOR</t>
        </is>
      </c>
      <c r="H1063" s="7" t="inlineStr">
        <is>
          <t>Non-Captive</t>
        </is>
      </c>
      <c r="I1063" s="7" t="inlineStr">
        <is>
          <t>Santhosh Cars</t>
        </is>
      </c>
      <c r="J1063" s="8" t="n">
        <v>2019</v>
      </c>
      <c r="K1063" s="9" t="n">
        <v>45059</v>
      </c>
      <c r="L1063" s="10" t="n">
        <v>350000</v>
      </c>
      <c r="M1063" s="10" t="n">
        <v>2118.64</v>
      </c>
      <c r="N1063" s="11">
        <f>IF(M1063="","",ROUND(M1063*1.18,2))</f>
        <v/>
      </c>
      <c r="O1063" s="12">
        <f>IF(M1063="","",ROUND(N1063-M1063,2))</f>
        <v/>
      </c>
      <c r="P1063" s="13">
        <f>IF(AND(A1063&lt;&gt;"",B1063&lt;&gt;""), A1063&amp;" · "&amp;B1063, "")</f>
        <v/>
      </c>
    </row>
    <row r="1064">
      <c r="A1064" s="6" t="inlineStr">
        <is>
          <t>FY26</t>
        </is>
      </c>
      <c r="B1064" s="6" t="inlineStr">
        <is>
          <t>Mar</t>
        </is>
      </c>
      <c r="C1064" s="6" t="inlineStr">
        <is>
          <t>TN</t>
        </is>
      </c>
      <c r="D1064" s="7" t="inlineStr">
        <is>
          <t>TN02BR3522</t>
        </is>
      </c>
      <c r="E1064" s="7" t="inlineStr">
        <is>
          <t>MARUTI SUZUKI</t>
        </is>
      </c>
      <c r="F1064" s="7" t="inlineStr">
        <is>
          <t>Swift</t>
        </is>
      </c>
      <c r="G1064" s="7" t="inlineStr">
        <is>
          <t>KHIVRAJ MOTOR</t>
        </is>
      </c>
      <c r="H1064" s="7" t="inlineStr">
        <is>
          <t>Non-Captive</t>
        </is>
      </c>
      <c r="I1064" s="7" t="inlineStr">
        <is>
          <t>Santhosh Cars</t>
        </is>
      </c>
      <c r="J1064" s="8" t="n">
        <v>2019</v>
      </c>
      <c r="K1064" s="9" t="n">
        <v>73359</v>
      </c>
      <c r="L1064" s="10" t="n">
        <v>475000</v>
      </c>
      <c r="M1064" s="10" t="n">
        <v>2118.64</v>
      </c>
      <c r="N1064" s="11">
        <f>IF(M1064="","",ROUND(M1064*1.18,2))</f>
        <v/>
      </c>
      <c r="O1064" s="12">
        <f>IF(M1064="","",ROUND(N1064-M1064,2))</f>
        <v/>
      </c>
      <c r="P1064" s="13">
        <f>IF(AND(A1064&lt;&gt;"",B1064&lt;&gt;""), A1064&amp;" · "&amp;B1064, "")</f>
        <v/>
      </c>
    </row>
    <row r="1065">
      <c r="A1065" s="6" t="inlineStr">
        <is>
          <t>FY26</t>
        </is>
      </c>
      <c r="B1065" s="6" t="inlineStr">
        <is>
          <t>Mar</t>
        </is>
      </c>
      <c r="C1065" s="6" t="inlineStr">
        <is>
          <t>TN</t>
        </is>
      </c>
      <c r="D1065" s="7" t="inlineStr">
        <is>
          <t>TN02BR9331</t>
        </is>
      </c>
      <c r="E1065" s="7" t="inlineStr">
        <is>
          <t>VOLKSWAGEN</t>
        </is>
      </c>
      <c r="F1065" s="7" t="inlineStr">
        <is>
          <t>Vento</t>
        </is>
      </c>
      <c r="G1065" s="7" t="inlineStr">
        <is>
          <t>STEER AUTO TECHNOLOGIES PRIVATE LIMITED</t>
        </is>
      </c>
      <c r="H1065" s="7" t="inlineStr">
        <is>
          <t>Non-Captive</t>
        </is>
      </c>
      <c r="I1065" s="7" t="inlineStr">
        <is>
          <t>Pine Autos</t>
        </is>
      </c>
      <c r="J1065" s="8" t="n">
        <v>2019</v>
      </c>
      <c r="K1065" s="9" t="n">
        <v>108684</v>
      </c>
      <c r="L1065" s="10" t="n">
        <v>380000</v>
      </c>
      <c r="M1065" s="10" t="n">
        <v>3389.83</v>
      </c>
      <c r="N1065" s="11">
        <f>IF(M1065="","",ROUND(M1065*1.18,2))</f>
        <v/>
      </c>
      <c r="O1065" s="12">
        <f>IF(M1065="","",ROUND(N1065-M1065,2))</f>
        <v/>
      </c>
      <c r="P1065" s="13">
        <f>IF(AND(A1065&lt;&gt;"",B1065&lt;&gt;""), A1065&amp;" · "&amp;B1065, "")</f>
        <v/>
      </c>
    </row>
    <row r="1066">
      <c r="A1066" s="6" t="inlineStr">
        <is>
          <t>FY26</t>
        </is>
      </c>
      <c r="B1066" s="6" t="inlineStr">
        <is>
          <t>Mar</t>
        </is>
      </c>
      <c r="C1066" s="6" t="inlineStr">
        <is>
          <t>TN</t>
        </is>
      </c>
      <c r="D1066" s="7" t="inlineStr">
        <is>
          <t>TN02BS4691</t>
        </is>
      </c>
      <c r="E1066" s="7" t="inlineStr">
        <is>
          <t>HONDA</t>
        </is>
      </c>
      <c r="F1066" s="7" t="inlineStr">
        <is>
          <t>City</t>
        </is>
      </c>
      <c r="G1066" s="7" t="inlineStr">
        <is>
          <t>KHIVRAJ MOTOR</t>
        </is>
      </c>
      <c r="H1066" s="7" t="inlineStr">
        <is>
          <t>Non-Captive</t>
        </is>
      </c>
      <c r="I1066" s="7" t="inlineStr">
        <is>
          <t>Santhosh Cars</t>
        </is>
      </c>
      <c r="J1066" s="8" t="n">
        <v>2016</v>
      </c>
      <c r="K1066" s="9" t="n">
        <v>85425</v>
      </c>
      <c r="L1066" s="10" t="n">
        <v>450000</v>
      </c>
      <c r="M1066" s="10" t="n">
        <v>2118.64</v>
      </c>
      <c r="N1066" s="11">
        <f>IF(M1066="","",ROUND(M1066*1.18,2))</f>
        <v/>
      </c>
      <c r="O1066" s="12">
        <f>IF(M1066="","",ROUND(N1066-M1066,2))</f>
        <v/>
      </c>
      <c r="P1066" s="13">
        <f>IF(AND(A1066&lt;&gt;"",B1066&lt;&gt;""), A1066&amp;" · "&amp;B1066, "")</f>
        <v/>
      </c>
    </row>
    <row r="1067">
      <c r="A1067" s="6" t="inlineStr">
        <is>
          <t>FY26</t>
        </is>
      </c>
      <c r="B1067" s="6" t="inlineStr">
        <is>
          <t>Mar</t>
        </is>
      </c>
      <c r="C1067" s="6" t="inlineStr">
        <is>
          <t>TN</t>
        </is>
      </c>
      <c r="D1067" s="7" t="inlineStr">
        <is>
          <t>TN02BT3901</t>
        </is>
      </c>
      <c r="E1067" s="7" t="inlineStr">
        <is>
          <t>HYUNDAI</t>
        </is>
      </c>
      <c r="F1067" s="7" t="inlineStr">
        <is>
          <t>Creta</t>
        </is>
      </c>
      <c r="G1067" s="7" t="inlineStr">
        <is>
          <t>KHIVRAJ MOTOR</t>
        </is>
      </c>
      <c r="H1067" s="7" t="inlineStr">
        <is>
          <t>Non-Captive</t>
        </is>
      </c>
      <c r="I1067" s="7" t="inlineStr">
        <is>
          <t>Bhavani Cars</t>
        </is>
      </c>
      <c r="J1067" s="8" t="n">
        <v>2020</v>
      </c>
      <c r="K1067" s="9" t="n">
        <v>51199</v>
      </c>
      <c r="L1067" s="10" t="n">
        <v>1000000</v>
      </c>
      <c r="M1067" s="10" t="n">
        <v>2542.37</v>
      </c>
      <c r="N1067" s="11">
        <f>IF(M1067="","",ROUND(M1067*1.18,2))</f>
        <v/>
      </c>
      <c r="O1067" s="12">
        <f>IF(M1067="","",ROUND(N1067-M1067,2))</f>
        <v/>
      </c>
      <c r="P1067" s="13">
        <f>IF(AND(A1067&lt;&gt;"",B1067&lt;&gt;""), A1067&amp;" · "&amp;B1067, "")</f>
        <v/>
      </c>
    </row>
    <row r="1068">
      <c r="A1068" s="6" t="inlineStr">
        <is>
          <t>FY26</t>
        </is>
      </c>
      <c r="B1068" s="6" t="inlineStr">
        <is>
          <t>Mar</t>
        </is>
      </c>
      <c r="C1068" s="6" t="inlineStr">
        <is>
          <t>TN</t>
        </is>
      </c>
      <c r="D1068" s="7" t="inlineStr">
        <is>
          <t>TN02BZ9111</t>
        </is>
      </c>
      <c r="E1068" s="7" t="inlineStr">
        <is>
          <t>MARUTI SUZUKI</t>
        </is>
      </c>
      <c r="F1068" s="7" t="inlineStr">
        <is>
          <t>Baleno</t>
        </is>
      </c>
      <c r="G1068" s="7" t="inlineStr">
        <is>
          <t>KHIVRAJ MOTOR</t>
        </is>
      </c>
      <c r="H1068" s="7" t="inlineStr">
        <is>
          <t>Non-Captive</t>
        </is>
      </c>
      <c r="I1068" s="7" t="inlineStr">
        <is>
          <t>Sri Shakthi Vinayaga Cars</t>
        </is>
      </c>
      <c r="J1068" s="8" t="n">
        <v>2023</v>
      </c>
      <c r="K1068" s="9" t="n">
        <v>36444</v>
      </c>
      <c r="L1068" s="10" t="n">
        <v>675000</v>
      </c>
      <c r="M1068" s="10" t="n">
        <v>2118.64</v>
      </c>
      <c r="N1068" s="11">
        <f>IF(M1068="","",ROUND(M1068*1.18,2))</f>
        <v/>
      </c>
      <c r="O1068" s="12">
        <f>IF(M1068="","",ROUND(N1068-M1068,2))</f>
        <v/>
      </c>
      <c r="P1068" s="13">
        <f>IF(AND(A1068&lt;&gt;"",B1068&lt;&gt;""), A1068&amp;" · "&amp;B1068, "")</f>
        <v/>
      </c>
    </row>
    <row r="1069">
      <c r="A1069" s="6" t="inlineStr">
        <is>
          <t>FY26</t>
        </is>
      </c>
      <c r="B1069" s="6" t="inlineStr">
        <is>
          <t>Mar</t>
        </is>
      </c>
      <c r="C1069" s="6" t="inlineStr">
        <is>
          <t>TN</t>
        </is>
      </c>
      <c r="D1069" s="7" t="inlineStr">
        <is>
          <t>TN03M5788</t>
        </is>
      </c>
      <c r="E1069" s="7" t="inlineStr">
        <is>
          <t>HYUNDAI</t>
        </is>
      </c>
      <c r="F1069" s="7" t="inlineStr">
        <is>
          <t>Grand i10</t>
        </is>
      </c>
      <c r="G1069" s="7" t="inlineStr">
        <is>
          <t>KHIVRAJ MOTOR</t>
        </is>
      </c>
      <c r="H1069" s="7" t="inlineStr">
        <is>
          <t>Non-Captive</t>
        </is>
      </c>
      <c r="I1069" s="7" t="inlineStr">
        <is>
          <t>Nirmal Cars</t>
        </is>
      </c>
      <c r="J1069" s="8" t="n">
        <v>2014</v>
      </c>
      <c r="K1069" s="9" t="n">
        <v>120000</v>
      </c>
      <c r="L1069" s="10" t="n">
        <v>250000</v>
      </c>
      <c r="M1069" s="10" t="n">
        <v>2118.64</v>
      </c>
      <c r="N1069" s="11">
        <f>IF(M1069="","",ROUND(M1069*1.18,2))</f>
        <v/>
      </c>
      <c r="O1069" s="12">
        <f>IF(M1069="","",ROUND(N1069-M1069,2))</f>
        <v/>
      </c>
      <c r="P1069" s="13">
        <f>IF(AND(A1069&lt;&gt;"",B1069&lt;&gt;""), A1069&amp;" · "&amp;B1069, "")</f>
        <v/>
      </c>
    </row>
    <row r="1070">
      <c r="A1070" s="6" t="inlineStr">
        <is>
          <t>FY26</t>
        </is>
      </c>
      <c r="B1070" s="6" t="inlineStr">
        <is>
          <t>Mar</t>
        </is>
      </c>
      <c r="C1070" s="6" t="inlineStr">
        <is>
          <t>TN</t>
        </is>
      </c>
      <c r="D1070" s="7" t="inlineStr">
        <is>
          <t>TN04AJ2434</t>
        </is>
      </c>
      <c r="E1070" s="7" t="inlineStr">
        <is>
          <t>HYUNDAI</t>
        </is>
      </c>
      <c r="F1070" s="7" t="inlineStr">
        <is>
          <t>i10</t>
        </is>
      </c>
      <c r="G1070" s="7" t="inlineStr">
        <is>
          <t>KHIVRAJ MOTOR</t>
        </is>
      </c>
      <c r="H1070" s="7" t="inlineStr">
        <is>
          <t>Non-Captive</t>
        </is>
      </c>
      <c r="I1070" s="7" t="inlineStr">
        <is>
          <t>AS Cars Gopi</t>
        </is>
      </c>
      <c r="J1070" s="8" t="n">
        <v>2011</v>
      </c>
      <c r="K1070" s="9" t="n">
        <v>46755</v>
      </c>
      <c r="L1070" s="10" t="n">
        <v>149000</v>
      </c>
      <c r="M1070" s="10" t="n">
        <v>5084.75</v>
      </c>
      <c r="N1070" s="11">
        <f>IF(M1070="","",ROUND(M1070*1.18,2))</f>
        <v/>
      </c>
      <c r="O1070" s="12">
        <f>IF(M1070="","",ROUND(N1070-M1070,2))</f>
        <v/>
      </c>
      <c r="P1070" s="13">
        <f>IF(AND(A1070&lt;&gt;"",B1070&lt;&gt;""), A1070&amp;" · "&amp;B1070, "")</f>
        <v/>
      </c>
    </row>
    <row r="1071">
      <c r="A1071" s="6" t="inlineStr">
        <is>
          <t>FY26</t>
        </is>
      </c>
      <c r="B1071" s="6" t="inlineStr">
        <is>
          <t>Mar</t>
        </is>
      </c>
      <c r="C1071" s="6" t="inlineStr">
        <is>
          <t>TN</t>
        </is>
      </c>
      <c r="D1071" s="7" t="inlineStr">
        <is>
          <t>TN04AL6049</t>
        </is>
      </c>
      <c r="E1071" s="7" t="inlineStr">
        <is>
          <t>NISSAN</t>
        </is>
      </c>
      <c r="F1071" s="7" t="inlineStr">
        <is>
          <t>Sunny</t>
        </is>
      </c>
      <c r="G1071" s="7" t="inlineStr">
        <is>
          <t>KHIVRAJ MOTOR</t>
        </is>
      </c>
      <c r="H1071" s="7" t="inlineStr">
        <is>
          <t>Non-Captive</t>
        </is>
      </c>
      <c r="I1071" s="7" t="inlineStr">
        <is>
          <t>Aasim Motors</t>
        </is>
      </c>
      <c r="J1071" s="8" t="n">
        <v>2013</v>
      </c>
      <c r="K1071" s="9" t="n">
        <v>103245</v>
      </c>
      <c r="L1071" s="10" t="n">
        <v>187000</v>
      </c>
      <c r="M1071" s="10" t="n">
        <v>5084.75</v>
      </c>
      <c r="N1071" s="11">
        <f>IF(M1071="","",ROUND(M1071*1.18,2))</f>
        <v/>
      </c>
      <c r="O1071" s="12">
        <f>IF(M1071="","",ROUND(N1071-M1071,2))</f>
        <v/>
      </c>
      <c r="P1071" s="13">
        <f>IF(AND(A1071&lt;&gt;"",B1071&lt;&gt;""), A1071&amp;" · "&amp;B1071, "")</f>
        <v/>
      </c>
    </row>
    <row r="1072">
      <c r="A1072" s="6" t="inlineStr">
        <is>
          <t>FY26</t>
        </is>
      </c>
      <c r="B1072" s="6" t="inlineStr">
        <is>
          <t>Mar</t>
        </is>
      </c>
      <c r="C1072" s="6" t="inlineStr">
        <is>
          <t>TN</t>
        </is>
      </c>
      <c r="D1072" s="7" t="inlineStr">
        <is>
          <t>TN04AP8743</t>
        </is>
      </c>
      <c r="E1072" s="7" t="inlineStr">
        <is>
          <t>MARUTI SUZUKI</t>
        </is>
      </c>
      <c r="F1072" s="7" t="inlineStr">
        <is>
          <t>Celerio</t>
        </is>
      </c>
      <c r="G1072" s="7" t="inlineStr">
        <is>
          <t>KHIVRAJ MOTOR</t>
        </is>
      </c>
      <c r="H1072" s="7" t="inlineStr">
        <is>
          <t>Non-Captive</t>
        </is>
      </c>
      <c r="I1072" s="7" t="inlineStr">
        <is>
          <t>AS Cars Gopi</t>
        </is>
      </c>
      <c r="J1072" s="8" t="n">
        <v>2015</v>
      </c>
      <c r="K1072" s="9" t="n">
        <v>84243</v>
      </c>
      <c r="L1072" s="10" t="n">
        <v>239000</v>
      </c>
      <c r="M1072" s="10" t="n">
        <v>5084.75</v>
      </c>
      <c r="N1072" s="11">
        <f>IF(M1072="","",ROUND(M1072*1.18,2))</f>
        <v/>
      </c>
      <c r="O1072" s="12">
        <f>IF(M1072="","",ROUND(N1072-M1072,2))</f>
        <v/>
      </c>
      <c r="P1072" s="13">
        <f>IF(AND(A1072&lt;&gt;"",B1072&lt;&gt;""), A1072&amp;" · "&amp;B1072, "")</f>
        <v/>
      </c>
    </row>
    <row r="1073">
      <c r="A1073" s="6" t="inlineStr">
        <is>
          <t>FY26</t>
        </is>
      </c>
      <c r="B1073" s="6" t="inlineStr">
        <is>
          <t>Mar</t>
        </is>
      </c>
      <c r="C1073" s="6" t="inlineStr">
        <is>
          <t>TN</t>
        </is>
      </c>
      <c r="D1073" s="7" t="inlineStr">
        <is>
          <t>TN04AS1440</t>
        </is>
      </c>
      <c r="E1073" s="7" t="inlineStr">
        <is>
          <t>HONDA</t>
        </is>
      </c>
      <c r="F1073" s="7" t="inlineStr">
        <is>
          <t>Jazz</t>
        </is>
      </c>
      <c r="G1073" s="7" t="inlineStr">
        <is>
          <t>KHIVRAJ MOTOR</t>
        </is>
      </c>
      <c r="H1073" s="7" t="inlineStr">
        <is>
          <t>Non-Captive</t>
        </is>
      </c>
      <c r="I1073" s="7" t="inlineStr">
        <is>
          <t>Nirmal Cars</t>
        </is>
      </c>
      <c r="J1073" s="8" t="n">
        <v>2016</v>
      </c>
      <c r="K1073" s="9" t="n">
        <v>58000</v>
      </c>
      <c r="L1073" s="10" t="n">
        <v>340000</v>
      </c>
      <c r="M1073" s="10" t="n">
        <v>2118.64</v>
      </c>
      <c r="N1073" s="11">
        <f>IF(M1073="","",ROUND(M1073*1.18,2))</f>
        <v/>
      </c>
      <c r="O1073" s="12">
        <f>IF(M1073="","",ROUND(N1073-M1073,2))</f>
        <v/>
      </c>
      <c r="P1073" s="13">
        <f>IF(AND(A1073&lt;&gt;"",B1073&lt;&gt;""), A1073&amp;" · "&amp;B1073, "")</f>
        <v/>
      </c>
    </row>
    <row r="1074">
      <c r="A1074" s="6" t="inlineStr">
        <is>
          <t>FY26</t>
        </is>
      </c>
      <c r="B1074" s="6" t="inlineStr">
        <is>
          <t>Mar</t>
        </is>
      </c>
      <c r="C1074" s="6" t="inlineStr">
        <is>
          <t>TN</t>
        </is>
      </c>
      <c r="D1074" s="7" t="inlineStr">
        <is>
          <t>TN04AT6107</t>
        </is>
      </c>
      <c r="E1074" s="7" t="inlineStr">
        <is>
          <t>MARUTI SUZUKI</t>
        </is>
      </c>
      <c r="F1074" s="7" t="inlineStr">
        <is>
          <t>Baleno</t>
        </is>
      </c>
      <c r="G1074" s="7" t="inlineStr">
        <is>
          <t>KHIVRAJ MOTOR</t>
        </is>
      </c>
      <c r="H1074" s="7" t="inlineStr">
        <is>
          <t>Non-Captive</t>
        </is>
      </c>
      <c r="I1074" s="7" t="inlineStr">
        <is>
          <t>Santhosh Cars</t>
        </is>
      </c>
      <c r="J1074" s="8" t="n">
        <v>2017</v>
      </c>
      <c r="K1074" s="9" t="n">
        <v>161601</v>
      </c>
      <c r="L1074" s="10" t="n">
        <v>370000</v>
      </c>
      <c r="M1074" s="10" t="n">
        <v>2118.64</v>
      </c>
      <c r="N1074" s="11">
        <f>IF(M1074="","",ROUND(M1074*1.18,2))</f>
        <v/>
      </c>
      <c r="O1074" s="12">
        <f>IF(M1074="","",ROUND(N1074-M1074,2))</f>
        <v/>
      </c>
      <c r="P1074" s="13">
        <f>IF(AND(A1074&lt;&gt;"",B1074&lt;&gt;""), A1074&amp;" · "&amp;B1074, "")</f>
        <v/>
      </c>
    </row>
    <row r="1075">
      <c r="A1075" s="6" t="inlineStr">
        <is>
          <t>FY26</t>
        </is>
      </c>
      <c r="B1075" s="6" t="inlineStr">
        <is>
          <t>Mar</t>
        </is>
      </c>
      <c r="C1075" s="6" t="inlineStr">
        <is>
          <t>TN</t>
        </is>
      </c>
      <c r="D1075" s="7" t="inlineStr">
        <is>
          <t>TN04AU1334</t>
        </is>
      </c>
      <c r="E1075" s="7" t="inlineStr">
        <is>
          <t>MARUTI SUZUKI</t>
        </is>
      </c>
      <c r="F1075" s="7" t="inlineStr">
        <is>
          <t>Dzire</t>
        </is>
      </c>
      <c r="G1075" s="7" t="inlineStr">
        <is>
          <t>KHIVRAJ MOTOR</t>
        </is>
      </c>
      <c r="H1075" s="7" t="inlineStr">
        <is>
          <t>Non-Captive</t>
        </is>
      </c>
      <c r="I1075" s="7" t="inlineStr">
        <is>
          <t>Yes Cars</t>
        </is>
      </c>
      <c r="J1075" s="8" t="n">
        <v>2018</v>
      </c>
      <c r="K1075" s="9" t="n">
        <v>134981</v>
      </c>
      <c r="L1075" s="10" t="n">
        <v>450000</v>
      </c>
      <c r="M1075" s="10" t="n">
        <v>2118.64</v>
      </c>
      <c r="N1075" s="11">
        <f>IF(M1075="","",ROUND(M1075*1.18,2))</f>
        <v/>
      </c>
      <c r="O1075" s="12">
        <f>IF(M1075="","",ROUND(N1075-M1075,2))</f>
        <v/>
      </c>
      <c r="P1075" s="13">
        <f>IF(AND(A1075&lt;&gt;"",B1075&lt;&gt;""), A1075&amp;" · "&amp;B1075, "")</f>
        <v/>
      </c>
    </row>
    <row r="1076">
      <c r="A1076" s="6" t="inlineStr">
        <is>
          <t>FY26</t>
        </is>
      </c>
      <c r="B1076" s="6" t="inlineStr">
        <is>
          <t>Mar</t>
        </is>
      </c>
      <c r="C1076" s="6" t="inlineStr">
        <is>
          <t>TN</t>
        </is>
      </c>
      <c r="D1076" s="7" t="inlineStr">
        <is>
          <t>TN04AW6152</t>
        </is>
      </c>
      <c r="E1076" s="7" t="inlineStr">
        <is>
          <t>MARUTI SUZUKI</t>
        </is>
      </c>
      <c r="F1076" s="7" t="inlineStr">
        <is>
          <t>Swift</t>
        </is>
      </c>
      <c r="G1076" s="7" t="inlineStr">
        <is>
          <t>SANTHOSH CARS</t>
        </is>
      </c>
      <c r="H1076" s="7" t="inlineStr">
        <is>
          <t>Non-Captive</t>
        </is>
      </c>
      <c r="I1076" s="7" t="inlineStr">
        <is>
          <t>Kamal Cars</t>
        </is>
      </c>
      <c r="J1076" s="8" t="n">
        <v>2019</v>
      </c>
      <c r="K1076" s="9" t="n">
        <v>54558</v>
      </c>
      <c r="L1076" s="10" t="n">
        <v>450000</v>
      </c>
      <c r="M1076" s="10" t="n">
        <v>2542.37</v>
      </c>
      <c r="N1076" s="11">
        <f>IF(M1076="","",ROUND(M1076*1.18,2))</f>
        <v/>
      </c>
      <c r="O1076" s="12">
        <f>IF(M1076="","",ROUND(N1076-M1076,2))</f>
        <v/>
      </c>
      <c r="P1076" s="13">
        <f>IF(AND(A1076&lt;&gt;"",B1076&lt;&gt;""), A1076&amp;" · "&amp;B1076, "")</f>
        <v/>
      </c>
    </row>
    <row r="1077">
      <c r="A1077" s="6" t="inlineStr">
        <is>
          <t>FY26</t>
        </is>
      </c>
      <c r="B1077" s="6" t="inlineStr">
        <is>
          <t>Mar</t>
        </is>
      </c>
      <c r="C1077" s="6" t="inlineStr">
        <is>
          <t>TN</t>
        </is>
      </c>
      <c r="D1077" s="7" t="inlineStr">
        <is>
          <t>TN04BC0148</t>
        </is>
      </c>
      <c r="E1077" s="7" t="inlineStr">
        <is>
          <t>MARUTI SUZUKI</t>
        </is>
      </c>
      <c r="F1077" s="7" t="inlineStr">
        <is>
          <t>Fronx</t>
        </is>
      </c>
      <c r="G1077" s="7" t="inlineStr">
        <is>
          <t>KHIVRAJ MOTOR</t>
        </is>
      </c>
      <c r="H1077" s="7" t="inlineStr">
        <is>
          <t>Non-Captive</t>
        </is>
      </c>
      <c r="I1077" s="7" t="inlineStr">
        <is>
          <t>AS Cars Gopi</t>
        </is>
      </c>
      <c r="J1077" s="8" t="n">
        <v>2023</v>
      </c>
      <c r="K1077" s="9" t="n">
        <v>20425</v>
      </c>
      <c r="L1077" s="10" t="n">
        <v>610000</v>
      </c>
      <c r="M1077" s="10" t="n">
        <v>2542.37</v>
      </c>
      <c r="N1077" s="11">
        <f>IF(M1077="","",ROUND(M1077*1.18,2))</f>
        <v/>
      </c>
      <c r="O1077" s="12">
        <f>IF(M1077="","",ROUND(N1077-M1077,2))</f>
        <v/>
      </c>
      <c r="P1077" s="13">
        <f>IF(AND(A1077&lt;&gt;"",B1077&lt;&gt;""), A1077&amp;" · "&amp;B1077, "")</f>
        <v/>
      </c>
    </row>
    <row r="1078">
      <c r="A1078" s="6" t="inlineStr">
        <is>
          <t>FY26</t>
        </is>
      </c>
      <c r="B1078" s="6" t="inlineStr">
        <is>
          <t>Mar</t>
        </is>
      </c>
      <c r="C1078" s="6" t="inlineStr">
        <is>
          <t>TN</t>
        </is>
      </c>
      <c r="D1078" s="7" t="inlineStr">
        <is>
          <t>TN04BC3439</t>
        </is>
      </c>
      <c r="E1078" s="7" t="inlineStr">
        <is>
          <t>MARUTI SUZUKI</t>
        </is>
      </c>
      <c r="F1078" s="7" t="inlineStr">
        <is>
          <t>XL6</t>
        </is>
      </c>
      <c r="G1078" s="7" t="inlineStr">
        <is>
          <t>KHIVRAJ MOTOR</t>
        </is>
      </c>
      <c r="H1078" s="7" t="inlineStr">
        <is>
          <t>Non-Captive</t>
        </is>
      </c>
      <c r="I1078" s="7" t="inlineStr">
        <is>
          <t>Santhosh Cars</t>
        </is>
      </c>
      <c r="J1078" s="8" t="n">
        <v>2023</v>
      </c>
      <c r="K1078" s="9" t="n">
        <v>39682</v>
      </c>
      <c r="L1078" s="10" t="n">
        <v>1000000</v>
      </c>
      <c r="M1078" s="10" t="n">
        <v>2118.64</v>
      </c>
      <c r="N1078" s="11">
        <f>IF(M1078="","",ROUND(M1078*1.18,2))</f>
        <v/>
      </c>
      <c r="O1078" s="12">
        <f>IF(M1078="","",ROUND(N1078-M1078,2))</f>
        <v/>
      </c>
      <c r="P1078" s="13">
        <f>IF(AND(A1078&lt;&gt;"",B1078&lt;&gt;""), A1078&amp;" · "&amp;B1078, "")</f>
        <v/>
      </c>
    </row>
    <row r="1079">
      <c r="A1079" s="6" t="inlineStr">
        <is>
          <t>FY26</t>
        </is>
      </c>
      <c r="B1079" s="6" t="inlineStr">
        <is>
          <t>Mar</t>
        </is>
      </c>
      <c r="C1079" s="6" t="inlineStr">
        <is>
          <t>TN</t>
        </is>
      </c>
      <c r="D1079" s="7" t="inlineStr">
        <is>
          <t>TN05AH1084</t>
        </is>
      </c>
      <c r="E1079" s="7" t="inlineStr">
        <is>
          <t>MARUTI SUZUKI</t>
        </is>
      </c>
      <c r="F1079" s="7" t="inlineStr">
        <is>
          <t>Ritz</t>
        </is>
      </c>
      <c r="G1079" s="7" t="inlineStr">
        <is>
          <t>KALYANI MOTORS MARUTI</t>
        </is>
      </c>
      <c r="H1079" s="7" t="inlineStr">
        <is>
          <t>Non-Captive</t>
        </is>
      </c>
      <c r="I1079" s="7" t="inlineStr">
        <is>
          <t>Nirmal Cars</t>
        </is>
      </c>
      <c r="J1079" s="8" t="n">
        <v>2010</v>
      </c>
      <c r="K1079" s="9" t="n">
        <v>23887</v>
      </c>
      <c r="L1079" s="10" t="n">
        <v>160000</v>
      </c>
      <c r="M1079" s="10" t="n">
        <v>2542.37</v>
      </c>
      <c r="N1079" s="11">
        <f>IF(M1079="","",ROUND(M1079*1.18,2))</f>
        <v/>
      </c>
      <c r="O1079" s="12">
        <f>IF(M1079="","",ROUND(N1079-M1079,2))</f>
        <v/>
      </c>
      <c r="P1079" s="13">
        <f>IF(AND(A1079&lt;&gt;"",B1079&lt;&gt;""), A1079&amp;" · "&amp;B1079, "")</f>
        <v/>
      </c>
    </row>
    <row r="1080">
      <c r="A1080" s="6" t="inlineStr">
        <is>
          <t>FY26</t>
        </is>
      </c>
      <c r="B1080" s="6" t="inlineStr">
        <is>
          <t>Mar</t>
        </is>
      </c>
      <c r="C1080" s="6" t="inlineStr">
        <is>
          <t>TN</t>
        </is>
      </c>
      <c r="D1080" s="7" t="inlineStr">
        <is>
          <t>TN05AM3992</t>
        </is>
      </c>
      <c r="E1080" s="7" t="inlineStr">
        <is>
          <t>VOLKSWAGEN</t>
        </is>
      </c>
      <c r="F1080" s="7" t="inlineStr">
        <is>
          <t>Polo</t>
        </is>
      </c>
      <c r="G1080" s="7" t="inlineStr">
        <is>
          <t>KHIVRAJ MOTOR</t>
        </is>
      </c>
      <c r="H1080" s="7" t="inlineStr">
        <is>
          <t>Non-Captive</t>
        </is>
      </c>
      <c r="I1080" s="7" t="inlineStr">
        <is>
          <t>KB Motor</t>
        </is>
      </c>
      <c r="J1080" s="8" t="n">
        <v>2011</v>
      </c>
      <c r="K1080" s="9" t="n">
        <v>91895</v>
      </c>
      <c r="L1080" s="10" t="n">
        <v>170000</v>
      </c>
      <c r="M1080" s="10" t="n">
        <v>2118.64</v>
      </c>
      <c r="N1080" s="11">
        <f>IF(M1080="","",ROUND(M1080*1.18,2))</f>
        <v/>
      </c>
      <c r="O1080" s="12">
        <f>IF(M1080="","",ROUND(N1080-M1080,2))</f>
        <v/>
      </c>
      <c r="P1080" s="13">
        <f>IF(AND(A1080&lt;&gt;"",B1080&lt;&gt;""), A1080&amp;" · "&amp;B1080, "")</f>
        <v/>
      </c>
    </row>
    <row r="1081">
      <c r="A1081" s="6" t="inlineStr">
        <is>
          <t>FY26</t>
        </is>
      </c>
      <c r="B1081" s="6" t="inlineStr">
        <is>
          <t>Mar</t>
        </is>
      </c>
      <c r="C1081" s="6" t="inlineStr">
        <is>
          <t>TN</t>
        </is>
      </c>
      <c r="D1081" s="7" t="inlineStr">
        <is>
          <t>TN05AS8452</t>
        </is>
      </c>
      <c r="E1081" s="7" t="inlineStr">
        <is>
          <t>MARUTI SUZUKI</t>
        </is>
      </c>
      <c r="F1081" s="7" t="inlineStr">
        <is>
          <t>Wagon R</t>
        </is>
      </c>
      <c r="G1081" s="7" t="inlineStr">
        <is>
          <t>EXCHANGE CHENNAI</t>
        </is>
      </c>
      <c r="H1081" s="7" t="inlineStr">
        <is>
          <t>Captive</t>
        </is>
      </c>
      <c r="I1081" s="7" t="inlineStr">
        <is>
          <t>Ashok Cars</t>
        </is>
      </c>
      <c r="J1081" s="8" t="n">
        <v>2013</v>
      </c>
      <c r="K1081" s="9" t="n">
        <v>87412</v>
      </c>
      <c r="L1081" s="10" t="n">
        <v>235000</v>
      </c>
      <c r="M1081" s="10" t="n">
        <v>5932.2</v>
      </c>
      <c r="N1081" s="11">
        <f>IF(M1081="","",ROUND(M1081*1.18,2))</f>
        <v/>
      </c>
      <c r="O1081" s="12">
        <f>IF(M1081="","",ROUND(N1081-M1081,2))</f>
        <v/>
      </c>
      <c r="P1081" s="13">
        <f>IF(AND(A1081&lt;&gt;"",B1081&lt;&gt;""), A1081&amp;" · "&amp;B1081, "")</f>
        <v/>
      </c>
    </row>
    <row r="1082">
      <c r="A1082" s="6" t="inlineStr">
        <is>
          <t>FY26</t>
        </is>
      </c>
      <c r="B1082" s="6" t="inlineStr">
        <is>
          <t>Mar</t>
        </is>
      </c>
      <c r="C1082" s="6" t="inlineStr">
        <is>
          <t>TN</t>
        </is>
      </c>
      <c r="D1082" s="7" t="inlineStr">
        <is>
          <t>TN05AW1197</t>
        </is>
      </c>
      <c r="E1082" s="7" t="inlineStr">
        <is>
          <t>MARUTI SUZUKI</t>
        </is>
      </c>
      <c r="F1082" s="7" t="inlineStr">
        <is>
          <t>Dzire</t>
        </is>
      </c>
      <c r="G1082" s="7" t="inlineStr">
        <is>
          <t>KALYANI MOTORS MARUTI</t>
        </is>
      </c>
      <c r="H1082" s="7" t="inlineStr">
        <is>
          <t>Non-Captive</t>
        </is>
      </c>
      <c r="I1082" s="7" t="inlineStr">
        <is>
          <t>Santhosh Cars</t>
        </is>
      </c>
      <c r="J1082" s="8" t="n">
        <v>2014</v>
      </c>
      <c r="K1082" s="9" t="n">
        <v>81007</v>
      </c>
      <c r="L1082" s="10" t="n">
        <v>220000</v>
      </c>
      <c r="M1082" s="10" t="n">
        <v>2118.64</v>
      </c>
      <c r="N1082" s="11">
        <f>IF(M1082="","",ROUND(M1082*1.18,2))</f>
        <v/>
      </c>
      <c r="O1082" s="12">
        <f>IF(M1082="","",ROUND(N1082-M1082,2))</f>
        <v/>
      </c>
      <c r="P1082" s="13">
        <f>IF(AND(A1082&lt;&gt;"",B1082&lt;&gt;""), A1082&amp;" · "&amp;B1082, "")</f>
        <v/>
      </c>
    </row>
    <row r="1083">
      <c r="A1083" s="6" t="inlineStr">
        <is>
          <t>FY26</t>
        </is>
      </c>
      <c r="B1083" s="6" t="inlineStr">
        <is>
          <t>Mar</t>
        </is>
      </c>
      <c r="C1083" s="6" t="inlineStr">
        <is>
          <t>TN</t>
        </is>
      </c>
      <c r="D1083" s="7" t="inlineStr">
        <is>
          <t>TN05AX8821</t>
        </is>
      </c>
      <c r="E1083" s="7" t="inlineStr">
        <is>
          <t>RENAULT</t>
        </is>
      </c>
      <c r="F1083" s="7" t="inlineStr">
        <is>
          <t>Duster</t>
        </is>
      </c>
      <c r="G1083" s="7" t="inlineStr">
        <is>
          <t>KHIVRAJ MOTOR</t>
        </is>
      </c>
      <c r="H1083" s="7" t="inlineStr">
        <is>
          <t>Non-Captive</t>
        </is>
      </c>
      <c r="I1083" s="7" t="inlineStr">
        <is>
          <t>Aasim Motors</t>
        </is>
      </c>
      <c r="J1083" s="8" t="n">
        <v>2014</v>
      </c>
      <c r="K1083" s="9" t="n">
        <v>126961</v>
      </c>
      <c r="L1083" s="10" t="n">
        <v>250000</v>
      </c>
      <c r="M1083" s="10" t="n">
        <v>5084.75</v>
      </c>
      <c r="N1083" s="11">
        <f>IF(M1083="","",ROUND(M1083*1.18,2))</f>
        <v/>
      </c>
      <c r="O1083" s="12">
        <f>IF(M1083="","",ROUND(N1083-M1083,2))</f>
        <v/>
      </c>
      <c r="P1083" s="13">
        <f>IF(AND(A1083&lt;&gt;"",B1083&lt;&gt;""), A1083&amp;" · "&amp;B1083, "")</f>
        <v/>
      </c>
    </row>
    <row r="1084">
      <c r="A1084" s="6" t="inlineStr">
        <is>
          <t>FY26</t>
        </is>
      </c>
      <c r="B1084" s="6" t="inlineStr">
        <is>
          <t>Mar</t>
        </is>
      </c>
      <c r="C1084" s="6" t="inlineStr">
        <is>
          <t>TN</t>
        </is>
      </c>
      <c r="D1084" s="7" t="inlineStr">
        <is>
          <t>TN05BA4291</t>
        </is>
      </c>
      <c r="E1084" s="7" t="inlineStr">
        <is>
          <t>HYUNDAI</t>
        </is>
      </c>
      <c r="F1084" s="7" t="inlineStr">
        <is>
          <t>Grand i10</t>
        </is>
      </c>
      <c r="G1084" s="7" t="inlineStr">
        <is>
          <t>KHIVRAJ MOTOR</t>
        </is>
      </c>
      <c r="H1084" s="7" t="inlineStr">
        <is>
          <t>Non-Captive</t>
        </is>
      </c>
      <c r="I1084" s="7" t="inlineStr">
        <is>
          <t>RAJESH WARI (RAM CARS</t>
        </is>
      </c>
      <c r="J1084" s="8" t="n">
        <v>2015</v>
      </c>
      <c r="K1084" s="9" t="n">
        <v>36646</v>
      </c>
      <c r="L1084" s="10" t="n">
        <v>270000</v>
      </c>
      <c r="M1084" s="10" t="n">
        <v>2118.64</v>
      </c>
      <c r="N1084" s="11">
        <f>IF(M1084="","",ROUND(M1084*1.18,2))</f>
        <v/>
      </c>
      <c r="O1084" s="12">
        <f>IF(M1084="","",ROUND(N1084-M1084,2))</f>
        <v/>
      </c>
      <c r="P1084" s="13">
        <f>IF(AND(A1084&lt;&gt;"",B1084&lt;&gt;""), A1084&amp;" · "&amp;B1084, "")</f>
        <v/>
      </c>
    </row>
    <row r="1085">
      <c r="A1085" s="6" t="inlineStr">
        <is>
          <t>FY26</t>
        </is>
      </c>
      <c r="B1085" s="6" t="inlineStr">
        <is>
          <t>Mar</t>
        </is>
      </c>
      <c r="C1085" s="6" t="inlineStr">
        <is>
          <t>TN</t>
        </is>
      </c>
      <c r="D1085" s="7" t="inlineStr">
        <is>
          <t>TN05BE9882</t>
        </is>
      </c>
      <c r="E1085" s="7" t="inlineStr">
        <is>
          <t>MAHINDRA</t>
        </is>
      </c>
      <c r="F1085" s="7" t="inlineStr">
        <is>
          <t>KUV100</t>
        </is>
      </c>
      <c r="G1085" s="7" t="inlineStr">
        <is>
          <t>VISHNU CARS PRIVATE LIMITED</t>
        </is>
      </c>
      <c r="H1085" s="7" t="inlineStr">
        <is>
          <t>Non-Captive</t>
        </is>
      </c>
      <c r="I1085" s="7" t="inlineStr">
        <is>
          <t>Nirmal Cars</t>
        </is>
      </c>
      <c r="J1085" s="8" t="n">
        <v>2016</v>
      </c>
      <c r="K1085" s="9" t="n">
        <v>98773</v>
      </c>
      <c r="L1085" s="10" t="n">
        <v>240000</v>
      </c>
      <c r="M1085" s="10" t="n">
        <v>2118.64</v>
      </c>
      <c r="N1085" s="11">
        <f>IF(M1085="","",ROUND(M1085*1.18,2))</f>
        <v/>
      </c>
      <c r="O1085" s="12">
        <f>IF(M1085="","",ROUND(N1085-M1085,2))</f>
        <v/>
      </c>
      <c r="P1085" s="13">
        <f>IF(AND(A1085&lt;&gt;"",B1085&lt;&gt;""), A1085&amp;" · "&amp;B1085, "")</f>
        <v/>
      </c>
    </row>
    <row r="1086">
      <c r="A1086" s="6" t="inlineStr">
        <is>
          <t>FY26</t>
        </is>
      </c>
      <c r="B1086" s="6" t="inlineStr">
        <is>
          <t>Mar</t>
        </is>
      </c>
      <c r="C1086" s="6" t="inlineStr">
        <is>
          <t>TN</t>
        </is>
      </c>
      <c r="D1086" s="7" t="inlineStr">
        <is>
          <t>TN05BK0752</t>
        </is>
      </c>
      <c r="E1086" s="7" t="inlineStr">
        <is>
          <t>MARUTI SUZUKI</t>
        </is>
      </c>
      <c r="F1086" s="7" t="inlineStr">
        <is>
          <t>Celerio</t>
        </is>
      </c>
      <c r="G1086" s="7" t="inlineStr">
        <is>
          <t>SANTHOSH CARS</t>
        </is>
      </c>
      <c r="H1086" s="7" t="inlineStr">
        <is>
          <t>Non-Captive</t>
        </is>
      </c>
      <c r="I1086" s="7" t="inlineStr">
        <is>
          <t>Aasim Motors</t>
        </is>
      </c>
      <c r="J1086" s="8" t="n">
        <v>2017</v>
      </c>
      <c r="K1086" s="9" t="n">
        <v>119028</v>
      </c>
      <c r="L1086" s="10" t="n">
        <v>220000</v>
      </c>
      <c r="M1086" s="10" t="n">
        <v>4237.29</v>
      </c>
      <c r="N1086" s="11">
        <f>IF(M1086="","",ROUND(M1086*1.18,2))</f>
        <v/>
      </c>
      <c r="O1086" s="12">
        <f>IF(M1086="","",ROUND(N1086-M1086,2))</f>
        <v/>
      </c>
      <c r="P1086" s="13">
        <f>IF(AND(A1086&lt;&gt;"",B1086&lt;&gt;""), A1086&amp;" · "&amp;B1086, "")</f>
        <v/>
      </c>
    </row>
    <row r="1087">
      <c r="A1087" s="6" t="inlineStr">
        <is>
          <t>FY26</t>
        </is>
      </c>
      <c r="B1087" s="6" t="inlineStr">
        <is>
          <t>Mar</t>
        </is>
      </c>
      <c r="C1087" s="6" t="inlineStr">
        <is>
          <t>TN</t>
        </is>
      </c>
      <c r="D1087" s="7" t="inlineStr">
        <is>
          <t>TN05BK2550</t>
        </is>
      </c>
      <c r="E1087" s="7" t="inlineStr">
        <is>
          <t>HYUNDAI</t>
        </is>
      </c>
      <c r="F1087" s="7" t="inlineStr">
        <is>
          <t>Grand i10</t>
        </is>
      </c>
      <c r="G1087" s="7" t="inlineStr">
        <is>
          <t>STEER AUTO TECHNOLOGIES PRIVATE LIMITED</t>
        </is>
      </c>
      <c r="H1087" s="7" t="inlineStr">
        <is>
          <t>Non-Captive</t>
        </is>
      </c>
      <c r="I1087" s="7" t="inlineStr">
        <is>
          <t>Aasim Motors</t>
        </is>
      </c>
      <c r="J1087" s="8" t="n">
        <v>2016</v>
      </c>
      <c r="K1087" s="9" t="n">
        <v>93454</v>
      </c>
      <c r="L1087" s="10" t="n">
        <v>235000</v>
      </c>
      <c r="M1087" s="10" t="n">
        <v>4237.29</v>
      </c>
      <c r="N1087" s="11">
        <f>IF(M1087="","",ROUND(M1087*1.18,2))</f>
        <v/>
      </c>
      <c r="O1087" s="12">
        <f>IF(M1087="","",ROUND(N1087-M1087,2))</f>
        <v/>
      </c>
      <c r="P1087" s="13">
        <f>IF(AND(A1087&lt;&gt;"",B1087&lt;&gt;""), A1087&amp;" · "&amp;B1087, "")</f>
        <v/>
      </c>
    </row>
    <row r="1088">
      <c r="A1088" s="6" t="inlineStr">
        <is>
          <t>FY26</t>
        </is>
      </c>
      <c r="B1088" s="6" t="inlineStr">
        <is>
          <t>Mar</t>
        </is>
      </c>
      <c r="C1088" s="6" t="inlineStr">
        <is>
          <t>TN</t>
        </is>
      </c>
      <c r="D1088" s="7" t="inlineStr">
        <is>
          <t>TN05BP4262</t>
        </is>
      </c>
      <c r="E1088" s="7" t="inlineStr">
        <is>
          <t>HONDA</t>
        </is>
      </c>
      <c r="F1088" s="7" t="inlineStr">
        <is>
          <t>Jazz</t>
        </is>
      </c>
      <c r="G1088" s="7" t="inlineStr">
        <is>
          <t>PRODUCTIVITY ELEMENTS PRIVATE LIMITED</t>
        </is>
      </c>
      <c r="H1088" s="7" t="inlineStr">
        <is>
          <t>Non-Captive</t>
        </is>
      </c>
      <c r="I1088" s="7" t="inlineStr">
        <is>
          <t>Sri Shakthi Vinayaga Cars</t>
        </is>
      </c>
      <c r="J1088" s="8" t="n">
        <v>2017</v>
      </c>
      <c r="K1088" s="9" t="n">
        <v>45039</v>
      </c>
      <c r="L1088" s="10" t="n">
        <v>370000</v>
      </c>
      <c r="M1088" s="10" t="n">
        <v>2118.64</v>
      </c>
      <c r="N1088" s="11">
        <f>IF(M1088="","",ROUND(M1088*1.18,2))</f>
        <v/>
      </c>
      <c r="O1088" s="12">
        <f>IF(M1088="","",ROUND(N1088-M1088,2))</f>
        <v/>
      </c>
      <c r="P1088" s="13">
        <f>IF(AND(A1088&lt;&gt;"",B1088&lt;&gt;""), A1088&amp;" · "&amp;B1088, "")</f>
        <v/>
      </c>
    </row>
    <row r="1089">
      <c r="A1089" s="6" t="inlineStr">
        <is>
          <t>FY26</t>
        </is>
      </c>
      <c r="B1089" s="6" t="inlineStr">
        <is>
          <t>Mar</t>
        </is>
      </c>
      <c r="C1089" s="6" t="inlineStr">
        <is>
          <t>TN</t>
        </is>
      </c>
      <c r="D1089" s="7" t="inlineStr">
        <is>
          <t>TN05BQ6148</t>
        </is>
      </c>
      <c r="E1089" s="7" t="inlineStr">
        <is>
          <t>MARUTI SUZUKI</t>
        </is>
      </c>
      <c r="F1089" s="7" t="inlineStr">
        <is>
          <t>Alto</t>
        </is>
      </c>
      <c r="G1089" s="7" t="inlineStr">
        <is>
          <t>KHIVRAJ MOTOR</t>
        </is>
      </c>
      <c r="H1089" s="7" t="inlineStr">
        <is>
          <t>Non-Captive</t>
        </is>
      </c>
      <c r="I1089" s="7" t="inlineStr">
        <is>
          <t>33 Cars</t>
        </is>
      </c>
      <c r="J1089" s="8" t="n">
        <v>2018</v>
      </c>
      <c r="K1089" s="9" t="n">
        <v>72324</v>
      </c>
      <c r="L1089" s="10" t="n">
        <v>224000</v>
      </c>
      <c r="M1089" s="10" t="n">
        <v>5084.75</v>
      </c>
      <c r="N1089" s="11">
        <f>IF(M1089="","",ROUND(M1089*1.18,2))</f>
        <v/>
      </c>
      <c r="O1089" s="12">
        <f>IF(M1089="","",ROUND(N1089-M1089,2))</f>
        <v/>
      </c>
      <c r="P1089" s="13">
        <f>IF(AND(A1089&lt;&gt;"",B1089&lt;&gt;""), A1089&amp;" · "&amp;B1089, "")</f>
        <v/>
      </c>
    </row>
    <row r="1090">
      <c r="A1090" s="6" t="inlineStr">
        <is>
          <t>FY26</t>
        </is>
      </c>
      <c r="B1090" s="6" t="inlineStr">
        <is>
          <t>Mar</t>
        </is>
      </c>
      <c r="C1090" s="6" t="inlineStr">
        <is>
          <t>TN</t>
        </is>
      </c>
      <c r="D1090" s="7" t="inlineStr">
        <is>
          <t>TN05BS1164</t>
        </is>
      </c>
      <c r="E1090" s="7" t="inlineStr">
        <is>
          <t>MARUTI SUZUKI</t>
        </is>
      </c>
      <c r="F1090" s="7" t="inlineStr">
        <is>
          <t>Ciaz</t>
        </is>
      </c>
      <c r="G1090" s="7" t="inlineStr">
        <is>
          <t>KHIVRAJ MOTOR</t>
        </is>
      </c>
      <c r="H1090" s="7" t="inlineStr">
        <is>
          <t>Non-Captive</t>
        </is>
      </c>
      <c r="I1090" s="7" t="inlineStr">
        <is>
          <t>car Hub</t>
        </is>
      </c>
      <c r="J1090" s="8" t="n">
        <v>2018</v>
      </c>
      <c r="K1090" s="9" t="n"/>
      <c r="L1090" s="10" t="n">
        <v>500000</v>
      </c>
      <c r="M1090" s="10" t="n">
        <v>5084.75</v>
      </c>
      <c r="N1090" s="11">
        <f>IF(M1090="","",ROUND(M1090*1.18,2))</f>
        <v/>
      </c>
      <c r="O1090" s="12">
        <f>IF(M1090="","",ROUND(N1090-M1090,2))</f>
        <v/>
      </c>
      <c r="P1090" s="13">
        <f>IF(AND(A1090&lt;&gt;"",B1090&lt;&gt;""), A1090&amp;" · "&amp;B1090, "")</f>
        <v/>
      </c>
    </row>
    <row r="1091">
      <c r="A1091" s="6" t="inlineStr">
        <is>
          <t>FY26</t>
        </is>
      </c>
      <c r="B1091" s="6" t="inlineStr">
        <is>
          <t>Mar</t>
        </is>
      </c>
      <c r="C1091" s="6" t="inlineStr">
        <is>
          <t>TN</t>
        </is>
      </c>
      <c r="D1091" s="7" t="inlineStr">
        <is>
          <t>TN05BS1282</t>
        </is>
      </c>
      <c r="E1091" s="7" t="inlineStr">
        <is>
          <t>MARUTI SUZUKI</t>
        </is>
      </c>
      <c r="F1091" s="7" t="inlineStr">
        <is>
          <t>Baleno</t>
        </is>
      </c>
      <c r="G1091" s="7" t="inlineStr">
        <is>
          <t>KHIVRAJ MOTOR</t>
        </is>
      </c>
      <c r="H1091" s="7" t="inlineStr">
        <is>
          <t>Non-Captive</t>
        </is>
      </c>
      <c r="I1091" s="7" t="inlineStr">
        <is>
          <t>Pine Autos</t>
        </is>
      </c>
      <c r="J1091" s="8" t="n">
        <v>2018</v>
      </c>
      <c r="K1091" s="9" t="n">
        <v>95211</v>
      </c>
      <c r="L1091" s="10" t="n">
        <v>450000</v>
      </c>
      <c r="M1091" s="10" t="n">
        <v>5932.2</v>
      </c>
      <c r="N1091" s="11">
        <f>IF(M1091="","",ROUND(M1091*1.18,2))</f>
        <v/>
      </c>
      <c r="O1091" s="12">
        <f>IF(M1091="","",ROUND(N1091-M1091,2))</f>
        <v/>
      </c>
      <c r="P1091" s="13">
        <f>IF(AND(A1091&lt;&gt;"",B1091&lt;&gt;""), A1091&amp;" · "&amp;B1091, "")</f>
        <v/>
      </c>
    </row>
    <row r="1092">
      <c r="A1092" s="6" t="inlineStr">
        <is>
          <t>FY26</t>
        </is>
      </c>
      <c r="B1092" s="6" t="inlineStr">
        <is>
          <t>Mar</t>
        </is>
      </c>
      <c r="C1092" s="6" t="inlineStr">
        <is>
          <t>TN</t>
        </is>
      </c>
      <c r="D1092" s="7" t="inlineStr">
        <is>
          <t>TN05BX5122</t>
        </is>
      </c>
      <c r="E1092" s="7" t="inlineStr">
        <is>
          <t>MARUTI SUZUKI</t>
        </is>
      </c>
      <c r="F1092" s="7" t="inlineStr">
        <is>
          <t>Swift</t>
        </is>
      </c>
      <c r="G1092" s="7" t="inlineStr">
        <is>
          <t>KHIVRAJ MOTOR</t>
        </is>
      </c>
      <c r="H1092" s="7" t="inlineStr">
        <is>
          <t>Non-Captive</t>
        </is>
      </c>
      <c r="I1092" s="7" t="inlineStr">
        <is>
          <t>Nirmal Cars</t>
        </is>
      </c>
      <c r="J1092" s="8" t="n">
        <v>2019</v>
      </c>
      <c r="K1092" s="9" t="n">
        <v>23851</v>
      </c>
      <c r="L1092" s="10" t="n">
        <v>450000</v>
      </c>
      <c r="M1092" s="10" t="n">
        <v>2118.64</v>
      </c>
      <c r="N1092" s="11">
        <f>IF(M1092="","",ROUND(M1092*1.18,2))</f>
        <v/>
      </c>
      <c r="O1092" s="12">
        <f>IF(M1092="","",ROUND(N1092-M1092,2))</f>
        <v/>
      </c>
      <c r="P1092" s="13">
        <f>IF(AND(A1092&lt;&gt;"",B1092&lt;&gt;""), A1092&amp;" · "&amp;B1092, "")</f>
        <v/>
      </c>
    </row>
    <row r="1093">
      <c r="A1093" s="6" t="inlineStr">
        <is>
          <t>FY26</t>
        </is>
      </c>
      <c r="B1093" s="6" t="inlineStr">
        <is>
          <t>Mar</t>
        </is>
      </c>
      <c r="C1093" s="6" t="inlineStr">
        <is>
          <t>TN</t>
        </is>
      </c>
      <c r="D1093" s="7" t="inlineStr">
        <is>
          <t>TN05CC7020</t>
        </is>
      </c>
      <c r="E1093" s="7" t="inlineStr">
        <is>
          <t>NISSAN</t>
        </is>
      </c>
      <c r="F1093" s="7" t="inlineStr">
        <is>
          <t>Magnite</t>
        </is>
      </c>
      <c r="G1093" s="7" t="inlineStr">
        <is>
          <t>KHIVRAJ MOTOR</t>
        </is>
      </c>
      <c r="H1093" s="7" t="inlineStr">
        <is>
          <t>Non-Captive</t>
        </is>
      </c>
      <c r="I1093" s="7" t="inlineStr">
        <is>
          <t>Nirmal Cars</t>
        </is>
      </c>
      <c r="J1093" s="8" t="n">
        <v>2021</v>
      </c>
      <c r="K1093" s="9" t="n">
        <v>57738</v>
      </c>
      <c r="L1093" s="10" t="n">
        <v>450000</v>
      </c>
      <c r="M1093" s="10" t="n">
        <v>2118.64</v>
      </c>
      <c r="N1093" s="11">
        <f>IF(M1093="","",ROUND(M1093*1.18,2))</f>
        <v/>
      </c>
      <c r="O1093" s="12">
        <f>IF(M1093="","",ROUND(N1093-M1093,2))</f>
        <v/>
      </c>
      <c r="P1093" s="13">
        <f>IF(AND(A1093&lt;&gt;"",B1093&lt;&gt;""), A1093&amp;" · "&amp;B1093, "")</f>
        <v/>
      </c>
    </row>
    <row r="1094">
      <c r="A1094" s="6" t="inlineStr">
        <is>
          <t>FY26</t>
        </is>
      </c>
      <c r="B1094" s="6" t="inlineStr">
        <is>
          <t>Mar</t>
        </is>
      </c>
      <c r="C1094" s="6" t="inlineStr">
        <is>
          <t>TN</t>
        </is>
      </c>
      <c r="D1094" s="7" t="inlineStr">
        <is>
          <t>TN05CS5654</t>
        </is>
      </c>
      <c r="E1094" s="7" t="inlineStr">
        <is>
          <t>TATA</t>
        </is>
      </c>
      <c r="F1094" s="7" t="inlineStr">
        <is>
          <t>Punch</t>
        </is>
      </c>
      <c r="G1094" s="7" t="inlineStr">
        <is>
          <t>KHIVRAJ MOTOR</t>
        </is>
      </c>
      <c r="H1094" s="7" t="inlineStr">
        <is>
          <t>Non-Captive</t>
        </is>
      </c>
      <c r="I1094" s="7" t="inlineStr">
        <is>
          <t>Santhosh Cars</t>
        </is>
      </c>
      <c r="J1094" s="8" t="n">
        <v>2024</v>
      </c>
      <c r="K1094" s="9" t="n">
        <v>54322</v>
      </c>
      <c r="L1094" s="10" t="n">
        <v>700000</v>
      </c>
      <c r="M1094" s="10" t="n">
        <v>2118.64</v>
      </c>
      <c r="N1094" s="11">
        <f>IF(M1094="","",ROUND(M1094*1.18,2))</f>
        <v/>
      </c>
      <c r="O1094" s="12">
        <f>IF(M1094="","",ROUND(N1094-M1094,2))</f>
        <v/>
      </c>
      <c r="P1094" s="13">
        <f>IF(AND(A1094&lt;&gt;"",B1094&lt;&gt;""), A1094&amp;" · "&amp;B1094, "")</f>
        <v/>
      </c>
    </row>
    <row r="1095">
      <c r="A1095" s="6" t="inlineStr">
        <is>
          <t>FY26</t>
        </is>
      </c>
      <c r="B1095" s="6" t="inlineStr">
        <is>
          <t>Mar</t>
        </is>
      </c>
      <c r="C1095" s="6" t="inlineStr">
        <is>
          <t>TN</t>
        </is>
      </c>
      <c r="D1095" s="7" t="inlineStr">
        <is>
          <t>TN05T7544</t>
        </is>
      </c>
      <c r="E1095" s="7" t="inlineStr">
        <is>
          <t>HYUNDAI</t>
        </is>
      </c>
      <c r="F1095" s="7" t="inlineStr">
        <is>
          <t>Santro</t>
        </is>
      </c>
      <c r="G1095" s="7" t="inlineStr">
        <is>
          <t>KHIVRAJ MOTOR</t>
        </is>
      </c>
      <c r="H1095" s="7" t="inlineStr">
        <is>
          <t>Non-Captive</t>
        </is>
      </c>
      <c r="I1095" s="7" t="inlineStr">
        <is>
          <t>Sri Shakthi Vinayaga Cars</t>
        </is>
      </c>
      <c r="J1095" s="8" t="n">
        <v>2006</v>
      </c>
      <c r="K1095" s="9" t="n">
        <v>89800</v>
      </c>
      <c r="L1095" s="10" t="n">
        <v>100000</v>
      </c>
      <c r="M1095" s="10" t="n">
        <v>2118.64</v>
      </c>
      <c r="N1095" s="11">
        <f>IF(M1095="","",ROUND(M1095*1.18,2))</f>
        <v/>
      </c>
      <c r="O1095" s="12">
        <f>IF(M1095="","",ROUND(N1095-M1095,2))</f>
        <v/>
      </c>
      <c r="P1095" s="13">
        <f>IF(AND(A1095&lt;&gt;"",B1095&lt;&gt;""), A1095&amp;" · "&amp;B1095, "")</f>
        <v/>
      </c>
    </row>
    <row r="1096">
      <c r="A1096" s="6" t="inlineStr">
        <is>
          <t>FY26</t>
        </is>
      </c>
      <c r="B1096" s="6" t="inlineStr">
        <is>
          <t>Mar</t>
        </is>
      </c>
      <c r="C1096" s="6" t="inlineStr">
        <is>
          <t>TN</t>
        </is>
      </c>
      <c r="D1096" s="7" t="inlineStr">
        <is>
          <t>TN05X7900</t>
        </is>
      </c>
      <c r="E1096" s="7" t="inlineStr">
        <is>
          <t>HYUNDAI</t>
        </is>
      </c>
      <c r="F1096" s="7" t="inlineStr">
        <is>
          <t>Getz</t>
        </is>
      </c>
      <c r="G1096" s="7" t="inlineStr">
        <is>
          <t>KHIVRAJ MOTOR</t>
        </is>
      </c>
      <c r="H1096" s="7" t="inlineStr">
        <is>
          <t>Non-Captive</t>
        </is>
      </c>
      <c r="I1096" s="7" t="inlineStr">
        <is>
          <t>Santhosh Cars</t>
        </is>
      </c>
      <c r="J1096" s="8" t="n">
        <v>2008</v>
      </c>
      <c r="K1096" s="9" t="n">
        <v>48958</v>
      </c>
      <c r="L1096" s="10" t="n">
        <v>100000</v>
      </c>
      <c r="M1096" s="10" t="n">
        <v>2118.64</v>
      </c>
      <c r="N1096" s="11">
        <f>IF(M1096="","",ROUND(M1096*1.18,2))</f>
        <v/>
      </c>
      <c r="O1096" s="12">
        <f>IF(M1096="","",ROUND(N1096-M1096,2))</f>
        <v/>
      </c>
      <c r="P1096" s="13">
        <f>IF(AND(A1096&lt;&gt;"",B1096&lt;&gt;""), A1096&amp;" · "&amp;B1096, "")</f>
        <v/>
      </c>
    </row>
    <row r="1097">
      <c r="A1097" s="6" t="inlineStr">
        <is>
          <t>FY26</t>
        </is>
      </c>
      <c r="B1097" s="6" t="inlineStr">
        <is>
          <t>Mar</t>
        </is>
      </c>
      <c r="C1097" s="6" t="inlineStr">
        <is>
          <t>TN</t>
        </is>
      </c>
      <c r="D1097" s="7" t="inlineStr">
        <is>
          <t>TN06AC2214</t>
        </is>
      </c>
      <c r="E1097" s="7" t="inlineStr">
        <is>
          <t>HONDA</t>
        </is>
      </c>
      <c r="F1097" s="7" t="inlineStr">
        <is>
          <t>City</t>
        </is>
      </c>
      <c r="G1097" s="7" t="inlineStr">
        <is>
          <t>EXCHANGE CHENNAI</t>
        </is>
      </c>
      <c r="H1097" s="7" t="inlineStr">
        <is>
          <t>Captive</t>
        </is>
      </c>
      <c r="I1097" s="7" t="inlineStr">
        <is>
          <t>Santhosh Cars</t>
        </is>
      </c>
      <c r="J1097" s="8" t="n">
        <v>2022</v>
      </c>
      <c r="K1097" s="9" t="n">
        <v>23487</v>
      </c>
      <c r="L1097" s="10" t="n">
        <v>1070000</v>
      </c>
      <c r="M1097" s="10" t="n">
        <v>8474.58</v>
      </c>
      <c r="N1097" s="11">
        <f>IF(M1097="","",ROUND(M1097*1.18,2))</f>
        <v/>
      </c>
      <c r="O1097" s="12">
        <f>IF(M1097="","",ROUND(N1097-M1097,2))</f>
        <v/>
      </c>
      <c r="P1097" s="13">
        <f>IF(AND(A1097&lt;&gt;"",B1097&lt;&gt;""), A1097&amp;" · "&amp;B1097, "")</f>
        <v/>
      </c>
    </row>
    <row r="1098">
      <c r="A1098" s="6" t="inlineStr">
        <is>
          <t>FY26</t>
        </is>
      </c>
      <c r="B1098" s="6" t="inlineStr">
        <is>
          <t>Mar</t>
        </is>
      </c>
      <c r="C1098" s="6" t="inlineStr">
        <is>
          <t>TN</t>
        </is>
      </c>
      <c r="D1098" s="7" t="inlineStr">
        <is>
          <t>TN06B5438</t>
        </is>
      </c>
      <c r="E1098" s="7" t="inlineStr">
        <is>
          <t>HONDA</t>
        </is>
      </c>
      <c r="F1098" s="7" t="inlineStr">
        <is>
          <t>Jazz</t>
        </is>
      </c>
      <c r="G1098" s="7" t="inlineStr">
        <is>
          <t>EXCHANGE CHENNAI</t>
        </is>
      </c>
      <c r="H1098" s="7" t="inlineStr">
        <is>
          <t>Captive</t>
        </is>
      </c>
      <c r="I1098" s="7" t="inlineStr">
        <is>
          <t>Santhosh Cars</t>
        </is>
      </c>
      <c r="J1098" s="8" t="n">
        <v>2010</v>
      </c>
      <c r="K1098" s="9" t="n">
        <v>55412</v>
      </c>
      <c r="L1098" s="10" t="n">
        <v>180000</v>
      </c>
      <c r="M1098" s="10" t="n">
        <v>6779.66</v>
      </c>
      <c r="N1098" s="11">
        <f>IF(M1098="","",ROUND(M1098*1.18,2))</f>
        <v/>
      </c>
      <c r="O1098" s="12">
        <f>IF(M1098="","",ROUND(N1098-M1098,2))</f>
        <v/>
      </c>
      <c r="P1098" s="13">
        <f>IF(AND(A1098&lt;&gt;"",B1098&lt;&gt;""), A1098&amp;" · "&amp;B1098, "")</f>
        <v/>
      </c>
    </row>
    <row r="1099">
      <c r="A1099" s="6" t="inlineStr">
        <is>
          <t>FY26</t>
        </is>
      </c>
      <c r="B1099" s="6" t="inlineStr">
        <is>
          <t>Mar</t>
        </is>
      </c>
      <c r="C1099" s="6" t="inlineStr">
        <is>
          <t>TN</t>
        </is>
      </c>
      <c r="D1099" s="7" t="inlineStr">
        <is>
          <t>TN06H6802</t>
        </is>
      </c>
      <c r="E1099" s="7" t="inlineStr">
        <is>
          <t>HONDA</t>
        </is>
      </c>
      <c r="F1099" s="7" t="inlineStr">
        <is>
          <t>Brio</t>
        </is>
      </c>
      <c r="G1099" s="7" t="inlineStr">
        <is>
          <t>EXCHANGE CHENNAI</t>
        </is>
      </c>
      <c r="H1099" s="7" t="inlineStr">
        <is>
          <t>Captive</t>
        </is>
      </c>
      <c r="I1099" s="7" t="inlineStr">
        <is>
          <t>AAA Cars</t>
        </is>
      </c>
      <c r="J1099" s="8" t="n">
        <v>2012</v>
      </c>
      <c r="K1099" s="9" t="n">
        <v>141881</v>
      </c>
      <c r="L1099" s="10" t="n">
        <v>195000</v>
      </c>
      <c r="M1099" s="10" t="n">
        <v>4237.29</v>
      </c>
      <c r="N1099" s="11">
        <f>IF(M1099="","",ROUND(M1099*1.18,2))</f>
        <v/>
      </c>
      <c r="O1099" s="12">
        <f>IF(M1099="","",ROUND(N1099-M1099,2))</f>
        <v/>
      </c>
      <c r="P1099" s="13">
        <f>IF(AND(A1099&lt;&gt;"",B1099&lt;&gt;""), A1099&amp;" · "&amp;B1099, "")</f>
        <v/>
      </c>
    </row>
    <row r="1100">
      <c r="A1100" s="6" t="inlineStr">
        <is>
          <t>FY26</t>
        </is>
      </c>
      <c r="B1100" s="6" t="inlineStr">
        <is>
          <t>Mar</t>
        </is>
      </c>
      <c r="C1100" s="6" t="inlineStr">
        <is>
          <t>TN</t>
        </is>
      </c>
      <c r="D1100" s="7" t="inlineStr">
        <is>
          <t>TN06J7467</t>
        </is>
      </c>
      <c r="E1100" s="7" t="inlineStr">
        <is>
          <t>SKODA</t>
        </is>
      </c>
      <c r="F1100" s="7" t="inlineStr">
        <is>
          <t>&lt;NA&gt;</t>
        </is>
      </c>
      <c r="G1100" s="7" t="inlineStr">
        <is>
          <t>POPULAR VEHICLES</t>
        </is>
      </c>
      <c r="H1100" s="7" t="inlineStr">
        <is>
          <t>Non-Captive</t>
        </is>
      </c>
      <c r="I1100" s="7" t="inlineStr">
        <is>
          <t>Kamal Cars</t>
        </is>
      </c>
      <c r="J1100" s="8" t="n">
        <v>2013</v>
      </c>
      <c r="K1100" s="9" t="n">
        <v>90456</v>
      </c>
      <c r="L1100" s="10" t="n">
        <v>175000</v>
      </c>
      <c r="M1100" s="10" t="n">
        <v>4237.29</v>
      </c>
      <c r="N1100" s="11">
        <f>IF(M1100="","",ROUND(M1100*1.18,2))</f>
        <v/>
      </c>
      <c r="O1100" s="12">
        <f>IF(M1100="","",ROUND(N1100-M1100,2))</f>
        <v/>
      </c>
      <c r="P1100" s="13">
        <f>IF(AND(A1100&lt;&gt;"",B1100&lt;&gt;""), A1100&amp;" · "&amp;B1100, "")</f>
        <v/>
      </c>
    </row>
    <row r="1101">
      <c r="A1101" s="6" t="inlineStr">
        <is>
          <t>FY26</t>
        </is>
      </c>
      <c r="B1101" s="6" t="inlineStr">
        <is>
          <t>Mar</t>
        </is>
      </c>
      <c r="C1101" s="6" t="inlineStr">
        <is>
          <t>TN</t>
        </is>
      </c>
      <c r="D1101" s="7" t="inlineStr">
        <is>
          <t>TN06L3925</t>
        </is>
      </c>
      <c r="E1101" s="7" t="inlineStr">
        <is>
          <t>FORD</t>
        </is>
      </c>
      <c r="F1101" s="7" t="inlineStr">
        <is>
          <t>EcoSport</t>
        </is>
      </c>
      <c r="G1101" s="7" t="inlineStr">
        <is>
          <t>KHIVRAJ MOTOR</t>
        </is>
      </c>
      <c r="H1101" s="7" t="inlineStr">
        <is>
          <t>Non-Captive</t>
        </is>
      </c>
      <c r="I1101" s="7" t="inlineStr">
        <is>
          <t>Santhosh Cars</t>
        </is>
      </c>
      <c r="J1101" s="8" t="n">
        <v>2014</v>
      </c>
      <c r="K1101" s="9" t="n">
        <v>84404</v>
      </c>
      <c r="L1101" s="10" t="n">
        <v>250000</v>
      </c>
      <c r="M1101" s="10" t="n">
        <v>2118.64</v>
      </c>
      <c r="N1101" s="11">
        <f>IF(M1101="","",ROUND(M1101*1.18,2))</f>
        <v/>
      </c>
      <c r="O1101" s="12">
        <f>IF(M1101="","",ROUND(N1101-M1101,2))</f>
        <v/>
      </c>
      <c r="P1101" s="13">
        <f>IF(AND(A1101&lt;&gt;"",B1101&lt;&gt;""), A1101&amp;" · "&amp;B1101, "")</f>
        <v/>
      </c>
    </row>
    <row r="1102">
      <c r="A1102" s="6" t="inlineStr">
        <is>
          <t>FY26</t>
        </is>
      </c>
      <c r="B1102" s="6" t="inlineStr">
        <is>
          <t>Mar</t>
        </is>
      </c>
      <c r="C1102" s="6" t="inlineStr">
        <is>
          <t>TN</t>
        </is>
      </c>
      <c r="D1102" s="7" t="inlineStr">
        <is>
          <t>TN06M3895</t>
        </is>
      </c>
      <c r="E1102" s="7" t="inlineStr">
        <is>
          <t>HYUNDAI</t>
        </is>
      </c>
      <c r="F1102" s="7" t="inlineStr">
        <is>
          <t>Eon</t>
        </is>
      </c>
      <c r="G1102" s="7" t="inlineStr">
        <is>
          <t>KHIVRAJ MOTOR</t>
        </is>
      </c>
      <c r="H1102" s="7" t="inlineStr">
        <is>
          <t>Non-Captive</t>
        </is>
      </c>
      <c r="I1102" s="7" t="inlineStr">
        <is>
          <t>Santhosh Cars</t>
        </is>
      </c>
      <c r="J1102" s="8" t="n">
        <v>2014</v>
      </c>
      <c r="K1102" s="9" t="n">
        <v>45722</v>
      </c>
      <c r="L1102" s="10" t="n">
        <v>160000</v>
      </c>
      <c r="M1102" s="10" t="n">
        <v>2118.64</v>
      </c>
      <c r="N1102" s="11">
        <f>IF(M1102="","",ROUND(M1102*1.18,2))</f>
        <v/>
      </c>
      <c r="O1102" s="12">
        <f>IF(M1102="","",ROUND(N1102-M1102,2))</f>
        <v/>
      </c>
      <c r="P1102" s="13">
        <f>IF(AND(A1102&lt;&gt;"",B1102&lt;&gt;""), A1102&amp;" · "&amp;B1102, "")</f>
        <v/>
      </c>
    </row>
    <row r="1103">
      <c r="A1103" s="6" t="inlineStr">
        <is>
          <t>FY26</t>
        </is>
      </c>
      <c r="B1103" s="6" t="inlineStr">
        <is>
          <t>Mar</t>
        </is>
      </c>
      <c r="C1103" s="6" t="inlineStr">
        <is>
          <t>TN</t>
        </is>
      </c>
      <c r="D1103" s="7" t="inlineStr">
        <is>
          <t>TN06P9658</t>
        </is>
      </c>
      <c r="E1103" s="7" t="inlineStr">
        <is>
          <t>HYUNDAI</t>
        </is>
      </c>
      <c r="F1103" s="7" t="inlineStr">
        <is>
          <t>Grand i10</t>
        </is>
      </c>
      <c r="G1103" s="7" t="inlineStr">
        <is>
          <t>KALYANI MOTORS MARUTI</t>
        </is>
      </c>
      <c r="H1103" s="7" t="inlineStr">
        <is>
          <t>Non-Captive</t>
        </is>
      </c>
      <c r="I1103" s="7" t="inlineStr">
        <is>
          <t>Santhosh Cars</t>
        </is>
      </c>
      <c r="J1103" s="8" t="n">
        <v>2015</v>
      </c>
      <c r="K1103" s="9" t="n">
        <v>75324</v>
      </c>
      <c r="L1103" s="10" t="n">
        <v>210000</v>
      </c>
      <c r="M1103" s="10" t="n">
        <v>2118.64</v>
      </c>
      <c r="N1103" s="11">
        <f>IF(M1103="","",ROUND(M1103*1.18,2))</f>
        <v/>
      </c>
      <c r="O1103" s="12">
        <f>IF(M1103="","",ROUND(N1103-M1103,2))</f>
        <v/>
      </c>
      <c r="P1103" s="13">
        <f>IF(AND(A1103&lt;&gt;"",B1103&lt;&gt;""), A1103&amp;" · "&amp;B1103, "")</f>
        <v/>
      </c>
    </row>
    <row r="1104">
      <c r="A1104" s="6" t="inlineStr">
        <is>
          <t>FY26</t>
        </is>
      </c>
      <c r="B1104" s="6" t="inlineStr">
        <is>
          <t>Mar</t>
        </is>
      </c>
      <c r="C1104" s="6" t="inlineStr">
        <is>
          <t>TN</t>
        </is>
      </c>
      <c r="D1104" s="7" t="inlineStr">
        <is>
          <t>TN06R2455</t>
        </is>
      </c>
      <c r="E1104" s="7" t="inlineStr">
        <is>
          <t>HONDA</t>
        </is>
      </c>
      <c r="F1104" s="7" t="inlineStr">
        <is>
          <t>City</t>
        </is>
      </c>
      <c r="G1104" s="7" t="inlineStr">
        <is>
          <t>EXCHANGE CHENNAI</t>
        </is>
      </c>
      <c r="H1104" s="7" t="inlineStr">
        <is>
          <t>Captive</t>
        </is>
      </c>
      <c r="I1104" s="7" t="inlineStr">
        <is>
          <t>Barani Cars</t>
        </is>
      </c>
      <c r="J1104" s="8" t="n">
        <v>2016</v>
      </c>
      <c r="K1104" s="9" t="n">
        <v>274887</v>
      </c>
      <c r="L1104" s="10" t="n">
        <v>500000</v>
      </c>
      <c r="M1104" s="10" t="n">
        <v>8474.58</v>
      </c>
      <c r="N1104" s="11">
        <f>IF(M1104="","",ROUND(M1104*1.18,2))</f>
        <v/>
      </c>
      <c r="O1104" s="12">
        <f>IF(M1104="","",ROUND(N1104-M1104,2))</f>
        <v/>
      </c>
      <c r="P1104" s="13">
        <f>IF(AND(A1104&lt;&gt;"",B1104&lt;&gt;""), A1104&amp;" · "&amp;B1104, "")</f>
        <v/>
      </c>
    </row>
    <row r="1105">
      <c r="A1105" s="6" t="inlineStr">
        <is>
          <t>FY26</t>
        </is>
      </c>
      <c r="B1105" s="6" t="inlineStr">
        <is>
          <t>Mar</t>
        </is>
      </c>
      <c r="C1105" s="6" t="inlineStr">
        <is>
          <t>TN</t>
        </is>
      </c>
      <c r="D1105" s="7" t="inlineStr">
        <is>
          <t>TN06R2587</t>
        </is>
      </c>
      <c r="E1105" s="7" t="inlineStr">
        <is>
          <t>HONDA</t>
        </is>
      </c>
      <c r="F1105" s="7" t="inlineStr">
        <is>
          <t>Amaze</t>
        </is>
      </c>
      <c r="G1105" s="7" t="inlineStr">
        <is>
          <t>EXCHANGE CHENNAI</t>
        </is>
      </c>
      <c r="H1105" s="7" t="inlineStr">
        <is>
          <t>Captive</t>
        </is>
      </c>
      <c r="I1105" s="7" t="inlineStr">
        <is>
          <t>Santhosh Cars</t>
        </is>
      </c>
      <c r="J1105" s="8" t="n">
        <v>2016</v>
      </c>
      <c r="K1105" s="9" t="n">
        <v>119017</v>
      </c>
      <c r="L1105" s="10" t="n">
        <v>250000</v>
      </c>
      <c r="M1105" s="10" t="n">
        <v>8474.58</v>
      </c>
      <c r="N1105" s="11">
        <f>IF(M1105="","",ROUND(M1105*1.18,2))</f>
        <v/>
      </c>
      <c r="O1105" s="12">
        <f>IF(M1105="","",ROUND(N1105-M1105,2))</f>
        <v/>
      </c>
      <c r="P1105" s="13">
        <f>IF(AND(A1105&lt;&gt;"",B1105&lt;&gt;""), A1105&amp;" · "&amp;B1105, "")</f>
        <v/>
      </c>
    </row>
    <row r="1106">
      <c r="A1106" s="6" t="inlineStr">
        <is>
          <t>FY26</t>
        </is>
      </c>
      <c r="B1106" s="6" t="inlineStr">
        <is>
          <t>Mar</t>
        </is>
      </c>
      <c r="C1106" s="6" t="inlineStr">
        <is>
          <t>TN</t>
        </is>
      </c>
      <c r="D1106" s="7" t="inlineStr">
        <is>
          <t>TN06R7488</t>
        </is>
      </c>
      <c r="E1106" s="7" t="inlineStr">
        <is>
          <t>MARUTI SUZUKI</t>
        </is>
      </c>
      <c r="F1106" s="7" t="inlineStr">
        <is>
          <t>Ertiga</t>
        </is>
      </c>
      <c r="G1106" s="7" t="inlineStr">
        <is>
          <t>KHIVRAJ MOTOR</t>
        </is>
      </c>
      <c r="H1106" s="7" t="inlineStr">
        <is>
          <t>Non-Captive</t>
        </is>
      </c>
      <c r="I1106" s="7" t="inlineStr">
        <is>
          <t>AAA Cars</t>
        </is>
      </c>
      <c r="J1106" s="8" t="n">
        <v>2016</v>
      </c>
      <c r="K1106" s="9" t="n">
        <v>82600</v>
      </c>
      <c r="L1106" s="10" t="n">
        <v>582000</v>
      </c>
      <c r="M1106" s="10" t="n">
        <v>6779.66</v>
      </c>
      <c r="N1106" s="11">
        <f>IF(M1106="","",ROUND(M1106*1.18,2))</f>
        <v/>
      </c>
      <c r="O1106" s="12">
        <f>IF(M1106="","",ROUND(N1106-M1106,2))</f>
        <v/>
      </c>
      <c r="P1106" s="13">
        <f>IF(AND(A1106&lt;&gt;"",B1106&lt;&gt;""), A1106&amp;" · "&amp;B1106, "")</f>
        <v/>
      </c>
    </row>
    <row r="1107">
      <c r="A1107" s="6" t="inlineStr">
        <is>
          <t>FY26</t>
        </is>
      </c>
      <c r="B1107" s="6" t="inlineStr">
        <is>
          <t>Mar</t>
        </is>
      </c>
      <c r="C1107" s="6" t="inlineStr">
        <is>
          <t>TN</t>
        </is>
      </c>
      <c r="D1107" s="7" t="inlineStr">
        <is>
          <t>TN06T7205</t>
        </is>
      </c>
      <c r="E1107" s="7" t="inlineStr">
        <is>
          <t>MARUTI SUZUKI</t>
        </is>
      </c>
      <c r="F1107" s="7" t="inlineStr">
        <is>
          <t>Baleno</t>
        </is>
      </c>
      <c r="G1107" s="7" t="inlineStr">
        <is>
          <t>EXCHANGE CHENNAI</t>
        </is>
      </c>
      <c r="H1107" s="7" t="inlineStr">
        <is>
          <t>Captive</t>
        </is>
      </c>
      <c r="I1107" s="7" t="inlineStr">
        <is>
          <t>Santhosh Cars</t>
        </is>
      </c>
      <c r="J1107" s="8" t="n">
        <v>2017</v>
      </c>
      <c r="K1107" s="9" t="n"/>
      <c r="L1107" s="10" t="n">
        <v>410000</v>
      </c>
      <c r="M1107" s="10" t="n">
        <v>8474.58</v>
      </c>
      <c r="N1107" s="11">
        <f>IF(M1107="","",ROUND(M1107*1.18,2))</f>
        <v/>
      </c>
      <c r="O1107" s="12">
        <f>IF(M1107="","",ROUND(N1107-M1107,2))</f>
        <v/>
      </c>
      <c r="P1107" s="13">
        <f>IF(AND(A1107&lt;&gt;"",B1107&lt;&gt;""), A1107&amp;" · "&amp;B1107, "")</f>
        <v/>
      </c>
    </row>
    <row r="1108">
      <c r="A1108" s="6" t="inlineStr">
        <is>
          <t>FY26</t>
        </is>
      </c>
      <c r="B1108" s="6" t="inlineStr">
        <is>
          <t>Mar</t>
        </is>
      </c>
      <c r="C1108" s="6" t="inlineStr">
        <is>
          <t>TN</t>
        </is>
      </c>
      <c r="D1108" s="7" t="inlineStr">
        <is>
          <t>TN06U5789</t>
        </is>
      </c>
      <c r="E1108" s="7" t="inlineStr">
        <is>
          <t>FORD</t>
        </is>
      </c>
      <c r="F1108" s="7" t="inlineStr">
        <is>
          <t>EcoSport</t>
        </is>
      </c>
      <c r="G1108" s="7" t="inlineStr">
        <is>
          <t>KHIVRAJ MOTOR</t>
        </is>
      </c>
      <c r="H1108" s="7" t="inlineStr">
        <is>
          <t>Non-Captive</t>
        </is>
      </c>
      <c r="I1108" s="7" t="inlineStr">
        <is>
          <t>RAJESH WARI (RAM CARS</t>
        </is>
      </c>
      <c r="J1108" s="8" t="n">
        <v>2017</v>
      </c>
      <c r="K1108" s="9" t="n">
        <v>74988</v>
      </c>
      <c r="L1108" s="10" t="n">
        <v>300000</v>
      </c>
      <c r="M1108" s="10" t="n">
        <v>1694.92</v>
      </c>
      <c r="N1108" s="11">
        <f>IF(M1108="","",ROUND(M1108*1.18,2))</f>
        <v/>
      </c>
      <c r="O1108" s="12">
        <f>IF(M1108="","",ROUND(N1108-M1108,2))</f>
        <v/>
      </c>
      <c r="P1108" s="13">
        <f>IF(AND(A1108&lt;&gt;"",B1108&lt;&gt;""), A1108&amp;" · "&amp;B1108, "")</f>
        <v/>
      </c>
    </row>
    <row r="1109">
      <c r="A1109" s="6" t="inlineStr">
        <is>
          <t>FY26</t>
        </is>
      </c>
      <c r="B1109" s="6" t="inlineStr">
        <is>
          <t>Mar</t>
        </is>
      </c>
      <c r="C1109" s="6" t="inlineStr">
        <is>
          <t>TN</t>
        </is>
      </c>
      <c r="D1109" s="7" t="inlineStr">
        <is>
          <t>TN06W1072</t>
        </is>
      </c>
      <c r="E1109" s="7" t="inlineStr">
        <is>
          <t>MARUTI SUZUKI</t>
        </is>
      </c>
      <c r="F1109" s="7" t="inlineStr">
        <is>
          <t>Alto</t>
        </is>
      </c>
      <c r="G1109" s="7" t="inlineStr">
        <is>
          <t>KHIVRAJ MOTOR</t>
        </is>
      </c>
      <c r="H1109" s="7" t="inlineStr">
        <is>
          <t>Non-Captive</t>
        </is>
      </c>
      <c r="I1109" s="7" t="inlineStr">
        <is>
          <t>RAJESH WARI (RAM CARS</t>
        </is>
      </c>
      <c r="J1109" s="8" t="n">
        <v>2018</v>
      </c>
      <c r="K1109" s="9" t="n">
        <v>12187</v>
      </c>
      <c r="L1109" s="10" t="n">
        <v>230000</v>
      </c>
      <c r="M1109" s="10" t="n">
        <v>2118.64</v>
      </c>
      <c r="N1109" s="11">
        <f>IF(M1109="","",ROUND(M1109*1.18,2))</f>
        <v/>
      </c>
      <c r="O1109" s="12">
        <f>IF(M1109="","",ROUND(N1109-M1109,2))</f>
        <v/>
      </c>
      <c r="P1109" s="13">
        <f>IF(AND(A1109&lt;&gt;"",B1109&lt;&gt;""), A1109&amp;" · "&amp;B1109, "")</f>
        <v/>
      </c>
    </row>
    <row r="1110">
      <c r="A1110" s="6" t="inlineStr">
        <is>
          <t>FY26</t>
        </is>
      </c>
      <c r="B1110" s="6" t="inlineStr">
        <is>
          <t>Mar</t>
        </is>
      </c>
      <c r="C1110" s="6" t="inlineStr">
        <is>
          <t>TN</t>
        </is>
      </c>
      <c r="D1110" s="7" t="inlineStr">
        <is>
          <t>TN06Y7983</t>
        </is>
      </c>
      <c r="E1110" s="7" t="inlineStr">
        <is>
          <t>HONDA</t>
        </is>
      </c>
      <c r="F1110" s="7" t="inlineStr">
        <is>
          <t>City</t>
        </is>
      </c>
      <c r="G1110" s="7" t="inlineStr">
        <is>
          <t>EXCHANGE CHENNAI</t>
        </is>
      </c>
      <c r="H1110" s="7" t="inlineStr">
        <is>
          <t>Captive</t>
        </is>
      </c>
      <c r="I1110" s="7" t="inlineStr">
        <is>
          <t>Santhosh Cars</t>
        </is>
      </c>
      <c r="J1110" s="8" t="n">
        <v>2019</v>
      </c>
      <c r="K1110" s="9" t="n">
        <v>62643</v>
      </c>
      <c r="L1110" s="10" t="n">
        <v>580000</v>
      </c>
      <c r="M1110" s="10" t="n">
        <v>8474.58</v>
      </c>
      <c r="N1110" s="11">
        <f>IF(M1110="","",ROUND(M1110*1.18,2))</f>
        <v/>
      </c>
      <c r="O1110" s="12">
        <f>IF(M1110="","",ROUND(N1110-M1110,2))</f>
        <v/>
      </c>
      <c r="P1110" s="13">
        <f>IF(AND(A1110&lt;&gt;"",B1110&lt;&gt;""), A1110&amp;" · "&amp;B1110, "")</f>
        <v/>
      </c>
    </row>
    <row r="1111">
      <c r="A1111" s="6" t="inlineStr">
        <is>
          <t>FY26</t>
        </is>
      </c>
      <c r="B1111" s="6" t="inlineStr">
        <is>
          <t>Mar</t>
        </is>
      </c>
      <c r="C1111" s="6" t="inlineStr">
        <is>
          <t>TN</t>
        </is>
      </c>
      <c r="D1111" s="7" t="inlineStr">
        <is>
          <t>TN07AL8511</t>
        </is>
      </c>
      <c r="E1111" s="7" t="inlineStr">
        <is>
          <t>CHEVROLET</t>
        </is>
      </c>
      <c r="F1111" s="7" t="inlineStr">
        <is>
          <t>Aveo</t>
        </is>
      </c>
      <c r="G1111" s="7" t="inlineStr">
        <is>
          <t>KHIVRAJ MOTOR</t>
        </is>
      </c>
      <c r="H1111" s="7" t="inlineStr">
        <is>
          <t>Non-Captive</t>
        </is>
      </c>
      <c r="I1111" s="7" t="inlineStr">
        <is>
          <t>Nirmal Cars</t>
        </is>
      </c>
      <c r="J1111" s="8" t="n">
        <v>2007</v>
      </c>
      <c r="K1111" s="9" t="n">
        <v>21429</v>
      </c>
      <c r="L1111" s="10" t="n">
        <v>50000</v>
      </c>
      <c r="M1111" s="10" t="n">
        <v>2118.64</v>
      </c>
      <c r="N1111" s="11">
        <f>IF(M1111="","",ROUND(M1111*1.18,2))</f>
        <v/>
      </c>
      <c r="O1111" s="12">
        <f>IF(M1111="","",ROUND(N1111-M1111,2))</f>
        <v/>
      </c>
      <c r="P1111" s="13">
        <f>IF(AND(A1111&lt;&gt;"",B1111&lt;&gt;""), A1111&amp;" · "&amp;B1111, "")</f>
        <v/>
      </c>
    </row>
    <row r="1112">
      <c r="A1112" s="6" t="inlineStr">
        <is>
          <t>FY26</t>
        </is>
      </c>
      <c r="B1112" s="6" t="inlineStr">
        <is>
          <t>Mar</t>
        </is>
      </c>
      <c r="C1112" s="6" t="inlineStr">
        <is>
          <t>TN</t>
        </is>
      </c>
      <c r="D1112" s="7" t="inlineStr">
        <is>
          <t>TN07AP0137</t>
        </is>
      </c>
      <c r="E1112" s="7" t="inlineStr">
        <is>
          <t>MARUTI SUZUKI</t>
        </is>
      </c>
      <c r="F1112" s="7" t="inlineStr">
        <is>
          <t>Swift</t>
        </is>
      </c>
      <c r="G1112" s="7" t="inlineStr">
        <is>
          <t>KALYANI MOTORS MARUTI</t>
        </is>
      </c>
      <c r="H1112" s="7" t="inlineStr">
        <is>
          <t>Non-Captive</t>
        </is>
      </c>
      <c r="I1112" s="7" t="inlineStr">
        <is>
          <t>Sri Shakthi Vinayaga Cars</t>
        </is>
      </c>
      <c r="J1112" s="8" t="n">
        <v>2007</v>
      </c>
      <c r="K1112" s="9" t="n">
        <v>44048</v>
      </c>
      <c r="L1112" s="10" t="n">
        <v>200000</v>
      </c>
      <c r="M1112" s="10" t="n">
        <v>2118.64</v>
      </c>
      <c r="N1112" s="11">
        <f>IF(M1112="","",ROUND(M1112*1.18,2))</f>
        <v/>
      </c>
      <c r="O1112" s="12">
        <f>IF(M1112="","",ROUND(N1112-M1112,2))</f>
        <v/>
      </c>
      <c r="P1112" s="13">
        <f>IF(AND(A1112&lt;&gt;"",B1112&lt;&gt;""), A1112&amp;" · "&amp;B1112, "")</f>
        <v/>
      </c>
    </row>
    <row r="1113">
      <c r="A1113" s="6" t="inlineStr">
        <is>
          <t>FY26</t>
        </is>
      </c>
      <c r="B1113" s="6" t="inlineStr">
        <is>
          <t>Mar</t>
        </is>
      </c>
      <c r="C1113" s="6" t="inlineStr">
        <is>
          <t>TN</t>
        </is>
      </c>
      <c r="D1113" s="7" t="inlineStr">
        <is>
          <t>TN07AS7498</t>
        </is>
      </c>
      <c r="E1113" s="7" t="inlineStr">
        <is>
          <t>MARUTI SUZUKI</t>
        </is>
      </c>
      <c r="F1113" s="7" t="inlineStr">
        <is>
          <t>Alto</t>
        </is>
      </c>
      <c r="G1113" s="7" t="inlineStr">
        <is>
          <t>KHIVRAJ MOTOR</t>
        </is>
      </c>
      <c r="H1113" s="7" t="inlineStr">
        <is>
          <t>Non-Captive</t>
        </is>
      </c>
      <c r="I1113" s="7" t="inlineStr">
        <is>
          <t>Pine Autos</t>
        </is>
      </c>
      <c r="J1113" s="8" t="n">
        <v>2007</v>
      </c>
      <c r="K1113" s="9" t="n">
        <v>93841</v>
      </c>
      <c r="L1113" s="10" t="n">
        <v>100000</v>
      </c>
      <c r="M1113" s="10" t="n">
        <v>2118.64</v>
      </c>
      <c r="N1113" s="11">
        <f>IF(M1113="","",ROUND(M1113*1.18,2))</f>
        <v/>
      </c>
      <c r="O1113" s="12">
        <f>IF(M1113="","",ROUND(N1113-M1113,2))</f>
        <v/>
      </c>
      <c r="P1113" s="13">
        <f>IF(AND(A1113&lt;&gt;"",B1113&lt;&gt;""), A1113&amp;" · "&amp;B1113, "")</f>
        <v/>
      </c>
    </row>
    <row r="1114">
      <c r="A1114" s="6" t="inlineStr">
        <is>
          <t>FY26</t>
        </is>
      </c>
      <c r="B1114" s="6" t="inlineStr">
        <is>
          <t>Mar</t>
        </is>
      </c>
      <c r="C1114" s="6" t="inlineStr">
        <is>
          <t>TN</t>
        </is>
      </c>
      <c r="D1114" s="7" t="inlineStr">
        <is>
          <t>TN07AV8505</t>
        </is>
      </c>
      <c r="E1114" s="7" t="inlineStr">
        <is>
          <t>HYUNDAI</t>
        </is>
      </c>
      <c r="F1114" s="7" t="inlineStr">
        <is>
          <t>Santro</t>
        </is>
      </c>
      <c r="G1114" s="7" t="inlineStr">
        <is>
          <t>KHIVRAJ MOTOR</t>
        </is>
      </c>
      <c r="H1114" s="7" t="inlineStr">
        <is>
          <t>Non-Captive</t>
        </is>
      </c>
      <c r="I1114" s="7" t="inlineStr">
        <is>
          <t>Santhosh Cars</t>
        </is>
      </c>
      <c r="J1114" s="8" t="n">
        <v>2006</v>
      </c>
      <c r="K1114" s="9" t="n">
        <v>34283</v>
      </c>
      <c r="L1114" s="10" t="n">
        <v>100000</v>
      </c>
      <c r="M1114" s="10" t="n">
        <v>2118.64</v>
      </c>
      <c r="N1114" s="11">
        <f>IF(M1114="","",ROUND(M1114*1.18,2))</f>
        <v/>
      </c>
      <c r="O1114" s="12">
        <f>IF(M1114="","",ROUND(N1114-M1114,2))</f>
        <v/>
      </c>
      <c r="P1114" s="13">
        <f>IF(AND(A1114&lt;&gt;"",B1114&lt;&gt;""), A1114&amp;" · "&amp;B1114, "")</f>
        <v/>
      </c>
    </row>
    <row r="1115">
      <c r="A1115" s="6" t="inlineStr">
        <is>
          <t>FY26</t>
        </is>
      </c>
      <c r="B1115" s="6" t="inlineStr">
        <is>
          <t>Mar</t>
        </is>
      </c>
      <c r="C1115" s="6" t="inlineStr">
        <is>
          <t>TN</t>
        </is>
      </c>
      <c r="D1115" s="7" t="inlineStr">
        <is>
          <t>TN07BA5044</t>
        </is>
      </c>
      <c r="E1115" s="7" t="inlineStr">
        <is>
          <t>MARUTI SUZUKI</t>
        </is>
      </c>
      <c r="F1115" s="7" t="inlineStr">
        <is>
          <t>Swift</t>
        </is>
      </c>
      <c r="G1115" s="7" t="inlineStr">
        <is>
          <t>KALYANI MOTORS MARUTI</t>
        </is>
      </c>
      <c r="H1115" s="7" t="inlineStr">
        <is>
          <t>Non-Captive</t>
        </is>
      </c>
      <c r="I1115" s="7" t="inlineStr">
        <is>
          <t>Santhosh Cars</t>
        </is>
      </c>
      <c r="J1115" s="8" t="n">
        <v>2008</v>
      </c>
      <c r="K1115" s="9" t="n">
        <v>102198</v>
      </c>
      <c r="L1115" s="10" t="n">
        <v>130000</v>
      </c>
      <c r="M1115" s="10" t="n">
        <v>2118.64</v>
      </c>
      <c r="N1115" s="11">
        <f>IF(M1115="","",ROUND(M1115*1.18,2))</f>
        <v/>
      </c>
      <c r="O1115" s="12">
        <f>IF(M1115="","",ROUND(N1115-M1115,2))</f>
        <v/>
      </c>
      <c r="P1115" s="13">
        <f>IF(AND(A1115&lt;&gt;"",B1115&lt;&gt;""), A1115&amp;" · "&amp;B1115, "")</f>
        <v/>
      </c>
    </row>
    <row r="1116">
      <c r="A1116" s="6" t="inlineStr">
        <is>
          <t>FY26</t>
        </is>
      </c>
      <c r="B1116" s="6" t="inlineStr">
        <is>
          <t>Mar</t>
        </is>
      </c>
      <c r="C1116" s="6" t="inlineStr">
        <is>
          <t>TN</t>
        </is>
      </c>
      <c r="D1116" s="7" t="inlineStr">
        <is>
          <t>TN07BF0194</t>
        </is>
      </c>
      <c r="E1116" s="7" t="inlineStr">
        <is>
          <t>HYUNDAI</t>
        </is>
      </c>
      <c r="F1116" s="7" t="inlineStr">
        <is>
          <t>i10</t>
        </is>
      </c>
      <c r="G1116" s="7" t="inlineStr">
        <is>
          <t>EXCHANGE ROTN</t>
        </is>
      </c>
      <c r="H1116" s="7" t="inlineStr">
        <is>
          <t>Captive</t>
        </is>
      </c>
      <c r="I1116" s="7" t="inlineStr">
        <is>
          <t>Gugha Cars</t>
        </is>
      </c>
      <c r="J1116" s="8" t="n">
        <v>2010</v>
      </c>
      <c r="K1116" s="9" t="n">
        <v>203213</v>
      </c>
      <c r="L1116" s="10" t="n">
        <v>135000</v>
      </c>
      <c r="M1116" s="10" t="n">
        <v>8474.58</v>
      </c>
      <c r="N1116" s="11">
        <f>IF(M1116="","",ROUND(M1116*1.18,2))</f>
        <v/>
      </c>
      <c r="O1116" s="12">
        <f>IF(M1116="","",ROUND(N1116-M1116,2))</f>
        <v/>
      </c>
      <c r="P1116" s="13">
        <f>IF(AND(A1116&lt;&gt;"",B1116&lt;&gt;""), A1116&amp;" · "&amp;B1116, "")</f>
        <v/>
      </c>
    </row>
    <row r="1117">
      <c r="A1117" s="6" t="inlineStr">
        <is>
          <t>FY26</t>
        </is>
      </c>
      <c r="B1117" s="6" t="inlineStr">
        <is>
          <t>Mar</t>
        </is>
      </c>
      <c r="C1117" s="6" t="inlineStr">
        <is>
          <t>TN</t>
        </is>
      </c>
      <c r="D1117" s="7" t="inlineStr">
        <is>
          <t>TN07BK3244</t>
        </is>
      </c>
      <c r="E1117" s="7" t="inlineStr">
        <is>
          <t>HYUNDAI</t>
        </is>
      </c>
      <c r="F1117" s="7" t="inlineStr">
        <is>
          <t>Santro</t>
        </is>
      </c>
      <c r="G1117" s="7" t="inlineStr">
        <is>
          <t>EXCHANGE CHENNAI</t>
        </is>
      </c>
      <c r="H1117" s="7" t="inlineStr">
        <is>
          <t>Captive</t>
        </is>
      </c>
      <c r="I1117" s="7" t="inlineStr">
        <is>
          <t>Santhosh Cars</t>
        </is>
      </c>
      <c r="J1117" s="8" t="n">
        <v>2010</v>
      </c>
      <c r="K1117" s="9" t="n"/>
      <c r="L1117" s="10" t="n">
        <v>100000</v>
      </c>
      <c r="M1117" s="10" t="n">
        <v>4237.29</v>
      </c>
      <c r="N1117" s="11">
        <f>IF(M1117="","",ROUND(M1117*1.18,2))</f>
        <v/>
      </c>
      <c r="O1117" s="12">
        <f>IF(M1117="","",ROUND(N1117-M1117,2))</f>
        <v/>
      </c>
      <c r="P1117" s="13">
        <f>IF(AND(A1117&lt;&gt;"",B1117&lt;&gt;""), A1117&amp;" · "&amp;B1117, "")</f>
        <v/>
      </c>
    </row>
    <row r="1118">
      <c r="A1118" s="6" t="inlineStr">
        <is>
          <t>FY26</t>
        </is>
      </c>
      <c r="B1118" s="6" t="inlineStr">
        <is>
          <t>Mar</t>
        </is>
      </c>
      <c r="C1118" s="6" t="inlineStr">
        <is>
          <t>TN</t>
        </is>
      </c>
      <c r="D1118" s="7" t="inlineStr">
        <is>
          <t>TN07BK4651</t>
        </is>
      </c>
      <c r="E1118" s="7" t="inlineStr">
        <is>
          <t>HYUNDAI</t>
        </is>
      </c>
      <c r="F1118" s="7" t="inlineStr">
        <is>
          <t>i20</t>
        </is>
      </c>
      <c r="G1118" s="7" t="inlineStr">
        <is>
          <t>STEER AUTO TECHNOLOGIES PRIVATE LIMITED</t>
        </is>
      </c>
      <c r="H1118" s="7" t="inlineStr">
        <is>
          <t>Non-Captive</t>
        </is>
      </c>
      <c r="I1118" s="7" t="inlineStr">
        <is>
          <t>Kamal Cars</t>
        </is>
      </c>
      <c r="J1118" s="8" t="n">
        <v>2010</v>
      </c>
      <c r="K1118" s="9" t="n">
        <v>44004</v>
      </c>
      <c r="L1118" s="10" t="n">
        <v>120000</v>
      </c>
      <c r="M1118" s="10" t="n">
        <v>4237.29</v>
      </c>
      <c r="N1118" s="11">
        <f>IF(M1118="","",ROUND(M1118*1.18,2))</f>
        <v/>
      </c>
      <c r="O1118" s="12">
        <f>IF(M1118="","",ROUND(N1118-M1118,2))</f>
        <v/>
      </c>
      <c r="P1118" s="13">
        <f>IF(AND(A1118&lt;&gt;"",B1118&lt;&gt;""), A1118&amp;" · "&amp;B1118, "")</f>
        <v/>
      </c>
    </row>
    <row r="1119">
      <c r="A1119" s="6" t="inlineStr">
        <is>
          <t>FY26</t>
        </is>
      </c>
      <c r="B1119" s="6" t="inlineStr">
        <is>
          <t>Mar</t>
        </is>
      </c>
      <c r="C1119" s="6" t="inlineStr">
        <is>
          <t>TN</t>
        </is>
      </c>
      <c r="D1119" s="7" t="inlineStr">
        <is>
          <t>TN07BM2944</t>
        </is>
      </c>
      <c r="E1119" s="7" t="inlineStr">
        <is>
          <t>MARUTI SUZUKI</t>
        </is>
      </c>
      <c r="F1119" s="7" t="inlineStr">
        <is>
          <t>Zen Estilo</t>
        </is>
      </c>
      <c r="G1119" s="7" t="inlineStr">
        <is>
          <t>KHIVRAJ MOTOR</t>
        </is>
      </c>
      <c r="H1119" s="7" t="inlineStr">
        <is>
          <t>Non-Captive</t>
        </is>
      </c>
      <c r="I1119" s="7" t="inlineStr">
        <is>
          <t>Pine Autos</t>
        </is>
      </c>
      <c r="J1119" s="8" t="n">
        <v>2011</v>
      </c>
      <c r="K1119" s="9" t="n">
        <v>95227</v>
      </c>
      <c r="L1119" s="10" t="n">
        <v>120000</v>
      </c>
      <c r="M1119" s="10" t="n">
        <v>5084.75</v>
      </c>
      <c r="N1119" s="11">
        <f>IF(M1119="","",ROUND(M1119*1.18,2))</f>
        <v/>
      </c>
      <c r="O1119" s="12">
        <f>IF(M1119="","",ROUND(N1119-M1119,2))</f>
        <v/>
      </c>
      <c r="P1119" s="13">
        <f>IF(AND(A1119&lt;&gt;"",B1119&lt;&gt;""), A1119&amp;" · "&amp;B1119, "")</f>
        <v/>
      </c>
    </row>
    <row r="1120">
      <c r="A1120" s="6" t="inlineStr">
        <is>
          <t>FY26</t>
        </is>
      </c>
      <c r="B1120" s="6" t="inlineStr">
        <is>
          <t>Mar</t>
        </is>
      </c>
      <c r="C1120" s="6" t="inlineStr">
        <is>
          <t>TN</t>
        </is>
      </c>
      <c r="D1120" s="7" t="inlineStr">
        <is>
          <t>TN07BS7823</t>
        </is>
      </c>
      <c r="E1120" s="7" t="inlineStr">
        <is>
          <t>MAHINDRA</t>
        </is>
      </c>
      <c r="F1120" s="7" t="inlineStr">
        <is>
          <t>Quanto</t>
        </is>
      </c>
      <c r="G1120" s="7" t="inlineStr">
        <is>
          <t>KHIVRAJ MOTOR</t>
        </is>
      </c>
      <c r="H1120" s="7" t="inlineStr">
        <is>
          <t>Non-Captive</t>
        </is>
      </c>
      <c r="I1120" s="7" t="inlineStr">
        <is>
          <t>RAJESH WARI (RAM CARS</t>
        </is>
      </c>
      <c r="J1120" s="8" t="n">
        <v>2012</v>
      </c>
      <c r="K1120" s="9" t="n">
        <v>127270</v>
      </c>
      <c r="L1120" s="10" t="n">
        <v>100000</v>
      </c>
      <c r="M1120" s="10" t="n">
        <v>5084.75</v>
      </c>
      <c r="N1120" s="11">
        <f>IF(M1120="","",ROUND(M1120*1.18,2))</f>
        <v/>
      </c>
      <c r="O1120" s="12">
        <f>IF(M1120="","",ROUND(N1120-M1120,2))</f>
        <v/>
      </c>
      <c r="P1120" s="13">
        <f>IF(AND(A1120&lt;&gt;"",B1120&lt;&gt;""), A1120&amp;" · "&amp;B1120, "")</f>
        <v/>
      </c>
    </row>
    <row r="1121">
      <c r="A1121" s="6" t="inlineStr">
        <is>
          <t>FY26</t>
        </is>
      </c>
      <c r="B1121" s="6" t="inlineStr">
        <is>
          <t>Mar</t>
        </is>
      </c>
      <c r="C1121" s="6" t="inlineStr">
        <is>
          <t>TN</t>
        </is>
      </c>
      <c r="D1121" s="7" t="inlineStr">
        <is>
          <t>TN07BU2743</t>
        </is>
      </c>
      <c r="E1121" s="7" t="inlineStr">
        <is>
          <t>HONDA</t>
        </is>
      </c>
      <c r="F1121" s="7" t="inlineStr">
        <is>
          <t>Brio</t>
        </is>
      </c>
      <c r="G1121" s="7" t="inlineStr">
        <is>
          <t>EXCHANGE CHENNAI</t>
        </is>
      </c>
      <c r="H1121" s="7" t="inlineStr">
        <is>
          <t>Captive</t>
        </is>
      </c>
      <c r="I1121" s="7" t="inlineStr">
        <is>
          <t>Santhosh Cars</t>
        </is>
      </c>
      <c r="J1121" s="8" t="n">
        <v>2013</v>
      </c>
      <c r="K1121" s="9" t="n">
        <v>150787</v>
      </c>
      <c r="L1121" s="10" t="n">
        <v>223000</v>
      </c>
      <c r="M1121" s="10" t="n">
        <v>5932.2</v>
      </c>
      <c r="N1121" s="11">
        <f>IF(M1121="","",ROUND(M1121*1.18,2))</f>
        <v/>
      </c>
      <c r="O1121" s="12">
        <f>IF(M1121="","",ROUND(N1121-M1121,2))</f>
        <v/>
      </c>
      <c r="P1121" s="13">
        <f>IF(AND(A1121&lt;&gt;"",B1121&lt;&gt;""), A1121&amp;" · "&amp;B1121, "")</f>
        <v/>
      </c>
    </row>
    <row r="1122">
      <c r="A1122" s="6" t="inlineStr">
        <is>
          <t>FY26</t>
        </is>
      </c>
      <c r="B1122" s="6" t="inlineStr">
        <is>
          <t>Mar</t>
        </is>
      </c>
      <c r="C1122" s="6" t="inlineStr">
        <is>
          <t>TN</t>
        </is>
      </c>
      <c r="D1122" s="7" t="inlineStr">
        <is>
          <t>TN07BV4477</t>
        </is>
      </c>
      <c r="E1122" s="7" t="inlineStr">
        <is>
          <t>HONDA</t>
        </is>
      </c>
      <c r="F1122" s="7" t="inlineStr">
        <is>
          <t>Amaze</t>
        </is>
      </c>
      <c r="G1122" s="7" t="inlineStr">
        <is>
          <t>STEER AUTO TECHNOLOGIES PRIVATE LIMITED</t>
        </is>
      </c>
      <c r="H1122" s="7" t="inlineStr">
        <is>
          <t>Non-Captive</t>
        </is>
      </c>
      <c r="I1122" s="7" t="inlineStr">
        <is>
          <t>AAA Cars</t>
        </is>
      </c>
      <c r="J1122" s="8" t="n">
        <v>2013</v>
      </c>
      <c r="K1122" s="9" t="n">
        <v>118150</v>
      </c>
      <c r="L1122" s="10" t="n">
        <v>250000</v>
      </c>
      <c r="M1122" s="10" t="n">
        <v>3389.83</v>
      </c>
      <c r="N1122" s="11">
        <f>IF(M1122="","",ROUND(M1122*1.18,2))</f>
        <v/>
      </c>
      <c r="O1122" s="12">
        <f>IF(M1122="","",ROUND(N1122-M1122,2))</f>
        <v/>
      </c>
      <c r="P1122" s="13">
        <f>IF(AND(A1122&lt;&gt;"",B1122&lt;&gt;""), A1122&amp;" · "&amp;B1122, "")</f>
        <v/>
      </c>
    </row>
    <row r="1123">
      <c r="A1123" s="6" t="inlineStr">
        <is>
          <t>FY26</t>
        </is>
      </c>
      <c r="B1123" s="6" t="inlineStr">
        <is>
          <t>Mar</t>
        </is>
      </c>
      <c r="C1123" s="6" t="inlineStr">
        <is>
          <t>TN</t>
        </is>
      </c>
      <c r="D1123" s="7" t="inlineStr">
        <is>
          <t>TN07BX1256</t>
        </is>
      </c>
      <c r="E1123" s="7" t="inlineStr">
        <is>
          <t>HONDA</t>
        </is>
      </c>
      <c r="F1123" s="7" t="inlineStr">
        <is>
          <t>City</t>
        </is>
      </c>
      <c r="G1123" s="7" t="inlineStr">
        <is>
          <t>KHIVRAJ MOTOR</t>
        </is>
      </c>
      <c r="H1123" s="7" t="inlineStr">
        <is>
          <t>Non-Captive</t>
        </is>
      </c>
      <c r="I1123" s="7" t="inlineStr">
        <is>
          <t>Nirmal Cars</t>
        </is>
      </c>
      <c r="J1123" s="8" t="n">
        <v>2014</v>
      </c>
      <c r="K1123" s="9" t="n">
        <v>80163</v>
      </c>
      <c r="L1123" s="10" t="n">
        <v>450000</v>
      </c>
      <c r="M1123" s="10" t="n">
        <v>2118.64</v>
      </c>
      <c r="N1123" s="11">
        <f>IF(M1123="","",ROUND(M1123*1.18,2))</f>
        <v/>
      </c>
      <c r="O1123" s="12">
        <f>IF(M1123="","",ROUND(N1123-M1123,2))</f>
        <v/>
      </c>
      <c r="P1123" s="13">
        <f>IF(AND(A1123&lt;&gt;"",B1123&lt;&gt;""), A1123&amp;" · "&amp;B1123, "")</f>
        <v/>
      </c>
    </row>
    <row r="1124">
      <c r="A1124" s="6" t="inlineStr">
        <is>
          <t>FY26</t>
        </is>
      </c>
      <c r="B1124" s="6" t="inlineStr">
        <is>
          <t>Mar</t>
        </is>
      </c>
      <c r="C1124" s="6" t="inlineStr">
        <is>
          <t>TN</t>
        </is>
      </c>
      <c r="D1124" s="7" t="inlineStr">
        <is>
          <t>TN07BY6510</t>
        </is>
      </c>
      <c r="E1124" s="7" t="inlineStr">
        <is>
          <t>HONDA</t>
        </is>
      </c>
      <c r="F1124" s="7" t="inlineStr">
        <is>
          <t>City</t>
        </is>
      </c>
      <c r="G1124" s="7" t="inlineStr">
        <is>
          <t>EXCHANGE CHENNAI</t>
        </is>
      </c>
      <c r="H1124" s="7" t="inlineStr">
        <is>
          <t>Captive</t>
        </is>
      </c>
      <c r="I1124" s="7" t="inlineStr">
        <is>
          <t>AAA Cars</t>
        </is>
      </c>
      <c r="J1124" s="8" t="n">
        <v>2014</v>
      </c>
      <c r="K1124" s="9" t="n">
        <v>60454</v>
      </c>
      <c r="L1124" s="10" t="n">
        <v>350000</v>
      </c>
      <c r="M1124" s="10" t="n">
        <v>8474.58</v>
      </c>
      <c r="N1124" s="11">
        <f>IF(M1124="","",ROUND(M1124*1.18,2))</f>
        <v/>
      </c>
      <c r="O1124" s="12">
        <f>IF(M1124="","",ROUND(N1124-M1124,2))</f>
        <v/>
      </c>
      <c r="P1124" s="13">
        <f>IF(AND(A1124&lt;&gt;"",B1124&lt;&gt;""), A1124&amp;" · "&amp;B1124, "")</f>
        <v/>
      </c>
    </row>
    <row r="1125">
      <c r="A1125" s="6" t="inlineStr">
        <is>
          <t>FY26</t>
        </is>
      </c>
      <c r="B1125" s="6" t="inlineStr">
        <is>
          <t>Mar</t>
        </is>
      </c>
      <c r="C1125" s="6" t="inlineStr">
        <is>
          <t>TN</t>
        </is>
      </c>
      <c r="D1125" s="7" t="inlineStr">
        <is>
          <t>TN07CA2754</t>
        </is>
      </c>
      <c r="E1125" s="7" t="inlineStr">
        <is>
          <t>TOYOTA</t>
        </is>
      </c>
      <c r="F1125" s="7" t="inlineStr">
        <is>
          <t>Corolla Altis</t>
        </is>
      </c>
      <c r="G1125" s="7" t="inlineStr">
        <is>
          <t>INDUS</t>
        </is>
      </c>
      <c r="H1125" s="7" t="inlineStr">
        <is>
          <t>Non-Captive</t>
        </is>
      </c>
      <c r="I1125" s="7" t="inlineStr">
        <is>
          <t>Sri Shakthi Vinayaga Cars</t>
        </is>
      </c>
      <c r="J1125" s="8" t="n">
        <v>2014</v>
      </c>
      <c r="K1125" s="9" t="n">
        <v>134104</v>
      </c>
      <c r="L1125" s="10" t="n">
        <v>230000</v>
      </c>
      <c r="M1125" s="10" t="n">
        <v>2118.64</v>
      </c>
      <c r="N1125" s="11">
        <f>IF(M1125="","",ROUND(M1125*1.18,2))</f>
        <v/>
      </c>
      <c r="O1125" s="12">
        <f>IF(M1125="","",ROUND(N1125-M1125,2))</f>
        <v/>
      </c>
      <c r="P1125" s="13">
        <f>IF(AND(A1125&lt;&gt;"",B1125&lt;&gt;""), A1125&amp;" · "&amp;B1125, "")</f>
        <v/>
      </c>
    </row>
    <row r="1126">
      <c r="A1126" s="6" t="inlineStr">
        <is>
          <t>FY26</t>
        </is>
      </c>
      <c r="B1126" s="6" t="inlineStr">
        <is>
          <t>Mar</t>
        </is>
      </c>
      <c r="C1126" s="6" t="inlineStr">
        <is>
          <t>TN</t>
        </is>
      </c>
      <c r="D1126" s="7" t="inlineStr">
        <is>
          <t>TN07CB3391</t>
        </is>
      </c>
      <c r="E1126" s="7" t="inlineStr">
        <is>
          <t>MARUTI SUZUKI</t>
        </is>
      </c>
      <c r="F1126" s="7" t="inlineStr">
        <is>
          <t>Wagon R</t>
        </is>
      </c>
      <c r="G1126" s="7" t="inlineStr">
        <is>
          <t>KHIVRAJ MOTOR</t>
        </is>
      </c>
      <c r="H1126" s="7" t="inlineStr">
        <is>
          <t>Non-Captive</t>
        </is>
      </c>
      <c r="I1126" s="7" t="inlineStr">
        <is>
          <t>Nirmal Cars</t>
        </is>
      </c>
      <c r="J1126" s="8" t="n">
        <v>2015</v>
      </c>
      <c r="K1126" s="9" t="n">
        <v>65000</v>
      </c>
      <c r="L1126" s="10" t="n">
        <v>250000</v>
      </c>
      <c r="M1126" s="10" t="n">
        <v>2118.64</v>
      </c>
      <c r="N1126" s="11">
        <f>IF(M1126="","",ROUND(M1126*1.18,2))</f>
        <v/>
      </c>
      <c r="O1126" s="12">
        <f>IF(M1126="","",ROUND(N1126-M1126,2))</f>
        <v/>
      </c>
      <c r="P1126" s="13">
        <f>IF(AND(A1126&lt;&gt;"",B1126&lt;&gt;""), A1126&amp;" · "&amp;B1126, "")</f>
        <v/>
      </c>
    </row>
    <row r="1127">
      <c r="A1127" s="6" t="inlineStr">
        <is>
          <t>FY26</t>
        </is>
      </c>
      <c r="B1127" s="6" t="inlineStr">
        <is>
          <t>Mar</t>
        </is>
      </c>
      <c r="C1127" s="6" t="inlineStr">
        <is>
          <t>TN</t>
        </is>
      </c>
      <c r="D1127" s="7" t="inlineStr">
        <is>
          <t>TN07CF6147</t>
        </is>
      </c>
      <c r="E1127" s="7" t="inlineStr">
        <is>
          <t>HONDA</t>
        </is>
      </c>
      <c r="F1127" s="7" t="inlineStr">
        <is>
          <t>City</t>
        </is>
      </c>
      <c r="G1127" s="7" t="inlineStr">
        <is>
          <t>EXCHANGE CHENNAI</t>
        </is>
      </c>
      <c r="H1127" s="7" t="inlineStr">
        <is>
          <t>Captive</t>
        </is>
      </c>
      <c r="I1127" s="7" t="inlineStr">
        <is>
          <t>Santhosh Cars</t>
        </is>
      </c>
      <c r="J1127" s="8" t="n">
        <v>2016</v>
      </c>
      <c r="K1127" s="9" t="n">
        <v>51270</v>
      </c>
      <c r="L1127" s="10" t="n">
        <v>525000</v>
      </c>
      <c r="M1127" s="10" t="n">
        <v>8474.58</v>
      </c>
      <c r="N1127" s="11">
        <f>IF(M1127="","",ROUND(M1127*1.18,2))</f>
        <v/>
      </c>
      <c r="O1127" s="12">
        <f>IF(M1127="","",ROUND(N1127-M1127,2))</f>
        <v/>
      </c>
      <c r="P1127" s="13">
        <f>IF(AND(A1127&lt;&gt;"",B1127&lt;&gt;""), A1127&amp;" · "&amp;B1127, "")</f>
        <v/>
      </c>
    </row>
    <row r="1128">
      <c r="A1128" s="6" t="inlineStr">
        <is>
          <t>FY26</t>
        </is>
      </c>
      <c r="B1128" s="6" t="inlineStr">
        <is>
          <t>Mar</t>
        </is>
      </c>
      <c r="C1128" s="6" t="inlineStr">
        <is>
          <t>TN</t>
        </is>
      </c>
      <c r="D1128" s="7" t="inlineStr">
        <is>
          <t>TN07CJ4415</t>
        </is>
      </c>
      <c r="E1128" s="7" t="inlineStr">
        <is>
          <t>MARUTI SUZUKI</t>
        </is>
      </c>
      <c r="F1128" s="7" t="inlineStr">
        <is>
          <t>Ertiga</t>
        </is>
      </c>
      <c r="G1128" s="7" t="inlineStr">
        <is>
          <t>CARS INDIA</t>
        </is>
      </c>
      <c r="H1128" s="7" t="inlineStr">
        <is>
          <t>Non-Captive</t>
        </is>
      </c>
      <c r="I1128" s="7" t="inlineStr">
        <is>
          <t>car Hub</t>
        </is>
      </c>
      <c r="J1128" s="8" t="n">
        <v>2017</v>
      </c>
      <c r="K1128" s="9" t="n">
        <v>66428</v>
      </c>
      <c r="L1128" s="10" t="n">
        <v>550000</v>
      </c>
      <c r="M1128" s="10" t="n">
        <v>4237.29</v>
      </c>
      <c r="N1128" s="11">
        <f>IF(M1128="","",ROUND(M1128*1.18,2))</f>
        <v/>
      </c>
      <c r="O1128" s="12">
        <f>IF(M1128="","",ROUND(N1128-M1128,2))</f>
        <v/>
      </c>
      <c r="P1128" s="13">
        <f>IF(AND(A1128&lt;&gt;"",B1128&lt;&gt;""), A1128&amp;" · "&amp;B1128, "")</f>
        <v/>
      </c>
    </row>
    <row r="1129">
      <c r="A1129" s="6" t="inlineStr">
        <is>
          <t>FY26</t>
        </is>
      </c>
      <c r="B1129" s="6" t="inlineStr">
        <is>
          <t>Mar</t>
        </is>
      </c>
      <c r="C1129" s="6" t="inlineStr">
        <is>
          <t>TN</t>
        </is>
      </c>
      <c r="D1129" s="7" t="inlineStr">
        <is>
          <t>TN07CP8980</t>
        </is>
      </c>
      <c r="E1129" s="7" t="inlineStr">
        <is>
          <t>VOLKSWAGEN</t>
        </is>
      </c>
      <c r="F1129" s="7" t="inlineStr">
        <is>
          <t>Ameo</t>
        </is>
      </c>
      <c r="G1129" s="7" t="inlineStr">
        <is>
          <t>STEER AUTO TECHNOLOGIES PRIVATE LIMITED</t>
        </is>
      </c>
      <c r="H1129" s="7" t="inlineStr">
        <is>
          <t>Non-Captive</t>
        </is>
      </c>
      <c r="I1129" s="7" t="inlineStr">
        <is>
          <t>Kamal Cars</t>
        </is>
      </c>
      <c r="J1129" s="8" t="n">
        <v>2018</v>
      </c>
      <c r="K1129" s="9" t="n">
        <v>130717</v>
      </c>
      <c r="L1129" s="10" t="n">
        <v>320000</v>
      </c>
      <c r="M1129" s="10" t="n">
        <v>4237.29</v>
      </c>
      <c r="N1129" s="11">
        <f>IF(M1129="","",ROUND(M1129*1.18,2))</f>
        <v/>
      </c>
      <c r="O1129" s="12">
        <f>IF(M1129="","",ROUND(N1129-M1129,2))</f>
        <v/>
      </c>
      <c r="P1129" s="13">
        <f>IF(AND(A1129&lt;&gt;"",B1129&lt;&gt;""), A1129&amp;" · "&amp;B1129, "")</f>
        <v/>
      </c>
    </row>
    <row r="1130">
      <c r="A1130" s="6" t="inlineStr">
        <is>
          <t>FY26</t>
        </is>
      </c>
      <c r="B1130" s="6" t="inlineStr">
        <is>
          <t>Mar</t>
        </is>
      </c>
      <c r="C1130" s="6" t="inlineStr">
        <is>
          <t>TN</t>
        </is>
      </c>
      <c r="D1130" s="7" t="inlineStr">
        <is>
          <t>TN07CQ4221</t>
        </is>
      </c>
      <c r="E1130" s="7" t="inlineStr">
        <is>
          <t>HONDA</t>
        </is>
      </c>
      <c r="F1130" s="7" t="inlineStr">
        <is>
          <t>City</t>
        </is>
      </c>
      <c r="G1130" s="7" t="inlineStr">
        <is>
          <t>EXCHANGE CHENNAI</t>
        </is>
      </c>
      <c r="H1130" s="7" t="inlineStr">
        <is>
          <t>Captive</t>
        </is>
      </c>
      <c r="I1130" s="7" t="inlineStr">
        <is>
          <t>Nirmal Cars</t>
        </is>
      </c>
      <c r="J1130" s="8" t="n">
        <v>2018</v>
      </c>
      <c r="K1130" s="9" t="n">
        <v>13157</v>
      </c>
      <c r="L1130" s="10" t="n">
        <v>560000</v>
      </c>
      <c r="M1130" s="10" t="n">
        <v>8474.58</v>
      </c>
      <c r="N1130" s="11">
        <f>IF(M1130="","",ROUND(M1130*1.18,2))</f>
        <v/>
      </c>
      <c r="O1130" s="12">
        <f>IF(M1130="","",ROUND(N1130-M1130,2))</f>
        <v/>
      </c>
      <c r="P1130" s="13">
        <f>IF(AND(A1130&lt;&gt;"",B1130&lt;&gt;""), A1130&amp;" · "&amp;B1130, "")</f>
        <v/>
      </c>
    </row>
    <row r="1131">
      <c r="A1131" s="6" t="inlineStr">
        <is>
          <t>FY26</t>
        </is>
      </c>
      <c r="B1131" s="6" t="inlineStr">
        <is>
          <t>Mar</t>
        </is>
      </c>
      <c r="C1131" s="6" t="inlineStr">
        <is>
          <t>TN</t>
        </is>
      </c>
      <c r="D1131" s="7" t="inlineStr">
        <is>
          <t>TN07CR5753</t>
        </is>
      </c>
      <c r="E1131" s="7" t="inlineStr">
        <is>
          <t>TATA</t>
        </is>
      </c>
      <c r="F1131" s="7" t="inlineStr">
        <is>
          <t>Tiago</t>
        </is>
      </c>
      <c r="G1131" s="7" t="inlineStr">
        <is>
          <t>STEER AUTO TECHNOLOGIES PRIVATE LIMITED</t>
        </is>
      </c>
      <c r="H1131" s="7" t="inlineStr">
        <is>
          <t>Non-Captive</t>
        </is>
      </c>
      <c r="I1131" s="7" t="inlineStr">
        <is>
          <t>AAA Cars</t>
        </is>
      </c>
      <c r="J1131" s="8" t="n">
        <v>2018</v>
      </c>
      <c r="K1131" s="9" t="n">
        <v>82006</v>
      </c>
      <c r="L1131" s="10" t="n">
        <v>230000</v>
      </c>
      <c r="M1131" s="10" t="n">
        <v>3389.83</v>
      </c>
      <c r="N1131" s="11">
        <f>IF(M1131="","",ROUND(M1131*1.18,2))</f>
        <v/>
      </c>
      <c r="O1131" s="12">
        <f>IF(M1131="","",ROUND(N1131-M1131,2))</f>
        <v/>
      </c>
      <c r="P1131" s="13">
        <f>IF(AND(A1131&lt;&gt;"",B1131&lt;&gt;""), A1131&amp;" · "&amp;B1131, "")</f>
        <v/>
      </c>
    </row>
    <row r="1132">
      <c r="A1132" s="6" t="inlineStr">
        <is>
          <t>FY26</t>
        </is>
      </c>
      <c r="B1132" s="6" t="inlineStr">
        <is>
          <t>Mar</t>
        </is>
      </c>
      <c r="C1132" s="6" t="inlineStr">
        <is>
          <t>TN</t>
        </is>
      </c>
      <c r="D1132" s="7" t="inlineStr">
        <is>
          <t>TN07CR5838</t>
        </is>
      </c>
      <c r="E1132" s="7" t="inlineStr">
        <is>
          <t>MARUTI SUZUKI</t>
        </is>
      </c>
      <c r="F1132" s="7" t="inlineStr">
        <is>
          <t>Vitara Brezza</t>
        </is>
      </c>
      <c r="G1132" s="7" t="inlineStr">
        <is>
          <t>EXCHANGE CHENNAI</t>
        </is>
      </c>
      <c r="H1132" s="7" t="inlineStr">
        <is>
          <t>Captive</t>
        </is>
      </c>
      <c r="I1132" s="7" t="inlineStr">
        <is>
          <t>Kamal Cars</t>
        </is>
      </c>
      <c r="J1132" s="8" t="n">
        <v>2018</v>
      </c>
      <c r="K1132" s="9" t="n">
        <v>133793</v>
      </c>
      <c r="L1132" s="10" t="n">
        <v>560000</v>
      </c>
      <c r="M1132" s="10" t="n">
        <v>8474.58</v>
      </c>
      <c r="N1132" s="11">
        <f>IF(M1132="","",ROUND(M1132*1.18,2))</f>
        <v/>
      </c>
      <c r="O1132" s="12">
        <f>IF(M1132="","",ROUND(N1132-M1132,2))</f>
        <v/>
      </c>
      <c r="P1132" s="13">
        <f>IF(AND(A1132&lt;&gt;"",B1132&lt;&gt;""), A1132&amp;" · "&amp;B1132, "")</f>
        <v/>
      </c>
    </row>
    <row r="1133">
      <c r="A1133" s="6" t="inlineStr">
        <is>
          <t>FY26</t>
        </is>
      </c>
      <c r="B1133" s="6" t="inlineStr">
        <is>
          <t>Mar</t>
        </is>
      </c>
      <c r="C1133" s="6" t="inlineStr">
        <is>
          <t>TN</t>
        </is>
      </c>
      <c r="D1133" s="7" t="inlineStr">
        <is>
          <t>TN07CT8148</t>
        </is>
      </c>
      <c r="E1133" s="7" t="inlineStr">
        <is>
          <t>RENAULT</t>
        </is>
      </c>
      <c r="F1133" s="7" t="inlineStr">
        <is>
          <t>Duster</t>
        </is>
      </c>
      <c r="G1133" s="7" t="inlineStr">
        <is>
          <t>EXCHANGE CHENNAI</t>
        </is>
      </c>
      <c r="H1133" s="7" t="inlineStr">
        <is>
          <t>Captive</t>
        </is>
      </c>
      <c r="I1133" s="7" t="inlineStr">
        <is>
          <t>car Hub</t>
        </is>
      </c>
      <c r="J1133" s="8" t="n">
        <v>2019</v>
      </c>
      <c r="K1133" s="9" t="n">
        <v>13701</v>
      </c>
      <c r="L1133" s="10" t="n">
        <v>525000</v>
      </c>
      <c r="M1133" s="10" t="n">
        <v>8474.58</v>
      </c>
      <c r="N1133" s="11">
        <f>IF(M1133="","",ROUND(M1133*1.18,2))</f>
        <v/>
      </c>
      <c r="O1133" s="12">
        <f>IF(M1133="","",ROUND(N1133-M1133,2))</f>
        <v/>
      </c>
      <c r="P1133" s="13">
        <f>IF(AND(A1133&lt;&gt;"",B1133&lt;&gt;""), A1133&amp;" · "&amp;B1133, "")</f>
        <v/>
      </c>
    </row>
    <row r="1134">
      <c r="A1134" s="6" t="inlineStr">
        <is>
          <t>FY26</t>
        </is>
      </c>
      <c r="B1134" s="6" t="inlineStr">
        <is>
          <t>Mar</t>
        </is>
      </c>
      <c r="C1134" s="6" t="inlineStr">
        <is>
          <t>TN</t>
        </is>
      </c>
      <c r="D1134" s="7" t="inlineStr">
        <is>
          <t>TN07CU9451</t>
        </is>
      </c>
      <c r="E1134" s="7" t="inlineStr">
        <is>
          <t>MARUTI SUZUKI</t>
        </is>
      </c>
      <c r="F1134" s="7" t="inlineStr">
        <is>
          <t>Dzire</t>
        </is>
      </c>
      <c r="G1134" s="7" t="inlineStr">
        <is>
          <t>KHIVRAJ MOTOR</t>
        </is>
      </c>
      <c r="H1134" s="7" t="inlineStr">
        <is>
          <t>Non-Captive</t>
        </is>
      </c>
      <c r="I1134" s="7" t="inlineStr">
        <is>
          <t>Value Drive Tecnologies</t>
        </is>
      </c>
      <c r="J1134" s="8" t="n">
        <v>2020</v>
      </c>
      <c r="K1134" s="9" t="n">
        <v>38370</v>
      </c>
      <c r="L1134" s="10" t="n">
        <v>516000</v>
      </c>
      <c r="M1134" s="10" t="n">
        <v>5932.2</v>
      </c>
      <c r="N1134" s="11">
        <f>IF(M1134="","",ROUND(M1134*1.18,2))</f>
        <v/>
      </c>
      <c r="O1134" s="12">
        <f>IF(M1134="","",ROUND(N1134-M1134,2))</f>
        <v/>
      </c>
      <c r="P1134" s="13">
        <f>IF(AND(A1134&lt;&gt;"",B1134&lt;&gt;""), A1134&amp;" · "&amp;B1134, "")</f>
        <v/>
      </c>
    </row>
    <row r="1135">
      <c r="A1135" s="6" t="inlineStr">
        <is>
          <t>FY26</t>
        </is>
      </c>
      <c r="B1135" s="6" t="inlineStr">
        <is>
          <t>Mar</t>
        </is>
      </c>
      <c r="C1135" s="6" t="inlineStr">
        <is>
          <t>TN</t>
        </is>
      </c>
      <c r="D1135" s="7" t="inlineStr">
        <is>
          <t>TN07CW2563</t>
        </is>
      </c>
      <c r="E1135" s="7" t="inlineStr">
        <is>
          <t>HONDA</t>
        </is>
      </c>
      <c r="F1135" s="7" t="inlineStr">
        <is>
          <t>City</t>
        </is>
      </c>
      <c r="G1135" s="7" t="inlineStr">
        <is>
          <t>EXCHANGE CHENNAI</t>
        </is>
      </c>
      <c r="H1135" s="7" t="inlineStr">
        <is>
          <t>Captive</t>
        </is>
      </c>
      <c r="I1135" s="7" t="inlineStr">
        <is>
          <t>Santhosh Cars</t>
        </is>
      </c>
      <c r="J1135" s="8" t="n">
        <v>2020</v>
      </c>
      <c r="K1135" s="9" t="n">
        <v>31002</v>
      </c>
      <c r="L1135" s="10" t="n">
        <v>805000</v>
      </c>
      <c r="M1135" s="10" t="n">
        <v>12711.86</v>
      </c>
      <c r="N1135" s="11">
        <f>IF(M1135="","",ROUND(M1135*1.18,2))</f>
        <v/>
      </c>
      <c r="O1135" s="12">
        <f>IF(M1135="","",ROUND(N1135-M1135,2))</f>
        <v/>
      </c>
      <c r="P1135" s="13">
        <f>IF(AND(A1135&lt;&gt;"",B1135&lt;&gt;""), A1135&amp;" · "&amp;B1135, "")</f>
        <v/>
      </c>
    </row>
    <row r="1136">
      <c r="A1136" s="6" t="inlineStr">
        <is>
          <t>FY26</t>
        </is>
      </c>
      <c r="B1136" s="6" t="inlineStr">
        <is>
          <t>Mar</t>
        </is>
      </c>
      <c r="C1136" s="6" t="inlineStr">
        <is>
          <t>TN</t>
        </is>
      </c>
      <c r="D1136" s="7" t="inlineStr">
        <is>
          <t>TN07CW3039</t>
        </is>
      </c>
      <c r="E1136" s="7" t="inlineStr">
        <is>
          <t>MARUTI SUZUKI</t>
        </is>
      </c>
      <c r="F1136" s="7" t="inlineStr">
        <is>
          <t>Vitara Brezza</t>
        </is>
      </c>
      <c r="G1136" s="7" t="inlineStr">
        <is>
          <t>KHIVRAJ MOTOR</t>
        </is>
      </c>
      <c r="H1136" s="7" t="inlineStr">
        <is>
          <t>Non-Captive</t>
        </is>
      </c>
      <c r="I1136" s="7" t="inlineStr">
        <is>
          <t>Pine Autos</t>
        </is>
      </c>
      <c r="J1136" s="8" t="n">
        <v>2020</v>
      </c>
      <c r="K1136" s="9" t="n">
        <v>33412</v>
      </c>
      <c r="L1136" s="10" t="n">
        <v>608000</v>
      </c>
      <c r="M1136" s="10" t="n">
        <v>7627.12</v>
      </c>
      <c r="N1136" s="11">
        <f>IF(M1136="","",ROUND(M1136*1.18,2))</f>
        <v/>
      </c>
      <c r="O1136" s="12">
        <f>IF(M1136="","",ROUND(N1136-M1136,2))</f>
        <v/>
      </c>
      <c r="P1136" s="13">
        <f>IF(AND(A1136&lt;&gt;"",B1136&lt;&gt;""), A1136&amp;" · "&amp;B1136, "")</f>
        <v/>
      </c>
    </row>
    <row r="1137">
      <c r="A1137" s="6" t="inlineStr">
        <is>
          <t>FY26</t>
        </is>
      </c>
      <c r="B1137" s="6" t="inlineStr">
        <is>
          <t>Mar</t>
        </is>
      </c>
      <c r="C1137" s="6" t="inlineStr">
        <is>
          <t>TN</t>
        </is>
      </c>
      <c r="D1137" s="7" t="inlineStr">
        <is>
          <t>TN07DC2041</t>
        </is>
      </c>
      <c r="E1137" s="7" t="inlineStr">
        <is>
          <t>HYUNDAI</t>
        </is>
      </c>
      <c r="F1137" s="7" t="inlineStr">
        <is>
          <t>Grand i10</t>
        </is>
      </c>
      <c r="G1137" s="7" t="inlineStr">
        <is>
          <t>STEER AUTO TECHNOLOGIES PRIVATE LIMITED</t>
        </is>
      </c>
      <c r="H1137" s="7" t="inlineStr">
        <is>
          <t>Non-Captive</t>
        </is>
      </c>
      <c r="I1137" s="7" t="inlineStr">
        <is>
          <t>Santhosh Cars</t>
        </is>
      </c>
      <c r="J1137" s="8" t="n">
        <v>2023</v>
      </c>
      <c r="K1137" s="9" t="n">
        <v>17557</v>
      </c>
      <c r="L1137" s="10" t="n">
        <v>575000</v>
      </c>
      <c r="M1137" s="10" t="n">
        <v>2118.64</v>
      </c>
      <c r="N1137" s="11">
        <f>IF(M1137="","",ROUND(M1137*1.18,2))</f>
        <v/>
      </c>
      <c r="O1137" s="12">
        <f>IF(M1137="","",ROUND(N1137-M1137,2))</f>
        <v/>
      </c>
      <c r="P1137" s="13">
        <f>IF(AND(A1137&lt;&gt;"",B1137&lt;&gt;""), A1137&amp;" · "&amp;B1137, "")</f>
        <v/>
      </c>
    </row>
    <row r="1138">
      <c r="A1138" s="6" t="inlineStr">
        <is>
          <t>FY26</t>
        </is>
      </c>
      <c r="B1138" s="6" t="inlineStr">
        <is>
          <t>Mar</t>
        </is>
      </c>
      <c r="C1138" s="6" t="inlineStr">
        <is>
          <t>TN</t>
        </is>
      </c>
      <c r="D1138" s="7" t="inlineStr">
        <is>
          <t>TN09AB6060</t>
        </is>
      </c>
      <c r="E1138" s="7" t="inlineStr">
        <is>
          <t>MARUTI SUZUKI</t>
        </is>
      </c>
      <c r="F1138" s="7" t="inlineStr">
        <is>
          <t>Alto</t>
        </is>
      </c>
      <c r="G1138" s="7" t="inlineStr">
        <is>
          <t>EXCHANGE ROTN</t>
        </is>
      </c>
      <c r="H1138" s="7" t="inlineStr">
        <is>
          <t>Captive</t>
        </is>
      </c>
      <c r="I1138" s="7" t="inlineStr">
        <is>
          <t>YUGA DHEERAN CARS</t>
        </is>
      </c>
      <c r="J1138" s="8" t="n">
        <v>2003</v>
      </c>
      <c r="K1138" s="9" t="n">
        <v>65227</v>
      </c>
      <c r="L1138" s="10" t="n">
        <v>20000</v>
      </c>
      <c r="M1138" s="10" t="n">
        <v>4237.29</v>
      </c>
      <c r="N1138" s="11">
        <f>IF(M1138="","",ROUND(M1138*1.18,2))</f>
        <v/>
      </c>
      <c r="O1138" s="12">
        <f>IF(M1138="","",ROUND(N1138-M1138,2))</f>
        <v/>
      </c>
      <c r="P1138" s="13">
        <f>IF(AND(A1138&lt;&gt;"",B1138&lt;&gt;""), A1138&amp;" · "&amp;B1138, "")</f>
        <v/>
      </c>
    </row>
    <row r="1139">
      <c r="A1139" s="6" t="inlineStr">
        <is>
          <t>FY26</t>
        </is>
      </c>
      <c r="B1139" s="6" t="inlineStr">
        <is>
          <t>Mar</t>
        </is>
      </c>
      <c r="C1139" s="6" t="inlineStr">
        <is>
          <t>TN</t>
        </is>
      </c>
      <c r="D1139" s="7" t="inlineStr">
        <is>
          <t>TN09AR3169</t>
        </is>
      </c>
      <c r="E1139" s="7" t="inlineStr">
        <is>
          <t>MARUTI SUZUKI</t>
        </is>
      </c>
      <c r="F1139" s="7" t="inlineStr">
        <is>
          <t>Swift</t>
        </is>
      </c>
      <c r="G1139" s="7" t="inlineStr">
        <is>
          <t>KALYANI MOTORS MARUTI</t>
        </is>
      </c>
      <c r="H1139" s="7" t="inlineStr">
        <is>
          <t>Non-Captive</t>
        </is>
      </c>
      <c r="I1139" s="7" t="inlineStr">
        <is>
          <t>Santhosh Cars</t>
        </is>
      </c>
      <c r="J1139" s="8" t="n">
        <v>2006</v>
      </c>
      <c r="K1139" s="9" t="n">
        <v>82714</v>
      </c>
      <c r="L1139" s="10" t="n">
        <v>60000</v>
      </c>
      <c r="M1139" s="10" t="n">
        <v>2118.64</v>
      </c>
      <c r="N1139" s="11">
        <f>IF(M1139="","",ROUND(M1139*1.18,2))</f>
        <v/>
      </c>
      <c r="O1139" s="12">
        <f>IF(M1139="","",ROUND(N1139-M1139,2))</f>
        <v/>
      </c>
      <c r="P1139" s="13">
        <f>IF(AND(A1139&lt;&gt;"",B1139&lt;&gt;""), A1139&amp;" · "&amp;B1139, "")</f>
        <v/>
      </c>
    </row>
    <row r="1140">
      <c r="A1140" s="6" t="inlineStr">
        <is>
          <t>FY26</t>
        </is>
      </c>
      <c r="B1140" s="6" t="inlineStr">
        <is>
          <t>Mar</t>
        </is>
      </c>
      <c r="C1140" s="6" t="inlineStr">
        <is>
          <t>TN</t>
        </is>
      </c>
      <c r="D1140" s="7" t="inlineStr">
        <is>
          <t>TN09AZ0967</t>
        </is>
      </c>
      <c r="E1140" s="7" t="inlineStr">
        <is>
          <t>MARUTI SUZUKI</t>
        </is>
      </c>
      <c r="F1140" s="7" t="inlineStr">
        <is>
          <t>Alto</t>
        </is>
      </c>
      <c r="G1140" s="7" t="inlineStr">
        <is>
          <t>KHIVRAJ MOTOR</t>
        </is>
      </c>
      <c r="H1140" s="7" t="inlineStr">
        <is>
          <t>Non-Captive</t>
        </is>
      </c>
      <c r="I1140" s="7" t="inlineStr">
        <is>
          <t>Bhavani Cars</t>
        </is>
      </c>
      <c r="J1140" s="8" t="n">
        <v>2008</v>
      </c>
      <c r="K1140" s="9" t="n">
        <v>18292</v>
      </c>
      <c r="L1140" s="10" t="n">
        <v>85000</v>
      </c>
      <c r="M1140" s="10" t="n">
        <v>2542.37</v>
      </c>
      <c r="N1140" s="11">
        <f>IF(M1140="","",ROUND(M1140*1.18,2))</f>
        <v/>
      </c>
      <c r="O1140" s="12">
        <f>IF(M1140="","",ROUND(N1140-M1140,2))</f>
        <v/>
      </c>
      <c r="P1140" s="13">
        <f>IF(AND(A1140&lt;&gt;"",B1140&lt;&gt;""), A1140&amp;" · "&amp;B1140, "")</f>
        <v/>
      </c>
    </row>
    <row r="1141">
      <c r="A1141" s="6" t="inlineStr">
        <is>
          <t>FY26</t>
        </is>
      </c>
      <c r="B1141" s="6" t="inlineStr">
        <is>
          <t>Mar</t>
        </is>
      </c>
      <c r="C1141" s="6" t="inlineStr">
        <is>
          <t>TN</t>
        </is>
      </c>
      <c r="D1141" s="7" t="inlineStr">
        <is>
          <t>TN09BB1527</t>
        </is>
      </c>
      <c r="E1141" s="7" t="inlineStr">
        <is>
          <t>MARUTI SUZUKI</t>
        </is>
      </c>
      <c r="F1141" s="7" t="inlineStr">
        <is>
          <t>Wagon R</t>
        </is>
      </c>
      <c r="G1141" s="7" t="inlineStr">
        <is>
          <t>SANTHOSH CARS</t>
        </is>
      </c>
      <c r="H1141" s="7" t="inlineStr">
        <is>
          <t>Non-Captive</t>
        </is>
      </c>
      <c r="I1141" s="7" t="inlineStr">
        <is>
          <t>Kamal Cars</t>
        </is>
      </c>
      <c r="J1141" s="8" t="n">
        <v>2009</v>
      </c>
      <c r="K1141" s="9" t="n">
        <v>105017</v>
      </c>
      <c r="L1141" s="10" t="n">
        <v>90000</v>
      </c>
      <c r="M1141" s="10" t="n">
        <v>4237.29</v>
      </c>
      <c r="N1141" s="11">
        <f>IF(M1141="","",ROUND(M1141*1.18,2))</f>
        <v/>
      </c>
      <c r="O1141" s="12">
        <f>IF(M1141="","",ROUND(N1141-M1141,2))</f>
        <v/>
      </c>
      <c r="P1141" s="13">
        <f>IF(AND(A1141&lt;&gt;"",B1141&lt;&gt;""), A1141&amp;" · "&amp;B1141, "")</f>
        <v/>
      </c>
    </row>
    <row r="1142">
      <c r="A1142" s="6" t="inlineStr">
        <is>
          <t>FY26</t>
        </is>
      </c>
      <c r="B1142" s="6" t="inlineStr">
        <is>
          <t>Mar</t>
        </is>
      </c>
      <c r="C1142" s="6" t="inlineStr">
        <is>
          <t>TN</t>
        </is>
      </c>
      <c r="D1142" s="7" t="inlineStr">
        <is>
          <t>TN09BD5116</t>
        </is>
      </c>
      <c r="E1142" s="7" t="inlineStr">
        <is>
          <t>MARUTI SUZUKI</t>
        </is>
      </c>
      <c r="F1142" s="7" t="inlineStr">
        <is>
          <t>Ritz</t>
        </is>
      </c>
      <c r="G1142" s="7" t="inlineStr">
        <is>
          <t>KHIVRAJ MOTOR</t>
        </is>
      </c>
      <c r="H1142" s="7" t="inlineStr">
        <is>
          <t>Non-Captive</t>
        </is>
      </c>
      <c r="I1142" s="7" t="inlineStr">
        <is>
          <t>Santhosh Cars</t>
        </is>
      </c>
      <c r="J1142" s="8" t="n">
        <v>2010</v>
      </c>
      <c r="K1142" s="9" t="n">
        <v>12159</v>
      </c>
      <c r="L1142" s="10" t="n">
        <v>150000</v>
      </c>
      <c r="M1142" s="10" t="n">
        <v>2118.64</v>
      </c>
      <c r="N1142" s="11">
        <f>IF(M1142="","",ROUND(M1142*1.18,2))</f>
        <v/>
      </c>
      <c r="O1142" s="12">
        <f>IF(M1142="","",ROUND(N1142-M1142,2))</f>
        <v/>
      </c>
      <c r="P1142" s="13">
        <f>IF(AND(A1142&lt;&gt;"",B1142&lt;&gt;""), A1142&amp;" · "&amp;B1142, "")</f>
        <v/>
      </c>
    </row>
    <row r="1143">
      <c r="A1143" s="6" t="inlineStr">
        <is>
          <t>FY26</t>
        </is>
      </c>
      <c r="B1143" s="6" t="inlineStr">
        <is>
          <t>Mar</t>
        </is>
      </c>
      <c r="C1143" s="6" t="inlineStr">
        <is>
          <t>TN</t>
        </is>
      </c>
      <c r="D1143" s="7" t="inlineStr">
        <is>
          <t>TN09BJ2314</t>
        </is>
      </c>
      <c r="E1143" s="7" t="inlineStr">
        <is>
          <t>MARUTI SUZUKI</t>
        </is>
      </c>
      <c r="F1143" s="7" t="inlineStr">
        <is>
          <t>A-Star</t>
        </is>
      </c>
      <c r="G1143" s="7" t="inlineStr">
        <is>
          <t>EXCHANGE CHENNAI</t>
        </is>
      </c>
      <c r="H1143" s="7" t="inlineStr">
        <is>
          <t>Captive</t>
        </is>
      </c>
      <c r="I1143" s="7" t="inlineStr">
        <is>
          <t>Santhosh Cars</t>
        </is>
      </c>
      <c r="J1143" s="8" t="n">
        <v>2011</v>
      </c>
      <c r="K1143" s="9" t="n">
        <v>120559</v>
      </c>
      <c r="L1143" s="10" t="n">
        <v>125000</v>
      </c>
      <c r="M1143" s="10" t="n">
        <v>4237.29</v>
      </c>
      <c r="N1143" s="11">
        <f>IF(M1143="","",ROUND(M1143*1.18,2))</f>
        <v/>
      </c>
      <c r="O1143" s="12">
        <f>IF(M1143="","",ROUND(N1143-M1143,2))</f>
        <v/>
      </c>
      <c r="P1143" s="13">
        <f>IF(AND(A1143&lt;&gt;"",B1143&lt;&gt;""), A1143&amp;" · "&amp;B1143, "")</f>
        <v/>
      </c>
    </row>
    <row r="1144">
      <c r="A1144" s="6" t="inlineStr">
        <is>
          <t>FY26</t>
        </is>
      </c>
      <c r="B1144" s="6" t="inlineStr">
        <is>
          <t>Mar</t>
        </is>
      </c>
      <c r="C1144" s="6" t="inlineStr">
        <is>
          <t>TN</t>
        </is>
      </c>
      <c r="D1144" s="7" t="inlineStr">
        <is>
          <t>TN09BK4897</t>
        </is>
      </c>
      <c r="E1144" s="7" t="inlineStr">
        <is>
          <t>MARUTI SUZUKI</t>
        </is>
      </c>
      <c r="F1144" s="7" t="inlineStr">
        <is>
          <t>Wagon R</t>
        </is>
      </c>
      <c r="G1144" s="7" t="inlineStr">
        <is>
          <t>KHIVRAJ MOTOR</t>
        </is>
      </c>
      <c r="H1144" s="7" t="inlineStr">
        <is>
          <t>Non-Captive</t>
        </is>
      </c>
      <c r="I1144" s="7" t="inlineStr">
        <is>
          <t>AS Cars Gopi</t>
        </is>
      </c>
      <c r="J1144" s="8" t="n">
        <v>2011</v>
      </c>
      <c r="K1144" s="9" t="n">
        <v>130549</v>
      </c>
      <c r="L1144" s="10" t="n">
        <v>170000</v>
      </c>
      <c r="M1144" s="10" t="n">
        <v>5084.75</v>
      </c>
      <c r="N1144" s="11">
        <f>IF(M1144="","",ROUND(M1144*1.18,2))</f>
        <v/>
      </c>
      <c r="O1144" s="12">
        <f>IF(M1144="","",ROUND(N1144-M1144,2))</f>
        <v/>
      </c>
      <c r="P1144" s="13">
        <f>IF(AND(A1144&lt;&gt;"",B1144&lt;&gt;""), A1144&amp;" · "&amp;B1144, "")</f>
        <v/>
      </c>
    </row>
    <row r="1145">
      <c r="A1145" s="6" t="inlineStr">
        <is>
          <t>FY26</t>
        </is>
      </c>
      <c r="B1145" s="6" t="inlineStr">
        <is>
          <t>Mar</t>
        </is>
      </c>
      <c r="C1145" s="6" t="inlineStr">
        <is>
          <t>TN</t>
        </is>
      </c>
      <c r="D1145" s="7" t="inlineStr">
        <is>
          <t>TN09BM1872</t>
        </is>
      </c>
      <c r="E1145" s="7" t="inlineStr">
        <is>
          <t>MARUTI SUZUKI</t>
        </is>
      </c>
      <c r="F1145" s="7" t="inlineStr">
        <is>
          <t>Eeco</t>
        </is>
      </c>
      <c r="G1145" s="7" t="inlineStr">
        <is>
          <t>KHIVRAJ MOTOR</t>
        </is>
      </c>
      <c r="H1145" s="7" t="inlineStr">
        <is>
          <t>Non-Captive</t>
        </is>
      </c>
      <c r="I1145" s="7" t="inlineStr">
        <is>
          <t>Nirmal Cars</t>
        </is>
      </c>
      <c r="J1145" s="8" t="n">
        <v>2011</v>
      </c>
      <c r="K1145" s="9" t="n">
        <v>53700</v>
      </c>
      <c r="L1145" s="10" t="n">
        <v>130000</v>
      </c>
      <c r="M1145" s="10" t="n">
        <v>2118.64</v>
      </c>
      <c r="N1145" s="11">
        <f>IF(M1145="","",ROUND(M1145*1.18,2))</f>
        <v/>
      </c>
      <c r="O1145" s="12">
        <f>IF(M1145="","",ROUND(N1145-M1145,2))</f>
        <v/>
      </c>
      <c r="P1145" s="13">
        <f>IF(AND(A1145&lt;&gt;"",B1145&lt;&gt;""), A1145&amp;" · "&amp;B1145, "")</f>
        <v/>
      </c>
    </row>
    <row r="1146">
      <c r="A1146" s="6" t="inlineStr">
        <is>
          <t>FY26</t>
        </is>
      </c>
      <c r="B1146" s="6" t="inlineStr">
        <is>
          <t>Mar</t>
        </is>
      </c>
      <c r="C1146" s="6" t="inlineStr">
        <is>
          <t>TN</t>
        </is>
      </c>
      <c r="D1146" s="7" t="inlineStr">
        <is>
          <t>TN09BQ5031</t>
        </is>
      </c>
      <c r="E1146" s="7" t="inlineStr">
        <is>
          <t>HYUNDAI</t>
        </is>
      </c>
      <c r="F1146" s="7" t="inlineStr">
        <is>
          <t>Verna</t>
        </is>
      </c>
      <c r="G1146" s="7" t="inlineStr">
        <is>
          <t>KHIVRAJ MOTOR</t>
        </is>
      </c>
      <c r="H1146" s="7" t="inlineStr">
        <is>
          <t>Non-Captive</t>
        </is>
      </c>
      <c r="I1146" s="7" t="inlineStr">
        <is>
          <t>Nirmal Cars</t>
        </is>
      </c>
      <c r="J1146" s="8" t="n">
        <v>2012</v>
      </c>
      <c r="K1146" s="9" t="n">
        <v>47594</v>
      </c>
      <c r="L1146" s="10" t="n">
        <v>270000</v>
      </c>
      <c r="M1146" s="10" t="n">
        <v>5084.75</v>
      </c>
      <c r="N1146" s="11">
        <f>IF(M1146="","",ROUND(M1146*1.18,2))</f>
        <v/>
      </c>
      <c r="O1146" s="12">
        <f>IF(M1146="","",ROUND(N1146-M1146,2))</f>
        <v/>
      </c>
      <c r="P1146" s="13">
        <f>IF(AND(A1146&lt;&gt;"",B1146&lt;&gt;""), A1146&amp;" · "&amp;B1146, "")</f>
        <v/>
      </c>
    </row>
    <row r="1147">
      <c r="A1147" s="6" t="inlineStr">
        <is>
          <t>FY26</t>
        </is>
      </c>
      <c r="B1147" s="6" t="inlineStr">
        <is>
          <t>Mar</t>
        </is>
      </c>
      <c r="C1147" s="6" t="inlineStr">
        <is>
          <t>TN</t>
        </is>
      </c>
      <c r="D1147" s="7" t="inlineStr">
        <is>
          <t>TN09BW7511</t>
        </is>
      </c>
      <c r="E1147" s="7" t="inlineStr">
        <is>
          <t>MARUTI SUZUKI</t>
        </is>
      </c>
      <c r="F1147" s="7" t="inlineStr">
        <is>
          <t>Swift</t>
        </is>
      </c>
      <c r="G1147" s="7" t="inlineStr">
        <is>
          <t>KHIVRAJ MOTOR</t>
        </is>
      </c>
      <c r="H1147" s="7" t="inlineStr">
        <is>
          <t>Non-Captive</t>
        </is>
      </c>
      <c r="I1147" s="7" t="inlineStr">
        <is>
          <t>AAA Cars</t>
        </is>
      </c>
      <c r="J1147" s="8" t="n">
        <v>2014</v>
      </c>
      <c r="K1147" s="9" t="n">
        <v>74500</v>
      </c>
      <c r="L1147" s="10" t="n">
        <v>280000</v>
      </c>
      <c r="M1147" s="10" t="n">
        <v>5084.75</v>
      </c>
      <c r="N1147" s="11">
        <f>IF(M1147="","",ROUND(M1147*1.18,2))</f>
        <v/>
      </c>
      <c r="O1147" s="12">
        <f>IF(M1147="","",ROUND(N1147-M1147,2))</f>
        <v/>
      </c>
      <c r="P1147" s="13">
        <f>IF(AND(A1147&lt;&gt;"",B1147&lt;&gt;""), A1147&amp;" · "&amp;B1147, "")</f>
        <v/>
      </c>
    </row>
    <row r="1148">
      <c r="A1148" s="6" t="inlineStr">
        <is>
          <t>FY26</t>
        </is>
      </c>
      <c r="B1148" s="6" t="inlineStr">
        <is>
          <t>Mar</t>
        </is>
      </c>
      <c r="C1148" s="6" t="inlineStr">
        <is>
          <t>TN</t>
        </is>
      </c>
      <c r="D1148" s="7" t="inlineStr">
        <is>
          <t>TN09BX1474</t>
        </is>
      </c>
      <c r="E1148" s="7" t="inlineStr">
        <is>
          <t>MARUTI SUZUKI</t>
        </is>
      </c>
      <c r="F1148" s="7" t="inlineStr">
        <is>
          <t>Alto</t>
        </is>
      </c>
      <c r="G1148" s="7" t="inlineStr">
        <is>
          <t>KHIVRAJ MOTOR</t>
        </is>
      </c>
      <c r="H1148" s="7" t="inlineStr">
        <is>
          <t>Non-Captive</t>
        </is>
      </c>
      <c r="I1148" s="7" t="inlineStr">
        <is>
          <t>Yes Cars</t>
        </is>
      </c>
      <c r="J1148" s="8" t="n">
        <v>2014</v>
      </c>
      <c r="K1148" s="9" t="n">
        <v>70000</v>
      </c>
      <c r="L1148" s="10" t="n">
        <v>150000</v>
      </c>
      <c r="M1148" s="10" t="n">
        <v>2118.64</v>
      </c>
      <c r="N1148" s="11">
        <f>IF(M1148="","",ROUND(M1148*1.18,2))</f>
        <v/>
      </c>
      <c r="O1148" s="12">
        <f>IF(M1148="","",ROUND(N1148-M1148,2))</f>
        <v/>
      </c>
      <c r="P1148" s="13">
        <f>IF(AND(A1148&lt;&gt;"",B1148&lt;&gt;""), A1148&amp;" · "&amp;B1148, "")</f>
        <v/>
      </c>
    </row>
    <row r="1149">
      <c r="A1149" s="6" t="inlineStr">
        <is>
          <t>FY26</t>
        </is>
      </c>
      <c r="B1149" s="6" t="inlineStr">
        <is>
          <t>Mar</t>
        </is>
      </c>
      <c r="C1149" s="6" t="inlineStr">
        <is>
          <t>TN</t>
        </is>
      </c>
      <c r="D1149" s="7" t="inlineStr">
        <is>
          <t>TN09CC1631</t>
        </is>
      </c>
      <c r="E1149" s="7" t="inlineStr">
        <is>
          <t>HONDA</t>
        </is>
      </c>
      <c r="F1149" s="7" t="inlineStr">
        <is>
          <t>City</t>
        </is>
      </c>
      <c r="G1149" s="7" t="inlineStr">
        <is>
          <t>EXCHANGE CHENNAI</t>
        </is>
      </c>
      <c r="H1149" s="7" t="inlineStr">
        <is>
          <t>Captive</t>
        </is>
      </c>
      <c r="I1149" s="7" t="inlineStr">
        <is>
          <t>Santhosh Cars</t>
        </is>
      </c>
      <c r="J1149" s="8" t="n">
        <v>2015</v>
      </c>
      <c r="K1149" s="9" t="n"/>
      <c r="L1149" s="10" t="n">
        <v>410000</v>
      </c>
      <c r="M1149" s="10" t="n">
        <v>8474.58</v>
      </c>
      <c r="N1149" s="11">
        <f>IF(M1149="","",ROUND(M1149*1.18,2))</f>
        <v/>
      </c>
      <c r="O1149" s="12">
        <f>IF(M1149="","",ROUND(N1149-M1149,2))</f>
        <v/>
      </c>
      <c r="P1149" s="13">
        <f>IF(AND(A1149&lt;&gt;"",B1149&lt;&gt;""), A1149&amp;" · "&amp;B1149, "")</f>
        <v/>
      </c>
    </row>
    <row r="1150">
      <c r="A1150" s="6" t="inlineStr">
        <is>
          <t>FY26</t>
        </is>
      </c>
      <c r="B1150" s="6" t="inlineStr">
        <is>
          <t>Mar</t>
        </is>
      </c>
      <c r="C1150" s="6" t="inlineStr">
        <is>
          <t>TN</t>
        </is>
      </c>
      <c r="D1150" s="7" t="inlineStr">
        <is>
          <t>TN09CC5882</t>
        </is>
      </c>
      <c r="E1150" s="7" t="inlineStr">
        <is>
          <t>RENAULT</t>
        </is>
      </c>
      <c r="F1150" s="7" t="inlineStr">
        <is>
          <t>Kwid</t>
        </is>
      </c>
      <c r="G1150" s="7" t="inlineStr">
        <is>
          <t>KALYANI MOTORS MARUTI</t>
        </is>
      </c>
      <c r="H1150" s="7" t="inlineStr">
        <is>
          <t>Non-Captive</t>
        </is>
      </c>
      <c r="I1150" s="7" t="inlineStr">
        <is>
          <t>Nirmal Cars</t>
        </is>
      </c>
      <c r="J1150" s="8" t="n">
        <v>2016</v>
      </c>
      <c r="K1150" s="9" t="n">
        <v>72524</v>
      </c>
      <c r="L1150" s="10" t="n">
        <v>170000</v>
      </c>
      <c r="M1150" s="10" t="n">
        <v>2542.37</v>
      </c>
      <c r="N1150" s="11">
        <f>IF(M1150="","",ROUND(M1150*1.18,2))</f>
        <v/>
      </c>
      <c r="O1150" s="12">
        <f>IF(M1150="","",ROUND(N1150-M1150,2))</f>
        <v/>
      </c>
      <c r="P1150" s="13">
        <f>IF(AND(A1150&lt;&gt;"",B1150&lt;&gt;""), A1150&amp;" · "&amp;B1150, "")</f>
        <v/>
      </c>
    </row>
    <row r="1151">
      <c r="A1151" s="6" t="inlineStr">
        <is>
          <t>FY26</t>
        </is>
      </c>
      <c r="B1151" s="6" t="inlineStr">
        <is>
          <t>Mar</t>
        </is>
      </c>
      <c r="C1151" s="6" t="inlineStr">
        <is>
          <t>TN</t>
        </is>
      </c>
      <c r="D1151" s="7" t="inlineStr">
        <is>
          <t>TN09CC9496</t>
        </is>
      </c>
      <c r="E1151" s="7" t="inlineStr">
        <is>
          <t>MARUTI SUZUKI</t>
        </is>
      </c>
      <c r="F1151" s="7" t="inlineStr">
        <is>
          <t>Wagon R</t>
        </is>
      </c>
      <c r="G1151" s="7" t="inlineStr">
        <is>
          <t>CAR HUB</t>
        </is>
      </c>
      <c r="H1151" s="7" t="inlineStr">
        <is>
          <t>Non-Captive</t>
        </is>
      </c>
      <c r="I1151" s="7" t="inlineStr">
        <is>
          <t>AS Cars Gopi</t>
        </is>
      </c>
      <c r="J1151" s="8" t="n">
        <v>2016</v>
      </c>
      <c r="K1151" s="9" t="n">
        <v>40645</v>
      </c>
      <c r="L1151" s="10" t="n">
        <v>297000</v>
      </c>
      <c r="M1151" s="10" t="n">
        <v>5084.75</v>
      </c>
      <c r="N1151" s="11">
        <f>IF(M1151="","",ROUND(M1151*1.18,2))</f>
        <v/>
      </c>
      <c r="O1151" s="12">
        <f>IF(M1151="","",ROUND(N1151-M1151,2))</f>
        <v/>
      </c>
      <c r="P1151" s="13">
        <f>IF(AND(A1151&lt;&gt;"",B1151&lt;&gt;""), A1151&amp;" · "&amp;B1151, "")</f>
        <v/>
      </c>
    </row>
    <row r="1152">
      <c r="A1152" s="6" t="inlineStr">
        <is>
          <t>FY26</t>
        </is>
      </c>
      <c r="B1152" s="6" t="inlineStr">
        <is>
          <t>Mar</t>
        </is>
      </c>
      <c r="C1152" s="6" t="inlineStr">
        <is>
          <t>TN</t>
        </is>
      </c>
      <c r="D1152" s="7" t="inlineStr">
        <is>
          <t>TN09CD1044</t>
        </is>
      </c>
      <c r="E1152" s="7" t="inlineStr">
        <is>
          <t>VOLKSWAGEN</t>
        </is>
      </c>
      <c r="F1152" s="7" t="inlineStr">
        <is>
          <t>Polo</t>
        </is>
      </c>
      <c r="G1152" s="7" t="inlineStr">
        <is>
          <t>KHIVRAJ MOTOR</t>
        </is>
      </c>
      <c r="H1152" s="7" t="inlineStr">
        <is>
          <t>Non-Captive</t>
        </is>
      </c>
      <c r="I1152" s="7" t="inlineStr">
        <is>
          <t>Nirmal Cars</t>
        </is>
      </c>
      <c r="J1152" s="8" t="n">
        <v>2016</v>
      </c>
      <c r="K1152" s="9" t="n">
        <v>43866</v>
      </c>
      <c r="L1152" s="10" t="n">
        <v>270000</v>
      </c>
      <c r="M1152" s="10" t="n">
        <v>2118.64</v>
      </c>
      <c r="N1152" s="11">
        <f>IF(M1152="","",ROUND(M1152*1.18,2))</f>
        <v/>
      </c>
      <c r="O1152" s="12">
        <f>IF(M1152="","",ROUND(N1152-M1152,2))</f>
        <v/>
      </c>
      <c r="P1152" s="13">
        <f>IF(AND(A1152&lt;&gt;"",B1152&lt;&gt;""), A1152&amp;" · "&amp;B1152, "")</f>
        <v/>
      </c>
    </row>
    <row r="1153">
      <c r="A1153" s="6" t="inlineStr">
        <is>
          <t>FY26</t>
        </is>
      </c>
      <c r="B1153" s="6" t="inlineStr">
        <is>
          <t>Mar</t>
        </is>
      </c>
      <c r="C1153" s="6" t="inlineStr">
        <is>
          <t>TN</t>
        </is>
      </c>
      <c r="D1153" s="7" t="inlineStr">
        <is>
          <t>TN09CD7018</t>
        </is>
      </c>
      <c r="E1153" s="7" t="inlineStr">
        <is>
          <t>RENAULT</t>
        </is>
      </c>
      <c r="F1153" s="7" t="inlineStr">
        <is>
          <t>Kwid</t>
        </is>
      </c>
      <c r="G1153" s="7" t="inlineStr">
        <is>
          <t>KHIVRAJ MOTOR</t>
        </is>
      </c>
      <c r="H1153" s="7" t="inlineStr">
        <is>
          <t>Non-Captive</t>
        </is>
      </c>
      <c r="I1153" s="7" t="inlineStr">
        <is>
          <t>Santhosh Cars</t>
        </is>
      </c>
      <c r="J1153" s="8" t="n">
        <v>2016</v>
      </c>
      <c r="K1153" s="9" t="n">
        <v>44004</v>
      </c>
      <c r="L1153" s="10" t="n">
        <v>200000</v>
      </c>
      <c r="M1153" s="10" t="n">
        <v>2118.64</v>
      </c>
      <c r="N1153" s="11">
        <f>IF(M1153="","",ROUND(M1153*1.18,2))</f>
        <v/>
      </c>
      <c r="O1153" s="12">
        <f>IF(M1153="","",ROUND(N1153-M1153,2))</f>
        <v/>
      </c>
      <c r="P1153" s="13">
        <f>IF(AND(A1153&lt;&gt;"",B1153&lt;&gt;""), A1153&amp;" · "&amp;B1153, "")</f>
        <v/>
      </c>
    </row>
    <row r="1154">
      <c r="A1154" s="6" t="inlineStr">
        <is>
          <t>FY26</t>
        </is>
      </c>
      <c r="B1154" s="6" t="inlineStr">
        <is>
          <t>Mar</t>
        </is>
      </c>
      <c r="C1154" s="6" t="inlineStr">
        <is>
          <t>TN</t>
        </is>
      </c>
      <c r="D1154" s="7" t="inlineStr">
        <is>
          <t>TN09CF7267</t>
        </is>
      </c>
      <c r="E1154" s="7" t="inlineStr">
        <is>
          <t>HYUNDAI</t>
        </is>
      </c>
      <c r="F1154" s="7" t="inlineStr">
        <is>
          <t>Grand i10</t>
        </is>
      </c>
      <c r="G1154" s="7" t="inlineStr">
        <is>
          <t>KALYANI MOTORS MARUTI</t>
        </is>
      </c>
      <c r="H1154" s="7" t="inlineStr">
        <is>
          <t>Non-Captive</t>
        </is>
      </c>
      <c r="I1154" s="7" t="inlineStr">
        <is>
          <t>Nirmal Cars</t>
        </is>
      </c>
      <c r="J1154" s="8" t="n">
        <v>2016</v>
      </c>
      <c r="K1154" s="9" t="n">
        <v>158309</v>
      </c>
      <c r="L1154" s="10" t="n">
        <v>180000</v>
      </c>
      <c r="M1154" s="10" t="n">
        <v>2542.37</v>
      </c>
      <c r="N1154" s="11">
        <f>IF(M1154="","",ROUND(M1154*1.18,2))</f>
        <v/>
      </c>
      <c r="O1154" s="12">
        <f>IF(M1154="","",ROUND(N1154-M1154,2))</f>
        <v/>
      </c>
      <c r="P1154" s="13">
        <f>IF(AND(A1154&lt;&gt;"",B1154&lt;&gt;""), A1154&amp;" · "&amp;B1154, "")</f>
        <v/>
      </c>
    </row>
    <row r="1155">
      <c r="A1155" s="6" t="inlineStr">
        <is>
          <t>FY26</t>
        </is>
      </c>
      <c r="B1155" s="6" t="inlineStr">
        <is>
          <t>Mar</t>
        </is>
      </c>
      <c r="C1155" s="6" t="inlineStr">
        <is>
          <t>TN</t>
        </is>
      </c>
      <c r="D1155" s="7" t="inlineStr">
        <is>
          <t>TN09CK0567</t>
        </is>
      </c>
      <c r="E1155" s="7" t="inlineStr">
        <is>
          <t>MARUTI SUZUKI</t>
        </is>
      </c>
      <c r="F1155" s="7" t="inlineStr">
        <is>
          <t>Ignis</t>
        </is>
      </c>
      <c r="G1155" s="7" t="inlineStr">
        <is>
          <t>KHIVRAJ MOTOR</t>
        </is>
      </c>
      <c r="H1155" s="7" t="inlineStr">
        <is>
          <t>Non-Captive</t>
        </is>
      </c>
      <c r="I1155" s="7" t="inlineStr">
        <is>
          <t>Pine Autos</t>
        </is>
      </c>
      <c r="J1155" s="8" t="n">
        <v>2017</v>
      </c>
      <c r="K1155" s="9" t="n"/>
      <c r="L1155" s="10" t="n">
        <v>270000</v>
      </c>
      <c r="M1155" s="10" t="n">
        <v>2118.64</v>
      </c>
      <c r="N1155" s="11">
        <f>IF(M1155="","",ROUND(M1155*1.18,2))</f>
        <v/>
      </c>
      <c r="O1155" s="12">
        <f>IF(M1155="","",ROUND(N1155-M1155,2))</f>
        <v/>
      </c>
      <c r="P1155" s="13">
        <f>IF(AND(A1155&lt;&gt;"",B1155&lt;&gt;""), A1155&amp;" · "&amp;B1155, "")</f>
        <v/>
      </c>
    </row>
    <row r="1156">
      <c r="A1156" s="6" t="inlineStr">
        <is>
          <t>FY26</t>
        </is>
      </c>
      <c r="B1156" s="6" t="inlineStr">
        <is>
          <t>Mar</t>
        </is>
      </c>
      <c r="C1156" s="6" t="inlineStr">
        <is>
          <t>TN</t>
        </is>
      </c>
      <c r="D1156" s="7" t="inlineStr">
        <is>
          <t>TN09CL2598</t>
        </is>
      </c>
      <c r="E1156" s="7" t="inlineStr">
        <is>
          <t>TATA</t>
        </is>
      </c>
      <c r="F1156" s="7" t="inlineStr">
        <is>
          <t>Tiago</t>
        </is>
      </c>
      <c r="G1156" s="7" t="inlineStr">
        <is>
          <t>KHIVRAJ MOTOR</t>
        </is>
      </c>
      <c r="H1156" s="7" t="inlineStr">
        <is>
          <t>Non-Captive</t>
        </is>
      </c>
      <c r="I1156" s="7" t="inlineStr">
        <is>
          <t>Value Drive Tecnologies</t>
        </is>
      </c>
      <c r="J1156" s="8" t="n">
        <v>2017</v>
      </c>
      <c r="K1156" s="9" t="n">
        <v>166868</v>
      </c>
      <c r="L1156" s="10" t="n">
        <v>245000</v>
      </c>
      <c r="M1156" s="10" t="n">
        <v>5084.75</v>
      </c>
      <c r="N1156" s="11">
        <f>IF(M1156="","",ROUND(M1156*1.18,2))</f>
        <v/>
      </c>
      <c r="O1156" s="12">
        <f>IF(M1156="","",ROUND(N1156-M1156,2))</f>
        <v/>
      </c>
      <c r="P1156" s="13">
        <f>IF(AND(A1156&lt;&gt;"",B1156&lt;&gt;""), A1156&amp;" · "&amp;B1156, "")</f>
        <v/>
      </c>
    </row>
    <row r="1157">
      <c r="A1157" s="6" t="inlineStr">
        <is>
          <t>FY26</t>
        </is>
      </c>
      <c r="B1157" s="6" t="inlineStr">
        <is>
          <t>Mar</t>
        </is>
      </c>
      <c r="C1157" s="6" t="inlineStr">
        <is>
          <t>TN</t>
        </is>
      </c>
      <c r="D1157" s="7" t="inlineStr">
        <is>
          <t>TN09CM8169</t>
        </is>
      </c>
      <c r="E1157" s="7" t="inlineStr">
        <is>
          <t>MARUTI SUZUKI</t>
        </is>
      </c>
      <c r="F1157" s="7" t="inlineStr">
        <is>
          <t>Dzire</t>
        </is>
      </c>
      <c r="G1157" s="7" t="inlineStr">
        <is>
          <t>KHIVRAJ MOTOR</t>
        </is>
      </c>
      <c r="H1157" s="7" t="inlineStr">
        <is>
          <t>Non-Captive</t>
        </is>
      </c>
      <c r="I1157" s="7" t="inlineStr">
        <is>
          <t>RAJESH WARI (RAM CARS</t>
        </is>
      </c>
      <c r="J1157" s="8" t="n">
        <v>2018</v>
      </c>
      <c r="K1157" s="9" t="n">
        <v>59116</v>
      </c>
      <c r="L1157" s="10" t="n">
        <v>450000</v>
      </c>
      <c r="M1157" s="10" t="n">
        <v>2118.64</v>
      </c>
      <c r="N1157" s="11">
        <f>IF(M1157="","",ROUND(M1157*1.18,2))</f>
        <v/>
      </c>
      <c r="O1157" s="12">
        <f>IF(M1157="","",ROUND(N1157-M1157,2))</f>
        <v/>
      </c>
      <c r="P1157" s="13">
        <f>IF(AND(A1157&lt;&gt;"",B1157&lt;&gt;""), A1157&amp;" · "&amp;B1157, "")</f>
        <v/>
      </c>
    </row>
    <row r="1158">
      <c r="A1158" s="6" t="inlineStr">
        <is>
          <t>FY26</t>
        </is>
      </c>
      <c r="B1158" s="6" t="inlineStr">
        <is>
          <t>Mar</t>
        </is>
      </c>
      <c r="C1158" s="6" t="inlineStr">
        <is>
          <t>TN</t>
        </is>
      </c>
      <c r="D1158" s="7" t="inlineStr">
        <is>
          <t>TN09CQ9346</t>
        </is>
      </c>
      <c r="E1158" s="7" t="inlineStr">
        <is>
          <t>HYUNDAI</t>
        </is>
      </c>
      <c r="F1158" s="7" t="inlineStr">
        <is>
          <t>i20</t>
        </is>
      </c>
      <c r="G1158" s="7" t="inlineStr">
        <is>
          <t>KHIVRAJ MOTOR</t>
        </is>
      </c>
      <c r="H1158" s="7" t="inlineStr">
        <is>
          <t>Non-Captive</t>
        </is>
      </c>
      <c r="I1158" s="7" t="inlineStr">
        <is>
          <t>Lanson Toyota</t>
        </is>
      </c>
      <c r="J1158" s="8" t="n">
        <v>2018</v>
      </c>
      <c r="K1158" s="9" t="n">
        <v>58487</v>
      </c>
      <c r="L1158" s="10" t="n">
        <v>494000</v>
      </c>
      <c r="M1158" s="10" t="n">
        <v>13559.32</v>
      </c>
      <c r="N1158" s="11">
        <f>IF(M1158="","",ROUND(M1158*1.18,2))</f>
        <v/>
      </c>
      <c r="O1158" s="12">
        <f>IF(M1158="","",ROUND(N1158-M1158,2))</f>
        <v/>
      </c>
      <c r="P1158" s="13">
        <f>IF(AND(A1158&lt;&gt;"",B1158&lt;&gt;""), A1158&amp;" · "&amp;B1158, "")</f>
        <v/>
      </c>
    </row>
    <row r="1159">
      <c r="A1159" s="6" t="inlineStr">
        <is>
          <t>FY26</t>
        </is>
      </c>
      <c r="B1159" s="6" t="inlineStr">
        <is>
          <t>Mar</t>
        </is>
      </c>
      <c r="C1159" s="6" t="inlineStr">
        <is>
          <t>TN</t>
        </is>
      </c>
      <c r="D1159" s="7" t="inlineStr">
        <is>
          <t>TN09CR2953</t>
        </is>
      </c>
      <c r="E1159" s="7" t="inlineStr">
        <is>
          <t>MARUTI SUZUKI</t>
        </is>
      </c>
      <c r="F1159" s="7" t="inlineStr">
        <is>
          <t>Swift</t>
        </is>
      </c>
      <c r="G1159" s="7" t="inlineStr">
        <is>
          <t>KHIVRAJ MOTOR</t>
        </is>
      </c>
      <c r="H1159" s="7" t="inlineStr">
        <is>
          <t>Non-Captive</t>
        </is>
      </c>
      <c r="I1159" s="7" t="inlineStr">
        <is>
          <t>Pine Autos</t>
        </is>
      </c>
      <c r="J1159" s="8" t="n">
        <v>2018</v>
      </c>
      <c r="K1159" s="9" t="n">
        <v>39302</v>
      </c>
      <c r="L1159" s="10" t="n">
        <v>439000</v>
      </c>
      <c r="M1159" s="10" t="n">
        <v>5084.75</v>
      </c>
      <c r="N1159" s="11">
        <f>IF(M1159="","",ROUND(M1159*1.18,2))</f>
        <v/>
      </c>
      <c r="O1159" s="12">
        <f>IF(M1159="","",ROUND(N1159-M1159,2))</f>
        <v/>
      </c>
      <c r="P1159" s="13">
        <f>IF(AND(A1159&lt;&gt;"",B1159&lt;&gt;""), A1159&amp;" · "&amp;B1159, "")</f>
        <v/>
      </c>
    </row>
    <row r="1160">
      <c r="A1160" s="6" t="inlineStr">
        <is>
          <t>FY26</t>
        </is>
      </c>
      <c r="B1160" s="6" t="inlineStr">
        <is>
          <t>Mar</t>
        </is>
      </c>
      <c r="C1160" s="6" t="inlineStr">
        <is>
          <t>TN</t>
        </is>
      </c>
      <c r="D1160" s="7" t="inlineStr">
        <is>
          <t>TN09CS0315</t>
        </is>
      </c>
      <c r="E1160" s="7" t="inlineStr">
        <is>
          <t>HONDA</t>
        </is>
      </c>
      <c r="F1160" s="7" t="inlineStr">
        <is>
          <t>Amaze</t>
        </is>
      </c>
      <c r="G1160" s="7" t="inlineStr">
        <is>
          <t>EXCHANGE CHENNAI</t>
        </is>
      </c>
      <c r="H1160" s="7" t="inlineStr">
        <is>
          <t>Captive</t>
        </is>
      </c>
      <c r="I1160" s="7" t="inlineStr">
        <is>
          <t>Santhosh Cars</t>
        </is>
      </c>
      <c r="J1160" s="8" t="n">
        <v>2019</v>
      </c>
      <c r="K1160" s="9" t="n">
        <v>34094</v>
      </c>
      <c r="L1160" s="10" t="n">
        <v>440000</v>
      </c>
      <c r="M1160" s="10" t="n">
        <v>4237.29</v>
      </c>
      <c r="N1160" s="11">
        <f>IF(M1160="","",ROUND(M1160*1.18,2))</f>
        <v/>
      </c>
      <c r="O1160" s="12">
        <f>IF(M1160="","",ROUND(N1160-M1160,2))</f>
        <v/>
      </c>
      <c r="P1160" s="13">
        <f>IF(AND(A1160&lt;&gt;"",B1160&lt;&gt;""), A1160&amp;" · "&amp;B1160, "")</f>
        <v/>
      </c>
    </row>
    <row r="1161">
      <c r="A1161" s="6" t="inlineStr">
        <is>
          <t>FY26</t>
        </is>
      </c>
      <c r="B1161" s="6" t="inlineStr">
        <is>
          <t>Mar</t>
        </is>
      </c>
      <c r="C1161" s="6" t="inlineStr">
        <is>
          <t>TN</t>
        </is>
      </c>
      <c r="D1161" s="7" t="inlineStr">
        <is>
          <t>TN09CW6328</t>
        </is>
      </c>
      <c r="E1161" s="7" t="inlineStr">
        <is>
          <t>MARUTI SUZUKI</t>
        </is>
      </c>
      <c r="F1161" s="7" t="inlineStr">
        <is>
          <t>S-Presso</t>
        </is>
      </c>
      <c r="G1161" s="7" t="inlineStr">
        <is>
          <t>EXCHANGE CHENNAI</t>
        </is>
      </c>
      <c r="H1161" s="7" t="inlineStr">
        <is>
          <t>Captive</t>
        </is>
      </c>
      <c r="I1161" s="7" t="inlineStr">
        <is>
          <t>Santhosh Cars</t>
        </is>
      </c>
      <c r="J1161" s="8" t="n">
        <v>2021</v>
      </c>
      <c r="K1161" s="9" t="n">
        <v>102052</v>
      </c>
      <c r="L1161" s="10" t="n">
        <v>300000</v>
      </c>
      <c r="M1161" s="10" t="n">
        <v>8474.58</v>
      </c>
      <c r="N1161" s="11">
        <f>IF(M1161="","",ROUND(M1161*1.18,2))</f>
        <v/>
      </c>
      <c r="O1161" s="12">
        <f>IF(M1161="","",ROUND(N1161-M1161,2))</f>
        <v/>
      </c>
      <c r="P1161" s="13">
        <f>IF(AND(A1161&lt;&gt;"",B1161&lt;&gt;""), A1161&amp;" · "&amp;B1161, "")</f>
        <v/>
      </c>
    </row>
    <row r="1162">
      <c r="A1162" s="6" t="inlineStr">
        <is>
          <t>FY26</t>
        </is>
      </c>
      <c r="B1162" s="6" t="inlineStr">
        <is>
          <t>Mar</t>
        </is>
      </c>
      <c r="C1162" s="6" t="inlineStr">
        <is>
          <t>TN</t>
        </is>
      </c>
      <c r="D1162" s="7" t="inlineStr">
        <is>
          <t>TN09CX2431</t>
        </is>
      </c>
      <c r="E1162" s="7" t="inlineStr">
        <is>
          <t>MARUTI SUZUKI</t>
        </is>
      </c>
      <c r="F1162" s="7" t="inlineStr">
        <is>
          <t>Eeco</t>
        </is>
      </c>
      <c r="G1162" s="7" t="inlineStr">
        <is>
          <t>KHIVRAJ MOTOR</t>
        </is>
      </c>
      <c r="H1162" s="7" t="inlineStr">
        <is>
          <t>Non-Captive</t>
        </is>
      </c>
      <c r="I1162" s="7" t="inlineStr">
        <is>
          <t>Santhosh Cars</t>
        </is>
      </c>
      <c r="J1162" s="8" t="n">
        <v>2021</v>
      </c>
      <c r="K1162" s="9" t="n">
        <v>54441</v>
      </c>
      <c r="L1162" s="10" t="n">
        <v>380000</v>
      </c>
      <c r="M1162" s="10" t="n">
        <v>2118.64</v>
      </c>
      <c r="N1162" s="11">
        <f>IF(M1162="","",ROUND(M1162*1.18,2))</f>
        <v/>
      </c>
      <c r="O1162" s="12">
        <f>IF(M1162="","",ROUND(N1162-M1162,2))</f>
        <v/>
      </c>
      <c r="P1162" s="13">
        <f>IF(AND(A1162&lt;&gt;"",B1162&lt;&gt;""), A1162&amp;" · "&amp;B1162, "")</f>
        <v/>
      </c>
    </row>
    <row r="1163">
      <c r="A1163" s="6" t="inlineStr">
        <is>
          <t>FY26</t>
        </is>
      </c>
      <c r="B1163" s="6" t="inlineStr">
        <is>
          <t>Mar</t>
        </is>
      </c>
      <c r="C1163" s="6" t="inlineStr">
        <is>
          <t>TN</t>
        </is>
      </c>
      <c r="D1163" s="7" t="inlineStr">
        <is>
          <t>TN09CX3146</t>
        </is>
      </c>
      <c r="E1163" s="7" t="inlineStr">
        <is>
          <t>MARUTI SUZUKI</t>
        </is>
      </c>
      <c r="F1163" s="7" t="inlineStr">
        <is>
          <t>Baleno</t>
        </is>
      </c>
      <c r="G1163" s="7" t="inlineStr">
        <is>
          <t>VISHNU CARS PRIVATE LIMITED</t>
        </is>
      </c>
      <c r="H1163" s="7" t="inlineStr">
        <is>
          <t>Non-Captive</t>
        </is>
      </c>
      <c r="I1163" s="7" t="inlineStr">
        <is>
          <t>Santhosh Cars</t>
        </is>
      </c>
      <c r="J1163" s="8" t="n">
        <v>2021</v>
      </c>
      <c r="K1163" s="9" t="n">
        <v>27206</v>
      </c>
      <c r="L1163" s="10" t="n">
        <v>500000</v>
      </c>
      <c r="M1163" s="10" t="n">
        <v>2118.64</v>
      </c>
      <c r="N1163" s="11">
        <f>IF(M1163="","",ROUND(M1163*1.18,2))</f>
        <v/>
      </c>
      <c r="O1163" s="12">
        <f>IF(M1163="","",ROUND(N1163-M1163,2))</f>
        <v/>
      </c>
      <c r="P1163" s="13">
        <f>IF(AND(A1163&lt;&gt;"",B1163&lt;&gt;""), A1163&amp;" · "&amp;B1163, "")</f>
        <v/>
      </c>
    </row>
    <row r="1164">
      <c r="A1164" s="6" t="inlineStr">
        <is>
          <t>FY26</t>
        </is>
      </c>
      <c r="B1164" s="6" t="inlineStr">
        <is>
          <t>Mar</t>
        </is>
      </c>
      <c r="C1164" s="6" t="inlineStr">
        <is>
          <t>TN</t>
        </is>
      </c>
      <c r="D1164" s="7" t="inlineStr">
        <is>
          <t>TN09DA9798</t>
        </is>
      </c>
      <c r="E1164" s="7" t="inlineStr">
        <is>
          <t>VOLKSWAGEN</t>
        </is>
      </c>
      <c r="F1164" s="7" t="inlineStr">
        <is>
          <t>Taigun</t>
        </is>
      </c>
      <c r="G1164" s="7" t="inlineStr">
        <is>
          <t>STEER AUTO TECHNOLOGIES PRIVATE LIMITED</t>
        </is>
      </c>
      <c r="H1164" s="7" t="inlineStr">
        <is>
          <t>Non-Captive</t>
        </is>
      </c>
      <c r="I1164" s="7" t="inlineStr">
        <is>
          <t>car Hub</t>
        </is>
      </c>
      <c r="J1164" s="8" t="n">
        <v>2022</v>
      </c>
      <c r="K1164" s="9" t="n">
        <v>145493</v>
      </c>
      <c r="L1164" s="10" t="n">
        <v>600000</v>
      </c>
      <c r="M1164" s="10" t="n">
        <v>5084.75</v>
      </c>
      <c r="N1164" s="11">
        <f>IF(M1164="","",ROUND(M1164*1.18,2))</f>
        <v/>
      </c>
      <c r="O1164" s="12">
        <f>IF(M1164="","",ROUND(N1164-M1164,2))</f>
        <v/>
      </c>
      <c r="P1164" s="13">
        <f>IF(AND(A1164&lt;&gt;"",B1164&lt;&gt;""), A1164&amp;" · "&amp;B1164, "")</f>
        <v/>
      </c>
    </row>
    <row r="1165">
      <c r="A1165" s="6" t="inlineStr">
        <is>
          <t>FY26</t>
        </is>
      </c>
      <c r="B1165" s="6" t="inlineStr">
        <is>
          <t>Mar</t>
        </is>
      </c>
      <c r="C1165" s="6" t="inlineStr">
        <is>
          <t>TN</t>
        </is>
      </c>
      <c r="D1165" s="7" t="inlineStr">
        <is>
          <t>TN10AC1766</t>
        </is>
      </c>
      <c r="E1165" s="7" t="inlineStr">
        <is>
          <t>MARUTI SUZUKI</t>
        </is>
      </c>
      <c r="F1165" s="7" t="inlineStr">
        <is>
          <t>Swift</t>
        </is>
      </c>
      <c r="G1165" s="7" t="inlineStr">
        <is>
          <t>KALYANI MOTORS MARUTI</t>
        </is>
      </c>
      <c r="H1165" s="7" t="inlineStr">
        <is>
          <t>Non-Captive</t>
        </is>
      </c>
      <c r="I1165" s="7" t="inlineStr">
        <is>
          <t>Santhosh Cars</t>
        </is>
      </c>
      <c r="J1165" s="8" t="n">
        <v>2011</v>
      </c>
      <c r="K1165" s="9" t="n">
        <v>112129</v>
      </c>
      <c r="L1165" s="10" t="n">
        <v>160000</v>
      </c>
      <c r="M1165" s="10" t="n">
        <v>2118.64</v>
      </c>
      <c r="N1165" s="11">
        <f>IF(M1165="","",ROUND(M1165*1.18,2))</f>
        <v/>
      </c>
      <c r="O1165" s="12">
        <f>IF(M1165="","",ROUND(N1165-M1165,2))</f>
        <v/>
      </c>
      <c r="P1165" s="13">
        <f>IF(AND(A1165&lt;&gt;"",B1165&lt;&gt;""), A1165&amp;" · "&amp;B1165, "")</f>
        <v/>
      </c>
    </row>
    <row r="1166">
      <c r="A1166" s="6" t="inlineStr">
        <is>
          <t>FY26</t>
        </is>
      </c>
      <c r="B1166" s="6" t="inlineStr">
        <is>
          <t>Mar</t>
        </is>
      </c>
      <c r="C1166" s="6" t="inlineStr">
        <is>
          <t>TN</t>
        </is>
      </c>
      <c r="D1166" s="7" t="inlineStr">
        <is>
          <t>TN10AD6477</t>
        </is>
      </c>
      <c r="E1166" s="7" t="inlineStr">
        <is>
          <t>MARUTI SUZUKI</t>
        </is>
      </c>
      <c r="F1166" s="7" t="inlineStr">
        <is>
          <t>Wagon R</t>
        </is>
      </c>
      <c r="G1166" s="7" t="inlineStr">
        <is>
          <t>SANTHOSH CARS</t>
        </is>
      </c>
      <c r="H1166" s="7" t="inlineStr">
        <is>
          <t>Non-Captive</t>
        </is>
      </c>
      <c r="I1166" s="7" t="inlineStr">
        <is>
          <t>Kamal Cars</t>
        </is>
      </c>
      <c r="J1166" s="8" t="n">
        <v>2011</v>
      </c>
      <c r="K1166" s="9" t="n">
        <v>77372</v>
      </c>
      <c r="L1166" s="10" t="n">
        <v>170000</v>
      </c>
      <c r="M1166" s="10" t="n">
        <v>2542.37</v>
      </c>
      <c r="N1166" s="11">
        <f>IF(M1166="","",ROUND(M1166*1.18,2))</f>
        <v/>
      </c>
      <c r="O1166" s="12">
        <f>IF(M1166="","",ROUND(N1166-M1166,2))</f>
        <v/>
      </c>
      <c r="P1166" s="13">
        <f>IF(AND(A1166&lt;&gt;"",B1166&lt;&gt;""), A1166&amp;" · "&amp;B1166, "")</f>
        <v/>
      </c>
    </row>
    <row r="1167">
      <c r="A1167" s="6" t="inlineStr">
        <is>
          <t>FY26</t>
        </is>
      </c>
      <c r="B1167" s="6" t="inlineStr">
        <is>
          <t>Mar</t>
        </is>
      </c>
      <c r="C1167" s="6" t="inlineStr">
        <is>
          <t>TN</t>
        </is>
      </c>
      <c r="D1167" s="7" t="inlineStr">
        <is>
          <t>TN10AF2181</t>
        </is>
      </c>
      <c r="E1167" s="7" t="inlineStr">
        <is>
          <t>MARUTI SUZUKI</t>
        </is>
      </c>
      <c r="F1167" s="7" t="inlineStr">
        <is>
          <t>Ritz</t>
        </is>
      </c>
      <c r="G1167" s="7" t="inlineStr">
        <is>
          <t>POPULAR VEHICLES</t>
        </is>
      </c>
      <c r="H1167" s="7" t="inlineStr">
        <is>
          <t>Non-Captive</t>
        </is>
      </c>
      <c r="I1167" s="7" t="inlineStr">
        <is>
          <t>Nirmal Cars</t>
        </is>
      </c>
      <c r="J1167" s="8" t="n">
        <v>2012</v>
      </c>
      <c r="K1167" s="9" t="n">
        <v>119050</v>
      </c>
      <c r="L1167" s="10" t="n">
        <v>150000</v>
      </c>
      <c r="M1167" s="10" t="n">
        <v>2118.64</v>
      </c>
      <c r="N1167" s="11">
        <f>IF(M1167="","",ROUND(M1167*1.18,2))</f>
        <v/>
      </c>
      <c r="O1167" s="12">
        <f>IF(M1167="","",ROUND(N1167-M1167,2))</f>
        <v/>
      </c>
      <c r="P1167" s="13">
        <f>IF(AND(A1167&lt;&gt;"",B1167&lt;&gt;""), A1167&amp;" · "&amp;B1167, "")</f>
        <v/>
      </c>
    </row>
    <row r="1168">
      <c r="A1168" s="6" t="inlineStr">
        <is>
          <t>FY26</t>
        </is>
      </c>
      <c r="B1168" s="6" t="inlineStr">
        <is>
          <t>Mar</t>
        </is>
      </c>
      <c r="C1168" s="6" t="inlineStr">
        <is>
          <t>TN</t>
        </is>
      </c>
      <c r="D1168" s="7" t="inlineStr">
        <is>
          <t>TN10AP0137</t>
        </is>
      </c>
      <c r="E1168" s="7" t="inlineStr">
        <is>
          <t>MARUTI SUZUKI</t>
        </is>
      </c>
      <c r="F1168" s="7" t="inlineStr">
        <is>
          <t>Alto</t>
        </is>
      </c>
      <c r="G1168" s="7" t="inlineStr">
        <is>
          <t>KALYANI MOTORS MARUTI</t>
        </is>
      </c>
      <c r="H1168" s="7" t="inlineStr">
        <is>
          <t>Non-Captive</t>
        </is>
      </c>
      <c r="I1168" s="7" t="inlineStr">
        <is>
          <t>Santhosh Cars</t>
        </is>
      </c>
      <c r="J1168" s="8" t="n">
        <v>2013</v>
      </c>
      <c r="K1168" s="9" t="n">
        <v>144048</v>
      </c>
      <c r="L1168" s="10" t="n">
        <v>160000</v>
      </c>
      <c r="M1168" s="10" t="n">
        <v>2118.64</v>
      </c>
      <c r="N1168" s="11">
        <f>IF(M1168="","",ROUND(M1168*1.18,2))</f>
        <v/>
      </c>
      <c r="O1168" s="12">
        <f>IF(M1168="","",ROUND(N1168-M1168,2))</f>
        <v/>
      </c>
      <c r="P1168" s="13">
        <f>IF(AND(A1168&lt;&gt;"",B1168&lt;&gt;""), A1168&amp;" · "&amp;B1168, "")</f>
        <v/>
      </c>
    </row>
    <row r="1169">
      <c r="A1169" s="6" t="inlineStr">
        <is>
          <t>FY26</t>
        </is>
      </c>
      <c r="B1169" s="6" t="inlineStr">
        <is>
          <t>Mar</t>
        </is>
      </c>
      <c r="C1169" s="6" t="inlineStr">
        <is>
          <t>TN</t>
        </is>
      </c>
      <c r="D1169" s="7" t="inlineStr">
        <is>
          <t>TN10AQ3115</t>
        </is>
      </c>
      <c r="E1169" s="7" t="inlineStr">
        <is>
          <t>HYUNDAI</t>
        </is>
      </c>
      <c r="F1169" s="7" t="inlineStr">
        <is>
          <t>Grand i10</t>
        </is>
      </c>
      <c r="G1169" s="7" t="inlineStr">
        <is>
          <t>KHIVRAJ MOTOR</t>
        </is>
      </c>
      <c r="H1169" s="7" t="inlineStr">
        <is>
          <t>Non-Captive</t>
        </is>
      </c>
      <c r="I1169" s="7" t="inlineStr">
        <is>
          <t>KB Motor</t>
        </is>
      </c>
      <c r="J1169" s="8" t="n">
        <v>2014</v>
      </c>
      <c r="K1169" s="9" t="n">
        <v>93490</v>
      </c>
      <c r="L1169" s="10" t="n">
        <v>250000</v>
      </c>
      <c r="M1169" s="10" t="n">
        <v>2118.64</v>
      </c>
      <c r="N1169" s="11">
        <f>IF(M1169="","",ROUND(M1169*1.18,2))</f>
        <v/>
      </c>
      <c r="O1169" s="12">
        <f>IF(M1169="","",ROUND(N1169-M1169,2))</f>
        <v/>
      </c>
      <c r="P1169" s="13">
        <f>IF(AND(A1169&lt;&gt;"",B1169&lt;&gt;""), A1169&amp;" · "&amp;B1169, "")</f>
        <v/>
      </c>
    </row>
    <row r="1170">
      <c r="A1170" s="6" t="inlineStr">
        <is>
          <t>FY26</t>
        </is>
      </c>
      <c r="B1170" s="6" t="inlineStr">
        <is>
          <t>Mar</t>
        </is>
      </c>
      <c r="C1170" s="6" t="inlineStr">
        <is>
          <t>TN</t>
        </is>
      </c>
      <c r="D1170" s="7" t="inlineStr">
        <is>
          <t>TN10AU2882</t>
        </is>
      </c>
      <c r="E1170" s="7" t="inlineStr">
        <is>
          <t>HYUNDAI</t>
        </is>
      </c>
      <c r="F1170" s="7" t="inlineStr">
        <is>
          <t>Creta</t>
        </is>
      </c>
      <c r="G1170" s="7" t="inlineStr">
        <is>
          <t>EXCHANGE CHENNAI</t>
        </is>
      </c>
      <c r="H1170" s="7" t="inlineStr">
        <is>
          <t>Captive</t>
        </is>
      </c>
      <c r="I1170" s="7" t="inlineStr">
        <is>
          <t>Santhosh Cars</t>
        </is>
      </c>
      <c r="J1170" s="8" t="n">
        <v>2015</v>
      </c>
      <c r="K1170" s="9" t="n">
        <v>77930</v>
      </c>
      <c r="L1170" s="10" t="n">
        <v>400000</v>
      </c>
      <c r="M1170" s="10" t="n">
        <v>8474.58</v>
      </c>
      <c r="N1170" s="11">
        <f>IF(M1170="","",ROUND(M1170*1.18,2))</f>
        <v/>
      </c>
      <c r="O1170" s="12">
        <f>IF(M1170="","",ROUND(N1170-M1170,2))</f>
        <v/>
      </c>
      <c r="P1170" s="13">
        <f>IF(AND(A1170&lt;&gt;"",B1170&lt;&gt;""), A1170&amp;" · "&amp;B1170, "")</f>
        <v/>
      </c>
    </row>
    <row r="1171">
      <c r="A1171" s="6" t="inlineStr">
        <is>
          <t>FY26</t>
        </is>
      </c>
      <c r="B1171" s="6" t="inlineStr">
        <is>
          <t>Mar</t>
        </is>
      </c>
      <c r="C1171" s="6" t="inlineStr">
        <is>
          <t>TN</t>
        </is>
      </c>
      <c r="D1171" s="7" t="inlineStr">
        <is>
          <t>TN10AY3940</t>
        </is>
      </c>
      <c r="E1171" s="7" t="inlineStr">
        <is>
          <t>MARUTI SUZUKI</t>
        </is>
      </c>
      <c r="F1171" s="7" t="inlineStr">
        <is>
          <t>Vitara Brezza</t>
        </is>
      </c>
      <c r="G1171" s="7" t="inlineStr">
        <is>
          <t>KHIVRAJ MOTOR</t>
        </is>
      </c>
      <c r="H1171" s="7" t="inlineStr">
        <is>
          <t>Non-Captive</t>
        </is>
      </c>
      <c r="I1171" s="7" t="inlineStr">
        <is>
          <t>Santhosh Cars</t>
        </is>
      </c>
      <c r="J1171" s="8" t="n">
        <v>2016</v>
      </c>
      <c r="K1171" s="9" t="n">
        <v>166667</v>
      </c>
      <c r="L1171" s="10" t="n">
        <v>450000</v>
      </c>
      <c r="M1171" s="10" t="n">
        <v>2118.64</v>
      </c>
      <c r="N1171" s="11">
        <f>IF(M1171="","",ROUND(M1171*1.18,2))</f>
        <v/>
      </c>
      <c r="O1171" s="12">
        <f>IF(M1171="","",ROUND(N1171-M1171,2))</f>
        <v/>
      </c>
      <c r="P1171" s="13">
        <f>IF(AND(A1171&lt;&gt;"",B1171&lt;&gt;""), A1171&amp;" · "&amp;B1171, "")</f>
        <v/>
      </c>
    </row>
    <row r="1172">
      <c r="A1172" s="6" t="inlineStr">
        <is>
          <t>FY26</t>
        </is>
      </c>
      <c r="B1172" s="6" t="inlineStr">
        <is>
          <t>Mar</t>
        </is>
      </c>
      <c r="C1172" s="6" t="inlineStr">
        <is>
          <t>TN</t>
        </is>
      </c>
      <c r="D1172" s="7" t="inlineStr">
        <is>
          <t>TN10BA3255</t>
        </is>
      </c>
      <c r="E1172" s="7" t="inlineStr">
        <is>
          <t>MARUTI SUZUKI</t>
        </is>
      </c>
      <c r="F1172" s="7" t="inlineStr">
        <is>
          <t>Baleno</t>
        </is>
      </c>
      <c r="G1172" s="7" t="inlineStr">
        <is>
          <t>KHIVRAJ MOTOR</t>
        </is>
      </c>
      <c r="H1172" s="7" t="inlineStr">
        <is>
          <t>Non-Captive</t>
        </is>
      </c>
      <c r="I1172" s="7" t="inlineStr">
        <is>
          <t>Pine Autos</t>
        </is>
      </c>
      <c r="J1172" s="8" t="n">
        <v>2017</v>
      </c>
      <c r="K1172" s="9" t="n">
        <v>41430</v>
      </c>
      <c r="L1172" s="10" t="n">
        <v>380000</v>
      </c>
      <c r="M1172" s="10" t="n">
        <v>2118.64</v>
      </c>
      <c r="N1172" s="11">
        <f>IF(M1172="","",ROUND(M1172*1.18,2))</f>
        <v/>
      </c>
      <c r="O1172" s="12">
        <f>IF(M1172="","",ROUND(N1172-M1172,2))</f>
        <v/>
      </c>
      <c r="P1172" s="13">
        <f>IF(AND(A1172&lt;&gt;"",B1172&lt;&gt;""), A1172&amp;" · "&amp;B1172, "")</f>
        <v/>
      </c>
    </row>
    <row r="1173">
      <c r="A1173" s="6" t="inlineStr">
        <is>
          <t>FY26</t>
        </is>
      </c>
      <c r="B1173" s="6" t="inlineStr">
        <is>
          <t>Mar</t>
        </is>
      </c>
      <c r="C1173" s="6" t="inlineStr">
        <is>
          <t>TN</t>
        </is>
      </c>
      <c r="D1173" s="7" t="inlineStr">
        <is>
          <t>TN10BA6948</t>
        </is>
      </c>
      <c r="E1173" s="7" t="inlineStr">
        <is>
          <t>HONDA</t>
        </is>
      </c>
      <c r="F1173" s="7" t="inlineStr">
        <is>
          <t>Jazz</t>
        </is>
      </c>
      <c r="G1173" s="7" t="inlineStr">
        <is>
          <t>EXCHANGE CHENNAI</t>
        </is>
      </c>
      <c r="H1173" s="7" t="inlineStr">
        <is>
          <t>Captive</t>
        </is>
      </c>
      <c r="I1173" s="7" t="inlineStr">
        <is>
          <t>RAM Manohar</t>
        </is>
      </c>
      <c r="J1173" s="8" t="n">
        <v>2017</v>
      </c>
      <c r="K1173" s="9" t="n">
        <v>47530</v>
      </c>
      <c r="L1173" s="10" t="n">
        <v>350000</v>
      </c>
      <c r="M1173" s="10" t="n">
        <v>8474.58</v>
      </c>
      <c r="N1173" s="11">
        <f>IF(M1173="","",ROUND(M1173*1.18,2))</f>
        <v/>
      </c>
      <c r="O1173" s="12">
        <f>IF(M1173="","",ROUND(N1173-M1173,2))</f>
        <v/>
      </c>
      <c r="P1173" s="13">
        <f>IF(AND(A1173&lt;&gt;"",B1173&lt;&gt;""), A1173&amp;" · "&amp;B1173, "")</f>
        <v/>
      </c>
    </row>
    <row r="1174">
      <c r="A1174" s="6" t="inlineStr">
        <is>
          <t>FY26</t>
        </is>
      </c>
      <c r="B1174" s="6" t="inlineStr">
        <is>
          <t>Mar</t>
        </is>
      </c>
      <c r="C1174" s="6" t="inlineStr">
        <is>
          <t>TN</t>
        </is>
      </c>
      <c r="D1174" s="7" t="inlineStr">
        <is>
          <t>TN10BB4150</t>
        </is>
      </c>
      <c r="E1174" s="7" t="inlineStr">
        <is>
          <t>MARUTI SUZUKI</t>
        </is>
      </c>
      <c r="F1174" s="7" t="inlineStr">
        <is>
          <t>Alto K10</t>
        </is>
      </c>
      <c r="G1174" s="7" t="inlineStr">
        <is>
          <t>STEER AUTO TECHNOLOGIES PRIVATE LIMITED</t>
        </is>
      </c>
      <c r="H1174" s="7" t="inlineStr">
        <is>
          <t>Non-Captive</t>
        </is>
      </c>
      <c r="I1174" s="7" t="inlineStr">
        <is>
          <t>Pine Autos</t>
        </is>
      </c>
      <c r="J1174" s="8" t="n">
        <v>2017</v>
      </c>
      <c r="K1174" s="9" t="n">
        <v>99431</v>
      </c>
      <c r="L1174" s="10" t="n">
        <v>120000</v>
      </c>
      <c r="M1174" s="10" t="n">
        <v>3389.83</v>
      </c>
      <c r="N1174" s="11">
        <f>IF(M1174="","",ROUND(M1174*1.18,2))</f>
        <v/>
      </c>
      <c r="O1174" s="12">
        <f>IF(M1174="","",ROUND(N1174-M1174,2))</f>
        <v/>
      </c>
      <c r="P1174" s="13">
        <f>IF(AND(A1174&lt;&gt;"",B1174&lt;&gt;""), A1174&amp;" · "&amp;B1174, "")</f>
        <v/>
      </c>
    </row>
    <row r="1175">
      <c r="A1175" s="6" t="inlineStr">
        <is>
          <t>FY26</t>
        </is>
      </c>
      <c r="B1175" s="6" t="inlineStr">
        <is>
          <t>Mar</t>
        </is>
      </c>
      <c r="C1175" s="6" t="inlineStr">
        <is>
          <t>TN</t>
        </is>
      </c>
      <c r="D1175" s="7" t="inlineStr">
        <is>
          <t>TN10BB4549</t>
        </is>
      </c>
      <c r="E1175" s="7" t="inlineStr">
        <is>
          <t>MARUTI SUZUKI</t>
        </is>
      </c>
      <c r="F1175" s="7" t="inlineStr">
        <is>
          <t>Ciaz</t>
        </is>
      </c>
      <c r="G1175" s="7" t="inlineStr">
        <is>
          <t>KHIVRAJ MOTOR</t>
        </is>
      </c>
      <c r="H1175" s="7" t="inlineStr">
        <is>
          <t>Non-Captive</t>
        </is>
      </c>
      <c r="I1175" s="7" t="inlineStr">
        <is>
          <t>Nirmal Cars</t>
        </is>
      </c>
      <c r="J1175" s="8" t="n">
        <v>2017</v>
      </c>
      <c r="K1175" s="9" t="n">
        <v>88291</v>
      </c>
      <c r="L1175" s="10" t="n">
        <v>410000</v>
      </c>
      <c r="M1175" s="10" t="n">
        <v>2118.64</v>
      </c>
      <c r="N1175" s="11">
        <f>IF(M1175="","",ROUND(M1175*1.18,2))</f>
        <v/>
      </c>
      <c r="O1175" s="12">
        <f>IF(M1175="","",ROUND(N1175-M1175,2))</f>
        <v/>
      </c>
      <c r="P1175" s="13">
        <f>IF(AND(A1175&lt;&gt;"",B1175&lt;&gt;""), A1175&amp;" · "&amp;B1175, "")</f>
        <v/>
      </c>
    </row>
    <row r="1176">
      <c r="A1176" s="6" t="inlineStr">
        <is>
          <t>FY26</t>
        </is>
      </c>
      <c r="B1176" s="6" t="inlineStr">
        <is>
          <t>Mar</t>
        </is>
      </c>
      <c r="C1176" s="6" t="inlineStr">
        <is>
          <t>TN</t>
        </is>
      </c>
      <c r="D1176" s="7" t="inlineStr">
        <is>
          <t>TN10BC3657</t>
        </is>
      </c>
      <c r="E1176" s="7" t="inlineStr">
        <is>
          <t>MARUTI SUZUKI</t>
        </is>
      </c>
      <c r="F1176" s="7" t="inlineStr">
        <is>
          <t>Vitara Brezza</t>
        </is>
      </c>
      <c r="G1176" s="7" t="inlineStr">
        <is>
          <t>VISHNU CARS PRIVATE LIMITED</t>
        </is>
      </c>
      <c r="H1176" s="7" t="inlineStr">
        <is>
          <t>Non-Captive</t>
        </is>
      </c>
      <c r="I1176" s="7" t="inlineStr">
        <is>
          <t>Nirmal Cars</t>
        </is>
      </c>
      <c r="J1176" s="8" t="n">
        <v>2018</v>
      </c>
      <c r="K1176" s="9" t="n">
        <v>155618</v>
      </c>
      <c r="L1176" s="10" t="n">
        <v>500000</v>
      </c>
      <c r="M1176" s="10" t="n">
        <v>2118.64</v>
      </c>
      <c r="N1176" s="11">
        <f>IF(M1176="","",ROUND(M1176*1.18,2))</f>
        <v/>
      </c>
      <c r="O1176" s="12">
        <f>IF(M1176="","",ROUND(N1176-M1176,2))</f>
        <v/>
      </c>
      <c r="P1176" s="13">
        <f>IF(AND(A1176&lt;&gt;"",B1176&lt;&gt;""), A1176&amp;" · "&amp;B1176, "")</f>
        <v/>
      </c>
    </row>
    <row r="1177">
      <c r="A1177" s="6" t="inlineStr">
        <is>
          <t>FY26</t>
        </is>
      </c>
      <c r="B1177" s="6" t="inlineStr">
        <is>
          <t>Mar</t>
        </is>
      </c>
      <c r="C1177" s="6" t="inlineStr">
        <is>
          <t>TN</t>
        </is>
      </c>
      <c r="D1177" s="7" t="inlineStr">
        <is>
          <t>TN10BK7836</t>
        </is>
      </c>
      <c r="E1177" s="7" t="inlineStr">
        <is>
          <t>MARUTI SUZUKI</t>
        </is>
      </c>
      <c r="F1177" s="7" t="inlineStr">
        <is>
          <t>Baleno</t>
        </is>
      </c>
      <c r="G1177" s="7" t="inlineStr">
        <is>
          <t>KHIVRAJ MOTOR</t>
        </is>
      </c>
      <c r="H1177" s="7" t="inlineStr">
        <is>
          <t>Non-Captive</t>
        </is>
      </c>
      <c r="I1177" s="7" t="inlineStr">
        <is>
          <t>AAA Cars</t>
        </is>
      </c>
      <c r="J1177" s="8" t="n">
        <v>2020</v>
      </c>
      <c r="K1177" s="9" t="n">
        <v>32558</v>
      </c>
      <c r="L1177" s="10" t="n">
        <v>447000</v>
      </c>
      <c r="M1177" s="10" t="n">
        <v>6779.66</v>
      </c>
      <c r="N1177" s="11">
        <f>IF(M1177="","",ROUND(M1177*1.18,2))</f>
        <v/>
      </c>
      <c r="O1177" s="12">
        <f>IF(M1177="","",ROUND(N1177-M1177,2))</f>
        <v/>
      </c>
      <c r="P1177" s="13">
        <f>IF(AND(A1177&lt;&gt;"",B1177&lt;&gt;""), A1177&amp;" · "&amp;B1177, "")</f>
        <v/>
      </c>
    </row>
    <row r="1178">
      <c r="A1178" s="6" t="inlineStr">
        <is>
          <t>FY26</t>
        </is>
      </c>
      <c r="B1178" s="6" t="inlineStr">
        <is>
          <t>Mar</t>
        </is>
      </c>
      <c r="C1178" s="6" t="inlineStr">
        <is>
          <t>TN</t>
        </is>
      </c>
      <c r="D1178" s="7" t="inlineStr">
        <is>
          <t>TN10BM2553</t>
        </is>
      </c>
      <c r="E1178" s="7" t="inlineStr">
        <is>
          <t>MARUTI SUZUKI</t>
        </is>
      </c>
      <c r="F1178" s="7" t="inlineStr">
        <is>
          <t>Swift</t>
        </is>
      </c>
      <c r="G1178" s="7" t="inlineStr">
        <is>
          <t>KALYANI MOTORS MARUTI</t>
        </is>
      </c>
      <c r="H1178" s="7" t="inlineStr">
        <is>
          <t>Non-Captive</t>
        </is>
      </c>
      <c r="I1178" s="7" t="inlineStr">
        <is>
          <t>Santhosh Cars</t>
        </is>
      </c>
      <c r="J1178" s="8" t="n">
        <v>2009</v>
      </c>
      <c r="K1178" s="9" t="n">
        <v>98979</v>
      </c>
      <c r="L1178" s="10" t="n">
        <v>100000</v>
      </c>
      <c r="M1178" s="10" t="n">
        <v>2118.64</v>
      </c>
      <c r="N1178" s="11">
        <f>IF(M1178="","",ROUND(M1178*1.18,2))</f>
        <v/>
      </c>
      <c r="O1178" s="12">
        <f>IF(M1178="","",ROUND(N1178-M1178,2))</f>
        <v/>
      </c>
      <c r="P1178" s="13">
        <f>IF(AND(A1178&lt;&gt;"",B1178&lt;&gt;""), A1178&amp;" · "&amp;B1178, "")</f>
        <v/>
      </c>
    </row>
    <row r="1179">
      <c r="A1179" s="6" t="inlineStr">
        <is>
          <t>FY26</t>
        </is>
      </c>
      <c r="B1179" s="6" t="inlineStr">
        <is>
          <t>Mar</t>
        </is>
      </c>
      <c r="C1179" s="6" t="inlineStr">
        <is>
          <t>TN</t>
        </is>
      </c>
      <c r="D1179" s="7" t="inlineStr">
        <is>
          <t>TN10BT2958</t>
        </is>
      </c>
      <c r="E1179" s="7" t="inlineStr">
        <is>
          <t>MG MOTORS</t>
        </is>
      </c>
      <c r="F1179" s="7" t="inlineStr">
        <is>
          <t>Hector Plus</t>
        </is>
      </c>
      <c r="G1179" s="7" t="inlineStr">
        <is>
          <t>KHIVRAJ MOTOR</t>
        </is>
      </c>
      <c r="H1179" s="7" t="inlineStr">
        <is>
          <t>Non-Captive</t>
        </is>
      </c>
      <c r="I1179" s="7" t="inlineStr">
        <is>
          <t>Yes Cars</t>
        </is>
      </c>
      <c r="J1179" s="8" t="n">
        <v>2023</v>
      </c>
      <c r="K1179" s="9" t="n">
        <v>79620</v>
      </c>
      <c r="L1179" s="10" t="n">
        <v>1095000</v>
      </c>
      <c r="M1179" s="10" t="n">
        <v>11016.95</v>
      </c>
      <c r="N1179" s="11">
        <f>IF(M1179="","",ROUND(M1179*1.18,2))</f>
        <v/>
      </c>
      <c r="O1179" s="12">
        <f>IF(M1179="","",ROUND(N1179-M1179,2))</f>
        <v/>
      </c>
      <c r="P1179" s="13">
        <f>IF(AND(A1179&lt;&gt;"",B1179&lt;&gt;""), A1179&amp;" · "&amp;B1179, "")</f>
        <v/>
      </c>
    </row>
    <row r="1180">
      <c r="A1180" s="6" t="inlineStr">
        <is>
          <t>FY26</t>
        </is>
      </c>
      <c r="B1180" s="6" t="inlineStr">
        <is>
          <t>Mar</t>
        </is>
      </c>
      <c r="C1180" s="6" t="inlineStr">
        <is>
          <t>TN</t>
        </is>
      </c>
      <c r="D1180" s="7" t="inlineStr">
        <is>
          <t>TN10BU3353</t>
        </is>
      </c>
      <c r="E1180" s="7" t="inlineStr">
        <is>
          <t>MARUTI SUZUKI</t>
        </is>
      </c>
      <c r="F1180" s="7" t="inlineStr">
        <is>
          <t>Ignis</t>
        </is>
      </c>
      <c r="G1180" s="7" t="inlineStr">
        <is>
          <t>KHIVRAJ MOTOR</t>
        </is>
      </c>
      <c r="H1180" s="7" t="inlineStr">
        <is>
          <t>Non-Captive</t>
        </is>
      </c>
      <c r="I1180" s="7" t="inlineStr">
        <is>
          <t>Santhosh Cars</t>
        </is>
      </c>
      <c r="J1180" s="8" t="n">
        <v>2023</v>
      </c>
      <c r="K1180" s="9" t="n">
        <v>22328</v>
      </c>
      <c r="L1180" s="10" t="n">
        <v>470000</v>
      </c>
      <c r="M1180" s="10" t="n">
        <v>2118.64</v>
      </c>
      <c r="N1180" s="11">
        <f>IF(M1180="","",ROUND(M1180*1.18,2))</f>
        <v/>
      </c>
      <c r="O1180" s="12">
        <f>IF(M1180="","",ROUND(N1180-M1180,2))</f>
        <v/>
      </c>
      <c r="P1180" s="13">
        <f>IF(AND(A1180&lt;&gt;"",B1180&lt;&gt;""), A1180&amp;" · "&amp;B1180, "")</f>
        <v/>
      </c>
    </row>
    <row r="1181">
      <c r="A1181" s="6" t="inlineStr">
        <is>
          <t>FY26</t>
        </is>
      </c>
      <c r="B1181" s="6" t="inlineStr">
        <is>
          <t>Mar</t>
        </is>
      </c>
      <c r="C1181" s="6" t="inlineStr">
        <is>
          <t>TN</t>
        </is>
      </c>
      <c r="D1181" s="7" t="inlineStr">
        <is>
          <t>TN10BV7140</t>
        </is>
      </c>
      <c r="E1181" s="7" t="inlineStr">
        <is>
          <t>MARUTI SUZUKI</t>
        </is>
      </c>
      <c r="F1181" s="7" t="inlineStr">
        <is>
          <t>Wagon R</t>
        </is>
      </c>
      <c r="G1181" s="7" t="inlineStr">
        <is>
          <t>CARS INDIA</t>
        </is>
      </c>
      <c r="H1181" s="7" t="inlineStr">
        <is>
          <t>Non-Captive</t>
        </is>
      </c>
      <c r="I1181" s="7" t="inlineStr">
        <is>
          <t>Nirmal Cars</t>
        </is>
      </c>
      <c r="J1181" s="8" t="n">
        <v>2023</v>
      </c>
      <c r="K1181" s="9" t="n">
        <v>7326</v>
      </c>
      <c r="L1181" s="10" t="n">
        <v>450000</v>
      </c>
      <c r="M1181" s="10" t="n">
        <v>2118.64</v>
      </c>
      <c r="N1181" s="11">
        <f>IF(M1181="","",ROUND(M1181*1.18,2))</f>
        <v/>
      </c>
      <c r="O1181" s="12">
        <f>IF(M1181="","",ROUND(N1181-M1181,2))</f>
        <v/>
      </c>
      <c r="P1181" s="13">
        <f>IF(AND(A1181&lt;&gt;"",B1181&lt;&gt;""), A1181&amp;" · "&amp;B1181, "")</f>
        <v/>
      </c>
    </row>
    <row r="1182">
      <c r="A1182" s="6" t="inlineStr">
        <is>
          <t>FY26</t>
        </is>
      </c>
      <c r="B1182" s="6" t="inlineStr">
        <is>
          <t>Mar</t>
        </is>
      </c>
      <c r="C1182" s="6" t="inlineStr">
        <is>
          <t>TN</t>
        </is>
      </c>
      <c r="D1182" s="7" t="inlineStr">
        <is>
          <t>TN10BX4858</t>
        </is>
      </c>
      <c r="E1182" s="7" t="inlineStr">
        <is>
          <t>HYUNDAI</t>
        </is>
      </c>
      <c r="F1182" s="7" t="inlineStr">
        <is>
          <t>Aura</t>
        </is>
      </c>
      <c r="G1182" s="7" t="inlineStr">
        <is>
          <t>KALYANI MOTORS MARUTI</t>
        </is>
      </c>
      <c r="H1182" s="7" t="inlineStr">
        <is>
          <t>Non-Captive</t>
        </is>
      </c>
      <c r="I1182" s="7" t="inlineStr">
        <is>
          <t>Santhosh Cars</t>
        </is>
      </c>
      <c r="J1182" s="8" t="n">
        <v>2024</v>
      </c>
      <c r="K1182" s="9" t="n">
        <v>41019</v>
      </c>
      <c r="L1182" s="10" t="n">
        <v>475000</v>
      </c>
      <c r="M1182" s="10" t="n">
        <v>2118.64</v>
      </c>
      <c r="N1182" s="11">
        <f>IF(M1182="","",ROUND(M1182*1.18,2))</f>
        <v/>
      </c>
      <c r="O1182" s="12">
        <f>IF(M1182="","",ROUND(N1182-M1182,2))</f>
        <v/>
      </c>
      <c r="P1182" s="13">
        <f>IF(AND(A1182&lt;&gt;"",B1182&lt;&gt;""), A1182&amp;" · "&amp;B1182, "")</f>
        <v/>
      </c>
    </row>
    <row r="1183">
      <c r="A1183" s="6" t="inlineStr">
        <is>
          <t>FY26</t>
        </is>
      </c>
      <c r="B1183" s="6" t="inlineStr">
        <is>
          <t>Mar</t>
        </is>
      </c>
      <c r="C1183" s="6" t="inlineStr">
        <is>
          <t>TN</t>
        </is>
      </c>
      <c r="D1183" s="7" t="inlineStr">
        <is>
          <t>TN10Q1375</t>
        </is>
      </c>
      <c r="E1183" s="7" t="inlineStr">
        <is>
          <t>HONDA</t>
        </is>
      </c>
      <c r="F1183" s="7" t="inlineStr">
        <is>
          <t>City</t>
        </is>
      </c>
      <c r="G1183" s="7" t="inlineStr">
        <is>
          <t>EXCHANGE CHENNAI</t>
        </is>
      </c>
      <c r="H1183" s="7" t="inlineStr">
        <is>
          <t>Captive</t>
        </is>
      </c>
      <c r="I1183" s="7" t="inlineStr">
        <is>
          <t>Santhosh Cars</t>
        </is>
      </c>
      <c r="J1183" s="8" t="n">
        <v>2006</v>
      </c>
      <c r="K1183" s="9" t="n">
        <v>132009</v>
      </c>
      <c r="L1183" s="10" t="n">
        <v>77000</v>
      </c>
      <c r="M1183" s="10" t="n">
        <v>8474.58</v>
      </c>
      <c r="N1183" s="11">
        <f>IF(M1183="","",ROUND(M1183*1.18,2))</f>
        <v/>
      </c>
      <c r="O1183" s="12">
        <f>IF(M1183="","",ROUND(N1183-M1183,2))</f>
        <v/>
      </c>
      <c r="P1183" s="13">
        <f>IF(AND(A1183&lt;&gt;"",B1183&lt;&gt;""), A1183&amp;" · "&amp;B1183, "")</f>
        <v/>
      </c>
    </row>
    <row r="1184">
      <c r="A1184" s="6" t="inlineStr">
        <is>
          <t>FY26</t>
        </is>
      </c>
      <c r="B1184" s="6" t="inlineStr">
        <is>
          <t>Mar</t>
        </is>
      </c>
      <c r="C1184" s="6" t="inlineStr">
        <is>
          <t>TN</t>
        </is>
      </c>
      <c r="D1184" s="7" t="inlineStr">
        <is>
          <t>TN10T9993</t>
        </is>
      </c>
      <c r="E1184" s="7" t="inlineStr">
        <is>
          <t>MARUTI SUZUKI</t>
        </is>
      </c>
      <c r="F1184" s="7" t="inlineStr">
        <is>
          <t>SX4</t>
        </is>
      </c>
      <c r="G1184" s="7" t="inlineStr">
        <is>
          <t>EXCHANGE CHENNAI</t>
        </is>
      </c>
      <c r="H1184" s="7" t="inlineStr">
        <is>
          <t>Captive</t>
        </is>
      </c>
      <c r="I1184" s="7" t="inlineStr">
        <is>
          <t>Ashok Cars</t>
        </is>
      </c>
      <c r="J1184" s="8" t="n">
        <v>2008</v>
      </c>
      <c r="K1184" s="9" t="n">
        <v>153514</v>
      </c>
      <c r="L1184" s="10" t="n">
        <v>110000</v>
      </c>
      <c r="M1184" s="10" t="n">
        <v>4237.29</v>
      </c>
      <c r="N1184" s="11">
        <f>IF(M1184="","",ROUND(M1184*1.18,2))</f>
        <v/>
      </c>
      <c r="O1184" s="12">
        <f>IF(M1184="","",ROUND(N1184-M1184,2))</f>
        <v/>
      </c>
      <c r="P1184" s="13">
        <f>IF(AND(A1184&lt;&gt;"",B1184&lt;&gt;""), A1184&amp;" · "&amp;B1184, "")</f>
        <v/>
      </c>
    </row>
    <row r="1185">
      <c r="A1185" s="6" t="inlineStr">
        <is>
          <t>FY26</t>
        </is>
      </c>
      <c r="B1185" s="6" t="inlineStr">
        <is>
          <t>Mar</t>
        </is>
      </c>
      <c r="C1185" s="6" t="inlineStr">
        <is>
          <t>TN</t>
        </is>
      </c>
      <c r="D1185" s="7" t="inlineStr">
        <is>
          <t>TN10Z7700</t>
        </is>
      </c>
      <c r="E1185" s="7" t="inlineStr">
        <is>
          <t>MAHINDRA</t>
        </is>
      </c>
      <c r="F1185" s="7" t="inlineStr">
        <is>
          <t>Scorpio</t>
        </is>
      </c>
      <c r="G1185" s="7" t="inlineStr">
        <is>
          <t>SANTHOSH CARS</t>
        </is>
      </c>
      <c r="H1185" s="7" t="inlineStr">
        <is>
          <t>Non-Captive</t>
        </is>
      </c>
      <c r="I1185" s="7" t="inlineStr">
        <is>
          <t>Santhosh Cars</t>
        </is>
      </c>
      <c r="J1185" s="8" t="n">
        <v>2010</v>
      </c>
      <c r="K1185" s="9" t="n">
        <v>33471</v>
      </c>
      <c r="L1185" s="10" t="n">
        <v>200000</v>
      </c>
      <c r="M1185" s="10" t="n">
        <v>4237.29</v>
      </c>
      <c r="N1185" s="11">
        <f>IF(M1185="","",ROUND(M1185*1.18,2))</f>
        <v/>
      </c>
      <c r="O1185" s="12">
        <f>IF(M1185="","",ROUND(N1185-M1185,2))</f>
        <v/>
      </c>
      <c r="P1185" s="13">
        <f>IF(AND(A1185&lt;&gt;"",B1185&lt;&gt;""), A1185&amp;" · "&amp;B1185, "")</f>
        <v/>
      </c>
    </row>
    <row r="1186">
      <c r="A1186" s="6" t="inlineStr">
        <is>
          <t>FY26</t>
        </is>
      </c>
      <c r="B1186" s="6" t="inlineStr">
        <is>
          <t>Mar</t>
        </is>
      </c>
      <c r="C1186" s="6" t="inlineStr">
        <is>
          <t>TN</t>
        </is>
      </c>
      <c r="D1186" s="7" t="inlineStr">
        <is>
          <t>TN11AE9823</t>
        </is>
      </c>
      <c r="E1186" s="7" t="inlineStr">
        <is>
          <t>MARUTI SUZUKI</t>
        </is>
      </c>
      <c r="F1186" s="7" t="inlineStr">
        <is>
          <t>Ciaz</t>
        </is>
      </c>
      <c r="G1186" s="7" t="inlineStr">
        <is>
          <t>RAMANI CARS GROUP</t>
        </is>
      </c>
      <c r="H1186" s="7" t="inlineStr">
        <is>
          <t>Non-Captive</t>
        </is>
      </c>
      <c r="I1186" s="7" t="inlineStr">
        <is>
          <t>Saravana Cars</t>
        </is>
      </c>
      <c r="J1186" s="8" t="n">
        <v>2018</v>
      </c>
      <c r="K1186" s="9" t="n">
        <v>46761</v>
      </c>
      <c r="L1186" s="10" t="n">
        <v>300000</v>
      </c>
      <c r="M1186" s="10" t="n">
        <v>4237.29</v>
      </c>
      <c r="N1186" s="11">
        <f>IF(M1186="","",ROUND(M1186*1.18,2))</f>
        <v/>
      </c>
      <c r="O1186" s="12">
        <f>IF(M1186="","",ROUND(N1186-M1186,2))</f>
        <v/>
      </c>
      <c r="P1186" s="13">
        <f>IF(AND(A1186&lt;&gt;"",B1186&lt;&gt;""), A1186&amp;" · "&amp;B1186, "")</f>
        <v/>
      </c>
    </row>
    <row r="1187">
      <c r="A1187" s="6" t="inlineStr">
        <is>
          <t>FY26</t>
        </is>
      </c>
      <c r="B1187" s="6" t="inlineStr">
        <is>
          <t>Mar</t>
        </is>
      </c>
      <c r="C1187" s="6" t="inlineStr">
        <is>
          <t>TN</t>
        </is>
      </c>
      <c r="D1187" s="7" t="inlineStr">
        <is>
          <t>TN11AF4870</t>
        </is>
      </c>
      <c r="E1187" s="7" t="inlineStr">
        <is>
          <t>MARUTI SUZUKI</t>
        </is>
      </c>
      <c r="F1187" s="7" t="inlineStr">
        <is>
          <t>Ciaz</t>
        </is>
      </c>
      <c r="G1187" s="7" t="inlineStr">
        <is>
          <t>KHIVRAJ MOTOR</t>
        </is>
      </c>
      <c r="H1187" s="7" t="inlineStr">
        <is>
          <t>Non-Captive</t>
        </is>
      </c>
      <c r="I1187" s="7" t="inlineStr">
        <is>
          <t>AS Cars Gopi</t>
        </is>
      </c>
      <c r="J1187" s="8" t="n">
        <v>2017</v>
      </c>
      <c r="K1187" s="9" t="n">
        <v>87793</v>
      </c>
      <c r="L1187" s="10" t="n">
        <v>350000</v>
      </c>
      <c r="M1187" s="10" t="n">
        <v>2118.64</v>
      </c>
      <c r="N1187" s="11">
        <f>IF(M1187="","",ROUND(M1187*1.18,2))</f>
        <v/>
      </c>
      <c r="O1187" s="12">
        <f>IF(M1187="","",ROUND(N1187-M1187,2))</f>
        <v/>
      </c>
      <c r="P1187" s="13">
        <f>IF(AND(A1187&lt;&gt;"",B1187&lt;&gt;""), A1187&amp;" · "&amp;B1187, "")</f>
        <v/>
      </c>
    </row>
    <row r="1188">
      <c r="A1188" s="6" t="inlineStr">
        <is>
          <t>FY26</t>
        </is>
      </c>
      <c r="B1188" s="6" t="inlineStr">
        <is>
          <t>Mar</t>
        </is>
      </c>
      <c r="C1188" s="6" t="inlineStr">
        <is>
          <t>TN</t>
        </is>
      </c>
      <c r="D1188" s="7" t="inlineStr">
        <is>
          <t>TN11AF5339</t>
        </is>
      </c>
      <c r="E1188" s="7" t="inlineStr">
        <is>
          <t>MARUTI SUZUKI</t>
        </is>
      </c>
      <c r="F1188" s="7" t="inlineStr">
        <is>
          <t>Wagon R</t>
        </is>
      </c>
      <c r="G1188" s="7" t="inlineStr">
        <is>
          <t>SANTHOSH CARS</t>
        </is>
      </c>
      <c r="H1188" s="7" t="inlineStr">
        <is>
          <t>Non-Captive</t>
        </is>
      </c>
      <c r="I1188" s="7" t="inlineStr">
        <is>
          <t>Kamal Cars</t>
        </is>
      </c>
      <c r="J1188" s="8" t="n">
        <v>2018</v>
      </c>
      <c r="K1188" s="9" t="n">
        <v>51025</v>
      </c>
      <c r="L1188" s="10" t="n">
        <v>260000</v>
      </c>
      <c r="M1188" s="10" t="n">
        <v>4237.29</v>
      </c>
      <c r="N1188" s="11">
        <f>IF(M1188="","",ROUND(M1188*1.18,2))</f>
        <v/>
      </c>
      <c r="O1188" s="12">
        <f>IF(M1188="","",ROUND(N1188-M1188,2))</f>
        <v/>
      </c>
      <c r="P1188" s="13">
        <f>IF(AND(A1188&lt;&gt;"",B1188&lt;&gt;""), A1188&amp;" · "&amp;B1188, "")</f>
        <v/>
      </c>
    </row>
    <row r="1189">
      <c r="A1189" s="6" t="inlineStr">
        <is>
          <t>FY26</t>
        </is>
      </c>
      <c r="B1189" s="6" t="inlineStr">
        <is>
          <t>Mar</t>
        </is>
      </c>
      <c r="C1189" s="6" t="inlineStr">
        <is>
          <t>TN</t>
        </is>
      </c>
      <c r="D1189" s="7" t="inlineStr">
        <is>
          <t>TN11AL2757</t>
        </is>
      </c>
      <c r="E1189" s="7" t="inlineStr">
        <is>
          <t>HONDA</t>
        </is>
      </c>
      <c r="F1189" s="7" t="inlineStr">
        <is>
          <t>City</t>
        </is>
      </c>
      <c r="G1189" s="7" t="inlineStr">
        <is>
          <t>EXCHANGE ROTN</t>
        </is>
      </c>
      <c r="H1189" s="7" t="inlineStr">
        <is>
          <t>Captive</t>
        </is>
      </c>
      <c r="I1189" s="7" t="inlineStr">
        <is>
          <t>PURUSOTHAMAN J CARS</t>
        </is>
      </c>
      <c r="J1189" s="8" t="n">
        <v>2019</v>
      </c>
      <c r="K1189" s="9" t="n">
        <v>63155</v>
      </c>
      <c r="L1189" s="10" t="n">
        <v>220000</v>
      </c>
      <c r="M1189" s="10" t="n">
        <v>4237.29</v>
      </c>
      <c r="N1189" s="11">
        <f>IF(M1189="","",ROUND(M1189*1.18,2))</f>
        <v/>
      </c>
      <c r="O1189" s="12">
        <f>IF(M1189="","",ROUND(N1189-M1189,2))</f>
        <v/>
      </c>
      <c r="P1189" s="13">
        <f>IF(AND(A1189&lt;&gt;"",B1189&lt;&gt;""), A1189&amp;" · "&amp;B1189, "")</f>
        <v/>
      </c>
    </row>
    <row r="1190">
      <c r="A1190" s="6" t="inlineStr">
        <is>
          <t>FY26</t>
        </is>
      </c>
      <c r="B1190" s="6" t="inlineStr">
        <is>
          <t>Mar</t>
        </is>
      </c>
      <c r="C1190" s="6" t="inlineStr">
        <is>
          <t>TN</t>
        </is>
      </c>
      <c r="D1190" s="7" t="inlineStr">
        <is>
          <t>TN12A2718</t>
        </is>
      </c>
      <c r="E1190" s="7" t="inlineStr">
        <is>
          <t>MARUTI SUZUKI</t>
        </is>
      </c>
      <c r="F1190" s="7" t="inlineStr">
        <is>
          <t>Eeco</t>
        </is>
      </c>
      <c r="G1190" s="7" t="inlineStr">
        <is>
          <t>KHIVRAJ MOTOR</t>
        </is>
      </c>
      <c r="H1190" s="7" t="inlineStr">
        <is>
          <t>Non-Captive</t>
        </is>
      </c>
      <c r="I1190" s="7" t="inlineStr">
        <is>
          <t>Value Drive Tecnologies</t>
        </is>
      </c>
      <c r="J1190" s="8" t="n">
        <v>2013</v>
      </c>
      <c r="K1190" s="9" t="n">
        <v>114854</v>
      </c>
      <c r="L1190" s="10" t="n">
        <v>373000</v>
      </c>
      <c r="M1190" s="10" t="n">
        <v>5084.75</v>
      </c>
      <c r="N1190" s="11">
        <f>IF(M1190="","",ROUND(M1190*1.18,2))</f>
        <v/>
      </c>
      <c r="O1190" s="12">
        <f>IF(M1190="","",ROUND(N1190-M1190,2))</f>
        <v/>
      </c>
      <c r="P1190" s="13">
        <f>IF(AND(A1190&lt;&gt;"",B1190&lt;&gt;""), A1190&amp;" · "&amp;B1190, "")</f>
        <v/>
      </c>
    </row>
    <row r="1191">
      <c r="A1191" s="6" t="inlineStr">
        <is>
          <t>FY26</t>
        </is>
      </c>
      <c r="B1191" s="6" t="inlineStr">
        <is>
          <t>Mar</t>
        </is>
      </c>
      <c r="C1191" s="6" t="inlineStr">
        <is>
          <t>TN</t>
        </is>
      </c>
      <c r="D1191" s="7" t="inlineStr">
        <is>
          <t>TN12AF3352</t>
        </is>
      </c>
      <c r="E1191" s="7" t="inlineStr">
        <is>
          <t>HYUNDAI</t>
        </is>
      </c>
      <c r="F1191" s="7" t="inlineStr">
        <is>
          <t>Santro</t>
        </is>
      </c>
      <c r="G1191" s="7" t="inlineStr">
        <is>
          <t>KHIVRAJ MOTOR</t>
        </is>
      </c>
      <c r="H1191" s="7" t="inlineStr">
        <is>
          <t>Non-Captive</t>
        </is>
      </c>
      <c r="I1191" s="7" t="inlineStr">
        <is>
          <t>Nirmal Cars</t>
        </is>
      </c>
      <c r="J1191" s="8" t="n">
        <v>2019</v>
      </c>
      <c r="K1191" s="9" t="n">
        <v>27131</v>
      </c>
      <c r="L1191" s="10" t="n">
        <v>300000</v>
      </c>
      <c r="M1191" s="10" t="n">
        <v>2118.64</v>
      </c>
      <c r="N1191" s="11">
        <f>IF(M1191="","",ROUND(M1191*1.18,2))</f>
        <v/>
      </c>
      <c r="O1191" s="12">
        <f>IF(M1191="","",ROUND(N1191-M1191,2))</f>
        <v/>
      </c>
      <c r="P1191" s="13">
        <f>IF(AND(A1191&lt;&gt;"",B1191&lt;&gt;""), A1191&amp;" · "&amp;B1191, "")</f>
        <v/>
      </c>
    </row>
    <row r="1192">
      <c r="A1192" s="6" t="inlineStr">
        <is>
          <t>FY26</t>
        </is>
      </c>
      <c r="B1192" s="6" t="inlineStr">
        <is>
          <t>Mar</t>
        </is>
      </c>
      <c r="C1192" s="6" t="inlineStr">
        <is>
          <t>TN</t>
        </is>
      </c>
      <c r="D1192" s="7" t="inlineStr">
        <is>
          <t>TN12AQ1993</t>
        </is>
      </c>
      <c r="E1192" s="7" t="inlineStr">
        <is>
          <t>RENAULT</t>
        </is>
      </c>
      <c r="F1192" s="7" t="inlineStr">
        <is>
          <t>Kiger</t>
        </is>
      </c>
      <c r="G1192" s="7" t="inlineStr">
        <is>
          <t>KALYANI MOTORS MARUTI</t>
        </is>
      </c>
      <c r="H1192" s="7" t="inlineStr">
        <is>
          <t>Non-Captive</t>
        </is>
      </c>
      <c r="I1192" s="7" t="inlineStr">
        <is>
          <t>Santhosh Cars</t>
        </is>
      </c>
      <c r="J1192" s="8" t="n">
        <v>2021</v>
      </c>
      <c r="K1192" s="9" t="n">
        <v>59767</v>
      </c>
      <c r="L1192" s="10" t="n">
        <v>365000</v>
      </c>
      <c r="M1192" s="10" t="n">
        <v>2118.64</v>
      </c>
      <c r="N1192" s="11">
        <f>IF(M1192="","",ROUND(M1192*1.18,2))</f>
        <v/>
      </c>
      <c r="O1192" s="12">
        <f>IF(M1192="","",ROUND(N1192-M1192,2))</f>
        <v/>
      </c>
      <c r="P1192" s="13">
        <f>IF(AND(A1192&lt;&gt;"",B1192&lt;&gt;""), A1192&amp;" · "&amp;B1192, "")</f>
        <v/>
      </c>
    </row>
    <row r="1193">
      <c r="A1193" s="6" t="inlineStr">
        <is>
          <t>FY26</t>
        </is>
      </c>
      <c r="B1193" s="6" t="inlineStr">
        <is>
          <t>Mar</t>
        </is>
      </c>
      <c r="C1193" s="6" t="inlineStr">
        <is>
          <t>TN</t>
        </is>
      </c>
      <c r="D1193" s="7" t="inlineStr">
        <is>
          <t>TN12AV9028</t>
        </is>
      </c>
      <c r="E1193" s="7" t="inlineStr">
        <is>
          <t>MARUTI SUZUKI</t>
        </is>
      </c>
      <c r="F1193" s="7" t="inlineStr">
        <is>
          <t>Ignis</t>
        </is>
      </c>
      <c r="G1193" s="7" t="inlineStr">
        <is>
          <t>KHIVRAJ MOTOR</t>
        </is>
      </c>
      <c r="H1193" s="7" t="inlineStr">
        <is>
          <t>Non-Captive</t>
        </is>
      </c>
      <c r="I1193" s="7" t="inlineStr">
        <is>
          <t>Nirmal Cars</t>
        </is>
      </c>
      <c r="J1193" s="8" t="n">
        <v>2022</v>
      </c>
      <c r="K1193" s="9" t="n">
        <v>15107</v>
      </c>
      <c r="L1193" s="10" t="n">
        <v>470000</v>
      </c>
      <c r="M1193" s="10" t="n">
        <v>2118.64</v>
      </c>
      <c r="N1193" s="11">
        <f>IF(M1193="","",ROUND(M1193*1.18,2))</f>
        <v/>
      </c>
      <c r="O1193" s="12">
        <f>IF(M1193="","",ROUND(N1193-M1193,2))</f>
        <v/>
      </c>
      <c r="P1193" s="13">
        <f>IF(AND(A1193&lt;&gt;"",B1193&lt;&gt;""), A1193&amp;" · "&amp;B1193, "")</f>
        <v/>
      </c>
    </row>
    <row r="1194">
      <c r="A1194" s="6" t="inlineStr">
        <is>
          <t>FY26</t>
        </is>
      </c>
      <c r="B1194" s="6" t="inlineStr">
        <is>
          <t>Mar</t>
        </is>
      </c>
      <c r="C1194" s="6" t="inlineStr">
        <is>
          <t>TN</t>
        </is>
      </c>
      <c r="D1194" s="7" t="inlineStr">
        <is>
          <t>TN12B1233</t>
        </is>
      </c>
      <c r="E1194" s="7" t="inlineStr">
        <is>
          <t>HONDA</t>
        </is>
      </c>
      <c r="F1194" s="7" t="inlineStr">
        <is>
          <t>Amaze</t>
        </is>
      </c>
      <c r="G1194" s="7" t="inlineStr">
        <is>
          <t>KHIVRAJ MOTOR</t>
        </is>
      </c>
      <c r="H1194" s="7" t="inlineStr">
        <is>
          <t>Non-Captive</t>
        </is>
      </c>
      <c r="I1194" s="7" t="inlineStr">
        <is>
          <t>Santhosh Cars</t>
        </is>
      </c>
      <c r="J1194" s="8" t="n">
        <v>2013</v>
      </c>
      <c r="K1194" s="9" t="n">
        <v>125170</v>
      </c>
      <c r="L1194" s="10" t="n">
        <v>200000</v>
      </c>
      <c r="M1194" s="10" t="n">
        <v>2118.64</v>
      </c>
      <c r="N1194" s="11">
        <f>IF(M1194="","",ROUND(M1194*1.18,2))</f>
        <v/>
      </c>
      <c r="O1194" s="12">
        <f>IF(M1194="","",ROUND(N1194-M1194,2))</f>
        <v/>
      </c>
      <c r="P1194" s="13">
        <f>IF(AND(A1194&lt;&gt;"",B1194&lt;&gt;""), A1194&amp;" · "&amp;B1194, "")</f>
        <v/>
      </c>
    </row>
    <row r="1195">
      <c r="A1195" s="6" t="inlineStr">
        <is>
          <t>FY26</t>
        </is>
      </c>
      <c r="B1195" s="6" t="inlineStr">
        <is>
          <t>Mar</t>
        </is>
      </c>
      <c r="C1195" s="6" t="inlineStr">
        <is>
          <t>TN</t>
        </is>
      </c>
      <c r="D1195" s="7" t="inlineStr">
        <is>
          <t>TN12K7855</t>
        </is>
      </c>
      <c r="E1195" s="7" t="inlineStr">
        <is>
          <t>MARUTI SUZUKI</t>
        </is>
      </c>
      <c r="F1195" s="7" t="inlineStr">
        <is>
          <t>Dzire</t>
        </is>
      </c>
      <c r="G1195" s="7" t="inlineStr">
        <is>
          <t>CBE CARS</t>
        </is>
      </c>
      <c r="H1195" s="7" t="inlineStr">
        <is>
          <t>Non-Captive</t>
        </is>
      </c>
      <c r="I1195" s="7" t="inlineStr">
        <is>
          <t>Sai Cars</t>
        </is>
      </c>
      <c r="J1195" s="8" t="n">
        <v>2015</v>
      </c>
      <c r="K1195" s="9" t="n">
        <v>89070</v>
      </c>
      <c r="L1195" s="10" t="n">
        <v>375000</v>
      </c>
      <c r="M1195" s="10" t="n">
        <v>4237.29</v>
      </c>
      <c r="N1195" s="11">
        <f>IF(M1195="","",ROUND(M1195*1.18,2))</f>
        <v/>
      </c>
      <c r="O1195" s="12">
        <f>IF(M1195="","",ROUND(N1195-M1195,2))</f>
        <v/>
      </c>
      <c r="P1195" s="13">
        <f>IF(AND(A1195&lt;&gt;"",B1195&lt;&gt;""), A1195&amp;" · "&amp;B1195, "")</f>
        <v/>
      </c>
    </row>
    <row r="1196">
      <c r="A1196" s="6" t="inlineStr">
        <is>
          <t>FY26</t>
        </is>
      </c>
      <c r="B1196" s="6" t="inlineStr">
        <is>
          <t>Mar</t>
        </is>
      </c>
      <c r="C1196" s="6" t="inlineStr">
        <is>
          <t>TN</t>
        </is>
      </c>
      <c r="D1196" s="7" t="inlineStr">
        <is>
          <t>TN12M7846</t>
        </is>
      </c>
      <c r="E1196" s="7" t="inlineStr">
        <is>
          <t>MAHINDRA</t>
        </is>
      </c>
      <c r="F1196" s="7" t="inlineStr">
        <is>
          <t>TUV300</t>
        </is>
      </c>
      <c r="G1196" s="7" t="inlineStr">
        <is>
          <t>KHIVRAJ MOTOR</t>
        </is>
      </c>
      <c r="H1196" s="7" t="inlineStr">
        <is>
          <t>Non-Captive</t>
        </is>
      </c>
      <c r="I1196" s="7" t="inlineStr">
        <is>
          <t>AS Cars Gopi</t>
        </is>
      </c>
      <c r="J1196" s="8" t="n">
        <v>2016</v>
      </c>
      <c r="K1196" s="9" t="n">
        <v>80860</v>
      </c>
      <c r="L1196" s="10" t="n">
        <v>410000</v>
      </c>
      <c r="M1196" s="10" t="n">
        <v>2118.64</v>
      </c>
      <c r="N1196" s="11">
        <f>IF(M1196="","",ROUND(M1196*1.18,2))</f>
        <v/>
      </c>
      <c r="O1196" s="12">
        <f>IF(M1196="","",ROUND(N1196-M1196,2))</f>
        <v/>
      </c>
      <c r="P1196" s="13">
        <f>IF(AND(A1196&lt;&gt;"",B1196&lt;&gt;""), A1196&amp;" · "&amp;B1196, "")</f>
        <v/>
      </c>
    </row>
    <row r="1197">
      <c r="A1197" s="6" t="inlineStr">
        <is>
          <t>FY26</t>
        </is>
      </c>
      <c r="B1197" s="6" t="inlineStr">
        <is>
          <t>Mar</t>
        </is>
      </c>
      <c r="C1197" s="6" t="inlineStr">
        <is>
          <t>TN</t>
        </is>
      </c>
      <c r="D1197" s="7" t="inlineStr">
        <is>
          <t>TN12Q8464</t>
        </is>
      </c>
      <c r="E1197" s="7" t="inlineStr">
        <is>
          <t>VOLKSWAGEN</t>
        </is>
      </c>
      <c r="F1197" s="7" t="inlineStr">
        <is>
          <t>Polo</t>
        </is>
      </c>
      <c r="G1197" s="7" t="inlineStr">
        <is>
          <t>KHIVRAJ MOTOR</t>
        </is>
      </c>
      <c r="H1197" s="7" t="inlineStr">
        <is>
          <t>Non-Captive</t>
        </is>
      </c>
      <c r="I1197" s="7" t="inlineStr">
        <is>
          <t>Santhosh Cars</t>
        </is>
      </c>
      <c r="J1197" s="8" t="n">
        <v>2016</v>
      </c>
      <c r="K1197" s="9" t="n">
        <v>122726</v>
      </c>
      <c r="L1197" s="10" t="n">
        <v>250000</v>
      </c>
      <c r="M1197" s="10" t="n">
        <v>2118.64</v>
      </c>
      <c r="N1197" s="11">
        <f>IF(M1197="","",ROUND(M1197*1.18,2))</f>
        <v/>
      </c>
      <c r="O1197" s="12">
        <f>IF(M1197="","",ROUND(N1197-M1197,2))</f>
        <v/>
      </c>
      <c r="P1197" s="13">
        <f>IF(AND(A1197&lt;&gt;"",B1197&lt;&gt;""), A1197&amp;" · "&amp;B1197, "")</f>
        <v/>
      </c>
    </row>
    <row r="1198">
      <c r="A1198" s="6" t="inlineStr">
        <is>
          <t>FY26</t>
        </is>
      </c>
      <c r="B1198" s="6" t="inlineStr">
        <is>
          <t>Mar</t>
        </is>
      </c>
      <c r="C1198" s="6" t="inlineStr">
        <is>
          <t>TN</t>
        </is>
      </c>
      <c r="D1198" s="7" t="inlineStr">
        <is>
          <t>TN12Q9802</t>
        </is>
      </c>
      <c r="E1198" s="7" t="inlineStr">
        <is>
          <t>MARUTI SUZUKI</t>
        </is>
      </c>
      <c r="F1198" s="7" t="inlineStr">
        <is>
          <t>Celerio</t>
        </is>
      </c>
      <c r="G1198" s="7" t="inlineStr">
        <is>
          <t>KHIVRAJ MOTOR</t>
        </is>
      </c>
      <c r="H1198" s="7" t="inlineStr">
        <is>
          <t>Non-Captive</t>
        </is>
      </c>
      <c r="I1198" s="7" t="inlineStr">
        <is>
          <t>Anishcars</t>
        </is>
      </c>
      <c r="J1198" s="8" t="n">
        <v>2016</v>
      </c>
      <c r="K1198" s="9" t="n">
        <v>46820</v>
      </c>
      <c r="L1198" s="10" t="n">
        <v>204000</v>
      </c>
      <c r="M1198" s="10" t="n">
        <v>5084.75</v>
      </c>
      <c r="N1198" s="11">
        <f>IF(M1198="","",ROUND(M1198*1.18,2))</f>
        <v/>
      </c>
      <c r="O1198" s="12">
        <f>IF(M1198="","",ROUND(N1198-M1198,2))</f>
        <v/>
      </c>
      <c r="P1198" s="13">
        <f>IF(AND(A1198&lt;&gt;"",B1198&lt;&gt;""), A1198&amp;" · "&amp;B1198, "")</f>
        <v/>
      </c>
    </row>
    <row r="1199">
      <c r="A1199" s="6" t="inlineStr">
        <is>
          <t>FY26</t>
        </is>
      </c>
      <c r="B1199" s="6" t="inlineStr">
        <is>
          <t>Mar</t>
        </is>
      </c>
      <c r="C1199" s="6" t="inlineStr">
        <is>
          <t>TN</t>
        </is>
      </c>
      <c r="D1199" s="7" t="inlineStr">
        <is>
          <t>TN12V5864</t>
        </is>
      </c>
      <c r="E1199" s="7" t="inlineStr">
        <is>
          <t>MARUTI SUZUKI</t>
        </is>
      </c>
      <c r="F1199" s="7" t="inlineStr">
        <is>
          <t>Swift</t>
        </is>
      </c>
      <c r="G1199" s="7" t="inlineStr">
        <is>
          <t>KHIVRAJ MOTOR</t>
        </is>
      </c>
      <c r="H1199" s="7" t="inlineStr">
        <is>
          <t>Non-Captive</t>
        </is>
      </c>
      <c r="I1199" s="7" t="inlineStr">
        <is>
          <t>Nirmal Cars</t>
        </is>
      </c>
      <c r="J1199" s="8" t="n">
        <v>2017</v>
      </c>
      <c r="K1199" s="9" t="n">
        <v>63448</v>
      </c>
      <c r="L1199" s="10" t="n">
        <v>350000</v>
      </c>
      <c r="M1199" s="10" t="n">
        <v>2118.64</v>
      </c>
      <c r="N1199" s="11">
        <f>IF(M1199="","",ROUND(M1199*1.18,2))</f>
        <v/>
      </c>
      <c r="O1199" s="12">
        <f>IF(M1199="","",ROUND(N1199-M1199,2))</f>
        <v/>
      </c>
      <c r="P1199" s="13">
        <f>IF(AND(A1199&lt;&gt;"",B1199&lt;&gt;""), A1199&amp;" · "&amp;B1199, "")</f>
        <v/>
      </c>
    </row>
    <row r="1200">
      <c r="A1200" s="6" t="inlineStr">
        <is>
          <t>FY26</t>
        </is>
      </c>
      <c r="B1200" s="6" t="inlineStr">
        <is>
          <t>Mar</t>
        </is>
      </c>
      <c r="C1200" s="6" t="inlineStr">
        <is>
          <t>TN</t>
        </is>
      </c>
      <c r="D1200" s="7" t="inlineStr">
        <is>
          <t>TN12W5310</t>
        </is>
      </c>
      <c r="E1200" s="7" t="inlineStr">
        <is>
          <t>HYUNDAI</t>
        </is>
      </c>
      <c r="F1200" s="7" t="inlineStr">
        <is>
          <t>Xcent</t>
        </is>
      </c>
      <c r="G1200" s="7" t="inlineStr">
        <is>
          <t>KALYANI MOTORS MARUTI</t>
        </is>
      </c>
      <c r="H1200" s="7" t="inlineStr">
        <is>
          <t>Non-Captive</t>
        </is>
      </c>
      <c r="I1200" s="7" t="inlineStr">
        <is>
          <t>Nirmal Cars</t>
        </is>
      </c>
      <c r="J1200" s="8" t="n">
        <v>2017</v>
      </c>
      <c r="K1200" s="9" t="n">
        <v>156472</v>
      </c>
      <c r="L1200" s="10" t="n">
        <v>170000</v>
      </c>
      <c r="M1200" s="10" t="n">
        <v>2542.37</v>
      </c>
      <c r="N1200" s="11">
        <f>IF(M1200="","",ROUND(M1200*1.18,2))</f>
        <v/>
      </c>
      <c r="O1200" s="12">
        <f>IF(M1200="","",ROUND(N1200-M1200,2))</f>
        <v/>
      </c>
      <c r="P1200" s="13">
        <f>IF(AND(A1200&lt;&gt;"",B1200&lt;&gt;""), A1200&amp;" · "&amp;B1200, "")</f>
        <v/>
      </c>
    </row>
    <row r="1201">
      <c r="A1201" s="6" t="inlineStr">
        <is>
          <t>FY26</t>
        </is>
      </c>
      <c r="B1201" s="6" t="inlineStr">
        <is>
          <t>Mar</t>
        </is>
      </c>
      <c r="C1201" s="6" t="inlineStr">
        <is>
          <t>TN</t>
        </is>
      </c>
      <c r="D1201" s="7" t="inlineStr">
        <is>
          <t>TN132269</t>
        </is>
      </c>
      <c r="E1201" s="7" t="inlineStr">
        <is>
          <t>MARUTI SUZUKI</t>
        </is>
      </c>
      <c r="F1201" s="7" t="inlineStr">
        <is>
          <t>Swift</t>
        </is>
      </c>
      <c r="G1201" s="7" t="inlineStr">
        <is>
          <t>KHIVRAJ MOTOR</t>
        </is>
      </c>
      <c r="H1201" s="7" t="inlineStr">
        <is>
          <t>Non-Captive</t>
        </is>
      </c>
      <c r="I1201" s="7" t="inlineStr">
        <is>
          <t>Santhosh Cars</t>
        </is>
      </c>
      <c r="J1201" s="8" t="n">
        <v>2013</v>
      </c>
      <c r="K1201" s="9" t="n">
        <v>34398</v>
      </c>
      <c r="L1201" s="10" t="n">
        <v>300000</v>
      </c>
      <c r="M1201" s="10" t="n">
        <v>2118.64</v>
      </c>
      <c r="N1201" s="11">
        <f>IF(M1201="","",ROUND(M1201*1.18,2))</f>
        <v/>
      </c>
      <c r="O1201" s="12">
        <f>IF(M1201="","",ROUND(N1201-M1201,2))</f>
        <v/>
      </c>
      <c r="P1201" s="13">
        <f>IF(AND(A1201&lt;&gt;"",B1201&lt;&gt;""), A1201&amp;" · "&amp;B1201, "")</f>
        <v/>
      </c>
    </row>
    <row r="1202">
      <c r="A1202" s="6" t="inlineStr">
        <is>
          <t>FY26</t>
        </is>
      </c>
      <c r="B1202" s="6" t="inlineStr">
        <is>
          <t>Mar</t>
        </is>
      </c>
      <c r="C1202" s="6" t="inlineStr">
        <is>
          <t>TN</t>
        </is>
      </c>
      <c r="D1202" s="7" t="inlineStr">
        <is>
          <t>TN13A6158</t>
        </is>
      </c>
      <c r="E1202" s="7" t="inlineStr">
        <is>
          <t>MARUTI SUZUKI</t>
        </is>
      </c>
      <c r="F1202" s="7" t="inlineStr">
        <is>
          <t>Alto K10</t>
        </is>
      </c>
      <c r="G1202" s="7" t="inlineStr">
        <is>
          <t>KHIVRAJ MOTOR</t>
        </is>
      </c>
      <c r="H1202" s="7" t="inlineStr">
        <is>
          <t>Non-Captive</t>
        </is>
      </c>
      <c r="I1202" s="7" t="inlineStr">
        <is>
          <t>AAA Cars</t>
        </is>
      </c>
      <c r="J1202" s="8" t="n">
        <v>2014</v>
      </c>
      <c r="K1202" s="9" t="n">
        <v>64452</v>
      </c>
      <c r="L1202" s="10" t="n">
        <v>135000</v>
      </c>
      <c r="M1202" s="10" t="n">
        <v>3389.83</v>
      </c>
      <c r="N1202" s="11">
        <f>IF(M1202="","",ROUND(M1202*1.18,2))</f>
        <v/>
      </c>
      <c r="O1202" s="12">
        <f>IF(M1202="","",ROUND(N1202-M1202,2))</f>
        <v/>
      </c>
      <c r="P1202" s="13">
        <f>IF(AND(A1202&lt;&gt;"",B1202&lt;&gt;""), A1202&amp;" · "&amp;B1202, "")</f>
        <v/>
      </c>
    </row>
    <row r="1203">
      <c r="A1203" s="6" t="inlineStr">
        <is>
          <t>FY26</t>
        </is>
      </c>
      <c r="B1203" s="6" t="inlineStr">
        <is>
          <t>Mar</t>
        </is>
      </c>
      <c r="C1203" s="6" t="inlineStr">
        <is>
          <t>TN</t>
        </is>
      </c>
      <c r="D1203" s="7" t="inlineStr">
        <is>
          <t>TN13AB7246</t>
        </is>
      </c>
      <c r="E1203" s="7" t="inlineStr">
        <is>
          <t>MARUTI SUZUKI</t>
        </is>
      </c>
      <c r="F1203" s="7" t="inlineStr">
        <is>
          <t>Fronx</t>
        </is>
      </c>
      <c r="G1203" s="7" t="inlineStr">
        <is>
          <t>KHIVRAJ MOTOR</t>
        </is>
      </c>
      <c r="H1203" s="7" t="inlineStr">
        <is>
          <t>Non-Captive</t>
        </is>
      </c>
      <c r="I1203" s="7" t="inlineStr">
        <is>
          <t>Yes Cars</t>
        </is>
      </c>
      <c r="J1203" s="8" t="n">
        <v>2023</v>
      </c>
      <c r="K1203" s="9" t="n">
        <v>30258</v>
      </c>
      <c r="L1203" s="10" t="n">
        <v>550000</v>
      </c>
      <c r="M1203" s="10" t="n">
        <v>2118.64</v>
      </c>
      <c r="N1203" s="11">
        <f>IF(M1203="","",ROUND(M1203*1.18,2))</f>
        <v/>
      </c>
      <c r="O1203" s="12">
        <f>IF(M1203="","",ROUND(N1203-M1203,2))</f>
        <v/>
      </c>
      <c r="P1203" s="13">
        <f>IF(AND(A1203&lt;&gt;"",B1203&lt;&gt;""), A1203&amp;" · "&amp;B1203, "")</f>
        <v/>
      </c>
    </row>
    <row r="1204">
      <c r="A1204" s="6" t="inlineStr">
        <is>
          <t>FY26</t>
        </is>
      </c>
      <c r="B1204" s="6" t="inlineStr">
        <is>
          <t>Mar</t>
        </is>
      </c>
      <c r="C1204" s="6" t="inlineStr">
        <is>
          <t>TN</t>
        </is>
      </c>
      <c r="D1204" s="7" t="inlineStr">
        <is>
          <t>TN13H1317</t>
        </is>
      </c>
      <c r="E1204" s="7" t="inlineStr">
        <is>
          <t>HONDA</t>
        </is>
      </c>
      <c r="F1204" s="7" t="inlineStr">
        <is>
          <t>Jazz</t>
        </is>
      </c>
      <c r="G1204" s="7" t="inlineStr">
        <is>
          <t>EXCHANGE CHENNAI</t>
        </is>
      </c>
      <c r="H1204" s="7" t="inlineStr">
        <is>
          <t>Captive</t>
        </is>
      </c>
      <c r="I1204" s="7" t="inlineStr">
        <is>
          <t>Santhosh Cars</t>
        </is>
      </c>
      <c r="J1204" s="8" t="n">
        <v>2016</v>
      </c>
      <c r="K1204" s="9" t="n">
        <v>219412</v>
      </c>
      <c r="L1204" s="10" t="n">
        <v>350000</v>
      </c>
      <c r="M1204" s="10" t="n">
        <v>8474.58</v>
      </c>
      <c r="N1204" s="11">
        <f>IF(M1204="","",ROUND(M1204*1.18,2))</f>
        <v/>
      </c>
      <c r="O1204" s="12">
        <f>IF(M1204="","",ROUND(N1204-M1204,2))</f>
        <v/>
      </c>
      <c r="P1204" s="13">
        <f>IF(AND(A1204&lt;&gt;"",B1204&lt;&gt;""), A1204&amp;" · "&amp;B1204, "")</f>
        <v/>
      </c>
    </row>
    <row r="1205">
      <c r="A1205" s="6" t="inlineStr">
        <is>
          <t>FY26</t>
        </is>
      </c>
      <c r="B1205" s="6" t="inlineStr">
        <is>
          <t>Mar</t>
        </is>
      </c>
      <c r="C1205" s="6" t="inlineStr">
        <is>
          <t>TN</t>
        </is>
      </c>
      <c r="D1205" s="7" t="inlineStr">
        <is>
          <t>TN13L6167</t>
        </is>
      </c>
      <c r="E1205" s="7" t="inlineStr">
        <is>
          <t>TATA</t>
        </is>
      </c>
      <c r="F1205" s="7" t="inlineStr">
        <is>
          <t>Tiago</t>
        </is>
      </c>
      <c r="G1205" s="7" t="inlineStr">
        <is>
          <t>EXCHANGE ROTN</t>
        </is>
      </c>
      <c r="H1205" s="7" t="inlineStr">
        <is>
          <t>Captive</t>
        </is>
      </c>
      <c r="I1205" s="7" t="inlineStr">
        <is>
          <t>Paul Cars</t>
        </is>
      </c>
      <c r="J1205" s="8" t="n">
        <v>2017</v>
      </c>
      <c r="K1205" s="9" t="n">
        <v>80157</v>
      </c>
      <c r="L1205" s="10" t="n">
        <v>265000</v>
      </c>
      <c r="M1205" s="10" t="n">
        <v>8474.58</v>
      </c>
      <c r="N1205" s="11">
        <f>IF(M1205="","",ROUND(M1205*1.18,2))</f>
        <v/>
      </c>
      <c r="O1205" s="12">
        <f>IF(M1205="","",ROUND(N1205-M1205,2))</f>
        <v/>
      </c>
      <c r="P1205" s="13">
        <f>IF(AND(A1205&lt;&gt;"",B1205&lt;&gt;""), A1205&amp;" · "&amp;B1205, "")</f>
        <v/>
      </c>
    </row>
    <row r="1206">
      <c r="A1206" s="6" t="inlineStr">
        <is>
          <t>FY26</t>
        </is>
      </c>
      <c r="B1206" s="6" t="inlineStr">
        <is>
          <t>Mar</t>
        </is>
      </c>
      <c r="C1206" s="6" t="inlineStr">
        <is>
          <t>TN</t>
        </is>
      </c>
      <c r="D1206" s="7" t="inlineStr">
        <is>
          <t>TN13M5078</t>
        </is>
      </c>
      <c r="E1206" s="7" t="inlineStr">
        <is>
          <t>TATA</t>
        </is>
      </c>
      <c r="F1206" s="7" t="inlineStr">
        <is>
          <t>Nexon</t>
        </is>
      </c>
      <c r="G1206" s="7" t="inlineStr">
        <is>
          <t>KHIVRAJ MOTOR</t>
        </is>
      </c>
      <c r="H1206" s="7" t="inlineStr">
        <is>
          <t>Non-Captive</t>
        </is>
      </c>
      <c r="I1206" s="7" t="inlineStr">
        <is>
          <t>Nirmal Cars</t>
        </is>
      </c>
      <c r="J1206" s="8" t="n">
        <v>2017</v>
      </c>
      <c r="K1206" s="9" t="n">
        <v>98000</v>
      </c>
      <c r="L1206" s="10" t="n">
        <v>470000</v>
      </c>
      <c r="M1206" s="10" t="n">
        <v>2118.64</v>
      </c>
      <c r="N1206" s="11">
        <f>IF(M1206="","",ROUND(M1206*1.18,2))</f>
        <v/>
      </c>
      <c r="O1206" s="12">
        <f>IF(M1206="","",ROUND(N1206-M1206,2))</f>
        <v/>
      </c>
      <c r="P1206" s="13">
        <f>IF(AND(A1206&lt;&gt;"",B1206&lt;&gt;""), A1206&amp;" · "&amp;B1206, "")</f>
        <v/>
      </c>
    </row>
    <row r="1207">
      <c r="A1207" s="6" t="inlineStr">
        <is>
          <t>FY26</t>
        </is>
      </c>
      <c r="B1207" s="6" t="inlineStr">
        <is>
          <t>Mar</t>
        </is>
      </c>
      <c r="C1207" s="6" t="inlineStr">
        <is>
          <t>TN</t>
        </is>
      </c>
      <c r="D1207" s="7" t="inlineStr">
        <is>
          <t>TN13R3660</t>
        </is>
      </c>
      <c r="E1207" s="7" t="inlineStr">
        <is>
          <t>MARUTI SUZUKI</t>
        </is>
      </c>
      <c r="F1207" s="7" t="inlineStr">
        <is>
          <t>Alto K10</t>
        </is>
      </c>
      <c r="G1207" s="7" t="inlineStr">
        <is>
          <t>KHIVRAJ MOTOR</t>
        </is>
      </c>
      <c r="H1207" s="7" t="inlineStr">
        <is>
          <t>Non-Captive</t>
        </is>
      </c>
      <c r="I1207" s="7" t="inlineStr">
        <is>
          <t>Santhosh Cars</t>
        </is>
      </c>
      <c r="J1207" s="8" t="n">
        <v>2019</v>
      </c>
      <c r="K1207" s="9" t="n">
        <v>30498</v>
      </c>
      <c r="L1207" s="10" t="n">
        <v>230000</v>
      </c>
      <c r="M1207" s="10" t="n">
        <v>2118.64</v>
      </c>
      <c r="N1207" s="11">
        <f>IF(M1207="","",ROUND(M1207*1.18,2))</f>
        <v/>
      </c>
      <c r="O1207" s="12">
        <f>IF(M1207="","",ROUND(N1207-M1207,2))</f>
        <v/>
      </c>
      <c r="P1207" s="13">
        <f>IF(AND(A1207&lt;&gt;"",B1207&lt;&gt;""), A1207&amp;" · "&amp;B1207, "")</f>
        <v/>
      </c>
    </row>
    <row r="1208">
      <c r="A1208" s="6" t="inlineStr">
        <is>
          <t>FY26</t>
        </is>
      </c>
      <c r="B1208" s="6" t="inlineStr">
        <is>
          <t>Mar</t>
        </is>
      </c>
      <c r="C1208" s="6" t="inlineStr">
        <is>
          <t>TN</t>
        </is>
      </c>
      <c r="D1208" s="7" t="inlineStr">
        <is>
          <t>TN13R5017</t>
        </is>
      </c>
      <c r="E1208" s="7" t="inlineStr">
        <is>
          <t>HYUNDAI</t>
        </is>
      </c>
      <c r="F1208" s="7" t="inlineStr">
        <is>
          <t>i20</t>
        </is>
      </c>
      <c r="G1208" s="7" t="inlineStr">
        <is>
          <t>KHIVRAJ MOTOR</t>
        </is>
      </c>
      <c r="H1208" s="7" t="inlineStr">
        <is>
          <t>Non-Captive</t>
        </is>
      </c>
      <c r="I1208" s="7" t="inlineStr">
        <is>
          <t>AS Cars Gopi</t>
        </is>
      </c>
      <c r="J1208" s="8" t="n">
        <v>2019</v>
      </c>
      <c r="K1208" s="9" t="n">
        <v>144037</v>
      </c>
      <c r="L1208" s="10" t="n">
        <v>290000</v>
      </c>
      <c r="M1208" s="10" t="n">
        <v>2118.64</v>
      </c>
      <c r="N1208" s="11">
        <f>IF(M1208="","",ROUND(M1208*1.18,2))</f>
        <v/>
      </c>
      <c r="O1208" s="12">
        <f>IF(M1208="","",ROUND(N1208-M1208,2))</f>
        <v/>
      </c>
      <c r="P1208" s="13">
        <f>IF(AND(A1208&lt;&gt;"",B1208&lt;&gt;""), A1208&amp;" · "&amp;B1208, "")</f>
        <v/>
      </c>
    </row>
    <row r="1209">
      <c r="A1209" s="6" t="inlineStr">
        <is>
          <t>FY26</t>
        </is>
      </c>
      <c r="B1209" s="6" t="inlineStr">
        <is>
          <t>Mar</t>
        </is>
      </c>
      <c r="C1209" s="6" t="inlineStr">
        <is>
          <t>TN</t>
        </is>
      </c>
      <c r="D1209" s="7" t="inlineStr">
        <is>
          <t>TN13R8562</t>
        </is>
      </c>
      <c r="E1209" s="7" t="inlineStr">
        <is>
          <t>HYUNDAI</t>
        </is>
      </c>
      <c r="F1209" s="7" t="inlineStr">
        <is>
          <t>Verna</t>
        </is>
      </c>
      <c r="G1209" s="7" t="inlineStr">
        <is>
          <t>KHIVRAJ MOTOR</t>
        </is>
      </c>
      <c r="H1209" s="7" t="inlineStr">
        <is>
          <t>Non-Captive</t>
        </is>
      </c>
      <c r="I1209" s="7" t="inlineStr">
        <is>
          <t>Santhosh Cars</t>
        </is>
      </c>
      <c r="J1209" s="8" t="n">
        <v>2019</v>
      </c>
      <c r="K1209" s="9" t="n">
        <v>87783</v>
      </c>
      <c r="L1209" s="10" t="n">
        <v>380000</v>
      </c>
      <c r="M1209" s="10" t="n">
        <v>2118.64</v>
      </c>
      <c r="N1209" s="11">
        <f>IF(M1209="","",ROUND(M1209*1.18,2))</f>
        <v/>
      </c>
      <c r="O1209" s="12">
        <f>IF(M1209="","",ROUND(N1209-M1209,2))</f>
        <v/>
      </c>
      <c r="P1209" s="13">
        <f>IF(AND(A1209&lt;&gt;"",B1209&lt;&gt;""), A1209&amp;" · "&amp;B1209, "")</f>
        <v/>
      </c>
    </row>
    <row r="1210">
      <c r="A1210" s="6" t="inlineStr">
        <is>
          <t>FY26</t>
        </is>
      </c>
      <c r="B1210" s="6" t="inlineStr">
        <is>
          <t>Mar</t>
        </is>
      </c>
      <c r="C1210" s="6" t="inlineStr">
        <is>
          <t>TN</t>
        </is>
      </c>
      <c r="D1210" s="7" t="inlineStr">
        <is>
          <t>TN13S6257</t>
        </is>
      </c>
      <c r="E1210" s="7" t="inlineStr">
        <is>
          <t>MARUTI SUZUKI</t>
        </is>
      </c>
      <c r="F1210" s="7" t="inlineStr">
        <is>
          <t>Wagon R</t>
        </is>
      </c>
      <c r="G1210" s="7" t="inlineStr">
        <is>
          <t>KHIVRAJ MOTOR</t>
        </is>
      </c>
      <c r="H1210" s="7" t="inlineStr">
        <is>
          <t>Non-Captive</t>
        </is>
      </c>
      <c r="I1210" s="7" t="inlineStr">
        <is>
          <t>Nirmal Cars</t>
        </is>
      </c>
      <c r="J1210" s="8" t="n">
        <v>2019</v>
      </c>
      <c r="K1210" s="9" t="n">
        <v>41290</v>
      </c>
      <c r="L1210" s="10" t="n">
        <v>360000</v>
      </c>
      <c r="M1210" s="10" t="n">
        <v>2118.64</v>
      </c>
      <c r="N1210" s="11">
        <f>IF(M1210="","",ROUND(M1210*1.18,2))</f>
        <v/>
      </c>
      <c r="O1210" s="12">
        <f>IF(M1210="","",ROUND(N1210-M1210,2))</f>
        <v/>
      </c>
      <c r="P1210" s="13">
        <f>IF(AND(A1210&lt;&gt;"",B1210&lt;&gt;""), A1210&amp;" · "&amp;B1210, "")</f>
        <v/>
      </c>
    </row>
    <row r="1211">
      <c r="A1211" s="6" t="inlineStr">
        <is>
          <t>FY26</t>
        </is>
      </c>
      <c r="B1211" s="6" t="inlineStr">
        <is>
          <t>Mar</t>
        </is>
      </c>
      <c r="C1211" s="6" t="inlineStr">
        <is>
          <t>TN</t>
        </is>
      </c>
      <c r="D1211" s="7" t="inlineStr">
        <is>
          <t>TN13Y1252</t>
        </is>
      </c>
      <c r="E1211" s="7" t="inlineStr">
        <is>
          <t>MARUTI SUZUKI</t>
        </is>
      </c>
      <c r="F1211" s="7" t="inlineStr">
        <is>
          <t>Baleno</t>
        </is>
      </c>
      <c r="G1211" s="7" t="inlineStr">
        <is>
          <t>KHIVRAJ MOTOR</t>
        </is>
      </c>
      <c r="H1211" s="7" t="inlineStr">
        <is>
          <t>Non-Captive</t>
        </is>
      </c>
      <c r="I1211" s="7" t="inlineStr">
        <is>
          <t>Sri Shakthi Vinayaga Cars</t>
        </is>
      </c>
      <c r="J1211" s="8" t="n">
        <v>2022</v>
      </c>
      <c r="K1211" s="9" t="n">
        <v>97809</v>
      </c>
      <c r="L1211" s="10" t="n">
        <v>575000</v>
      </c>
      <c r="M1211" s="10" t="n">
        <v>2118.64</v>
      </c>
      <c r="N1211" s="11">
        <f>IF(M1211="","",ROUND(M1211*1.18,2))</f>
        <v/>
      </c>
      <c r="O1211" s="12">
        <f>IF(M1211="","",ROUND(N1211-M1211,2))</f>
        <v/>
      </c>
      <c r="P1211" s="13">
        <f>IF(AND(A1211&lt;&gt;"",B1211&lt;&gt;""), A1211&amp;" · "&amp;B1211, "")</f>
        <v/>
      </c>
    </row>
    <row r="1212">
      <c r="A1212" s="6" t="inlineStr">
        <is>
          <t>FY26</t>
        </is>
      </c>
      <c r="B1212" s="6" t="inlineStr">
        <is>
          <t>Mar</t>
        </is>
      </c>
      <c r="C1212" s="6" t="inlineStr">
        <is>
          <t>TN</t>
        </is>
      </c>
      <c r="D1212" s="7" t="inlineStr">
        <is>
          <t>TN13Y3647</t>
        </is>
      </c>
      <c r="E1212" s="7" t="inlineStr">
        <is>
          <t>MARUTI SUZUKI</t>
        </is>
      </c>
      <c r="F1212" s="7" t="inlineStr">
        <is>
          <t>XL6</t>
        </is>
      </c>
      <c r="G1212" s="7" t="inlineStr">
        <is>
          <t>KHIVRAJ MOTOR</t>
        </is>
      </c>
      <c r="H1212" s="7" t="inlineStr">
        <is>
          <t>Non-Captive</t>
        </is>
      </c>
      <c r="I1212" s="7" t="inlineStr">
        <is>
          <t>Pine Autos</t>
        </is>
      </c>
      <c r="J1212" s="8" t="n">
        <v>2022</v>
      </c>
      <c r="K1212" s="9" t="n">
        <v>39080</v>
      </c>
      <c r="L1212" s="10" t="n">
        <v>900000</v>
      </c>
      <c r="M1212" s="10" t="n">
        <v>2118.64</v>
      </c>
      <c r="N1212" s="11">
        <f>IF(M1212="","",ROUND(M1212*1.18,2))</f>
        <v/>
      </c>
      <c r="O1212" s="12">
        <f>IF(M1212="","",ROUND(N1212-M1212,2))</f>
        <v/>
      </c>
      <c r="P1212" s="13">
        <f>IF(AND(A1212&lt;&gt;"",B1212&lt;&gt;""), A1212&amp;" · "&amp;B1212, "")</f>
        <v/>
      </c>
    </row>
    <row r="1213">
      <c r="A1213" s="6" t="inlineStr">
        <is>
          <t>FY26</t>
        </is>
      </c>
      <c r="B1213" s="6" t="inlineStr">
        <is>
          <t>Mar</t>
        </is>
      </c>
      <c r="C1213" s="6" t="inlineStr">
        <is>
          <t>TN</t>
        </is>
      </c>
      <c r="D1213" s="7" t="inlineStr">
        <is>
          <t>TN13Y3672</t>
        </is>
      </c>
      <c r="E1213" s="7" t="inlineStr">
        <is>
          <t>MARUTI SUZUKI</t>
        </is>
      </c>
      <c r="F1213" s="7" t="inlineStr">
        <is>
          <t>XL6</t>
        </is>
      </c>
      <c r="G1213" s="7" t="inlineStr">
        <is>
          <t>KHIVRAJ MOTOR</t>
        </is>
      </c>
      <c r="H1213" s="7" t="inlineStr">
        <is>
          <t>Non-Captive</t>
        </is>
      </c>
      <c r="I1213" s="7" t="inlineStr">
        <is>
          <t>Pine Autos</t>
        </is>
      </c>
      <c r="J1213" s="8" t="n">
        <v>2022</v>
      </c>
      <c r="K1213" s="9" t="n">
        <v>54232</v>
      </c>
      <c r="L1213" s="10" t="n">
        <v>850000</v>
      </c>
      <c r="M1213" s="10" t="n">
        <v>2118.64</v>
      </c>
      <c r="N1213" s="11">
        <f>IF(M1213="","",ROUND(M1213*1.18,2))</f>
        <v/>
      </c>
      <c r="O1213" s="12">
        <f>IF(M1213="","",ROUND(N1213-M1213,2))</f>
        <v/>
      </c>
      <c r="P1213" s="13">
        <f>IF(AND(A1213&lt;&gt;"",B1213&lt;&gt;""), A1213&amp;" · "&amp;B1213, "")</f>
        <v/>
      </c>
    </row>
    <row r="1214">
      <c r="A1214" s="6" t="inlineStr">
        <is>
          <t>FY26</t>
        </is>
      </c>
      <c r="B1214" s="6" t="inlineStr">
        <is>
          <t>Mar</t>
        </is>
      </c>
      <c r="C1214" s="6" t="inlineStr">
        <is>
          <t>TN</t>
        </is>
      </c>
      <c r="D1214" s="7" t="inlineStr">
        <is>
          <t>TN14A6292</t>
        </is>
      </c>
      <c r="E1214" s="7" t="inlineStr">
        <is>
          <t>FORD</t>
        </is>
      </c>
      <c r="F1214" s="7" t="inlineStr">
        <is>
          <t>Figo</t>
        </is>
      </c>
      <c r="G1214" s="7" t="inlineStr">
        <is>
          <t>KHIVRAJ MOTOR</t>
        </is>
      </c>
      <c r="H1214" s="7" t="inlineStr">
        <is>
          <t>Non-Captive</t>
        </is>
      </c>
      <c r="I1214" s="7" t="inlineStr">
        <is>
          <t>Bhavani Cars</t>
        </is>
      </c>
      <c r="J1214" s="8" t="n">
        <v>2014</v>
      </c>
      <c r="K1214" s="9" t="n">
        <v>104090</v>
      </c>
      <c r="L1214" s="10" t="n">
        <v>150000</v>
      </c>
      <c r="M1214" s="10" t="n">
        <v>5084.75</v>
      </c>
      <c r="N1214" s="11">
        <f>IF(M1214="","",ROUND(M1214*1.18,2))</f>
        <v/>
      </c>
      <c r="O1214" s="12">
        <f>IF(M1214="","",ROUND(N1214-M1214,2))</f>
        <v/>
      </c>
      <c r="P1214" s="13">
        <f>IF(AND(A1214&lt;&gt;"",B1214&lt;&gt;""), A1214&amp;" · "&amp;B1214, "")</f>
        <v/>
      </c>
    </row>
    <row r="1215">
      <c r="A1215" s="6" t="inlineStr">
        <is>
          <t>FY26</t>
        </is>
      </c>
      <c r="B1215" s="6" t="inlineStr">
        <is>
          <t>Mar</t>
        </is>
      </c>
      <c r="C1215" s="6" t="inlineStr">
        <is>
          <t>TN</t>
        </is>
      </c>
      <c r="D1215" s="7" t="inlineStr">
        <is>
          <t>TN14D2479</t>
        </is>
      </c>
      <c r="E1215" s="7" t="inlineStr">
        <is>
          <t>HONDA</t>
        </is>
      </c>
      <c r="F1215" s="7" t="inlineStr">
        <is>
          <t>Jazz</t>
        </is>
      </c>
      <c r="G1215" s="7" t="inlineStr">
        <is>
          <t>KHIVRAJ MOTOR</t>
        </is>
      </c>
      <c r="H1215" s="7" t="inlineStr">
        <is>
          <t>Non-Captive</t>
        </is>
      </c>
      <c r="I1215" s="7" t="inlineStr">
        <is>
          <t>Pine Autos</t>
        </is>
      </c>
      <c r="J1215" s="8" t="n">
        <v>2015</v>
      </c>
      <c r="K1215" s="9" t="n">
        <v>122878</v>
      </c>
      <c r="L1215" s="10" t="n">
        <v>250000</v>
      </c>
      <c r="M1215" s="10" t="n">
        <v>2118.64</v>
      </c>
      <c r="N1215" s="11">
        <f>IF(M1215="","",ROUND(M1215*1.18,2))</f>
        <v/>
      </c>
      <c r="O1215" s="12">
        <f>IF(M1215="","",ROUND(N1215-M1215,2))</f>
        <v/>
      </c>
      <c r="P1215" s="13">
        <f>IF(AND(A1215&lt;&gt;"",B1215&lt;&gt;""), A1215&amp;" · "&amp;B1215, "")</f>
        <v/>
      </c>
    </row>
    <row r="1216">
      <c r="A1216" s="6" t="inlineStr">
        <is>
          <t>FY26</t>
        </is>
      </c>
      <c r="B1216" s="6" t="inlineStr">
        <is>
          <t>Mar</t>
        </is>
      </c>
      <c r="C1216" s="6" t="inlineStr">
        <is>
          <t>TN</t>
        </is>
      </c>
      <c r="D1216" s="7" t="inlineStr">
        <is>
          <t>TN14F6532</t>
        </is>
      </c>
      <c r="E1216" s="7" t="inlineStr">
        <is>
          <t>MARUTI SUZUKI</t>
        </is>
      </c>
      <c r="F1216" s="7" t="inlineStr">
        <is>
          <t>Alto</t>
        </is>
      </c>
      <c r="G1216" s="7" t="inlineStr">
        <is>
          <t>KHIVRAJ MOTOR</t>
        </is>
      </c>
      <c r="H1216" s="7" t="inlineStr">
        <is>
          <t>Non-Captive</t>
        </is>
      </c>
      <c r="I1216" s="7" t="inlineStr">
        <is>
          <t>Santhosh Cars</t>
        </is>
      </c>
      <c r="J1216" s="8" t="n">
        <v>2016</v>
      </c>
      <c r="K1216" s="9" t="n">
        <v>84672</v>
      </c>
      <c r="L1216" s="10" t="n">
        <v>120000</v>
      </c>
      <c r="M1216" s="10" t="n">
        <v>2118.64</v>
      </c>
      <c r="N1216" s="11">
        <f>IF(M1216="","",ROUND(M1216*1.18,2))</f>
        <v/>
      </c>
      <c r="O1216" s="12">
        <f>IF(M1216="","",ROUND(N1216-M1216,2))</f>
        <v/>
      </c>
      <c r="P1216" s="13">
        <f>IF(AND(A1216&lt;&gt;"",B1216&lt;&gt;""), A1216&amp;" · "&amp;B1216, "")</f>
        <v/>
      </c>
    </row>
    <row r="1217">
      <c r="A1217" s="6" t="inlineStr">
        <is>
          <t>FY26</t>
        </is>
      </c>
      <c r="B1217" s="6" t="inlineStr">
        <is>
          <t>Mar</t>
        </is>
      </c>
      <c r="C1217" s="6" t="inlineStr">
        <is>
          <t>TN</t>
        </is>
      </c>
      <c r="D1217" s="7" t="inlineStr">
        <is>
          <t>TN14F6816</t>
        </is>
      </c>
      <c r="E1217" s="7" t="inlineStr">
        <is>
          <t>MARUTI SUZUKI</t>
        </is>
      </c>
      <c r="F1217" s="7" t="inlineStr">
        <is>
          <t>Ciaz</t>
        </is>
      </c>
      <c r="G1217" s="7" t="inlineStr">
        <is>
          <t>KHIVRAJ MOTOR</t>
        </is>
      </c>
      <c r="H1217" s="7" t="inlineStr">
        <is>
          <t>Non-Captive</t>
        </is>
      </c>
      <c r="I1217" s="7" t="inlineStr">
        <is>
          <t>Santhosh Cars</t>
        </is>
      </c>
      <c r="J1217" s="8" t="n">
        <v>2016</v>
      </c>
      <c r="K1217" s="9" t="n">
        <v>114265</v>
      </c>
      <c r="L1217" s="10" t="n">
        <v>400000</v>
      </c>
      <c r="M1217" s="10" t="n">
        <v>2118.64</v>
      </c>
      <c r="N1217" s="11">
        <f>IF(M1217="","",ROUND(M1217*1.18,2))</f>
        <v/>
      </c>
      <c r="O1217" s="12">
        <f>IF(M1217="","",ROUND(N1217-M1217,2))</f>
        <v/>
      </c>
      <c r="P1217" s="13">
        <f>IF(AND(A1217&lt;&gt;"",B1217&lt;&gt;""), A1217&amp;" · "&amp;B1217, "")</f>
        <v/>
      </c>
    </row>
    <row r="1218">
      <c r="A1218" s="6" t="inlineStr">
        <is>
          <t>FY26</t>
        </is>
      </c>
      <c r="B1218" s="6" t="inlineStr">
        <is>
          <t>Mar</t>
        </is>
      </c>
      <c r="C1218" s="6" t="inlineStr">
        <is>
          <t>TN</t>
        </is>
      </c>
      <c r="D1218" s="7" t="inlineStr">
        <is>
          <t>TN14K8223</t>
        </is>
      </c>
      <c r="E1218" s="7" t="inlineStr">
        <is>
          <t>MARUTI SUZUKI</t>
        </is>
      </c>
      <c r="F1218" s="7" t="inlineStr">
        <is>
          <t>Alto</t>
        </is>
      </c>
      <c r="G1218" s="7" t="inlineStr">
        <is>
          <t>EXCHANGE CHENNAI</t>
        </is>
      </c>
      <c r="H1218" s="7" t="inlineStr">
        <is>
          <t>Captive</t>
        </is>
      </c>
      <c r="I1218" s="7" t="inlineStr">
        <is>
          <t>RAM Manohar</t>
        </is>
      </c>
      <c r="J1218" s="8" t="n">
        <v>2017</v>
      </c>
      <c r="K1218" s="9" t="n">
        <v>57574</v>
      </c>
      <c r="L1218" s="10" t="n">
        <v>175000</v>
      </c>
      <c r="M1218" s="10" t="n">
        <v>8474.58</v>
      </c>
      <c r="N1218" s="11">
        <f>IF(M1218="","",ROUND(M1218*1.18,2))</f>
        <v/>
      </c>
      <c r="O1218" s="12">
        <f>IF(M1218="","",ROUND(N1218-M1218,2))</f>
        <v/>
      </c>
      <c r="P1218" s="13">
        <f>IF(AND(A1218&lt;&gt;"",B1218&lt;&gt;""), A1218&amp;" · "&amp;B1218, "")</f>
        <v/>
      </c>
    </row>
    <row r="1219">
      <c r="A1219" s="6" t="inlineStr">
        <is>
          <t>FY26</t>
        </is>
      </c>
      <c r="B1219" s="6" t="inlineStr">
        <is>
          <t>Mar</t>
        </is>
      </c>
      <c r="C1219" s="6" t="inlineStr">
        <is>
          <t>TN</t>
        </is>
      </c>
      <c r="D1219" s="7" t="inlineStr">
        <is>
          <t>TN18AA4307</t>
        </is>
      </c>
      <c r="E1219" s="7" t="inlineStr">
        <is>
          <t>HYUNDAI</t>
        </is>
      </c>
      <c r="F1219" s="7" t="inlineStr">
        <is>
          <t>Grand i10</t>
        </is>
      </c>
      <c r="G1219" s="7" t="inlineStr">
        <is>
          <t>KHIVRAJ MOTOR</t>
        </is>
      </c>
      <c r="H1219" s="7" t="inlineStr">
        <is>
          <t>Non-Captive</t>
        </is>
      </c>
      <c r="I1219" s="7" t="inlineStr">
        <is>
          <t>Hasini Cars</t>
        </is>
      </c>
      <c r="J1219" s="8" t="n">
        <v>2014</v>
      </c>
      <c r="K1219" s="9" t="n">
        <v>114877</v>
      </c>
      <c r="L1219" s="10" t="n">
        <v>150000</v>
      </c>
      <c r="M1219" s="10" t="n">
        <v>5084.75</v>
      </c>
      <c r="N1219" s="11">
        <f>IF(M1219="","",ROUND(M1219*1.18,2))</f>
        <v/>
      </c>
      <c r="O1219" s="12">
        <f>IF(M1219="","",ROUND(N1219-M1219,2))</f>
        <v/>
      </c>
      <c r="P1219" s="13">
        <f>IF(AND(A1219&lt;&gt;"",B1219&lt;&gt;""), A1219&amp;" · "&amp;B1219, "")</f>
        <v/>
      </c>
    </row>
    <row r="1220">
      <c r="A1220" s="6" t="inlineStr">
        <is>
          <t>FY26</t>
        </is>
      </c>
      <c r="B1220" s="6" t="inlineStr">
        <is>
          <t>Mar</t>
        </is>
      </c>
      <c r="C1220" s="6" t="inlineStr">
        <is>
          <t>TN</t>
        </is>
      </c>
      <c r="D1220" s="7" t="inlineStr">
        <is>
          <t>TN18AF4408</t>
        </is>
      </c>
      <c r="E1220" s="7" t="inlineStr">
        <is>
          <t>MARUTI SUZUKI</t>
        </is>
      </c>
      <c r="F1220" s="7" t="inlineStr">
        <is>
          <t>Alto</t>
        </is>
      </c>
      <c r="G1220" s="7" t="inlineStr">
        <is>
          <t>KHIVRAJ MOTOR</t>
        </is>
      </c>
      <c r="H1220" s="7" t="inlineStr">
        <is>
          <t>Non-Captive</t>
        </is>
      </c>
      <c r="I1220" s="7" t="inlineStr">
        <is>
          <t>Bhavani Cars</t>
        </is>
      </c>
      <c r="J1220" s="8" t="n">
        <v>2015</v>
      </c>
      <c r="K1220" s="9" t="n">
        <v>69800</v>
      </c>
      <c r="L1220" s="10" t="n">
        <v>160000</v>
      </c>
      <c r="M1220" s="10" t="n">
        <v>2542.37</v>
      </c>
      <c r="N1220" s="11">
        <f>IF(M1220="","",ROUND(M1220*1.18,2))</f>
        <v/>
      </c>
      <c r="O1220" s="12">
        <f>IF(M1220="","",ROUND(N1220-M1220,2))</f>
        <v/>
      </c>
      <c r="P1220" s="13">
        <f>IF(AND(A1220&lt;&gt;"",B1220&lt;&gt;""), A1220&amp;" · "&amp;B1220, "")</f>
        <v/>
      </c>
    </row>
    <row r="1221">
      <c r="A1221" s="6" t="inlineStr">
        <is>
          <t>FY26</t>
        </is>
      </c>
      <c r="B1221" s="6" t="inlineStr">
        <is>
          <t>Mar</t>
        </is>
      </c>
      <c r="C1221" s="6" t="inlineStr">
        <is>
          <t>TN</t>
        </is>
      </c>
      <c r="D1221" s="7" t="inlineStr">
        <is>
          <t>TN18BB9495</t>
        </is>
      </c>
      <c r="E1221" s="7" t="inlineStr">
        <is>
          <t>MARUTI SUZUKI</t>
        </is>
      </c>
      <c r="F1221" s="7" t="inlineStr">
        <is>
          <t>Wagon R</t>
        </is>
      </c>
      <c r="G1221" s="7" t="inlineStr">
        <is>
          <t>KALYANI MOTORS MARUTI</t>
        </is>
      </c>
      <c r="H1221" s="7" t="inlineStr">
        <is>
          <t>Non-Captive</t>
        </is>
      </c>
      <c r="I1221" s="7" t="inlineStr">
        <is>
          <t>Santhosh Cars</t>
        </is>
      </c>
      <c r="J1221" s="8" t="n">
        <v>2020</v>
      </c>
      <c r="K1221" s="9" t="n">
        <v>82485</v>
      </c>
      <c r="L1221" s="10" t="n">
        <v>315000</v>
      </c>
      <c r="M1221" s="10" t="n">
        <v>2118.64</v>
      </c>
      <c r="N1221" s="11">
        <f>IF(M1221="","",ROUND(M1221*1.18,2))</f>
        <v/>
      </c>
      <c r="O1221" s="12">
        <f>IF(M1221="","",ROUND(N1221-M1221,2))</f>
        <v/>
      </c>
      <c r="P1221" s="13">
        <f>IF(AND(A1221&lt;&gt;"",B1221&lt;&gt;""), A1221&amp;" · "&amp;B1221, "")</f>
        <v/>
      </c>
    </row>
    <row r="1222">
      <c r="A1222" s="6" t="inlineStr">
        <is>
          <t>FY26</t>
        </is>
      </c>
      <c r="B1222" s="6" t="inlineStr">
        <is>
          <t>Mar</t>
        </is>
      </c>
      <c r="C1222" s="6" t="inlineStr">
        <is>
          <t>TN</t>
        </is>
      </c>
      <c r="D1222" s="7" t="inlineStr">
        <is>
          <t>TN18BF8732</t>
        </is>
      </c>
      <c r="E1222" s="7" t="inlineStr">
        <is>
          <t>MARUTI SUZUKI</t>
        </is>
      </c>
      <c r="F1222" s="7" t="inlineStr">
        <is>
          <t>Alto</t>
        </is>
      </c>
      <c r="G1222" s="7" t="inlineStr">
        <is>
          <t>KHIVRAJ MOTOR</t>
        </is>
      </c>
      <c r="H1222" s="7" t="inlineStr">
        <is>
          <t>Non-Captive</t>
        </is>
      </c>
      <c r="I1222" s="7" t="inlineStr">
        <is>
          <t>Yes Cars</t>
        </is>
      </c>
      <c r="J1222" s="8" t="n">
        <v>2022</v>
      </c>
      <c r="K1222" s="9" t="n">
        <v>50000</v>
      </c>
      <c r="L1222" s="10" t="n">
        <v>320000</v>
      </c>
      <c r="M1222" s="10" t="n">
        <v>2118.64</v>
      </c>
      <c r="N1222" s="11">
        <f>IF(M1222="","",ROUND(M1222*1.18,2))</f>
        <v/>
      </c>
      <c r="O1222" s="12">
        <f>IF(M1222="","",ROUND(N1222-M1222,2))</f>
        <v/>
      </c>
      <c r="P1222" s="13">
        <f>IF(AND(A1222&lt;&gt;"",B1222&lt;&gt;""), A1222&amp;" · "&amp;B1222, "")</f>
        <v/>
      </c>
    </row>
    <row r="1223">
      <c r="A1223" s="6" t="inlineStr">
        <is>
          <t>FY26</t>
        </is>
      </c>
      <c r="B1223" s="6" t="inlineStr">
        <is>
          <t>Mar</t>
        </is>
      </c>
      <c r="C1223" s="6" t="inlineStr">
        <is>
          <t>TN</t>
        </is>
      </c>
      <c r="D1223" s="7" t="inlineStr">
        <is>
          <t>TN18BL2705</t>
        </is>
      </c>
      <c r="E1223" s="7" t="inlineStr">
        <is>
          <t>NISSAN</t>
        </is>
      </c>
      <c r="F1223" s="7" t="inlineStr">
        <is>
          <t>Magnite</t>
        </is>
      </c>
      <c r="G1223" s="7" t="inlineStr">
        <is>
          <t>KALYANI MOTORS MARUTI</t>
        </is>
      </c>
      <c r="H1223" s="7" t="inlineStr">
        <is>
          <t>Non-Captive</t>
        </is>
      </c>
      <c r="I1223" s="7" t="inlineStr">
        <is>
          <t>Nirmal Cars</t>
        </is>
      </c>
      <c r="J1223" s="8" t="n">
        <v>2023</v>
      </c>
      <c r="K1223" s="9" t="n">
        <v>16624</v>
      </c>
      <c r="L1223" s="10" t="n">
        <v>380000</v>
      </c>
      <c r="M1223" s="10" t="n">
        <v>2542.37</v>
      </c>
      <c r="N1223" s="11">
        <f>IF(M1223="","",ROUND(M1223*1.18,2))</f>
        <v/>
      </c>
      <c r="O1223" s="12">
        <f>IF(M1223="","",ROUND(N1223-M1223,2))</f>
        <v/>
      </c>
      <c r="P1223" s="13">
        <f>IF(AND(A1223&lt;&gt;"",B1223&lt;&gt;""), A1223&amp;" · "&amp;B1223, "")</f>
        <v/>
      </c>
    </row>
    <row r="1224">
      <c r="A1224" s="6" t="inlineStr">
        <is>
          <t>FY26</t>
        </is>
      </c>
      <c r="B1224" s="6" t="inlineStr">
        <is>
          <t>Mar</t>
        </is>
      </c>
      <c r="C1224" s="6" t="inlineStr">
        <is>
          <t>TN</t>
        </is>
      </c>
      <c r="D1224" s="7" t="inlineStr">
        <is>
          <t>TN18K6309</t>
        </is>
      </c>
      <c r="E1224" s="7" t="inlineStr">
        <is>
          <t>MARUTI SUZUKI</t>
        </is>
      </c>
      <c r="F1224" s="7" t="inlineStr">
        <is>
          <t>Alto</t>
        </is>
      </c>
      <c r="G1224" s="7" t="inlineStr">
        <is>
          <t>KHIVRAJ MOTOR</t>
        </is>
      </c>
      <c r="H1224" s="7" t="inlineStr">
        <is>
          <t>Non-Captive</t>
        </is>
      </c>
      <c r="I1224" s="7" t="inlineStr">
        <is>
          <t>AS Cars Gopi</t>
        </is>
      </c>
      <c r="J1224" s="8" t="n">
        <v>2012</v>
      </c>
      <c r="K1224" s="9" t="n">
        <v>126715</v>
      </c>
      <c r="L1224" s="10" t="n">
        <v>95000</v>
      </c>
      <c r="M1224" s="10" t="n">
        <v>5084.75</v>
      </c>
      <c r="N1224" s="11">
        <f>IF(M1224="","",ROUND(M1224*1.18,2))</f>
        <v/>
      </c>
      <c r="O1224" s="12">
        <f>IF(M1224="","",ROUND(N1224-M1224,2))</f>
        <v/>
      </c>
      <c r="P1224" s="13">
        <f>IF(AND(A1224&lt;&gt;"",B1224&lt;&gt;""), A1224&amp;" · "&amp;B1224, "")</f>
        <v/>
      </c>
    </row>
    <row r="1225">
      <c r="A1225" s="6" t="inlineStr">
        <is>
          <t>FY26</t>
        </is>
      </c>
      <c r="B1225" s="6" t="inlineStr">
        <is>
          <t>Mar</t>
        </is>
      </c>
      <c r="C1225" s="6" t="inlineStr">
        <is>
          <t>TN</t>
        </is>
      </c>
      <c r="D1225" s="7" t="inlineStr">
        <is>
          <t>TN18U9079</t>
        </is>
      </c>
      <c r="E1225" s="7" t="inlineStr">
        <is>
          <t>MARUTI SUZUKI</t>
        </is>
      </c>
      <c r="F1225" s="7" t="inlineStr">
        <is>
          <t>Wagon R</t>
        </is>
      </c>
      <c r="G1225" s="7" t="inlineStr">
        <is>
          <t>KHIVRAJ MOTOR</t>
        </is>
      </c>
      <c r="H1225" s="7" t="inlineStr">
        <is>
          <t>Non-Captive</t>
        </is>
      </c>
      <c r="I1225" s="7" t="inlineStr">
        <is>
          <t>Sri Shakthi Vinayaga Cars</t>
        </is>
      </c>
      <c r="J1225" s="8" t="n">
        <v>2013</v>
      </c>
      <c r="K1225" s="9" t="n">
        <v>99295</v>
      </c>
      <c r="L1225" s="10" t="n">
        <v>200000</v>
      </c>
      <c r="M1225" s="10" t="n">
        <v>5084.75</v>
      </c>
      <c r="N1225" s="11">
        <f>IF(M1225="","",ROUND(M1225*1.18,2))</f>
        <v/>
      </c>
      <c r="O1225" s="12">
        <f>IF(M1225="","",ROUND(N1225-M1225,2))</f>
        <v/>
      </c>
      <c r="P1225" s="13">
        <f>IF(AND(A1225&lt;&gt;"",B1225&lt;&gt;""), A1225&amp;" · "&amp;B1225, "")</f>
        <v/>
      </c>
    </row>
    <row r="1226">
      <c r="A1226" s="6" t="inlineStr">
        <is>
          <t>FY26</t>
        </is>
      </c>
      <c r="B1226" s="6" t="inlineStr">
        <is>
          <t>Mar</t>
        </is>
      </c>
      <c r="C1226" s="6" t="inlineStr">
        <is>
          <t>TN</t>
        </is>
      </c>
      <c r="D1226" s="7" t="inlineStr">
        <is>
          <t>TN18W4138</t>
        </is>
      </c>
      <c r="E1226" s="7" t="inlineStr">
        <is>
          <t>MARUTI SUZUKI</t>
        </is>
      </c>
      <c r="F1226" s="7" t="inlineStr">
        <is>
          <t>Ritz</t>
        </is>
      </c>
      <c r="G1226" s="7" t="inlineStr">
        <is>
          <t>KHIVRAJ MOTOR</t>
        </is>
      </c>
      <c r="H1226" s="7" t="inlineStr">
        <is>
          <t>Non-Captive</t>
        </is>
      </c>
      <c r="I1226" s="7" t="inlineStr">
        <is>
          <t>AS Cars Gopi</t>
        </is>
      </c>
      <c r="J1226" s="8" t="n">
        <v>2012</v>
      </c>
      <c r="K1226" s="9" t="n">
        <v>64342</v>
      </c>
      <c r="L1226" s="10" t="n">
        <v>120000</v>
      </c>
      <c r="M1226" s="10" t="n">
        <v>2118.64</v>
      </c>
      <c r="N1226" s="11">
        <f>IF(M1226="","",ROUND(M1226*1.18,2))</f>
        <v/>
      </c>
      <c r="O1226" s="12">
        <f>IF(M1226="","",ROUND(N1226-M1226,2))</f>
        <v/>
      </c>
      <c r="P1226" s="13">
        <f>IF(AND(A1226&lt;&gt;"",B1226&lt;&gt;""), A1226&amp;" · "&amp;B1226, "")</f>
        <v/>
      </c>
    </row>
    <row r="1227">
      <c r="A1227" s="6" t="inlineStr">
        <is>
          <t>FY26</t>
        </is>
      </c>
      <c r="B1227" s="6" t="inlineStr">
        <is>
          <t>Mar</t>
        </is>
      </c>
      <c r="C1227" s="6" t="inlineStr">
        <is>
          <t>TN</t>
        </is>
      </c>
      <c r="D1227" s="7" t="inlineStr">
        <is>
          <t>TN19AC7754</t>
        </is>
      </c>
      <c r="E1227" s="7" t="inlineStr">
        <is>
          <t>TATA</t>
        </is>
      </c>
      <c r="F1227" s="7" t="inlineStr">
        <is>
          <t>Tiago</t>
        </is>
      </c>
      <c r="G1227" s="7" t="inlineStr">
        <is>
          <t>KHIVRAJ MOTOR</t>
        </is>
      </c>
      <c r="H1227" s="7" t="inlineStr">
        <is>
          <t>Non-Captive</t>
        </is>
      </c>
      <c r="I1227" s="7" t="inlineStr">
        <is>
          <t>Nirmal Cars</t>
        </is>
      </c>
      <c r="J1227" s="8" t="n">
        <v>2017</v>
      </c>
      <c r="K1227" s="9" t="n">
        <v>82359</v>
      </c>
      <c r="L1227" s="10" t="n">
        <v>210000</v>
      </c>
      <c r="M1227" s="10" t="n">
        <v>2118.64</v>
      </c>
      <c r="N1227" s="11">
        <f>IF(M1227="","",ROUND(M1227*1.18,2))</f>
        <v/>
      </c>
      <c r="O1227" s="12">
        <f>IF(M1227="","",ROUND(N1227-M1227,2))</f>
        <v/>
      </c>
      <c r="P1227" s="13">
        <f>IF(AND(A1227&lt;&gt;"",B1227&lt;&gt;""), A1227&amp;" · "&amp;B1227, "")</f>
        <v/>
      </c>
    </row>
    <row r="1228">
      <c r="A1228" s="6" t="inlineStr">
        <is>
          <t>FY26</t>
        </is>
      </c>
      <c r="B1228" s="6" t="inlineStr">
        <is>
          <t>Mar</t>
        </is>
      </c>
      <c r="C1228" s="6" t="inlineStr">
        <is>
          <t>TN</t>
        </is>
      </c>
      <c r="D1228" s="7" t="inlineStr">
        <is>
          <t>TN19BV7995</t>
        </is>
      </c>
      <c r="E1228" s="7" t="inlineStr">
        <is>
          <t>MAHINDRA</t>
        </is>
      </c>
      <c r="F1228" s="7" t="inlineStr">
        <is>
          <t>Bolero</t>
        </is>
      </c>
      <c r="G1228" s="7" t="inlineStr">
        <is>
          <t>SANTHOSH CARS</t>
        </is>
      </c>
      <c r="H1228" s="7" t="inlineStr">
        <is>
          <t>Non-Captive</t>
        </is>
      </c>
      <c r="I1228" s="7" t="inlineStr">
        <is>
          <t>Kamal Cars</t>
        </is>
      </c>
      <c r="J1228" s="8" t="n">
        <v>2022</v>
      </c>
      <c r="K1228" s="9" t="n">
        <v>36754</v>
      </c>
      <c r="L1228" s="10" t="n">
        <v>750000</v>
      </c>
      <c r="M1228" s="10" t="n">
        <v>2542.37</v>
      </c>
      <c r="N1228" s="11">
        <f>IF(M1228="","",ROUND(M1228*1.18,2))</f>
        <v/>
      </c>
      <c r="O1228" s="12">
        <f>IF(M1228="","",ROUND(N1228-M1228,2))</f>
        <v/>
      </c>
      <c r="P1228" s="13">
        <f>IF(AND(A1228&lt;&gt;"",B1228&lt;&gt;""), A1228&amp;" · "&amp;B1228, "")</f>
        <v/>
      </c>
    </row>
    <row r="1229">
      <c r="A1229" s="6" t="inlineStr">
        <is>
          <t>FY26</t>
        </is>
      </c>
      <c r="B1229" s="6" t="inlineStr">
        <is>
          <t>Mar</t>
        </is>
      </c>
      <c r="C1229" s="6" t="inlineStr">
        <is>
          <t>TN</t>
        </is>
      </c>
      <c r="D1229" s="7" t="inlineStr">
        <is>
          <t>TN19C9806</t>
        </is>
      </c>
      <c r="E1229" s="7" t="inlineStr">
        <is>
          <t>MARUTI SUZUKI</t>
        </is>
      </c>
      <c r="F1229" s="7" t="inlineStr">
        <is>
          <t>Dzire</t>
        </is>
      </c>
      <c r="G1229" s="7" t="inlineStr">
        <is>
          <t>EXCHANGE CHENNAI</t>
        </is>
      </c>
      <c r="H1229" s="7" t="inlineStr">
        <is>
          <t>Captive</t>
        </is>
      </c>
      <c r="I1229" s="7" t="inlineStr">
        <is>
          <t>Grand Cars</t>
        </is>
      </c>
      <c r="J1229" s="8" t="n">
        <v>2011</v>
      </c>
      <c r="K1229" s="9" t="n">
        <v>122895</v>
      </c>
      <c r="L1229" s="10" t="n">
        <v>190000</v>
      </c>
      <c r="M1229" s="10" t="n">
        <v>8474.58</v>
      </c>
      <c r="N1229" s="11">
        <f>IF(M1229="","",ROUND(M1229*1.18,2))</f>
        <v/>
      </c>
      <c r="O1229" s="12">
        <f>IF(M1229="","",ROUND(N1229-M1229,2))</f>
        <v/>
      </c>
      <c r="P1229" s="13">
        <f>IF(AND(A1229&lt;&gt;"",B1229&lt;&gt;""), A1229&amp;" · "&amp;B1229, "")</f>
        <v/>
      </c>
    </row>
    <row r="1230">
      <c r="A1230" s="6" t="inlineStr">
        <is>
          <t>FY26</t>
        </is>
      </c>
      <c r="B1230" s="6" t="inlineStr">
        <is>
          <t>Mar</t>
        </is>
      </c>
      <c r="C1230" s="6" t="inlineStr">
        <is>
          <t>TN</t>
        </is>
      </c>
      <c r="D1230" s="7" t="inlineStr">
        <is>
          <t>TN20AK7033</t>
        </is>
      </c>
      <c r="E1230" s="7" t="inlineStr">
        <is>
          <t>TATA</t>
        </is>
      </c>
      <c r="F1230" s="7" t="inlineStr">
        <is>
          <t>Indigo</t>
        </is>
      </c>
      <c r="G1230" s="7" t="inlineStr">
        <is>
          <t>SANTHOSH CARS</t>
        </is>
      </c>
      <c r="H1230" s="7" t="inlineStr">
        <is>
          <t>Non-Captive</t>
        </is>
      </c>
      <c r="I1230" s="7" t="inlineStr">
        <is>
          <t>Santhosh Cars</t>
        </is>
      </c>
      <c r="J1230" s="8" t="n">
        <v>2008</v>
      </c>
      <c r="K1230" s="9" t="n">
        <v>114470</v>
      </c>
      <c r="L1230" s="10" t="n">
        <v>75000</v>
      </c>
      <c r="M1230" s="10" t="n">
        <v>4237.29</v>
      </c>
      <c r="N1230" s="11">
        <f>IF(M1230="","",ROUND(M1230*1.18,2))</f>
        <v/>
      </c>
      <c r="O1230" s="12">
        <f>IF(M1230="","",ROUND(N1230-M1230,2))</f>
        <v/>
      </c>
      <c r="P1230" s="13">
        <f>IF(AND(A1230&lt;&gt;"",B1230&lt;&gt;""), A1230&amp;" · "&amp;B1230, "")</f>
        <v/>
      </c>
    </row>
    <row r="1231">
      <c r="A1231" s="6" t="inlineStr">
        <is>
          <t>FY26</t>
        </is>
      </c>
      <c r="B1231" s="6" t="inlineStr">
        <is>
          <t>Mar</t>
        </is>
      </c>
      <c r="C1231" s="6" t="inlineStr">
        <is>
          <t>TN</t>
        </is>
      </c>
      <c r="D1231" s="7" t="inlineStr">
        <is>
          <t>TN20AL8309</t>
        </is>
      </c>
      <c r="E1231" s="7" t="inlineStr">
        <is>
          <t>HYUNDAI</t>
        </is>
      </c>
      <c r="F1231" s="7" t="inlineStr">
        <is>
          <t>i10</t>
        </is>
      </c>
      <c r="G1231" s="7" t="inlineStr">
        <is>
          <t>KHIVRAJ MOTOR</t>
        </is>
      </c>
      <c r="H1231" s="7" t="inlineStr">
        <is>
          <t>Non-Captive</t>
        </is>
      </c>
      <c r="I1231" s="7" t="inlineStr">
        <is>
          <t>KB Motor</t>
        </is>
      </c>
      <c r="J1231" s="8" t="n">
        <v>2008</v>
      </c>
      <c r="K1231" s="9" t="n">
        <v>49533</v>
      </c>
      <c r="L1231" s="10" t="n">
        <v>120000</v>
      </c>
      <c r="M1231" s="10" t="n">
        <v>2118.64</v>
      </c>
      <c r="N1231" s="11">
        <f>IF(M1231="","",ROUND(M1231*1.18,2))</f>
        <v/>
      </c>
      <c r="O1231" s="12">
        <f>IF(M1231="","",ROUND(N1231-M1231,2))</f>
        <v/>
      </c>
      <c r="P1231" s="13">
        <f>IF(AND(A1231&lt;&gt;"",B1231&lt;&gt;""), A1231&amp;" · "&amp;B1231, "")</f>
        <v/>
      </c>
    </row>
    <row r="1232">
      <c r="A1232" s="6" t="inlineStr">
        <is>
          <t>FY26</t>
        </is>
      </c>
      <c r="B1232" s="6" t="inlineStr">
        <is>
          <t>Mar</t>
        </is>
      </c>
      <c r="C1232" s="6" t="inlineStr">
        <is>
          <t>TN</t>
        </is>
      </c>
      <c r="D1232" s="7" t="inlineStr">
        <is>
          <t>TN20BF6243</t>
        </is>
      </c>
      <c r="E1232" s="7" t="inlineStr">
        <is>
          <t>MARUTI SUZUKI</t>
        </is>
      </c>
      <c r="F1232" s="7" t="inlineStr">
        <is>
          <t>Swift</t>
        </is>
      </c>
      <c r="G1232" s="7" t="inlineStr">
        <is>
          <t>KHIVRAJ MOTOR</t>
        </is>
      </c>
      <c r="H1232" s="7" t="inlineStr">
        <is>
          <t>Non-Captive</t>
        </is>
      </c>
      <c r="I1232" s="7" t="inlineStr">
        <is>
          <t>S2 Cars</t>
        </is>
      </c>
      <c r="J1232" s="8" t="n">
        <v>2011</v>
      </c>
      <c r="K1232" s="9" t="n">
        <v>157352</v>
      </c>
      <c r="L1232" s="10" t="n">
        <v>180000</v>
      </c>
      <c r="M1232" s="10" t="n">
        <v>5084.75</v>
      </c>
      <c r="N1232" s="11">
        <f>IF(M1232="","",ROUND(M1232*1.18,2))</f>
        <v/>
      </c>
      <c r="O1232" s="12">
        <f>IF(M1232="","",ROUND(N1232-M1232,2))</f>
        <v/>
      </c>
      <c r="P1232" s="13">
        <f>IF(AND(A1232&lt;&gt;"",B1232&lt;&gt;""), A1232&amp;" · "&amp;B1232, "")</f>
        <v/>
      </c>
    </row>
    <row r="1233">
      <c r="A1233" s="6" t="inlineStr">
        <is>
          <t>FY26</t>
        </is>
      </c>
      <c r="B1233" s="6" t="inlineStr">
        <is>
          <t>Mar</t>
        </is>
      </c>
      <c r="C1233" s="6" t="inlineStr">
        <is>
          <t>TN</t>
        </is>
      </c>
      <c r="D1233" s="7" t="inlineStr">
        <is>
          <t>TN20BH1774</t>
        </is>
      </c>
      <c r="E1233" s="7" t="inlineStr">
        <is>
          <t>MARUTI SUZUKI</t>
        </is>
      </c>
      <c r="F1233" s="7" t="inlineStr">
        <is>
          <t>Alto</t>
        </is>
      </c>
      <c r="G1233" s="7" t="inlineStr">
        <is>
          <t>KHIVRAJ MOTOR</t>
        </is>
      </c>
      <c r="H1233" s="7" t="inlineStr">
        <is>
          <t>Non-Captive</t>
        </is>
      </c>
      <c r="I1233" s="7" t="inlineStr">
        <is>
          <t>AAA Cars</t>
        </is>
      </c>
      <c r="J1233" s="8" t="n">
        <v>2011</v>
      </c>
      <c r="K1233" s="9" t="n">
        <v>122895</v>
      </c>
      <c r="L1233" s="10" t="n">
        <v>110000</v>
      </c>
      <c r="M1233" s="10" t="n">
        <v>5084.75</v>
      </c>
      <c r="N1233" s="11">
        <f>IF(M1233="","",ROUND(M1233*1.18,2))</f>
        <v/>
      </c>
      <c r="O1233" s="12">
        <f>IF(M1233="","",ROUND(N1233-M1233,2))</f>
        <v/>
      </c>
      <c r="P1233" s="13">
        <f>IF(AND(A1233&lt;&gt;"",B1233&lt;&gt;""), A1233&amp;" · "&amp;B1233, "")</f>
        <v/>
      </c>
    </row>
    <row r="1234">
      <c r="A1234" s="6" t="inlineStr">
        <is>
          <t>FY26</t>
        </is>
      </c>
      <c r="B1234" s="6" t="inlineStr">
        <is>
          <t>Mar</t>
        </is>
      </c>
      <c r="C1234" s="6" t="inlineStr">
        <is>
          <t>TN</t>
        </is>
      </c>
      <c r="D1234" s="7" t="inlineStr">
        <is>
          <t>TN20CJ5835</t>
        </is>
      </c>
      <c r="E1234" s="7" t="inlineStr">
        <is>
          <t>MARUTI SUZUKI</t>
        </is>
      </c>
      <c r="F1234" s="7" t="inlineStr">
        <is>
          <t>Wagon R</t>
        </is>
      </c>
      <c r="G1234" s="7" t="inlineStr">
        <is>
          <t>KHIVRAJ MOTOR</t>
        </is>
      </c>
      <c r="H1234" s="7" t="inlineStr">
        <is>
          <t>Non-Captive</t>
        </is>
      </c>
      <c r="I1234" s="7" t="inlineStr">
        <is>
          <t>Value Drive Tecnologies</t>
        </is>
      </c>
      <c r="J1234" s="8" t="n">
        <v>2016</v>
      </c>
      <c r="K1234" s="9" t="n">
        <v>49200</v>
      </c>
      <c r="L1234" s="10" t="n">
        <v>294000</v>
      </c>
      <c r="M1234" s="10" t="n">
        <v>5084.75</v>
      </c>
      <c r="N1234" s="11">
        <f>IF(M1234="","",ROUND(M1234*1.18,2))</f>
        <v/>
      </c>
      <c r="O1234" s="12">
        <f>IF(M1234="","",ROUND(N1234-M1234,2))</f>
        <v/>
      </c>
      <c r="P1234" s="13">
        <f>IF(AND(A1234&lt;&gt;"",B1234&lt;&gt;""), A1234&amp;" · "&amp;B1234, "")</f>
        <v/>
      </c>
    </row>
    <row r="1235">
      <c r="A1235" s="6" t="inlineStr">
        <is>
          <t>FY26</t>
        </is>
      </c>
      <c r="B1235" s="6" t="inlineStr">
        <is>
          <t>Mar</t>
        </is>
      </c>
      <c r="C1235" s="6" t="inlineStr">
        <is>
          <t>TN</t>
        </is>
      </c>
      <c r="D1235" s="7" t="inlineStr">
        <is>
          <t>TN20CP7945</t>
        </is>
      </c>
      <c r="E1235" s="7" t="inlineStr">
        <is>
          <t>MARUTI SUZUKI</t>
        </is>
      </c>
      <c r="F1235" s="7" t="inlineStr">
        <is>
          <t>Swift</t>
        </is>
      </c>
      <c r="G1235" s="7" t="inlineStr">
        <is>
          <t>KHIVRAJ MOTOR</t>
        </is>
      </c>
      <c r="H1235" s="7" t="inlineStr">
        <is>
          <t>Non-Captive</t>
        </is>
      </c>
      <c r="I1235" s="7" t="inlineStr">
        <is>
          <t>Yes Cars</t>
        </is>
      </c>
      <c r="J1235" s="8" t="n">
        <v>2018</v>
      </c>
      <c r="K1235" s="9" t="n">
        <v>52256</v>
      </c>
      <c r="L1235" s="10" t="n">
        <v>450000</v>
      </c>
      <c r="M1235" s="10" t="n">
        <v>1694.92</v>
      </c>
      <c r="N1235" s="11">
        <f>IF(M1235="","",ROUND(M1235*1.18,2))</f>
        <v/>
      </c>
      <c r="O1235" s="12">
        <f>IF(M1235="","",ROUND(N1235-M1235,2))</f>
        <v/>
      </c>
      <c r="P1235" s="13">
        <f>IF(AND(A1235&lt;&gt;"",B1235&lt;&gt;""), A1235&amp;" · "&amp;B1235, "")</f>
        <v/>
      </c>
    </row>
    <row r="1236">
      <c r="A1236" s="6" t="inlineStr">
        <is>
          <t>FY26</t>
        </is>
      </c>
      <c r="B1236" s="6" t="inlineStr">
        <is>
          <t>Mar</t>
        </is>
      </c>
      <c r="C1236" s="6" t="inlineStr">
        <is>
          <t>TN</t>
        </is>
      </c>
      <c r="D1236" s="7" t="inlineStr">
        <is>
          <t>TN20CY5046</t>
        </is>
      </c>
      <c r="E1236" s="7" t="inlineStr">
        <is>
          <t>HONDA</t>
        </is>
      </c>
      <c r="F1236" s="7" t="inlineStr">
        <is>
          <t>City</t>
        </is>
      </c>
      <c r="G1236" s="7" t="inlineStr">
        <is>
          <t>KHIVRAJ MOTOR</t>
        </is>
      </c>
      <c r="H1236" s="7" t="inlineStr">
        <is>
          <t>Non-Captive</t>
        </is>
      </c>
      <c r="I1236" s="7" t="inlineStr">
        <is>
          <t>Santhosh Cars</t>
        </is>
      </c>
      <c r="J1236" s="8" t="n">
        <v>2012</v>
      </c>
      <c r="K1236" s="9" t="n">
        <v>60788</v>
      </c>
      <c r="L1236" s="10" t="n">
        <v>200000</v>
      </c>
      <c r="M1236" s="10" t="n">
        <v>2118.64</v>
      </c>
      <c r="N1236" s="11">
        <f>IF(M1236="","",ROUND(M1236*1.18,2))</f>
        <v/>
      </c>
      <c r="O1236" s="12">
        <f>IF(M1236="","",ROUND(N1236-M1236,2))</f>
        <v/>
      </c>
      <c r="P1236" s="13">
        <f>IF(AND(A1236&lt;&gt;"",B1236&lt;&gt;""), A1236&amp;" · "&amp;B1236, "")</f>
        <v/>
      </c>
    </row>
    <row r="1237">
      <c r="A1237" s="6" t="inlineStr">
        <is>
          <t>FY26</t>
        </is>
      </c>
      <c r="B1237" s="6" t="inlineStr">
        <is>
          <t>Mar</t>
        </is>
      </c>
      <c r="C1237" s="6" t="inlineStr">
        <is>
          <t>TN</t>
        </is>
      </c>
      <c r="D1237" s="7" t="inlineStr">
        <is>
          <t>TN21AE6446</t>
        </is>
      </c>
      <c r="E1237" s="7" t="inlineStr">
        <is>
          <t>HYUNDAI</t>
        </is>
      </c>
      <c r="F1237" s="7" t="inlineStr">
        <is>
          <t>Grand i10</t>
        </is>
      </c>
      <c r="G1237" s="7" t="inlineStr">
        <is>
          <t>SHREE THIYA CARS</t>
        </is>
      </c>
      <c r="H1237" s="7" t="inlineStr">
        <is>
          <t>Non-Captive</t>
        </is>
      </c>
      <c r="I1237" s="7" t="inlineStr">
        <is>
          <t>Santhosh Cars</t>
        </is>
      </c>
      <c r="J1237" s="8" t="n">
        <v>2009</v>
      </c>
      <c r="K1237" s="9" t="n">
        <v>32709</v>
      </c>
      <c r="L1237" s="10" t="n">
        <v>600000</v>
      </c>
      <c r="M1237" s="10" t="n">
        <v>2118.64</v>
      </c>
      <c r="N1237" s="11">
        <f>IF(M1237="","",ROUND(M1237*1.18,2))</f>
        <v/>
      </c>
      <c r="O1237" s="12">
        <f>IF(M1237="","",ROUND(N1237-M1237,2))</f>
        <v/>
      </c>
      <c r="P1237" s="13">
        <f>IF(AND(A1237&lt;&gt;"",B1237&lt;&gt;""), A1237&amp;" · "&amp;B1237, "")</f>
        <v/>
      </c>
    </row>
    <row r="1238">
      <c r="A1238" s="6" t="inlineStr">
        <is>
          <t>FY26</t>
        </is>
      </c>
      <c r="B1238" s="6" t="inlineStr">
        <is>
          <t>Mar</t>
        </is>
      </c>
      <c r="C1238" s="6" t="inlineStr">
        <is>
          <t>TN</t>
        </is>
      </c>
      <c r="D1238" s="7" t="inlineStr">
        <is>
          <t>TN21BD3355</t>
        </is>
      </c>
      <c r="E1238" s="7" t="inlineStr">
        <is>
          <t>SKODA</t>
        </is>
      </c>
      <c r="F1238" s="7" t="inlineStr">
        <is>
          <t>Rapid</t>
        </is>
      </c>
      <c r="G1238" s="7" t="inlineStr">
        <is>
          <t>KALYANI MOTORS MARUTI</t>
        </is>
      </c>
      <c r="H1238" s="7" t="inlineStr">
        <is>
          <t>Non-Captive</t>
        </is>
      </c>
      <c r="I1238" s="7" t="inlineStr">
        <is>
          <t>Nirmal Cars</t>
        </is>
      </c>
      <c r="J1238" s="8" t="n">
        <v>2016</v>
      </c>
      <c r="K1238" s="9" t="n">
        <v>176443</v>
      </c>
      <c r="L1238" s="10" t="n">
        <v>325000</v>
      </c>
      <c r="M1238" s="10" t="n">
        <v>2542.37</v>
      </c>
      <c r="N1238" s="11">
        <f>IF(M1238="","",ROUND(M1238*1.18,2))</f>
        <v/>
      </c>
      <c r="O1238" s="12">
        <f>IF(M1238="","",ROUND(N1238-M1238,2))</f>
        <v/>
      </c>
      <c r="P1238" s="13">
        <f>IF(AND(A1238&lt;&gt;"",B1238&lt;&gt;""), A1238&amp;" · "&amp;B1238, "")</f>
        <v/>
      </c>
    </row>
    <row r="1239">
      <c r="A1239" s="6" t="inlineStr">
        <is>
          <t>FY26</t>
        </is>
      </c>
      <c r="B1239" s="6" t="inlineStr">
        <is>
          <t>Mar</t>
        </is>
      </c>
      <c r="C1239" s="6" t="inlineStr">
        <is>
          <t>TN</t>
        </is>
      </c>
      <c r="D1239" s="7" t="inlineStr">
        <is>
          <t>TN21BU2228</t>
        </is>
      </c>
      <c r="E1239" s="7" t="inlineStr">
        <is>
          <t>HONDA</t>
        </is>
      </c>
      <c r="F1239" s="7" t="inlineStr">
        <is>
          <t>City</t>
        </is>
      </c>
      <c r="G1239" s="7" t="inlineStr">
        <is>
          <t>EXCHANGE CHENNAI</t>
        </is>
      </c>
      <c r="H1239" s="7" t="inlineStr">
        <is>
          <t>Captive</t>
        </is>
      </c>
      <c r="I1239" s="7" t="inlineStr">
        <is>
          <t>S2 Cars</t>
        </is>
      </c>
      <c r="J1239" s="8" t="n">
        <v>2024</v>
      </c>
      <c r="K1239" s="9" t="n">
        <v>56144</v>
      </c>
      <c r="L1239" s="10" t="n">
        <v>900000</v>
      </c>
      <c r="M1239" s="10" t="n">
        <v>5084.75</v>
      </c>
      <c r="N1239" s="11">
        <f>IF(M1239="","",ROUND(M1239*1.18,2))</f>
        <v/>
      </c>
      <c r="O1239" s="12">
        <f>IF(M1239="","",ROUND(N1239-M1239,2))</f>
        <v/>
      </c>
      <c r="P1239" s="13">
        <f>IF(AND(A1239&lt;&gt;"",B1239&lt;&gt;""), A1239&amp;" · "&amp;B1239, "")</f>
        <v/>
      </c>
    </row>
    <row r="1240">
      <c r="A1240" s="6" t="inlineStr">
        <is>
          <t>FY26</t>
        </is>
      </c>
      <c r="B1240" s="6" t="inlineStr">
        <is>
          <t>Mar</t>
        </is>
      </c>
      <c r="C1240" s="6" t="inlineStr">
        <is>
          <t>TN</t>
        </is>
      </c>
      <c r="D1240" s="7" t="inlineStr">
        <is>
          <t>TN21BZ7455</t>
        </is>
      </c>
      <c r="E1240" s="7" t="inlineStr">
        <is>
          <t>MARUTI SUZUKI</t>
        </is>
      </c>
      <c r="F1240" s="7" t="inlineStr">
        <is>
          <t>Swift</t>
        </is>
      </c>
      <c r="G1240" s="7" t="inlineStr">
        <is>
          <t>KHIVRAJ MOTOR</t>
        </is>
      </c>
      <c r="H1240" s="7" t="inlineStr">
        <is>
          <t>Non-Captive</t>
        </is>
      </c>
      <c r="I1240" s="7" t="inlineStr">
        <is>
          <t>AS Cars Gopi</t>
        </is>
      </c>
      <c r="J1240" s="8" t="n">
        <v>2016</v>
      </c>
      <c r="K1240" s="9" t="n">
        <v>225155</v>
      </c>
      <c r="L1240" s="10" t="n">
        <v>150000</v>
      </c>
      <c r="M1240" s="10" t="n">
        <v>2118.64</v>
      </c>
      <c r="N1240" s="11">
        <f>IF(M1240="","",ROUND(M1240*1.18,2))</f>
        <v/>
      </c>
      <c r="O1240" s="12">
        <f>IF(M1240="","",ROUND(N1240-M1240,2))</f>
        <v/>
      </c>
      <c r="P1240" s="13">
        <f>IF(AND(A1240&lt;&gt;"",B1240&lt;&gt;""), A1240&amp;" · "&amp;B1240, "")</f>
        <v/>
      </c>
    </row>
    <row r="1241">
      <c r="A1241" s="6" t="inlineStr">
        <is>
          <t>FY26</t>
        </is>
      </c>
      <c r="B1241" s="6" t="inlineStr">
        <is>
          <t>Mar</t>
        </is>
      </c>
      <c r="C1241" s="6" t="inlineStr">
        <is>
          <t>TN</t>
        </is>
      </c>
      <c r="D1241" s="7" t="inlineStr">
        <is>
          <t>TN22BB1487</t>
        </is>
      </c>
      <c r="E1241" s="7" t="inlineStr">
        <is>
          <t>MARUTI SUZUKI</t>
        </is>
      </c>
      <c r="F1241" s="7" t="inlineStr">
        <is>
          <t>Zen Estilo</t>
        </is>
      </c>
      <c r="G1241" s="7" t="inlineStr">
        <is>
          <t>KHIVRAJ MOTOR</t>
        </is>
      </c>
      <c r="H1241" s="7" t="inlineStr">
        <is>
          <t>Non-Captive</t>
        </is>
      </c>
      <c r="I1241" s="7" t="inlineStr">
        <is>
          <t>RAJESH WARI (RAM CARS</t>
        </is>
      </c>
      <c r="J1241" s="8" t="n">
        <v>2008</v>
      </c>
      <c r="K1241" s="9" t="n">
        <v>168865</v>
      </c>
      <c r="L1241" s="10" t="n">
        <v>80000</v>
      </c>
      <c r="M1241" s="10" t="n">
        <v>5084.75</v>
      </c>
      <c r="N1241" s="11">
        <f>IF(M1241="","",ROUND(M1241*1.18,2))</f>
        <v/>
      </c>
      <c r="O1241" s="12">
        <f>IF(M1241="","",ROUND(N1241-M1241,2))</f>
        <v/>
      </c>
      <c r="P1241" s="13">
        <f>IF(AND(A1241&lt;&gt;"",B1241&lt;&gt;""), A1241&amp;" · "&amp;B1241, "")</f>
        <v/>
      </c>
    </row>
    <row r="1242">
      <c r="A1242" s="6" t="inlineStr">
        <is>
          <t>FY26</t>
        </is>
      </c>
      <c r="B1242" s="6" t="inlineStr">
        <is>
          <t>Mar</t>
        </is>
      </c>
      <c r="C1242" s="6" t="inlineStr">
        <is>
          <t>TN</t>
        </is>
      </c>
      <c r="D1242" s="7" t="inlineStr">
        <is>
          <t>TN22BP6153</t>
        </is>
      </c>
      <c r="E1242" s="7" t="inlineStr">
        <is>
          <t>VOLKSWAGEN</t>
        </is>
      </c>
      <c r="F1242" s="7" t="inlineStr">
        <is>
          <t>Vento</t>
        </is>
      </c>
      <c r="G1242" s="7" t="inlineStr">
        <is>
          <t>KALYANI MOTORS MARUTI</t>
        </is>
      </c>
      <c r="H1242" s="7" t="inlineStr">
        <is>
          <t>Non-Captive</t>
        </is>
      </c>
      <c r="I1242" s="7" t="inlineStr">
        <is>
          <t>Santhosh Cars</t>
        </is>
      </c>
      <c r="J1242" s="8" t="n">
        <v>2011</v>
      </c>
      <c r="K1242" s="9" t="n">
        <v>205296</v>
      </c>
      <c r="L1242" s="10" t="n">
        <v>110000</v>
      </c>
      <c r="M1242" s="10" t="n">
        <v>2118.64</v>
      </c>
      <c r="N1242" s="11">
        <f>IF(M1242="","",ROUND(M1242*1.18,2))</f>
        <v/>
      </c>
      <c r="O1242" s="12">
        <f>IF(M1242="","",ROUND(N1242-M1242,2))</f>
        <v/>
      </c>
      <c r="P1242" s="13">
        <f>IF(AND(A1242&lt;&gt;"",B1242&lt;&gt;""), A1242&amp;" · "&amp;B1242, "")</f>
        <v/>
      </c>
    </row>
    <row r="1243">
      <c r="A1243" s="6" t="inlineStr">
        <is>
          <t>FY26</t>
        </is>
      </c>
      <c r="B1243" s="6" t="inlineStr">
        <is>
          <t>Mar</t>
        </is>
      </c>
      <c r="C1243" s="6" t="inlineStr">
        <is>
          <t>TN</t>
        </is>
      </c>
      <c r="D1243" s="7" t="inlineStr">
        <is>
          <t>TN22BV0990</t>
        </is>
      </c>
      <c r="E1243" s="7" t="inlineStr">
        <is>
          <t>MARUTI SUZUKI</t>
        </is>
      </c>
      <c r="F1243" s="7" t="inlineStr">
        <is>
          <t>Wagon R</t>
        </is>
      </c>
      <c r="G1243" s="7" t="inlineStr">
        <is>
          <t>KHIVRAJ MOTOR</t>
        </is>
      </c>
      <c r="H1243" s="7" t="inlineStr">
        <is>
          <t>Non-Captive</t>
        </is>
      </c>
      <c r="I1243" s="7" t="inlineStr">
        <is>
          <t>AS Cars Gopi</t>
        </is>
      </c>
      <c r="J1243" s="8" t="n">
        <v>2009</v>
      </c>
      <c r="K1243" s="9" t="n">
        <v>83655</v>
      </c>
      <c r="L1243" s="10" t="n">
        <v>134000</v>
      </c>
      <c r="M1243" s="10" t="n">
        <v>5084.75</v>
      </c>
      <c r="N1243" s="11">
        <f>IF(M1243="","",ROUND(M1243*1.18,2))</f>
        <v/>
      </c>
      <c r="O1243" s="12">
        <f>IF(M1243="","",ROUND(N1243-M1243,2))</f>
        <v/>
      </c>
      <c r="P1243" s="13">
        <f>IF(AND(A1243&lt;&gt;"",B1243&lt;&gt;""), A1243&amp;" · "&amp;B1243, "")</f>
        <v/>
      </c>
    </row>
    <row r="1244">
      <c r="A1244" s="6" t="inlineStr">
        <is>
          <t>FY26</t>
        </is>
      </c>
      <c r="B1244" s="6" t="inlineStr">
        <is>
          <t>Mar</t>
        </is>
      </c>
      <c r="C1244" s="6" t="inlineStr">
        <is>
          <t>TN</t>
        </is>
      </c>
      <c r="D1244" s="7" t="inlineStr">
        <is>
          <t>TN22CJ0234</t>
        </is>
      </c>
      <c r="E1244" s="7" t="inlineStr">
        <is>
          <t>HYUNDAI</t>
        </is>
      </c>
      <c r="F1244" s="7" t="inlineStr">
        <is>
          <t>i20</t>
        </is>
      </c>
      <c r="G1244" s="7" t="inlineStr">
        <is>
          <t>EXCHANGE CHENNAI</t>
        </is>
      </c>
      <c r="H1244" s="7" t="inlineStr">
        <is>
          <t>Captive</t>
        </is>
      </c>
      <c r="I1244" s="7" t="inlineStr">
        <is>
          <t>Varadhrajan cars</t>
        </is>
      </c>
      <c r="J1244" s="8" t="n">
        <v>2013</v>
      </c>
      <c r="K1244" s="9" t="n">
        <v>98101</v>
      </c>
      <c r="L1244" s="10" t="n">
        <v>300000</v>
      </c>
      <c r="M1244" s="10" t="n">
        <v>4237.29</v>
      </c>
      <c r="N1244" s="11">
        <f>IF(M1244="","",ROUND(M1244*1.18,2))</f>
        <v/>
      </c>
      <c r="O1244" s="12">
        <f>IF(M1244="","",ROUND(N1244-M1244,2))</f>
        <v/>
      </c>
      <c r="P1244" s="13">
        <f>IF(AND(A1244&lt;&gt;"",B1244&lt;&gt;""), A1244&amp;" · "&amp;B1244, "")</f>
        <v/>
      </c>
    </row>
    <row r="1245">
      <c r="A1245" s="6" t="inlineStr">
        <is>
          <t>FY26</t>
        </is>
      </c>
      <c r="B1245" s="6" t="inlineStr">
        <is>
          <t>Mar</t>
        </is>
      </c>
      <c r="C1245" s="6" t="inlineStr">
        <is>
          <t>TN</t>
        </is>
      </c>
      <c r="D1245" s="7" t="inlineStr">
        <is>
          <t>TN22CL1679</t>
        </is>
      </c>
      <c r="E1245" s="7" t="inlineStr">
        <is>
          <t>MARUTI SUZUKI</t>
        </is>
      </c>
      <c r="F1245" s="7" t="inlineStr">
        <is>
          <t>Eeco</t>
        </is>
      </c>
      <c r="G1245" s="7" t="inlineStr">
        <is>
          <t>SANTHOSH CARS</t>
        </is>
      </c>
      <c r="H1245" s="7" t="inlineStr">
        <is>
          <t>Non-Captive</t>
        </is>
      </c>
      <c r="I1245" s="7" t="inlineStr">
        <is>
          <t>Kamal Cars</t>
        </is>
      </c>
      <c r="J1245" s="8" t="n">
        <v>2013</v>
      </c>
      <c r="K1245" s="9" t="n">
        <v>19437</v>
      </c>
      <c r="L1245" s="10" t="n">
        <v>200000</v>
      </c>
      <c r="M1245" s="10" t="n">
        <v>4237.29</v>
      </c>
      <c r="N1245" s="11">
        <f>IF(M1245="","",ROUND(M1245*1.18,2))</f>
        <v/>
      </c>
      <c r="O1245" s="12">
        <f>IF(M1245="","",ROUND(N1245-M1245,2))</f>
        <v/>
      </c>
      <c r="P1245" s="13">
        <f>IF(AND(A1245&lt;&gt;"",B1245&lt;&gt;""), A1245&amp;" · "&amp;B1245, "")</f>
        <v/>
      </c>
    </row>
    <row r="1246">
      <c r="A1246" s="6" t="inlineStr">
        <is>
          <t>FY26</t>
        </is>
      </c>
      <c r="B1246" s="6" t="inlineStr">
        <is>
          <t>Mar</t>
        </is>
      </c>
      <c r="C1246" s="6" t="inlineStr">
        <is>
          <t>TN</t>
        </is>
      </c>
      <c r="D1246" s="7" t="inlineStr">
        <is>
          <t>TN22CU5854</t>
        </is>
      </c>
      <c r="E1246" s="7" t="inlineStr">
        <is>
          <t>MARUTI SUZUKI</t>
        </is>
      </c>
      <c r="F1246" s="7" t="inlineStr">
        <is>
          <t>Wagon R</t>
        </is>
      </c>
      <c r="G1246" s="7" t="inlineStr">
        <is>
          <t>KHIVRAJ MOTOR</t>
        </is>
      </c>
      <c r="H1246" s="7" t="inlineStr">
        <is>
          <t>Non-Captive</t>
        </is>
      </c>
      <c r="I1246" s="7" t="inlineStr">
        <is>
          <t>Nirmal Cars</t>
        </is>
      </c>
      <c r="J1246" s="8" t="n">
        <v>2012</v>
      </c>
      <c r="K1246" s="9" t="n">
        <v>68903</v>
      </c>
      <c r="L1246" s="10" t="n">
        <v>170000</v>
      </c>
      <c r="M1246" s="10" t="n">
        <v>2118.64</v>
      </c>
      <c r="N1246" s="11">
        <f>IF(M1246="","",ROUND(M1246*1.18,2))</f>
        <v/>
      </c>
      <c r="O1246" s="12">
        <f>IF(M1246="","",ROUND(N1246-M1246,2))</f>
        <v/>
      </c>
      <c r="P1246" s="13">
        <f>IF(AND(A1246&lt;&gt;"",B1246&lt;&gt;""), A1246&amp;" · "&amp;B1246, "")</f>
        <v/>
      </c>
    </row>
    <row r="1247">
      <c r="A1247" s="6" t="inlineStr">
        <is>
          <t>FY26</t>
        </is>
      </c>
      <c r="B1247" s="6" t="inlineStr">
        <is>
          <t>Mar</t>
        </is>
      </c>
      <c r="C1247" s="6" t="inlineStr">
        <is>
          <t>TN</t>
        </is>
      </c>
      <c r="D1247" s="7" t="inlineStr">
        <is>
          <t>TN22DR7979</t>
        </is>
      </c>
      <c r="E1247" s="7" t="inlineStr">
        <is>
          <t>FORD</t>
        </is>
      </c>
      <c r="F1247" s="7" t="inlineStr">
        <is>
          <t>EcoSport</t>
        </is>
      </c>
      <c r="G1247" s="7" t="inlineStr">
        <is>
          <t>EXCHANGE CHENNAI</t>
        </is>
      </c>
      <c r="H1247" s="7" t="inlineStr">
        <is>
          <t>Captive</t>
        </is>
      </c>
      <c r="I1247" s="7" t="inlineStr">
        <is>
          <t>Santhosh Cars</t>
        </is>
      </c>
      <c r="J1247" s="8" t="n">
        <v>2018</v>
      </c>
      <c r="K1247" s="9" t="n">
        <v>97004</v>
      </c>
      <c r="L1247" s="10" t="n">
        <v>525000</v>
      </c>
      <c r="M1247" s="10" t="n">
        <v>8474.58</v>
      </c>
      <c r="N1247" s="11">
        <f>IF(M1247="","",ROUND(M1247*1.18,2))</f>
        <v/>
      </c>
      <c r="O1247" s="12">
        <f>IF(M1247="","",ROUND(N1247-M1247,2))</f>
        <v/>
      </c>
      <c r="P1247" s="13">
        <f>IF(AND(A1247&lt;&gt;"",B1247&lt;&gt;""), A1247&amp;" · "&amp;B1247, "")</f>
        <v/>
      </c>
    </row>
    <row r="1248">
      <c r="A1248" s="6" t="inlineStr">
        <is>
          <t>FY26</t>
        </is>
      </c>
      <c r="B1248" s="6" t="inlineStr">
        <is>
          <t>Mar</t>
        </is>
      </c>
      <c r="C1248" s="6" t="inlineStr">
        <is>
          <t>TN</t>
        </is>
      </c>
      <c r="D1248" s="7" t="inlineStr">
        <is>
          <t>TN22EE5085</t>
        </is>
      </c>
      <c r="E1248" s="7" t="inlineStr">
        <is>
          <t>TATA</t>
        </is>
      </c>
      <c r="F1248" s="7" t="inlineStr">
        <is>
          <t>Punch</t>
        </is>
      </c>
      <c r="G1248" s="7" t="inlineStr">
        <is>
          <t>STEER AUTO TECHNOLOGIES PRIVATE LIMITED</t>
        </is>
      </c>
      <c r="H1248" s="7" t="inlineStr">
        <is>
          <t>Non-Captive</t>
        </is>
      </c>
      <c r="I1248" s="7" t="inlineStr">
        <is>
          <t>car Hub</t>
        </is>
      </c>
      <c r="J1248" s="8" t="n">
        <v>2025</v>
      </c>
      <c r="K1248" s="9" t="n">
        <v>68844</v>
      </c>
      <c r="L1248" s="10" t="n">
        <v>500000</v>
      </c>
      <c r="M1248" s="10" t="n">
        <v>5084.75</v>
      </c>
      <c r="N1248" s="11">
        <f>IF(M1248="","",ROUND(M1248*1.18,2))</f>
        <v/>
      </c>
      <c r="O1248" s="12">
        <f>IF(M1248="","",ROUND(N1248-M1248,2))</f>
        <v/>
      </c>
      <c r="P1248" s="13">
        <f>IF(AND(A1248&lt;&gt;"",B1248&lt;&gt;""), A1248&amp;" · "&amp;B1248, "")</f>
        <v/>
      </c>
    </row>
    <row r="1249">
      <c r="A1249" s="6" t="inlineStr">
        <is>
          <t>FY26</t>
        </is>
      </c>
      <c r="B1249" s="6" t="inlineStr">
        <is>
          <t>Mar</t>
        </is>
      </c>
      <c r="C1249" s="6" t="inlineStr">
        <is>
          <t>TN</t>
        </is>
      </c>
      <c r="D1249" s="7" t="inlineStr">
        <is>
          <t>TN24L7778</t>
        </is>
      </c>
      <c r="E1249" s="7" t="inlineStr">
        <is>
          <t>MARUTI SUZUKI</t>
        </is>
      </c>
      <c r="F1249" s="7" t="inlineStr">
        <is>
          <t>Wagon R</t>
        </is>
      </c>
      <c r="G1249" s="7" t="inlineStr">
        <is>
          <t>SANTHOSH CARS</t>
        </is>
      </c>
      <c r="H1249" s="7" t="inlineStr">
        <is>
          <t>Non-Captive</t>
        </is>
      </c>
      <c r="I1249" s="7" t="inlineStr">
        <is>
          <t>Aasim Motors</t>
        </is>
      </c>
      <c r="J1249" s="8" t="n">
        <v>2012</v>
      </c>
      <c r="K1249" s="9" t="n">
        <v>165817</v>
      </c>
      <c r="L1249" s="10" t="n">
        <v>160000</v>
      </c>
      <c r="M1249" s="10" t="n">
        <v>3389.83</v>
      </c>
      <c r="N1249" s="11">
        <f>IF(M1249="","",ROUND(M1249*1.18,2))</f>
        <v/>
      </c>
      <c r="O1249" s="12">
        <f>IF(M1249="","",ROUND(N1249-M1249,2))</f>
        <v/>
      </c>
      <c r="P1249" s="13">
        <f>IF(AND(A1249&lt;&gt;"",B1249&lt;&gt;""), A1249&amp;" · "&amp;B1249, "")</f>
        <v/>
      </c>
    </row>
    <row r="1250">
      <c r="A1250" s="6" t="inlineStr">
        <is>
          <t>FY26</t>
        </is>
      </c>
      <c r="B1250" s="6" t="inlineStr">
        <is>
          <t>Mar</t>
        </is>
      </c>
      <c r="C1250" s="6" t="inlineStr">
        <is>
          <t>TN</t>
        </is>
      </c>
      <c r="D1250" s="7" t="inlineStr">
        <is>
          <t>TN27L7620</t>
        </is>
      </c>
      <c r="E1250" s="7" t="inlineStr">
        <is>
          <t>MARUTI SUZUKI</t>
        </is>
      </c>
      <c r="F1250" s="7" t="inlineStr">
        <is>
          <t>Alto</t>
        </is>
      </c>
      <c r="G1250" s="7" t="inlineStr">
        <is>
          <t>SRI LAKSHMI CARS</t>
        </is>
      </c>
      <c r="H1250" s="7" t="inlineStr">
        <is>
          <t>Non-Captive</t>
        </is>
      </c>
      <c r="I1250" s="7" t="inlineStr">
        <is>
          <t>MSV Car Painting</t>
        </is>
      </c>
      <c r="J1250" s="8" t="n">
        <v>1999</v>
      </c>
      <c r="K1250" s="9" t="n">
        <v>99525</v>
      </c>
      <c r="L1250" s="10" t="n">
        <v>30000</v>
      </c>
      <c r="M1250" s="10" t="n">
        <v>4237.29</v>
      </c>
      <c r="N1250" s="11">
        <f>IF(M1250="","",ROUND(M1250*1.18,2))</f>
        <v/>
      </c>
      <c r="O1250" s="12">
        <f>IF(M1250="","",ROUND(N1250-M1250,2))</f>
        <v/>
      </c>
      <c r="P1250" s="13">
        <f>IF(AND(A1250&lt;&gt;"",B1250&lt;&gt;""), A1250&amp;" · "&amp;B1250, "")</f>
        <v/>
      </c>
    </row>
    <row r="1251">
      <c r="A1251" s="6" t="inlineStr">
        <is>
          <t>FY26</t>
        </is>
      </c>
      <c r="B1251" s="6" t="inlineStr">
        <is>
          <t>Mar</t>
        </is>
      </c>
      <c r="C1251" s="6" t="inlineStr">
        <is>
          <t>TN</t>
        </is>
      </c>
      <c r="D1251" s="7" t="inlineStr">
        <is>
          <t>TN29AE9406</t>
        </is>
      </c>
      <c r="E1251" s="7" t="inlineStr">
        <is>
          <t>MARUTI SUZUKI</t>
        </is>
      </c>
      <c r="F1251" s="7" t="inlineStr">
        <is>
          <t>Swift</t>
        </is>
      </c>
      <c r="G1251" s="7" t="inlineStr">
        <is>
          <t>SANTHOSH CARS</t>
        </is>
      </c>
      <c r="H1251" s="7" t="inlineStr">
        <is>
          <t>Non-Captive</t>
        </is>
      </c>
      <c r="I1251" s="7" t="inlineStr">
        <is>
          <t>Kamal Cars</t>
        </is>
      </c>
      <c r="J1251" s="8" t="n">
        <v>2010</v>
      </c>
      <c r="K1251" s="9" t="n">
        <v>50553</v>
      </c>
      <c r="L1251" s="10" t="n">
        <v>150000</v>
      </c>
      <c r="M1251" s="10" t="n">
        <v>2542.37</v>
      </c>
      <c r="N1251" s="11">
        <f>IF(M1251="","",ROUND(M1251*1.18,2))</f>
        <v/>
      </c>
      <c r="O1251" s="12">
        <f>IF(M1251="","",ROUND(N1251-M1251,2))</f>
        <v/>
      </c>
      <c r="P1251" s="13">
        <f>IF(AND(A1251&lt;&gt;"",B1251&lt;&gt;""), A1251&amp;" · "&amp;B1251, "")</f>
        <v/>
      </c>
    </row>
    <row r="1252">
      <c r="A1252" s="6" t="inlineStr">
        <is>
          <t>FY26</t>
        </is>
      </c>
      <c r="B1252" s="6" t="inlineStr">
        <is>
          <t>Mar</t>
        </is>
      </c>
      <c r="C1252" s="6" t="inlineStr">
        <is>
          <t>TN</t>
        </is>
      </c>
      <c r="D1252" s="7" t="inlineStr">
        <is>
          <t>TN30AE1895</t>
        </is>
      </c>
      <c r="E1252" s="7" t="inlineStr">
        <is>
          <t>HYUNDAI</t>
        </is>
      </c>
      <c r="F1252" s="7" t="inlineStr">
        <is>
          <t>i10</t>
        </is>
      </c>
      <c r="G1252" s="7" t="inlineStr">
        <is>
          <t>EXCHANGE ROTN</t>
        </is>
      </c>
      <c r="H1252" s="7" t="inlineStr">
        <is>
          <t>Captive</t>
        </is>
      </c>
      <c r="I1252" s="7" t="inlineStr">
        <is>
          <t>MSV Car Painting</t>
        </is>
      </c>
      <c r="J1252" s="8" t="n">
        <v>2009</v>
      </c>
      <c r="K1252" s="9" t="n">
        <v>102688</v>
      </c>
      <c r="L1252" s="10" t="n">
        <v>150000</v>
      </c>
      <c r="M1252" s="10" t="n">
        <v>8474.58</v>
      </c>
      <c r="N1252" s="11">
        <f>IF(M1252="","",ROUND(M1252*1.18,2))</f>
        <v/>
      </c>
      <c r="O1252" s="12">
        <f>IF(M1252="","",ROUND(N1252-M1252,2))</f>
        <v/>
      </c>
      <c r="P1252" s="13">
        <f>IF(AND(A1252&lt;&gt;"",B1252&lt;&gt;""), A1252&amp;" · "&amp;B1252, "")</f>
        <v/>
      </c>
    </row>
    <row r="1253">
      <c r="A1253" s="6" t="inlineStr">
        <is>
          <t>FY26</t>
        </is>
      </c>
      <c r="B1253" s="6" t="inlineStr">
        <is>
          <t>Mar</t>
        </is>
      </c>
      <c r="C1253" s="6" t="inlineStr">
        <is>
          <t>TN</t>
        </is>
      </c>
      <c r="D1253" s="7" t="inlineStr">
        <is>
          <t>TN30BB0267</t>
        </is>
      </c>
      <c r="E1253" s="7" t="inlineStr">
        <is>
          <t>FIAT</t>
        </is>
      </c>
      <c r="F1253" s="7" t="inlineStr">
        <is>
          <t>Punto</t>
        </is>
      </c>
      <c r="G1253" s="7" t="inlineStr">
        <is>
          <t>EXCHANGE ROTN</t>
        </is>
      </c>
      <c r="H1253" s="7" t="inlineStr">
        <is>
          <t>Captive</t>
        </is>
      </c>
      <c r="I1253" s="7" t="inlineStr">
        <is>
          <t>STALIN CARS</t>
        </is>
      </c>
      <c r="J1253" s="8" t="n">
        <v>2014</v>
      </c>
      <c r="K1253" s="9" t="n">
        <v>17468</v>
      </c>
      <c r="L1253" s="10" t="n">
        <v>47000</v>
      </c>
      <c r="M1253" s="10" t="n">
        <v>4237.29</v>
      </c>
      <c r="N1253" s="11">
        <f>IF(M1253="","",ROUND(M1253*1.18,2))</f>
        <v/>
      </c>
      <c r="O1253" s="12">
        <f>IF(M1253="","",ROUND(N1253-M1253,2))</f>
        <v/>
      </c>
      <c r="P1253" s="13">
        <f>IF(AND(A1253&lt;&gt;"",B1253&lt;&gt;""), A1253&amp;" · "&amp;B1253, "")</f>
        <v/>
      </c>
    </row>
    <row r="1254">
      <c r="A1254" s="6" t="inlineStr">
        <is>
          <t>FY26</t>
        </is>
      </c>
      <c r="B1254" s="6" t="inlineStr">
        <is>
          <t>Mar</t>
        </is>
      </c>
      <c r="C1254" s="6" t="inlineStr">
        <is>
          <t>TN</t>
        </is>
      </c>
      <c r="D1254" s="7" t="inlineStr">
        <is>
          <t>TN30S6050</t>
        </is>
      </c>
      <c r="E1254" s="7" t="inlineStr">
        <is>
          <t>HYUNDAI</t>
        </is>
      </c>
      <c r="F1254" s="7" t="inlineStr">
        <is>
          <t>Accent</t>
        </is>
      </c>
      <c r="G1254" s="7" t="inlineStr">
        <is>
          <t>EXCHANGE ROTN</t>
        </is>
      </c>
      <c r="H1254" s="7" t="inlineStr">
        <is>
          <t>Captive</t>
        </is>
      </c>
      <c r="I1254" s="7" t="inlineStr">
        <is>
          <t>Ayyappa Cars</t>
        </is>
      </c>
      <c r="J1254" s="8" t="n">
        <v>2007</v>
      </c>
      <c r="K1254" s="9" t="n">
        <v>148584</v>
      </c>
      <c r="L1254" s="10" t="n">
        <v>30000</v>
      </c>
      <c r="M1254" s="10" t="n">
        <v>4237.29</v>
      </c>
      <c r="N1254" s="11">
        <f>IF(M1254="","",ROUND(M1254*1.18,2))</f>
        <v/>
      </c>
      <c r="O1254" s="12">
        <f>IF(M1254="","",ROUND(N1254-M1254,2))</f>
        <v/>
      </c>
      <c r="P1254" s="13">
        <f>IF(AND(A1254&lt;&gt;"",B1254&lt;&gt;""), A1254&amp;" · "&amp;B1254, "")</f>
        <v/>
      </c>
    </row>
    <row r="1255">
      <c r="A1255" s="6" t="inlineStr">
        <is>
          <t>FY26</t>
        </is>
      </c>
      <c r="B1255" s="6" t="inlineStr">
        <is>
          <t>Mar</t>
        </is>
      </c>
      <c r="C1255" s="6" t="inlineStr">
        <is>
          <t>TN</t>
        </is>
      </c>
      <c r="D1255" s="7" t="inlineStr">
        <is>
          <t>TN33AQ1564</t>
        </is>
      </c>
      <c r="E1255" s="7" t="inlineStr">
        <is>
          <t>FORD</t>
        </is>
      </c>
      <c r="F1255" s="7" t="inlineStr">
        <is>
          <t>Fiesta</t>
        </is>
      </c>
      <c r="G1255" s="7" t="inlineStr">
        <is>
          <t>EXCHANGE ROTN</t>
        </is>
      </c>
      <c r="H1255" s="7" t="inlineStr">
        <is>
          <t>Captive</t>
        </is>
      </c>
      <c r="I1255" s="7" t="inlineStr">
        <is>
          <t>Sivashankar Cars</t>
        </is>
      </c>
      <c r="J1255" s="8" t="n">
        <v>2009</v>
      </c>
      <c r="K1255" s="9" t="n">
        <v>71202</v>
      </c>
      <c r="L1255" s="10" t="n">
        <v>100000</v>
      </c>
      <c r="M1255" s="10" t="n">
        <v>8474.58</v>
      </c>
      <c r="N1255" s="11">
        <f>IF(M1255="","",ROUND(M1255*1.18,2))</f>
        <v/>
      </c>
      <c r="O1255" s="12">
        <f>IF(M1255="","",ROUND(N1255-M1255,2))</f>
        <v/>
      </c>
      <c r="P1255" s="13">
        <f>IF(AND(A1255&lt;&gt;"",B1255&lt;&gt;""), A1255&amp;" · "&amp;B1255, "")</f>
        <v/>
      </c>
    </row>
    <row r="1256">
      <c r="A1256" s="6" t="inlineStr">
        <is>
          <t>FY26</t>
        </is>
      </c>
      <c r="B1256" s="6" t="inlineStr">
        <is>
          <t>Mar</t>
        </is>
      </c>
      <c r="C1256" s="6" t="inlineStr">
        <is>
          <t>TN</t>
        </is>
      </c>
      <c r="D1256" s="7" t="inlineStr">
        <is>
          <t>TN33BH6113</t>
        </is>
      </c>
      <c r="E1256" s="7" t="inlineStr">
        <is>
          <t>NISSAN</t>
        </is>
      </c>
      <c r="F1256" s="7" t="inlineStr">
        <is>
          <t>Micra Active</t>
        </is>
      </c>
      <c r="G1256" s="7" t="inlineStr">
        <is>
          <t>EXCHANGE ROTN</t>
        </is>
      </c>
      <c r="H1256" s="7" t="inlineStr">
        <is>
          <t>Captive</t>
        </is>
      </c>
      <c r="I1256" s="7" t="inlineStr">
        <is>
          <t>Sivashankar Cars</t>
        </is>
      </c>
      <c r="J1256" s="8" t="n">
        <v>2014</v>
      </c>
      <c r="K1256" s="9" t="n">
        <v>27587</v>
      </c>
      <c r="L1256" s="10" t="n">
        <v>260000</v>
      </c>
      <c r="M1256" s="10" t="n">
        <v>8474.58</v>
      </c>
      <c r="N1256" s="11">
        <f>IF(M1256="","",ROUND(M1256*1.18,2))</f>
        <v/>
      </c>
      <c r="O1256" s="12">
        <f>IF(M1256="","",ROUND(N1256-M1256,2))</f>
        <v/>
      </c>
      <c r="P1256" s="13">
        <f>IF(AND(A1256&lt;&gt;"",B1256&lt;&gt;""), A1256&amp;" · "&amp;B1256, "")</f>
        <v/>
      </c>
    </row>
    <row r="1257">
      <c r="A1257" s="6" t="inlineStr">
        <is>
          <t>FY26</t>
        </is>
      </c>
      <c r="B1257" s="6" t="inlineStr">
        <is>
          <t>Mar</t>
        </is>
      </c>
      <c r="C1257" s="6" t="inlineStr">
        <is>
          <t>TN</t>
        </is>
      </c>
      <c r="D1257" s="7" t="inlineStr">
        <is>
          <t>TN33BT7326</t>
        </is>
      </c>
      <c r="E1257" s="7" t="inlineStr">
        <is>
          <t>DATSUN</t>
        </is>
      </c>
      <c r="F1257" s="7" t="inlineStr">
        <is>
          <t>Redi-GO</t>
        </is>
      </c>
      <c r="G1257" s="7" t="inlineStr">
        <is>
          <t>EXCHANGE ROTN</t>
        </is>
      </c>
      <c r="H1257" s="7" t="inlineStr">
        <is>
          <t>Captive</t>
        </is>
      </c>
      <c r="I1257" s="7" t="inlineStr">
        <is>
          <t>Sivashankar Cars</t>
        </is>
      </c>
      <c r="J1257" s="8" t="n">
        <v>2019</v>
      </c>
      <c r="K1257" s="9" t="n">
        <v>40943</v>
      </c>
      <c r="L1257" s="10" t="n">
        <v>135000</v>
      </c>
      <c r="M1257" s="10" t="n">
        <v>8474.58</v>
      </c>
      <c r="N1257" s="11">
        <f>IF(M1257="","",ROUND(M1257*1.18,2))</f>
        <v/>
      </c>
      <c r="O1257" s="12">
        <f>IF(M1257="","",ROUND(N1257-M1257,2))</f>
        <v/>
      </c>
      <c r="P1257" s="13">
        <f>IF(AND(A1257&lt;&gt;"",B1257&lt;&gt;""), A1257&amp;" · "&amp;B1257, "")</f>
        <v/>
      </c>
    </row>
    <row r="1258">
      <c r="A1258" s="6" t="inlineStr">
        <is>
          <t>FY26</t>
        </is>
      </c>
      <c r="B1258" s="6" t="inlineStr">
        <is>
          <t>Mar</t>
        </is>
      </c>
      <c r="C1258" s="6" t="inlineStr">
        <is>
          <t>TN</t>
        </is>
      </c>
      <c r="D1258" s="7" t="inlineStr">
        <is>
          <t>TN37AJ3798</t>
        </is>
      </c>
      <c r="E1258" s="7" t="inlineStr">
        <is>
          <t>HONDA</t>
        </is>
      </c>
      <c r="F1258" s="7" t="inlineStr">
        <is>
          <t>City</t>
        </is>
      </c>
      <c r="G1258" s="7" t="inlineStr">
        <is>
          <t>EXCHANGE ROTN</t>
        </is>
      </c>
      <c r="H1258" s="7" t="inlineStr">
        <is>
          <t>Captive</t>
        </is>
      </c>
      <c r="I1258" s="7" t="inlineStr">
        <is>
          <t>Sivashankar Cars</t>
        </is>
      </c>
      <c r="J1258" s="8" t="n">
        <v>2004</v>
      </c>
      <c r="K1258" s="9" t="n">
        <v>179999</v>
      </c>
      <c r="L1258" s="10" t="n">
        <v>45000</v>
      </c>
      <c r="M1258" s="10" t="n">
        <v>4237.29</v>
      </c>
      <c r="N1258" s="11">
        <f>IF(M1258="","",ROUND(M1258*1.18,2))</f>
        <v/>
      </c>
      <c r="O1258" s="12">
        <f>IF(M1258="","",ROUND(N1258-M1258,2))</f>
        <v/>
      </c>
      <c r="P1258" s="13">
        <f>IF(AND(A1258&lt;&gt;"",B1258&lt;&gt;""), A1258&amp;" · "&amp;B1258, "")</f>
        <v/>
      </c>
    </row>
    <row r="1259">
      <c r="A1259" s="6" t="inlineStr">
        <is>
          <t>FY26</t>
        </is>
      </c>
      <c r="B1259" s="6" t="inlineStr">
        <is>
          <t>Mar</t>
        </is>
      </c>
      <c r="C1259" s="6" t="inlineStr">
        <is>
          <t>TN</t>
        </is>
      </c>
      <c r="D1259" s="7" t="inlineStr">
        <is>
          <t>TN37BM8957</t>
        </is>
      </c>
      <c r="E1259" s="7" t="inlineStr">
        <is>
          <t>MARUTI SUZUKI</t>
        </is>
      </c>
      <c r="F1259" s="7" t="inlineStr">
        <is>
          <t>Alto K10</t>
        </is>
      </c>
      <c r="G1259" s="7" t="inlineStr">
        <is>
          <t>EXCHANGE ROTN</t>
        </is>
      </c>
      <c r="H1259" s="7" t="inlineStr">
        <is>
          <t>Captive</t>
        </is>
      </c>
      <c r="I1259" s="7" t="inlineStr">
        <is>
          <t>Sun Cars</t>
        </is>
      </c>
      <c r="J1259" s="8" t="n">
        <v>2011</v>
      </c>
      <c r="K1259" s="9" t="n">
        <v>100456</v>
      </c>
      <c r="L1259" s="10" t="n">
        <v>110000</v>
      </c>
      <c r="M1259" s="10" t="n">
        <v>4237.29</v>
      </c>
      <c r="N1259" s="11">
        <f>IF(M1259="","",ROUND(M1259*1.18,2))</f>
        <v/>
      </c>
      <c r="O1259" s="12">
        <f>IF(M1259="","",ROUND(N1259-M1259,2))</f>
        <v/>
      </c>
      <c r="P1259" s="13">
        <f>IF(AND(A1259&lt;&gt;"",B1259&lt;&gt;""), A1259&amp;" · "&amp;B1259, "")</f>
        <v/>
      </c>
    </row>
    <row r="1260">
      <c r="A1260" s="6" t="inlineStr">
        <is>
          <t>FY26</t>
        </is>
      </c>
      <c r="B1260" s="6" t="inlineStr">
        <is>
          <t>Mar</t>
        </is>
      </c>
      <c r="C1260" s="6" t="inlineStr">
        <is>
          <t>TN</t>
        </is>
      </c>
      <c r="D1260" s="7" t="inlineStr">
        <is>
          <t>TN37BX8141</t>
        </is>
      </c>
      <c r="E1260" s="7" t="inlineStr">
        <is>
          <t>MARUTI SUZUKI</t>
        </is>
      </c>
      <c r="F1260" s="7" t="inlineStr">
        <is>
          <t>Omni</t>
        </is>
      </c>
      <c r="G1260" s="7" t="inlineStr">
        <is>
          <t>EXCHANGE ROTN</t>
        </is>
      </c>
      <c r="H1260" s="7" t="inlineStr">
        <is>
          <t>Captive</t>
        </is>
      </c>
      <c r="I1260" s="7" t="inlineStr">
        <is>
          <t>Sivashankar Cars</t>
        </is>
      </c>
      <c r="J1260" s="8" t="n">
        <v>2012</v>
      </c>
      <c r="K1260" s="9" t="n">
        <v>67932</v>
      </c>
      <c r="L1260" s="10" t="n">
        <v>142000</v>
      </c>
      <c r="M1260" s="10" t="n">
        <v>8474.58</v>
      </c>
      <c r="N1260" s="11">
        <f>IF(M1260="","",ROUND(M1260*1.18,2))</f>
        <v/>
      </c>
      <c r="O1260" s="12">
        <f>IF(M1260="","",ROUND(N1260-M1260,2))</f>
        <v/>
      </c>
      <c r="P1260" s="13">
        <f>IF(AND(A1260&lt;&gt;"",B1260&lt;&gt;""), A1260&amp;" · "&amp;B1260, "")</f>
        <v/>
      </c>
    </row>
    <row r="1261">
      <c r="A1261" s="6" t="inlineStr">
        <is>
          <t>FY26</t>
        </is>
      </c>
      <c r="B1261" s="6" t="inlineStr">
        <is>
          <t>Mar</t>
        </is>
      </c>
      <c r="C1261" s="6" t="inlineStr">
        <is>
          <t>TN</t>
        </is>
      </c>
      <c r="D1261" s="7" t="inlineStr">
        <is>
          <t>TN37CT0264</t>
        </is>
      </c>
      <c r="E1261" s="7" t="inlineStr">
        <is>
          <t>MARUTI SUZUKI</t>
        </is>
      </c>
      <c r="F1261" s="7" t="inlineStr">
        <is>
          <t>Vitara Brezza</t>
        </is>
      </c>
      <c r="G1261" s="7" t="inlineStr">
        <is>
          <t>EXCHANGE ROTN</t>
        </is>
      </c>
      <c r="H1261" s="7" t="inlineStr">
        <is>
          <t>Captive</t>
        </is>
      </c>
      <c r="I1261" s="7" t="inlineStr">
        <is>
          <t>Dheera Cars</t>
        </is>
      </c>
      <c r="J1261" s="8" t="n">
        <v>2017</v>
      </c>
      <c r="K1261" s="9" t="n">
        <v>43029</v>
      </c>
      <c r="L1261" s="10" t="n">
        <v>310000</v>
      </c>
      <c r="M1261" s="10" t="n">
        <v>4237.29</v>
      </c>
      <c r="N1261" s="11">
        <f>IF(M1261="","",ROUND(M1261*1.18,2))</f>
        <v/>
      </c>
      <c r="O1261" s="12">
        <f>IF(M1261="","",ROUND(N1261-M1261,2))</f>
        <v/>
      </c>
      <c r="P1261" s="13">
        <f>IF(AND(A1261&lt;&gt;"",B1261&lt;&gt;""), A1261&amp;" · "&amp;B1261, "")</f>
        <v/>
      </c>
    </row>
    <row r="1262">
      <c r="A1262" s="6" t="inlineStr">
        <is>
          <t>FY26</t>
        </is>
      </c>
      <c r="B1262" s="6" t="inlineStr">
        <is>
          <t>Mar</t>
        </is>
      </c>
      <c r="C1262" s="6" t="inlineStr">
        <is>
          <t>TN</t>
        </is>
      </c>
      <c r="D1262" s="7" t="inlineStr">
        <is>
          <t>TN37DA8344</t>
        </is>
      </c>
      <c r="E1262" s="7" t="inlineStr">
        <is>
          <t>HYUNDAI</t>
        </is>
      </c>
      <c r="F1262" s="7" t="inlineStr">
        <is>
          <t>Creta</t>
        </is>
      </c>
      <c r="G1262" s="7" t="inlineStr">
        <is>
          <t>EXCHANGE ROTN</t>
        </is>
      </c>
      <c r="H1262" s="7" t="inlineStr">
        <is>
          <t>Captive</t>
        </is>
      </c>
      <c r="I1262" s="7" t="inlineStr">
        <is>
          <t>Ashwin cars</t>
        </is>
      </c>
      <c r="J1262" s="8" t="n">
        <v>2018</v>
      </c>
      <c r="K1262" s="9" t="n">
        <v>189266</v>
      </c>
      <c r="L1262" s="10" t="n">
        <v>360000</v>
      </c>
      <c r="M1262" s="10" t="n">
        <v>4237.29</v>
      </c>
      <c r="N1262" s="11">
        <f>IF(M1262="","",ROUND(M1262*1.18,2))</f>
        <v/>
      </c>
      <c r="O1262" s="12">
        <f>IF(M1262="","",ROUND(N1262-M1262,2))</f>
        <v/>
      </c>
      <c r="P1262" s="13">
        <f>IF(AND(A1262&lt;&gt;"",B1262&lt;&gt;""), A1262&amp;" · "&amp;B1262, "")</f>
        <v/>
      </c>
    </row>
    <row r="1263">
      <c r="A1263" s="6" t="inlineStr">
        <is>
          <t>FY26</t>
        </is>
      </c>
      <c r="B1263" s="6" t="inlineStr">
        <is>
          <t>Mar</t>
        </is>
      </c>
      <c r="C1263" s="6" t="inlineStr">
        <is>
          <t>TN</t>
        </is>
      </c>
      <c r="D1263" s="7" t="inlineStr">
        <is>
          <t>TN37DD4448</t>
        </is>
      </c>
      <c r="E1263" s="7" t="inlineStr">
        <is>
          <t>HONDA</t>
        </is>
      </c>
      <c r="F1263" s="7" t="inlineStr">
        <is>
          <t>WR-V</t>
        </is>
      </c>
      <c r="G1263" s="7" t="inlineStr">
        <is>
          <t>EXCHANGE ROTN</t>
        </is>
      </c>
      <c r="H1263" s="7" t="inlineStr">
        <is>
          <t>Captive</t>
        </is>
      </c>
      <c r="I1263" s="7" t="inlineStr">
        <is>
          <t>Sangeetha Enterprises</t>
        </is>
      </c>
      <c r="J1263" s="8" t="n">
        <v>2019</v>
      </c>
      <c r="K1263" s="9" t="n">
        <v>150740</v>
      </c>
      <c r="L1263" s="10" t="n">
        <v>230000</v>
      </c>
      <c r="M1263" s="10" t="n">
        <v>4237.29</v>
      </c>
      <c r="N1263" s="11">
        <f>IF(M1263="","",ROUND(M1263*1.18,2))</f>
        <v/>
      </c>
      <c r="O1263" s="12">
        <f>IF(M1263="","",ROUND(N1263-M1263,2))</f>
        <v/>
      </c>
      <c r="P1263" s="13">
        <f>IF(AND(A1263&lt;&gt;"",B1263&lt;&gt;""), A1263&amp;" · "&amp;B1263, "")</f>
        <v/>
      </c>
    </row>
    <row r="1264">
      <c r="A1264" s="6" t="inlineStr">
        <is>
          <t>FY26</t>
        </is>
      </c>
      <c r="B1264" s="6" t="inlineStr">
        <is>
          <t>Mar</t>
        </is>
      </c>
      <c r="C1264" s="6" t="inlineStr">
        <is>
          <t>TN</t>
        </is>
      </c>
      <c r="D1264" s="7" t="inlineStr">
        <is>
          <t>TN37DR7567</t>
        </is>
      </c>
      <c r="E1264" s="7" t="inlineStr">
        <is>
          <t>MARUTI SUZUKI</t>
        </is>
      </c>
      <c r="F1264" s="7" t="inlineStr">
        <is>
          <t>Fronx</t>
        </is>
      </c>
      <c r="G1264" s="7" t="inlineStr">
        <is>
          <t>EXCHANGE ROTN</t>
        </is>
      </c>
      <c r="H1264" s="7" t="inlineStr">
        <is>
          <t>Captive</t>
        </is>
      </c>
      <c r="I1264" s="7" t="inlineStr">
        <is>
          <t>Sai Cars</t>
        </is>
      </c>
      <c r="J1264" s="8" t="n">
        <v>2023</v>
      </c>
      <c r="K1264" s="9" t="n">
        <v>23035</v>
      </c>
      <c r="L1264" s="10" t="n">
        <v>640000</v>
      </c>
      <c r="M1264" s="10" t="n">
        <v>6779.66</v>
      </c>
      <c r="N1264" s="11">
        <f>IF(M1264="","",ROUND(M1264*1.18,2))</f>
        <v/>
      </c>
      <c r="O1264" s="12">
        <f>IF(M1264="","",ROUND(N1264-M1264,2))</f>
        <v/>
      </c>
      <c r="P1264" s="13">
        <f>IF(AND(A1264&lt;&gt;"",B1264&lt;&gt;""), A1264&amp;" · "&amp;B1264, "")</f>
        <v/>
      </c>
    </row>
    <row r="1265">
      <c r="A1265" s="6" t="inlineStr">
        <is>
          <t>FY26</t>
        </is>
      </c>
      <c r="B1265" s="6" t="inlineStr">
        <is>
          <t>Mar</t>
        </is>
      </c>
      <c r="C1265" s="6" t="inlineStr">
        <is>
          <t>TN</t>
        </is>
      </c>
      <c r="D1265" s="7" t="inlineStr">
        <is>
          <t>TN38AT8500</t>
        </is>
      </c>
      <c r="E1265" s="7" t="inlineStr">
        <is>
          <t>HONDA</t>
        </is>
      </c>
      <c r="F1265" s="7" t="inlineStr">
        <is>
          <t>City</t>
        </is>
      </c>
      <c r="G1265" s="7" t="inlineStr">
        <is>
          <t>EXCHANGE ROTN</t>
        </is>
      </c>
      <c r="H1265" s="7" t="inlineStr">
        <is>
          <t>Captive</t>
        </is>
      </c>
      <c r="I1265" s="7" t="inlineStr">
        <is>
          <t>Uzhavan Enterprise</t>
        </is>
      </c>
      <c r="J1265" s="8" t="n">
        <v>2008</v>
      </c>
      <c r="K1265" s="9" t="n">
        <v>124881</v>
      </c>
      <c r="L1265" s="10" t="n">
        <v>60000</v>
      </c>
      <c r="M1265" s="10" t="n">
        <v>4237.29</v>
      </c>
      <c r="N1265" s="11">
        <f>IF(M1265="","",ROUND(M1265*1.18,2))</f>
        <v/>
      </c>
      <c r="O1265" s="12">
        <f>IF(M1265="","",ROUND(N1265-M1265,2))</f>
        <v/>
      </c>
      <c r="P1265" s="13">
        <f>IF(AND(A1265&lt;&gt;"",B1265&lt;&gt;""), A1265&amp;" · "&amp;B1265, "")</f>
        <v/>
      </c>
    </row>
    <row r="1266">
      <c r="A1266" s="6" t="inlineStr">
        <is>
          <t>FY26</t>
        </is>
      </c>
      <c r="B1266" s="6" t="inlineStr">
        <is>
          <t>Mar</t>
        </is>
      </c>
      <c r="C1266" s="6" t="inlineStr">
        <is>
          <t>TN</t>
        </is>
      </c>
      <c r="D1266" s="7" t="inlineStr">
        <is>
          <t>TN38AZ1679</t>
        </is>
      </c>
      <c r="E1266" s="7" t="inlineStr">
        <is>
          <t>HYUNDAI</t>
        </is>
      </c>
      <c r="F1266" s="7" t="inlineStr">
        <is>
          <t>Santro</t>
        </is>
      </c>
      <c r="G1266" s="7" t="inlineStr">
        <is>
          <t>SANTHOSH CARS</t>
        </is>
      </c>
      <c r="H1266" s="7" t="inlineStr">
        <is>
          <t>Non-Captive</t>
        </is>
      </c>
      <c r="I1266" s="7" t="inlineStr">
        <is>
          <t>car Hub</t>
        </is>
      </c>
      <c r="J1266" s="8" t="n">
        <v>2009</v>
      </c>
      <c r="K1266" s="9" t="n">
        <v>211051</v>
      </c>
      <c r="L1266" s="10" t="n">
        <v>55000</v>
      </c>
      <c r="M1266" s="10" t="n">
        <v>3389.83</v>
      </c>
      <c r="N1266" s="11">
        <f>IF(M1266="","",ROUND(M1266*1.18,2))</f>
        <v/>
      </c>
      <c r="O1266" s="12">
        <f>IF(M1266="","",ROUND(N1266-M1266,2))</f>
        <v/>
      </c>
      <c r="P1266" s="13">
        <f>IF(AND(A1266&lt;&gt;"",B1266&lt;&gt;""), A1266&amp;" · "&amp;B1266, "")</f>
        <v/>
      </c>
    </row>
    <row r="1267">
      <c r="A1267" s="6" t="inlineStr">
        <is>
          <t>FY26</t>
        </is>
      </c>
      <c r="B1267" s="6" t="inlineStr">
        <is>
          <t>Mar</t>
        </is>
      </c>
      <c r="C1267" s="6" t="inlineStr">
        <is>
          <t>TN</t>
        </is>
      </c>
      <c r="D1267" s="7" t="inlineStr">
        <is>
          <t>TN38AZ8681</t>
        </is>
      </c>
      <c r="E1267" s="7" t="inlineStr">
        <is>
          <t>MARUTI SUZUKI</t>
        </is>
      </c>
      <c r="F1267" s="7" t="inlineStr">
        <is>
          <t>Dzire</t>
        </is>
      </c>
      <c r="G1267" s="7" t="inlineStr">
        <is>
          <t>EXCHANGE ROTN</t>
        </is>
      </c>
      <c r="H1267" s="7" t="inlineStr">
        <is>
          <t>Captive</t>
        </is>
      </c>
      <c r="I1267" s="7" t="inlineStr">
        <is>
          <t>Paul Cars</t>
        </is>
      </c>
      <c r="J1267" s="8" t="n">
        <v>2009</v>
      </c>
      <c r="K1267" s="9" t="n">
        <v>127971</v>
      </c>
      <c r="L1267" s="10" t="n">
        <v>180000</v>
      </c>
      <c r="M1267" s="10" t="n">
        <v>4237.29</v>
      </c>
      <c r="N1267" s="11">
        <f>IF(M1267="","",ROUND(M1267*1.18,2))</f>
        <v/>
      </c>
      <c r="O1267" s="12">
        <f>IF(M1267="","",ROUND(N1267-M1267,2))</f>
        <v/>
      </c>
      <c r="P1267" s="13">
        <f>IF(AND(A1267&lt;&gt;"",B1267&lt;&gt;""), A1267&amp;" · "&amp;B1267, "")</f>
        <v/>
      </c>
    </row>
    <row r="1268">
      <c r="A1268" s="6" t="inlineStr">
        <is>
          <t>FY26</t>
        </is>
      </c>
      <c r="B1268" s="6" t="inlineStr">
        <is>
          <t>Mar</t>
        </is>
      </c>
      <c r="C1268" s="6" t="inlineStr">
        <is>
          <t>TN</t>
        </is>
      </c>
      <c r="D1268" s="7" t="inlineStr">
        <is>
          <t>TN38BL5468</t>
        </is>
      </c>
      <c r="E1268" s="7" t="inlineStr">
        <is>
          <t>FORD</t>
        </is>
      </c>
      <c r="F1268" s="7" t="inlineStr">
        <is>
          <t>Figo</t>
        </is>
      </c>
      <c r="G1268" s="7" t="inlineStr">
        <is>
          <t>EXCHANGE ROTN</t>
        </is>
      </c>
      <c r="H1268" s="7" t="inlineStr">
        <is>
          <t>Captive</t>
        </is>
      </c>
      <c r="I1268" s="7" t="inlineStr">
        <is>
          <t>Dheera Cars</t>
        </is>
      </c>
      <c r="J1268" s="8" t="n">
        <v>2012</v>
      </c>
      <c r="K1268" s="9" t="n">
        <v>88187</v>
      </c>
      <c r="L1268" s="10" t="n">
        <v>100000</v>
      </c>
      <c r="M1268" s="10" t="n">
        <v>8474.58</v>
      </c>
      <c r="N1268" s="11">
        <f>IF(M1268="","",ROUND(M1268*1.18,2))</f>
        <v/>
      </c>
      <c r="O1268" s="12">
        <f>IF(M1268="","",ROUND(N1268-M1268,2))</f>
        <v/>
      </c>
      <c r="P1268" s="13">
        <f>IF(AND(A1268&lt;&gt;"",B1268&lt;&gt;""), A1268&amp;" · "&amp;B1268, "")</f>
        <v/>
      </c>
    </row>
    <row r="1269">
      <c r="A1269" s="6" t="inlineStr">
        <is>
          <t>FY26</t>
        </is>
      </c>
      <c r="B1269" s="6" t="inlineStr">
        <is>
          <t>Mar</t>
        </is>
      </c>
      <c r="C1269" s="6" t="inlineStr">
        <is>
          <t>TN</t>
        </is>
      </c>
      <c r="D1269" s="7" t="inlineStr">
        <is>
          <t>TN38BP1082</t>
        </is>
      </c>
      <c r="E1269" s="7" t="inlineStr">
        <is>
          <t>TOYOTA</t>
        </is>
      </c>
      <c r="F1269" s="7" t="inlineStr">
        <is>
          <t>Corolla Altis</t>
        </is>
      </c>
      <c r="G1269" s="7" t="inlineStr">
        <is>
          <t>EXCHANGE ROTN</t>
        </is>
      </c>
      <c r="H1269" s="7" t="inlineStr">
        <is>
          <t>Captive</t>
        </is>
      </c>
      <c r="I1269" s="7" t="inlineStr">
        <is>
          <t>PURUSOTHAMAN J CARS</t>
        </is>
      </c>
      <c r="J1269" s="8" t="n">
        <v>2012</v>
      </c>
      <c r="K1269" s="9" t="n">
        <v>206397</v>
      </c>
      <c r="L1269" s="10" t="n">
        <v>175000</v>
      </c>
      <c r="M1269" s="10" t="n">
        <v>4237.29</v>
      </c>
      <c r="N1269" s="11">
        <f>IF(M1269="","",ROUND(M1269*1.18,2))</f>
        <v/>
      </c>
      <c r="O1269" s="12">
        <f>IF(M1269="","",ROUND(N1269-M1269,2))</f>
        <v/>
      </c>
      <c r="P1269" s="13">
        <f>IF(AND(A1269&lt;&gt;"",B1269&lt;&gt;""), A1269&amp;" · "&amp;B1269, "")</f>
        <v/>
      </c>
    </row>
    <row r="1270">
      <c r="A1270" s="6" t="inlineStr">
        <is>
          <t>FY26</t>
        </is>
      </c>
      <c r="B1270" s="6" t="inlineStr">
        <is>
          <t>Mar</t>
        </is>
      </c>
      <c r="C1270" s="6" t="inlineStr">
        <is>
          <t>TN</t>
        </is>
      </c>
      <c r="D1270" s="7" t="inlineStr">
        <is>
          <t>TN38BR8978</t>
        </is>
      </c>
      <c r="E1270" s="7" t="inlineStr">
        <is>
          <t>MARUTI SUZUKI</t>
        </is>
      </c>
      <c r="F1270" s="7" t="inlineStr">
        <is>
          <t>Alto K10</t>
        </is>
      </c>
      <c r="G1270" s="7" t="inlineStr">
        <is>
          <t>EXCHANGE ROTN</t>
        </is>
      </c>
      <c r="H1270" s="7" t="inlineStr">
        <is>
          <t>Captive</t>
        </is>
      </c>
      <c r="I1270" s="7" t="inlineStr">
        <is>
          <t>Dheera Cars</t>
        </is>
      </c>
      <c r="J1270" s="8" t="n">
        <v>2012</v>
      </c>
      <c r="K1270" s="9" t="n">
        <v>62907</v>
      </c>
      <c r="L1270" s="10" t="n">
        <v>170000</v>
      </c>
      <c r="M1270" s="10" t="n">
        <v>8474.58</v>
      </c>
      <c r="N1270" s="11">
        <f>IF(M1270="","",ROUND(M1270*1.18,2))</f>
        <v/>
      </c>
      <c r="O1270" s="12">
        <f>IF(M1270="","",ROUND(N1270-M1270,2))</f>
        <v/>
      </c>
      <c r="P1270" s="13">
        <f>IF(AND(A1270&lt;&gt;"",B1270&lt;&gt;""), A1270&amp;" · "&amp;B1270, "")</f>
        <v/>
      </c>
    </row>
    <row r="1271">
      <c r="A1271" s="6" t="inlineStr">
        <is>
          <t>FY26</t>
        </is>
      </c>
      <c r="B1271" s="6" t="inlineStr">
        <is>
          <t>Mar</t>
        </is>
      </c>
      <c r="C1271" s="6" t="inlineStr">
        <is>
          <t>TN</t>
        </is>
      </c>
      <c r="D1271" s="7" t="inlineStr">
        <is>
          <t>TN38BT4560</t>
        </is>
      </c>
      <c r="E1271" s="7" t="inlineStr">
        <is>
          <t>MARUTI SUZUKI</t>
        </is>
      </c>
      <c r="F1271" s="7" t="inlineStr">
        <is>
          <t>Zen</t>
        </is>
      </c>
      <c r="G1271" s="7" t="inlineStr">
        <is>
          <t>EXCHANGE ROTN</t>
        </is>
      </c>
      <c r="H1271" s="7" t="inlineStr">
        <is>
          <t>Captive</t>
        </is>
      </c>
      <c r="I1271" s="7" t="inlineStr">
        <is>
          <t>Sri Murugan Cars</t>
        </is>
      </c>
      <c r="J1271" s="8" t="n">
        <v>2013</v>
      </c>
      <c r="K1271" s="9" t="n">
        <v>43291</v>
      </c>
      <c r="L1271" s="10" t="n">
        <v>182000</v>
      </c>
      <c r="M1271" s="10" t="n">
        <v>4237.29</v>
      </c>
      <c r="N1271" s="11">
        <f>IF(M1271="","",ROUND(M1271*1.18,2))</f>
        <v/>
      </c>
      <c r="O1271" s="12">
        <f>IF(M1271="","",ROUND(N1271-M1271,2))</f>
        <v/>
      </c>
      <c r="P1271" s="13">
        <f>IF(AND(A1271&lt;&gt;"",B1271&lt;&gt;""), A1271&amp;" · "&amp;B1271, "")</f>
        <v/>
      </c>
    </row>
    <row r="1272">
      <c r="A1272" s="6" t="inlineStr">
        <is>
          <t>FY26</t>
        </is>
      </c>
      <c r="B1272" s="6" t="inlineStr">
        <is>
          <t>Mar</t>
        </is>
      </c>
      <c r="C1272" s="6" t="inlineStr">
        <is>
          <t>TN</t>
        </is>
      </c>
      <c r="D1272" s="7" t="inlineStr">
        <is>
          <t>TN38BU7414</t>
        </is>
      </c>
      <c r="E1272" s="7" t="inlineStr">
        <is>
          <t>HONDA</t>
        </is>
      </c>
      <c r="F1272" s="7" t="inlineStr">
        <is>
          <t>CR-V</t>
        </is>
      </c>
      <c r="G1272" s="7" t="inlineStr">
        <is>
          <t>EXCHANGE ROTN</t>
        </is>
      </c>
      <c r="H1272" s="7" t="inlineStr">
        <is>
          <t>Captive</t>
        </is>
      </c>
      <c r="I1272" s="7" t="inlineStr">
        <is>
          <t>Dheera Cars</t>
        </is>
      </c>
      <c r="J1272" s="8" t="n">
        <v>2013</v>
      </c>
      <c r="K1272" s="9" t="n">
        <v>73344</v>
      </c>
      <c r="L1272" s="10" t="n">
        <v>535000</v>
      </c>
      <c r="M1272" s="10" t="n">
        <v>12711.86</v>
      </c>
      <c r="N1272" s="11">
        <f>IF(M1272="","",ROUND(M1272*1.18,2))</f>
        <v/>
      </c>
      <c r="O1272" s="12">
        <f>IF(M1272="","",ROUND(N1272-M1272,2))</f>
        <v/>
      </c>
      <c r="P1272" s="13">
        <f>IF(AND(A1272&lt;&gt;"",B1272&lt;&gt;""), A1272&amp;" · "&amp;B1272, "")</f>
        <v/>
      </c>
    </row>
    <row r="1273">
      <c r="A1273" s="6" t="inlineStr">
        <is>
          <t>FY26</t>
        </is>
      </c>
      <c r="B1273" s="6" t="inlineStr">
        <is>
          <t>Mar</t>
        </is>
      </c>
      <c r="C1273" s="6" t="inlineStr">
        <is>
          <t>TN</t>
        </is>
      </c>
      <c r="D1273" s="7" t="inlineStr">
        <is>
          <t>TN38BW6432</t>
        </is>
      </c>
      <c r="E1273" s="7" t="inlineStr">
        <is>
          <t>TOYOTA</t>
        </is>
      </c>
      <c r="F1273" s="7" t="inlineStr">
        <is>
          <t>Etios</t>
        </is>
      </c>
      <c r="G1273" s="7" t="inlineStr">
        <is>
          <t>EXCHANGE ROTN</t>
        </is>
      </c>
      <c r="H1273" s="7" t="inlineStr">
        <is>
          <t>Captive</t>
        </is>
      </c>
      <c r="I1273" s="7" t="inlineStr">
        <is>
          <t>Ashwin cars</t>
        </is>
      </c>
      <c r="J1273" s="8" t="n">
        <v>2014</v>
      </c>
      <c r="K1273" s="9" t="n">
        <v>113570</v>
      </c>
      <c r="L1273" s="10" t="n">
        <v>360000</v>
      </c>
      <c r="M1273" s="10" t="n">
        <v>4237.29</v>
      </c>
      <c r="N1273" s="11">
        <f>IF(M1273="","",ROUND(M1273*1.18,2))</f>
        <v/>
      </c>
      <c r="O1273" s="12">
        <f>IF(M1273="","",ROUND(N1273-M1273,2))</f>
        <v/>
      </c>
      <c r="P1273" s="13">
        <f>IF(AND(A1273&lt;&gt;"",B1273&lt;&gt;""), A1273&amp;" · "&amp;B1273, "")</f>
        <v/>
      </c>
    </row>
    <row r="1274">
      <c r="A1274" s="6" t="inlineStr">
        <is>
          <t>FY26</t>
        </is>
      </c>
      <c r="B1274" s="6" t="inlineStr">
        <is>
          <t>Mar</t>
        </is>
      </c>
      <c r="C1274" s="6" t="inlineStr">
        <is>
          <t>TN</t>
        </is>
      </c>
      <c r="D1274" s="7" t="inlineStr">
        <is>
          <t>TN38BY2345</t>
        </is>
      </c>
      <c r="E1274" s="7" t="inlineStr">
        <is>
          <t>HONDA</t>
        </is>
      </c>
      <c r="F1274" s="7" t="inlineStr">
        <is>
          <t>City</t>
        </is>
      </c>
      <c r="G1274" s="7" t="inlineStr">
        <is>
          <t>EXCHANGE ROTN</t>
        </is>
      </c>
      <c r="H1274" s="7" t="inlineStr">
        <is>
          <t>Captive</t>
        </is>
      </c>
      <c r="I1274" s="7" t="inlineStr">
        <is>
          <t>YUGA DHEERAN CARS</t>
        </is>
      </c>
      <c r="J1274" s="8" t="n">
        <v>2014</v>
      </c>
      <c r="K1274" s="9" t="n">
        <v>60955</v>
      </c>
      <c r="L1274" s="10" t="n">
        <v>550000</v>
      </c>
      <c r="M1274" s="10" t="n">
        <v>12711.86</v>
      </c>
      <c r="N1274" s="11">
        <f>IF(M1274="","",ROUND(M1274*1.18,2))</f>
        <v/>
      </c>
      <c r="O1274" s="12">
        <f>IF(M1274="","",ROUND(N1274-M1274,2))</f>
        <v/>
      </c>
      <c r="P1274" s="13">
        <f>IF(AND(A1274&lt;&gt;"",B1274&lt;&gt;""), A1274&amp;" · "&amp;B1274, "")</f>
        <v/>
      </c>
    </row>
    <row r="1275">
      <c r="A1275" s="6" t="inlineStr">
        <is>
          <t>FY26</t>
        </is>
      </c>
      <c r="B1275" s="6" t="inlineStr">
        <is>
          <t>Mar</t>
        </is>
      </c>
      <c r="C1275" s="6" t="inlineStr">
        <is>
          <t>TN</t>
        </is>
      </c>
      <c r="D1275" s="7" t="inlineStr">
        <is>
          <t>TN38BZ9369</t>
        </is>
      </c>
      <c r="E1275" s="7" t="inlineStr">
        <is>
          <t>FORD</t>
        </is>
      </c>
      <c r="F1275" s="7" t="inlineStr">
        <is>
          <t>EcoSport</t>
        </is>
      </c>
      <c r="G1275" s="7" t="inlineStr">
        <is>
          <t>EXCHANGE ROTN</t>
        </is>
      </c>
      <c r="H1275" s="7" t="inlineStr">
        <is>
          <t>Captive</t>
        </is>
      </c>
      <c r="I1275" s="7" t="inlineStr">
        <is>
          <t>Ashwin cars</t>
        </is>
      </c>
      <c r="J1275" s="8" t="n">
        <v>2015</v>
      </c>
      <c r="K1275" s="9" t="n">
        <v>176184</v>
      </c>
      <c r="L1275" s="10" t="n">
        <v>420000</v>
      </c>
      <c r="M1275" s="10" t="n">
        <v>4237.29</v>
      </c>
      <c r="N1275" s="11">
        <f>IF(M1275="","",ROUND(M1275*1.18,2))</f>
        <v/>
      </c>
      <c r="O1275" s="12">
        <f>IF(M1275="","",ROUND(N1275-M1275,2))</f>
        <v/>
      </c>
      <c r="P1275" s="13">
        <f>IF(AND(A1275&lt;&gt;"",B1275&lt;&gt;""), A1275&amp;" · "&amp;B1275, "")</f>
        <v/>
      </c>
    </row>
    <row r="1276">
      <c r="A1276" s="6" t="inlineStr">
        <is>
          <t>FY26</t>
        </is>
      </c>
      <c r="B1276" s="6" t="inlineStr">
        <is>
          <t>Mar</t>
        </is>
      </c>
      <c r="C1276" s="6" t="inlineStr">
        <is>
          <t>TN</t>
        </is>
      </c>
      <c r="D1276" s="7" t="inlineStr">
        <is>
          <t>TN38CS2907</t>
        </is>
      </c>
      <c r="E1276" s="7" t="inlineStr">
        <is>
          <t>MARUTI SUZUKI</t>
        </is>
      </c>
      <c r="F1276" s="7" t="inlineStr">
        <is>
          <t>S-Cross</t>
        </is>
      </c>
      <c r="G1276" s="7" t="inlineStr">
        <is>
          <t>EXCHANGE ROTN</t>
        </is>
      </c>
      <c r="H1276" s="7" t="inlineStr">
        <is>
          <t>Captive</t>
        </is>
      </c>
      <c r="I1276" s="7" t="inlineStr">
        <is>
          <t>Sarvesh Cars</t>
        </is>
      </c>
      <c r="J1276" s="8" t="n">
        <v>2018</v>
      </c>
      <c r="K1276" s="9" t="n">
        <v>56144</v>
      </c>
      <c r="L1276" s="10" t="n">
        <v>650000</v>
      </c>
      <c r="M1276" s="10" t="n">
        <v>4237.29</v>
      </c>
      <c r="N1276" s="11">
        <f>IF(M1276="","",ROUND(M1276*1.18,2))</f>
        <v/>
      </c>
      <c r="O1276" s="12">
        <f>IF(M1276="","",ROUND(N1276-M1276,2))</f>
        <v/>
      </c>
      <c r="P1276" s="13">
        <f>IF(AND(A1276&lt;&gt;"",B1276&lt;&gt;""), A1276&amp;" · "&amp;B1276, "")</f>
        <v/>
      </c>
    </row>
    <row r="1277">
      <c r="A1277" s="6" t="inlineStr">
        <is>
          <t>FY26</t>
        </is>
      </c>
      <c r="B1277" s="6" t="inlineStr">
        <is>
          <t>Mar</t>
        </is>
      </c>
      <c r="C1277" s="6" t="inlineStr">
        <is>
          <t>TN</t>
        </is>
      </c>
      <c r="D1277" s="7" t="inlineStr">
        <is>
          <t>TN38DF2431</t>
        </is>
      </c>
      <c r="E1277" s="7" t="inlineStr">
        <is>
          <t>HYUNDAI</t>
        </is>
      </c>
      <c r="F1277" s="7" t="inlineStr">
        <is>
          <t>Venue</t>
        </is>
      </c>
      <c r="G1277" s="7" t="inlineStr">
        <is>
          <t>EXCHANGE ROTN</t>
        </is>
      </c>
      <c r="H1277" s="7" t="inlineStr">
        <is>
          <t>Captive</t>
        </is>
      </c>
      <c r="I1277" s="7" t="inlineStr">
        <is>
          <t>Sarvesh Cars</t>
        </is>
      </c>
      <c r="J1277" s="8" t="n">
        <v>2023</v>
      </c>
      <c r="K1277" s="9" t="n">
        <v>40007</v>
      </c>
      <c r="L1277" s="10" t="n">
        <v>860000</v>
      </c>
      <c r="M1277" s="10" t="n">
        <v>4237.29</v>
      </c>
      <c r="N1277" s="11">
        <f>IF(M1277="","",ROUND(M1277*1.18,2))</f>
        <v/>
      </c>
      <c r="O1277" s="12">
        <f>IF(M1277="","",ROUND(N1277-M1277,2))</f>
        <v/>
      </c>
      <c r="P1277" s="13">
        <f>IF(AND(A1277&lt;&gt;"",B1277&lt;&gt;""), A1277&amp;" · "&amp;B1277, "")</f>
        <v/>
      </c>
    </row>
    <row r="1278">
      <c r="A1278" s="6" t="inlineStr">
        <is>
          <t>FY26</t>
        </is>
      </c>
      <c r="B1278" s="6" t="inlineStr">
        <is>
          <t>Mar</t>
        </is>
      </c>
      <c r="C1278" s="6" t="inlineStr">
        <is>
          <t>TN</t>
        </is>
      </c>
      <c r="D1278" s="7" t="inlineStr">
        <is>
          <t>TN39BK7835</t>
        </is>
      </c>
      <c r="E1278" s="7" t="inlineStr">
        <is>
          <t>SKODA</t>
        </is>
      </c>
      <c r="F1278" s="7" t="inlineStr">
        <is>
          <t>Rapid</t>
        </is>
      </c>
      <c r="G1278" s="7" t="inlineStr">
        <is>
          <t>EXCHANGE ROTN</t>
        </is>
      </c>
      <c r="H1278" s="7" t="inlineStr">
        <is>
          <t>Captive</t>
        </is>
      </c>
      <c r="I1278" s="7" t="inlineStr">
        <is>
          <t>Senthur Finance</t>
        </is>
      </c>
      <c r="J1278" s="8" t="n">
        <v>2013</v>
      </c>
      <c r="K1278" s="9" t="n">
        <v>160178</v>
      </c>
      <c r="L1278" s="10" t="n">
        <v>195000</v>
      </c>
      <c r="M1278" s="10" t="n">
        <v>4237.29</v>
      </c>
      <c r="N1278" s="11">
        <f>IF(M1278="","",ROUND(M1278*1.18,2))</f>
        <v/>
      </c>
      <c r="O1278" s="12">
        <f>IF(M1278="","",ROUND(N1278-M1278,2))</f>
        <v/>
      </c>
      <c r="P1278" s="13">
        <f>IF(AND(A1278&lt;&gt;"",B1278&lt;&gt;""), A1278&amp;" · "&amp;B1278, "")</f>
        <v/>
      </c>
    </row>
    <row r="1279">
      <c r="A1279" s="6" t="inlineStr">
        <is>
          <t>FY26</t>
        </is>
      </c>
      <c r="B1279" s="6" t="inlineStr">
        <is>
          <t>Mar</t>
        </is>
      </c>
      <c r="C1279" s="6" t="inlineStr">
        <is>
          <t>TN</t>
        </is>
      </c>
      <c r="D1279" s="7" t="inlineStr">
        <is>
          <t>TN39DU5365</t>
        </is>
      </c>
      <c r="E1279" s="7" t="inlineStr">
        <is>
          <t>MARUTI SUZUKI</t>
        </is>
      </c>
      <c r="F1279" s="7" t="inlineStr">
        <is>
          <t>Alto K10</t>
        </is>
      </c>
      <c r="G1279" s="7" t="inlineStr">
        <is>
          <t>KHIVRAJ MOTOR</t>
        </is>
      </c>
      <c r="H1279" s="7" t="inlineStr">
        <is>
          <t>Non-Captive</t>
        </is>
      </c>
      <c r="I1279" s="7" t="inlineStr">
        <is>
          <t>Yes Cars</t>
        </is>
      </c>
      <c r="J1279" s="8" t="n">
        <v>2025</v>
      </c>
      <c r="K1279" s="9" t="n">
        <v>9834</v>
      </c>
      <c r="L1279" s="10" t="n">
        <v>285000</v>
      </c>
      <c r="M1279" s="10" t="n">
        <v>2118.64</v>
      </c>
      <c r="N1279" s="11">
        <f>IF(M1279="","",ROUND(M1279*1.18,2))</f>
        <v/>
      </c>
      <c r="O1279" s="12">
        <f>IF(M1279="","",ROUND(N1279-M1279,2))</f>
        <v/>
      </c>
      <c r="P1279" s="13">
        <f>IF(AND(A1279&lt;&gt;"",B1279&lt;&gt;""), A1279&amp;" · "&amp;B1279, "")</f>
        <v/>
      </c>
    </row>
    <row r="1280">
      <c r="A1280" s="6" t="inlineStr">
        <is>
          <t>FY26</t>
        </is>
      </c>
      <c r="B1280" s="6" t="inlineStr">
        <is>
          <t>Mar</t>
        </is>
      </c>
      <c r="C1280" s="6" t="inlineStr">
        <is>
          <t>TN</t>
        </is>
      </c>
      <c r="D1280" s="7" t="inlineStr">
        <is>
          <t>TN41AT9603</t>
        </is>
      </c>
      <c r="E1280" s="7" t="inlineStr">
        <is>
          <t>HONDA</t>
        </is>
      </c>
      <c r="F1280" s="7" t="inlineStr">
        <is>
          <t>Jazz</t>
        </is>
      </c>
      <c r="G1280" s="7" t="inlineStr">
        <is>
          <t>EXCHANGE ROTN</t>
        </is>
      </c>
      <c r="H1280" s="7" t="inlineStr">
        <is>
          <t>Captive</t>
        </is>
      </c>
      <c r="I1280" s="7" t="inlineStr">
        <is>
          <t>Gugha Cars</t>
        </is>
      </c>
      <c r="J1280" s="8" t="n">
        <v>2018</v>
      </c>
      <c r="K1280" s="9" t="n">
        <v>200233</v>
      </c>
      <c r="L1280" s="10" t="n">
        <v>305000</v>
      </c>
      <c r="M1280" s="10" t="n">
        <v>4237.29</v>
      </c>
      <c r="N1280" s="11">
        <f>IF(M1280="","",ROUND(M1280*1.18,2))</f>
        <v/>
      </c>
      <c r="O1280" s="12">
        <f>IF(M1280="","",ROUND(N1280-M1280,2))</f>
        <v/>
      </c>
      <c r="P1280" s="13">
        <f>IF(AND(A1280&lt;&gt;"",B1280&lt;&gt;""), A1280&amp;" · "&amp;B1280, "")</f>
        <v/>
      </c>
    </row>
    <row r="1281">
      <c r="A1281" s="6" t="inlineStr">
        <is>
          <t>FY26</t>
        </is>
      </c>
      <c r="B1281" s="6" t="inlineStr">
        <is>
          <t>Mar</t>
        </is>
      </c>
      <c r="C1281" s="6" t="inlineStr">
        <is>
          <t>TN</t>
        </is>
      </c>
      <c r="D1281" s="7" t="inlineStr">
        <is>
          <t>TN41T3223</t>
        </is>
      </c>
      <c r="E1281" s="7" t="inlineStr">
        <is>
          <t>MARUTI SUZUKI</t>
        </is>
      </c>
      <c r="F1281" s="7" t="inlineStr">
        <is>
          <t>Dzire</t>
        </is>
      </c>
      <c r="G1281" s="7" t="inlineStr">
        <is>
          <t>EXCHANGE ROTN</t>
        </is>
      </c>
      <c r="H1281" s="7" t="inlineStr">
        <is>
          <t>Captive</t>
        </is>
      </c>
      <c r="I1281" s="7" t="inlineStr">
        <is>
          <t>PURUSOTHAMAN J CARS</t>
        </is>
      </c>
      <c r="J1281" s="8" t="n">
        <v>2009</v>
      </c>
      <c r="K1281" s="9" t="n">
        <v>365393</v>
      </c>
      <c r="L1281" s="10" t="n">
        <v>275000</v>
      </c>
      <c r="M1281" s="10" t="n">
        <v>4237.29</v>
      </c>
      <c r="N1281" s="11">
        <f>IF(M1281="","",ROUND(M1281*1.18,2))</f>
        <v/>
      </c>
      <c r="O1281" s="12">
        <f>IF(M1281="","",ROUND(N1281-M1281,2))</f>
        <v/>
      </c>
      <c r="P1281" s="13">
        <f>IF(AND(A1281&lt;&gt;"",B1281&lt;&gt;""), A1281&amp;" · "&amp;B1281, "")</f>
        <v/>
      </c>
    </row>
    <row r="1282">
      <c r="A1282" s="6" t="inlineStr">
        <is>
          <t>FY26</t>
        </is>
      </c>
      <c r="B1282" s="6" t="inlineStr">
        <is>
          <t>Mar</t>
        </is>
      </c>
      <c r="C1282" s="6" t="inlineStr">
        <is>
          <t>TN</t>
        </is>
      </c>
      <c r="D1282" s="7" t="inlineStr">
        <is>
          <t>TN42J0488</t>
        </is>
      </c>
      <c r="E1282" s="7" t="inlineStr">
        <is>
          <t>HYUNDAI</t>
        </is>
      </c>
      <c r="F1282" s="7" t="inlineStr">
        <is>
          <t>Grand i10</t>
        </is>
      </c>
      <c r="G1282" s="7" t="inlineStr">
        <is>
          <t>EXCHANGE ROTN</t>
        </is>
      </c>
      <c r="H1282" s="7" t="inlineStr">
        <is>
          <t>Captive</t>
        </is>
      </c>
      <c r="I1282" s="7" t="inlineStr">
        <is>
          <t>Paul Cars</t>
        </is>
      </c>
      <c r="J1282" s="8" t="n">
        <v>2013</v>
      </c>
      <c r="K1282" s="9" t="n">
        <v>73862</v>
      </c>
      <c r="L1282" s="10" t="n">
        <v>230000</v>
      </c>
      <c r="M1282" s="10" t="n">
        <v>4237.29</v>
      </c>
      <c r="N1282" s="11">
        <f>IF(M1282="","",ROUND(M1282*1.18,2))</f>
        <v/>
      </c>
      <c r="O1282" s="12">
        <f>IF(M1282="","",ROUND(N1282-M1282,2))</f>
        <v/>
      </c>
      <c r="P1282" s="13">
        <f>IF(AND(A1282&lt;&gt;"",B1282&lt;&gt;""), A1282&amp;" · "&amp;B1282, "")</f>
        <v/>
      </c>
    </row>
    <row r="1283">
      <c r="A1283" s="6" t="inlineStr">
        <is>
          <t>FY26</t>
        </is>
      </c>
      <c r="B1283" s="6" t="inlineStr">
        <is>
          <t>Mar</t>
        </is>
      </c>
      <c r="C1283" s="6" t="inlineStr">
        <is>
          <t>TN</t>
        </is>
      </c>
      <c r="D1283" s="7" t="inlineStr">
        <is>
          <t>TN42J5142</t>
        </is>
      </c>
      <c r="E1283" s="7" t="inlineStr">
        <is>
          <t>HONDA</t>
        </is>
      </c>
      <c r="F1283" s="7" t="inlineStr">
        <is>
          <t>Amaze</t>
        </is>
      </c>
      <c r="G1283" s="7" t="inlineStr">
        <is>
          <t>EXCHANGE ROTN</t>
        </is>
      </c>
      <c r="H1283" s="7" t="inlineStr">
        <is>
          <t>Captive</t>
        </is>
      </c>
      <c r="I1283" s="7" t="inlineStr">
        <is>
          <t>Sai Cars</t>
        </is>
      </c>
      <c r="J1283" s="8" t="n">
        <v>2013</v>
      </c>
      <c r="K1283" s="9" t="n">
        <v>92831</v>
      </c>
      <c r="L1283" s="10" t="n">
        <v>320000</v>
      </c>
      <c r="M1283" s="10" t="n">
        <v>5932.2</v>
      </c>
      <c r="N1283" s="11">
        <f>IF(M1283="","",ROUND(M1283*1.18,2))</f>
        <v/>
      </c>
      <c r="O1283" s="12">
        <f>IF(M1283="","",ROUND(N1283-M1283,2))</f>
        <v/>
      </c>
      <c r="P1283" s="13">
        <f>IF(AND(A1283&lt;&gt;"",B1283&lt;&gt;""), A1283&amp;" · "&amp;B1283, "")</f>
        <v/>
      </c>
    </row>
    <row r="1284">
      <c r="A1284" s="6" t="inlineStr">
        <is>
          <t>FY26</t>
        </is>
      </c>
      <c r="B1284" s="6" t="inlineStr">
        <is>
          <t>Mar</t>
        </is>
      </c>
      <c r="C1284" s="6" t="inlineStr">
        <is>
          <t>TN</t>
        </is>
      </c>
      <c r="D1284" s="7" t="inlineStr">
        <is>
          <t>TN43H6853</t>
        </is>
      </c>
      <c r="E1284" s="7" t="inlineStr">
        <is>
          <t>MARUTI SUZUKI</t>
        </is>
      </c>
      <c r="F1284" s="7" t="inlineStr">
        <is>
          <t>Omni</t>
        </is>
      </c>
      <c r="G1284" s="7" t="inlineStr">
        <is>
          <t>EXCHANGE ROTN</t>
        </is>
      </c>
      <c r="H1284" s="7" t="inlineStr">
        <is>
          <t>Captive</t>
        </is>
      </c>
      <c r="I1284" s="7" t="inlineStr">
        <is>
          <t>Sri Murugan Cars</t>
        </is>
      </c>
      <c r="J1284" s="8" t="n">
        <v>2017</v>
      </c>
      <c r="K1284" s="9" t="n">
        <v>87411</v>
      </c>
      <c r="L1284" s="10" t="n">
        <v>100000</v>
      </c>
      <c r="M1284" s="10" t="n">
        <v>4237.29</v>
      </c>
      <c r="N1284" s="11">
        <f>IF(M1284="","",ROUND(M1284*1.18,2))</f>
        <v/>
      </c>
      <c r="O1284" s="12">
        <f>IF(M1284="","",ROUND(N1284-M1284,2))</f>
        <v/>
      </c>
      <c r="P1284" s="13">
        <f>IF(AND(A1284&lt;&gt;"",B1284&lt;&gt;""), A1284&amp;" · "&amp;B1284, "")</f>
        <v/>
      </c>
    </row>
    <row r="1285">
      <c r="A1285" s="6" t="inlineStr">
        <is>
          <t>FY26</t>
        </is>
      </c>
      <c r="B1285" s="6" t="inlineStr">
        <is>
          <t>Mar</t>
        </is>
      </c>
      <c r="C1285" s="6" t="inlineStr">
        <is>
          <t>TN</t>
        </is>
      </c>
      <c r="D1285" s="7" t="inlineStr">
        <is>
          <t>TN43P0178</t>
        </is>
      </c>
      <c r="E1285" s="7" t="inlineStr">
        <is>
          <t>MARUTI SUZUKI</t>
        </is>
      </c>
      <c r="F1285" s="7" t="inlineStr">
        <is>
          <t>Alto K10</t>
        </is>
      </c>
      <c r="G1285" s="7" t="inlineStr">
        <is>
          <t>EXCHANGE ROTN</t>
        </is>
      </c>
      <c r="H1285" s="7" t="inlineStr">
        <is>
          <t>Captive</t>
        </is>
      </c>
      <c r="I1285" s="7" t="inlineStr">
        <is>
          <t>Paul Cars</t>
        </is>
      </c>
      <c r="J1285" s="8" t="n">
        <v>2022</v>
      </c>
      <c r="K1285" s="9" t="n">
        <v>37718</v>
      </c>
      <c r="L1285" s="10" t="n">
        <v>190000</v>
      </c>
      <c r="M1285" s="10" t="n">
        <v>4237.29</v>
      </c>
      <c r="N1285" s="11">
        <f>IF(M1285="","",ROUND(M1285*1.18,2))</f>
        <v/>
      </c>
      <c r="O1285" s="12">
        <f>IF(M1285="","",ROUND(N1285-M1285,2))</f>
        <v/>
      </c>
      <c r="P1285" s="13">
        <f>IF(AND(A1285&lt;&gt;"",B1285&lt;&gt;""), A1285&amp;" · "&amp;B1285, "")</f>
        <v/>
      </c>
    </row>
    <row r="1286">
      <c r="A1286" s="6" t="inlineStr">
        <is>
          <t>FY26</t>
        </is>
      </c>
      <c r="B1286" s="6" t="inlineStr">
        <is>
          <t>Mar</t>
        </is>
      </c>
      <c r="C1286" s="6" t="inlineStr">
        <is>
          <t>TN</t>
        </is>
      </c>
      <c r="D1286" s="7" t="inlineStr">
        <is>
          <t>TN45BL4986</t>
        </is>
      </c>
      <c r="E1286" s="7" t="inlineStr">
        <is>
          <t>MARUTI SUZUKI</t>
        </is>
      </c>
      <c r="F1286" s="7" t="inlineStr">
        <is>
          <t>Celerio</t>
        </is>
      </c>
      <c r="G1286" s="7" t="inlineStr">
        <is>
          <t>EXCHANGE CHENNAI</t>
        </is>
      </c>
      <c r="H1286" s="7" t="inlineStr">
        <is>
          <t>Captive</t>
        </is>
      </c>
      <c r="I1286" s="7" t="inlineStr">
        <is>
          <t>Nirmal Cars</t>
        </is>
      </c>
      <c r="J1286" s="8" t="n">
        <v>2017</v>
      </c>
      <c r="K1286" s="9" t="n">
        <v>213023</v>
      </c>
      <c r="L1286" s="10" t="n">
        <v>215000</v>
      </c>
      <c r="M1286" s="10" t="n">
        <v>5932.2</v>
      </c>
      <c r="N1286" s="11">
        <f>IF(M1286="","",ROUND(M1286*1.18,2))</f>
        <v/>
      </c>
      <c r="O1286" s="12">
        <f>IF(M1286="","",ROUND(N1286-M1286,2))</f>
        <v/>
      </c>
      <c r="P1286" s="13">
        <f>IF(AND(A1286&lt;&gt;"",B1286&lt;&gt;""), A1286&amp;" · "&amp;B1286, "")</f>
        <v/>
      </c>
    </row>
    <row r="1287">
      <c r="A1287" s="6" t="inlineStr">
        <is>
          <t>FY26</t>
        </is>
      </c>
      <c r="B1287" s="6" t="inlineStr">
        <is>
          <t>Mar</t>
        </is>
      </c>
      <c r="C1287" s="6" t="inlineStr">
        <is>
          <t>TN</t>
        </is>
      </c>
      <c r="D1287" s="7" t="inlineStr">
        <is>
          <t>TN45BY9383</t>
        </is>
      </c>
      <c r="E1287" s="7" t="inlineStr">
        <is>
          <t>MARUTI SUZUKI</t>
        </is>
      </c>
      <c r="F1287" s="7" t="inlineStr">
        <is>
          <t>Wagon R</t>
        </is>
      </c>
      <c r="G1287" s="7" t="inlineStr">
        <is>
          <t>KHIVRAJ MOTOR</t>
        </is>
      </c>
      <c r="H1287" s="7" t="inlineStr">
        <is>
          <t>Non-Captive</t>
        </is>
      </c>
      <c r="I1287" s="7" t="inlineStr">
        <is>
          <t>Sri Shakthi Vinayaga Cars</t>
        </is>
      </c>
      <c r="J1287" s="8" t="n">
        <v>2013</v>
      </c>
      <c r="K1287" s="9" t="n">
        <v>76651</v>
      </c>
      <c r="L1287" s="10" t="n">
        <v>240000</v>
      </c>
      <c r="M1287" s="10" t="n">
        <v>2118.64</v>
      </c>
      <c r="N1287" s="11">
        <f>IF(M1287="","",ROUND(M1287*1.18,2))</f>
        <v/>
      </c>
      <c r="O1287" s="12">
        <f>IF(M1287="","",ROUND(N1287-M1287,2))</f>
        <v/>
      </c>
      <c r="P1287" s="13">
        <f>IF(AND(A1287&lt;&gt;"",B1287&lt;&gt;""), A1287&amp;" · "&amp;B1287, "")</f>
        <v/>
      </c>
    </row>
    <row r="1288">
      <c r="A1288" s="6" t="inlineStr">
        <is>
          <t>FY26</t>
        </is>
      </c>
      <c r="B1288" s="6" t="inlineStr">
        <is>
          <t>Mar</t>
        </is>
      </c>
      <c r="C1288" s="6" t="inlineStr">
        <is>
          <t>TN</t>
        </is>
      </c>
      <c r="D1288" s="7" t="inlineStr">
        <is>
          <t>TN49AH6007</t>
        </is>
      </c>
      <c r="E1288" s="7" t="inlineStr">
        <is>
          <t>MAHINDRA</t>
        </is>
      </c>
      <c r="F1288" s="7" t="inlineStr">
        <is>
          <t>Bolero</t>
        </is>
      </c>
      <c r="G1288" s="7" t="inlineStr">
        <is>
          <t>EXCHANGE ROTN</t>
        </is>
      </c>
      <c r="H1288" s="7" t="inlineStr">
        <is>
          <t>Captive</t>
        </is>
      </c>
      <c r="I1288" s="7" t="inlineStr">
        <is>
          <t>Uzhavan Enterprise</t>
        </is>
      </c>
      <c r="J1288" s="8" t="n">
        <v>2011</v>
      </c>
      <c r="K1288" s="9" t="n">
        <v>39944</v>
      </c>
      <c r="L1288" s="10" t="n">
        <v>270000</v>
      </c>
      <c r="M1288" s="10" t="n">
        <v>8474.58</v>
      </c>
      <c r="N1288" s="11">
        <f>IF(M1288="","",ROUND(M1288*1.18,2))</f>
        <v/>
      </c>
      <c r="O1288" s="12">
        <f>IF(M1288="","",ROUND(N1288-M1288,2))</f>
        <v/>
      </c>
      <c r="P1288" s="13">
        <f>IF(AND(A1288&lt;&gt;"",B1288&lt;&gt;""), A1288&amp;" · "&amp;B1288, "")</f>
        <v/>
      </c>
    </row>
    <row r="1289">
      <c r="A1289" s="6" t="inlineStr">
        <is>
          <t>FY26</t>
        </is>
      </c>
      <c r="B1289" s="6" t="inlineStr">
        <is>
          <t>Mar</t>
        </is>
      </c>
      <c r="C1289" s="6" t="inlineStr">
        <is>
          <t>TN</t>
        </is>
      </c>
      <c r="D1289" s="7" t="inlineStr">
        <is>
          <t>TN54U7083</t>
        </is>
      </c>
      <c r="E1289" s="7" t="inlineStr">
        <is>
          <t>MARUTI SUZUKI</t>
        </is>
      </c>
      <c r="F1289" s="7" t="inlineStr">
        <is>
          <t>Eeco</t>
        </is>
      </c>
      <c r="G1289" s="7" t="inlineStr">
        <is>
          <t>EXCHANGE ROTN</t>
        </is>
      </c>
      <c r="H1289" s="7" t="inlineStr">
        <is>
          <t>Captive</t>
        </is>
      </c>
      <c r="I1289" s="7" t="inlineStr">
        <is>
          <t>Sri Lakshmi Cars</t>
        </is>
      </c>
      <c r="J1289" s="8" t="n">
        <v>2021</v>
      </c>
      <c r="K1289" s="9" t="n">
        <v>73679</v>
      </c>
      <c r="L1289" s="10" t="n">
        <v>178000</v>
      </c>
      <c r="M1289" s="10" t="n">
        <v>4237.29</v>
      </c>
      <c r="N1289" s="11">
        <f>IF(M1289="","",ROUND(M1289*1.18,2))</f>
        <v/>
      </c>
      <c r="O1289" s="12">
        <f>IF(M1289="","",ROUND(N1289-M1289,2))</f>
        <v/>
      </c>
      <c r="P1289" s="13">
        <f>IF(AND(A1289&lt;&gt;"",B1289&lt;&gt;""), A1289&amp;" · "&amp;B1289, "")</f>
        <v/>
      </c>
    </row>
    <row r="1290">
      <c r="A1290" s="6" t="inlineStr">
        <is>
          <t>FY26</t>
        </is>
      </c>
      <c r="B1290" s="6" t="inlineStr">
        <is>
          <t>Mar</t>
        </is>
      </c>
      <c r="C1290" s="6" t="inlineStr">
        <is>
          <t>TN</t>
        </is>
      </c>
      <c r="D1290" s="7" t="inlineStr">
        <is>
          <t>TN55AM8479</t>
        </is>
      </c>
      <c r="E1290" s="7" t="inlineStr">
        <is>
          <t>MARUTI SUZUKI</t>
        </is>
      </c>
      <c r="F1290" s="7" t="inlineStr">
        <is>
          <t>Ertiga</t>
        </is>
      </c>
      <c r="G1290" s="7" t="inlineStr">
        <is>
          <t>KHIVRAJ MOTOR</t>
        </is>
      </c>
      <c r="H1290" s="7" t="inlineStr">
        <is>
          <t>Non-Captive</t>
        </is>
      </c>
      <c r="I1290" s="7" t="inlineStr">
        <is>
          <t>Popular Thrissur</t>
        </is>
      </c>
      <c r="J1290" s="8" t="n">
        <v>2015</v>
      </c>
      <c r="K1290" s="9" t="n">
        <v>125468</v>
      </c>
      <c r="L1290" s="10" t="n">
        <v>580000</v>
      </c>
      <c r="M1290" s="10" t="n">
        <v>5932.2</v>
      </c>
      <c r="N1290" s="11">
        <f>IF(M1290="","",ROUND(M1290*1.18,2))</f>
        <v/>
      </c>
      <c r="O1290" s="12">
        <f>IF(M1290="","",ROUND(N1290-M1290,2))</f>
        <v/>
      </c>
      <c r="P1290" s="13">
        <f>IF(AND(A1290&lt;&gt;"",B1290&lt;&gt;""), A1290&amp;" · "&amp;B1290, "")</f>
        <v/>
      </c>
    </row>
    <row r="1291">
      <c r="A1291" s="6" t="inlineStr">
        <is>
          <t>FY26</t>
        </is>
      </c>
      <c r="B1291" s="6" t="inlineStr">
        <is>
          <t>Mar</t>
        </is>
      </c>
      <c r="C1291" s="6" t="inlineStr">
        <is>
          <t>TN</t>
        </is>
      </c>
      <c r="D1291" s="7" t="inlineStr">
        <is>
          <t>TN57BM6422</t>
        </is>
      </c>
      <c r="E1291" s="7" t="inlineStr">
        <is>
          <t>MARUTI SUZUKI</t>
        </is>
      </c>
      <c r="F1291" s="7" t="inlineStr">
        <is>
          <t>Wagon R</t>
        </is>
      </c>
      <c r="G1291" s="7" t="inlineStr">
        <is>
          <t>EXCHANGE ROTN</t>
        </is>
      </c>
      <c r="H1291" s="7" t="inlineStr">
        <is>
          <t>Captive</t>
        </is>
      </c>
      <c r="I1291" s="7" t="inlineStr">
        <is>
          <t>Value Cars</t>
        </is>
      </c>
      <c r="J1291" s="8" t="n">
        <v>2021</v>
      </c>
      <c r="K1291" s="9" t="n"/>
      <c r="L1291" s="10" t="n">
        <v>430000</v>
      </c>
      <c r="M1291" s="10" t="n">
        <v>12711.86</v>
      </c>
      <c r="N1291" s="11">
        <f>IF(M1291="","",ROUND(M1291*1.18,2))</f>
        <v/>
      </c>
      <c r="O1291" s="12">
        <f>IF(M1291="","",ROUND(N1291-M1291,2))</f>
        <v/>
      </c>
      <c r="P1291" s="13">
        <f>IF(AND(A1291&lt;&gt;"",B1291&lt;&gt;""), A1291&amp;" · "&amp;B1291, "")</f>
        <v/>
      </c>
    </row>
    <row r="1292">
      <c r="A1292" s="6" t="inlineStr">
        <is>
          <t>FY26</t>
        </is>
      </c>
      <c r="B1292" s="6" t="inlineStr">
        <is>
          <t>Mar</t>
        </is>
      </c>
      <c r="C1292" s="6" t="inlineStr">
        <is>
          <t>TN</t>
        </is>
      </c>
      <c r="D1292" s="7" t="inlineStr">
        <is>
          <t>TN58AM0651</t>
        </is>
      </c>
      <c r="E1292" s="7" t="inlineStr">
        <is>
          <t>HONDA</t>
        </is>
      </c>
      <c r="F1292" s="7" t="inlineStr">
        <is>
          <t>Amaze</t>
        </is>
      </c>
      <c r="G1292" s="7" t="inlineStr">
        <is>
          <t>EXCHANGE ROTN</t>
        </is>
      </c>
      <c r="H1292" s="7" t="inlineStr">
        <is>
          <t>Captive</t>
        </is>
      </c>
      <c r="I1292" s="7" t="inlineStr">
        <is>
          <t>Sun Cars</t>
        </is>
      </c>
      <c r="J1292" s="8" t="n">
        <v>2016</v>
      </c>
      <c r="K1292" s="9" t="n">
        <v>23484</v>
      </c>
      <c r="L1292" s="10" t="n">
        <v>400000</v>
      </c>
      <c r="M1292" s="10" t="n">
        <v>12711.86</v>
      </c>
      <c r="N1292" s="11">
        <f>IF(M1292="","",ROUND(M1292*1.18,2))</f>
        <v/>
      </c>
      <c r="O1292" s="12">
        <f>IF(M1292="","",ROUND(N1292-M1292,2))</f>
        <v/>
      </c>
      <c r="P1292" s="13">
        <f>IF(AND(A1292&lt;&gt;"",B1292&lt;&gt;""), A1292&amp;" · "&amp;B1292, "")</f>
        <v/>
      </c>
    </row>
    <row r="1293">
      <c r="A1293" s="6" t="inlineStr">
        <is>
          <t>FY26</t>
        </is>
      </c>
      <c r="B1293" s="6" t="inlineStr">
        <is>
          <t>Mar</t>
        </is>
      </c>
      <c r="C1293" s="6" t="inlineStr">
        <is>
          <t>TN</t>
        </is>
      </c>
      <c r="D1293" s="7" t="inlineStr">
        <is>
          <t>TN58AQ9983</t>
        </is>
      </c>
      <c r="E1293" s="7" t="inlineStr">
        <is>
          <t>HYUNDAI</t>
        </is>
      </c>
      <c r="F1293" s="7" t="inlineStr">
        <is>
          <t>i20</t>
        </is>
      </c>
      <c r="G1293" s="7" t="inlineStr">
        <is>
          <t>EXCHANGE ROTN</t>
        </is>
      </c>
      <c r="H1293" s="7" t="inlineStr">
        <is>
          <t>Captive</t>
        </is>
      </c>
      <c r="I1293" s="7" t="inlineStr">
        <is>
          <t>Dheera Cars</t>
        </is>
      </c>
      <c r="J1293" s="8" t="n">
        <v>2017</v>
      </c>
      <c r="K1293" s="9" t="n">
        <v>83797</v>
      </c>
      <c r="L1293" s="10" t="n">
        <v>215000</v>
      </c>
      <c r="M1293" s="10" t="n">
        <v>4237.29</v>
      </c>
      <c r="N1293" s="11">
        <f>IF(M1293="","",ROUND(M1293*1.18,2))</f>
        <v/>
      </c>
      <c r="O1293" s="12">
        <f>IF(M1293="","",ROUND(N1293-M1293,2))</f>
        <v/>
      </c>
      <c r="P1293" s="13">
        <f>IF(AND(A1293&lt;&gt;"",B1293&lt;&gt;""), A1293&amp;" · "&amp;B1293, "")</f>
        <v/>
      </c>
    </row>
    <row r="1294">
      <c r="A1294" s="6" t="inlineStr">
        <is>
          <t>FY26</t>
        </is>
      </c>
      <c r="B1294" s="6" t="inlineStr">
        <is>
          <t>Mar</t>
        </is>
      </c>
      <c r="C1294" s="6" t="inlineStr">
        <is>
          <t>TN</t>
        </is>
      </c>
      <c r="D1294" s="7" t="inlineStr">
        <is>
          <t>TN58AT8997</t>
        </is>
      </c>
      <c r="E1294" s="7" t="inlineStr">
        <is>
          <t>HYUNDAI</t>
        </is>
      </c>
      <c r="F1294" s="7" t="inlineStr">
        <is>
          <t>i20</t>
        </is>
      </c>
      <c r="G1294" s="7" t="inlineStr">
        <is>
          <t>EXCHANGE ROTN</t>
        </is>
      </c>
      <c r="H1294" s="7" t="inlineStr">
        <is>
          <t>Captive</t>
        </is>
      </c>
      <c r="I1294" s="7" t="inlineStr">
        <is>
          <t>Value Cars</t>
        </is>
      </c>
      <c r="J1294" s="8" t="n">
        <v>2018</v>
      </c>
      <c r="K1294" s="9" t="n">
        <v>150787</v>
      </c>
      <c r="L1294" s="10" t="n">
        <v>345000</v>
      </c>
      <c r="M1294" s="10" t="n">
        <v>8474.58</v>
      </c>
      <c r="N1294" s="11">
        <f>IF(M1294="","",ROUND(M1294*1.18,2))</f>
        <v/>
      </c>
      <c r="O1294" s="12">
        <f>IF(M1294="","",ROUND(N1294-M1294,2))</f>
        <v/>
      </c>
      <c r="P1294" s="13">
        <f>IF(AND(A1294&lt;&gt;"",B1294&lt;&gt;""), A1294&amp;" · "&amp;B1294, "")</f>
        <v/>
      </c>
    </row>
    <row r="1295">
      <c r="A1295" s="6" t="inlineStr">
        <is>
          <t>FY26</t>
        </is>
      </c>
      <c r="B1295" s="6" t="inlineStr">
        <is>
          <t>Mar</t>
        </is>
      </c>
      <c r="C1295" s="6" t="inlineStr">
        <is>
          <t>TN</t>
        </is>
      </c>
      <c r="D1295" s="7" t="inlineStr">
        <is>
          <t>TN59BY6674</t>
        </is>
      </c>
      <c r="E1295" s="7" t="inlineStr">
        <is>
          <t>MARUTI SUZUKI</t>
        </is>
      </c>
      <c r="F1295" s="7" t="inlineStr">
        <is>
          <t>Alto</t>
        </is>
      </c>
      <c r="G1295" s="7" t="inlineStr">
        <is>
          <t>EXCHANGE ROTN</t>
        </is>
      </c>
      <c r="H1295" s="7" t="inlineStr">
        <is>
          <t>Captive</t>
        </is>
      </c>
      <c r="I1295" s="7" t="inlineStr">
        <is>
          <t>Paul Cars</t>
        </is>
      </c>
      <c r="J1295" s="8" t="n">
        <v>2013</v>
      </c>
      <c r="K1295" s="9" t="n">
        <v>86302</v>
      </c>
      <c r="L1295" s="10" t="n">
        <v>160000</v>
      </c>
      <c r="M1295" s="10" t="n">
        <v>4237.29</v>
      </c>
      <c r="N1295" s="11">
        <f>IF(M1295="","",ROUND(M1295*1.18,2))</f>
        <v/>
      </c>
      <c r="O1295" s="12">
        <f>IF(M1295="","",ROUND(N1295-M1295,2))</f>
        <v/>
      </c>
      <c r="P1295" s="13">
        <f>IF(AND(A1295&lt;&gt;"",B1295&lt;&gt;""), A1295&amp;" · "&amp;B1295, "")</f>
        <v/>
      </c>
    </row>
    <row r="1296">
      <c r="A1296" s="6" t="inlineStr">
        <is>
          <t>FY26</t>
        </is>
      </c>
      <c r="B1296" s="6" t="inlineStr">
        <is>
          <t>Mar</t>
        </is>
      </c>
      <c r="C1296" s="6" t="inlineStr">
        <is>
          <t>TN</t>
        </is>
      </c>
      <c r="D1296" s="7" t="inlineStr">
        <is>
          <t>TN60AL1199</t>
        </is>
      </c>
      <c r="E1296" s="7" t="inlineStr">
        <is>
          <t>HYUNDAI</t>
        </is>
      </c>
      <c r="F1296" s="7" t="inlineStr">
        <is>
          <t>Aura</t>
        </is>
      </c>
      <c r="G1296" s="7" t="inlineStr">
        <is>
          <t>EXCHANGE ROTN</t>
        </is>
      </c>
      <c r="H1296" s="7" t="inlineStr">
        <is>
          <t>Captive</t>
        </is>
      </c>
      <c r="I1296" s="7" t="inlineStr">
        <is>
          <t>PURUSOTHAMAN J CARS</t>
        </is>
      </c>
      <c r="J1296" s="8" t="n">
        <v>2023</v>
      </c>
      <c r="K1296" s="9" t="n">
        <v>127694</v>
      </c>
      <c r="L1296" s="10" t="n">
        <v>430000</v>
      </c>
      <c r="M1296" s="10" t="n">
        <v>8474.58</v>
      </c>
      <c r="N1296" s="11">
        <f>IF(M1296="","",ROUND(M1296*1.18,2))</f>
        <v/>
      </c>
      <c r="O1296" s="12">
        <f>IF(M1296="","",ROUND(N1296-M1296,2))</f>
        <v/>
      </c>
      <c r="P1296" s="13">
        <f>IF(AND(A1296&lt;&gt;"",B1296&lt;&gt;""), A1296&amp;" · "&amp;B1296, "")</f>
        <v/>
      </c>
    </row>
    <row r="1297">
      <c r="A1297" s="6" t="inlineStr">
        <is>
          <t>FY26</t>
        </is>
      </c>
      <c r="B1297" s="6" t="inlineStr">
        <is>
          <t>Mar</t>
        </is>
      </c>
      <c r="C1297" s="6" t="inlineStr">
        <is>
          <t>TN</t>
        </is>
      </c>
      <c r="D1297" s="7" t="inlineStr">
        <is>
          <t>TN63AV1252</t>
        </is>
      </c>
      <c r="E1297" s="7" t="inlineStr">
        <is>
          <t>CHEVROLET</t>
        </is>
      </c>
      <c r="F1297" s="7" t="inlineStr">
        <is>
          <t>Enjoy</t>
        </is>
      </c>
      <c r="G1297" s="7" t="inlineStr">
        <is>
          <t>ANAAMALAIS TOYOTA</t>
        </is>
      </c>
      <c r="H1297" s="7" t="inlineStr">
        <is>
          <t>Non-Captive</t>
        </is>
      </c>
      <c r="I1297" s="7" t="inlineStr">
        <is>
          <t>Saravana Cars</t>
        </is>
      </c>
      <c r="J1297" s="8" t="n">
        <v>2013</v>
      </c>
      <c r="K1297" s="9" t="n">
        <v>83507</v>
      </c>
      <c r="L1297" s="10" t="n">
        <v>120000</v>
      </c>
      <c r="M1297" s="10" t="n">
        <v>4237.29</v>
      </c>
      <c r="N1297" s="11">
        <f>IF(M1297="","",ROUND(M1297*1.18,2))</f>
        <v/>
      </c>
      <c r="O1297" s="12">
        <f>IF(M1297="","",ROUND(N1297-M1297,2))</f>
        <v/>
      </c>
      <c r="P1297" s="13">
        <f>IF(AND(A1297&lt;&gt;"",B1297&lt;&gt;""), A1297&amp;" · "&amp;B1297, "")</f>
        <v/>
      </c>
    </row>
    <row r="1298">
      <c r="A1298" s="6" t="inlineStr">
        <is>
          <t>FY26</t>
        </is>
      </c>
      <c r="B1298" s="6" t="inlineStr">
        <is>
          <t>Mar</t>
        </is>
      </c>
      <c r="C1298" s="6" t="inlineStr">
        <is>
          <t>TN</t>
        </is>
      </c>
      <c r="D1298" s="7" t="inlineStr">
        <is>
          <t>TN64AC0316</t>
        </is>
      </c>
      <c r="E1298" s="7" t="inlineStr">
        <is>
          <t>HYUNDAI</t>
        </is>
      </c>
      <c r="F1298" s="7" t="inlineStr">
        <is>
          <t>Grand i10</t>
        </is>
      </c>
      <c r="G1298" s="7" t="inlineStr">
        <is>
          <t>EXCHANGE ROTN</t>
        </is>
      </c>
      <c r="H1298" s="7" t="inlineStr">
        <is>
          <t>Captive</t>
        </is>
      </c>
      <c r="I1298" s="7" t="inlineStr">
        <is>
          <t>FF Cars</t>
        </is>
      </c>
      <c r="J1298" s="8" t="n">
        <v>2024</v>
      </c>
      <c r="K1298" s="9" t="n">
        <v>18457</v>
      </c>
      <c r="L1298" s="10" t="n">
        <v>630000</v>
      </c>
      <c r="M1298" s="10" t="n">
        <v>8474.58</v>
      </c>
      <c r="N1298" s="11">
        <f>IF(M1298="","",ROUND(M1298*1.18,2))</f>
        <v/>
      </c>
      <c r="O1298" s="12">
        <f>IF(M1298="","",ROUND(N1298-M1298,2))</f>
        <v/>
      </c>
      <c r="P1298" s="13">
        <f>IF(AND(A1298&lt;&gt;"",B1298&lt;&gt;""), A1298&amp;" · "&amp;B1298, "")</f>
        <v/>
      </c>
    </row>
    <row r="1299">
      <c r="A1299" s="6" t="inlineStr">
        <is>
          <t>FY26</t>
        </is>
      </c>
      <c r="B1299" s="6" t="inlineStr">
        <is>
          <t>Mar</t>
        </is>
      </c>
      <c r="C1299" s="6" t="inlineStr">
        <is>
          <t>TN</t>
        </is>
      </c>
      <c r="D1299" s="7" t="inlineStr">
        <is>
          <t>TN64AD9175</t>
        </is>
      </c>
      <c r="E1299" s="7" t="inlineStr">
        <is>
          <t>MARUTI SUZUKI</t>
        </is>
      </c>
      <c r="F1299" s="7" t="inlineStr">
        <is>
          <t>Baleno</t>
        </is>
      </c>
      <c r="G1299" s="7" t="inlineStr">
        <is>
          <t>EXCHANGE ROTN</t>
        </is>
      </c>
      <c r="H1299" s="7" t="inlineStr">
        <is>
          <t>Captive</t>
        </is>
      </c>
      <c r="I1299" s="7" t="inlineStr">
        <is>
          <t>Rajan Cars</t>
        </is>
      </c>
      <c r="J1299" s="8" t="n">
        <v>2025</v>
      </c>
      <c r="K1299" s="9" t="n">
        <v>24540</v>
      </c>
      <c r="L1299" s="10" t="n">
        <v>547000</v>
      </c>
      <c r="M1299" s="10" t="n">
        <v>4237.29</v>
      </c>
      <c r="N1299" s="11">
        <f>IF(M1299="","",ROUND(M1299*1.18,2))</f>
        <v/>
      </c>
      <c r="O1299" s="12">
        <f>IF(M1299="","",ROUND(N1299-M1299,2))</f>
        <v/>
      </c>
      <c r="P1299" s="13">
        <f>IF(AND(A1299&lt;&gt;"",B1299&lt;&gt;""), A1299&amp;" · "&amp;B1299, "")</f>
        <v/>
      </c>
    </row>
    <row r="1300">
      <c r="A1300" s="6" t="inlineStr">
        <is>
          <t>FY26</t>
        </is>
      </c>
      <c r="B1300" s="6" t="inlineStr">
        <is>
          <t>Mar</t>
        </is>
      </c>
      <c r="C1300" s="6" t="inlineStr">
        <is>
          <t>TN</t>
        </is>
      </c>
      <c r="D1300" s="7" t="inlineStr">
        <is>
          <t>TN64D7889</t>
        </is>
      </c>
      <c r="E1300" s="7" t="inlineStr">
        <is>
          <t>HONDA</t>
        </is>
      </c>
      <c r="F1300" s="7" t="inlineStr">
        <is>
          <t>Brio</t>
        </is>
      </c>
      <c r="G1300" s="7" t="inlineStr">
        <is>
          <t>EXCHANGE ROTN</t>
        </is>
      </c>
      <c r="H1300" s="7" t="inlineStr">
        <is>
          <t>Captive</t>
        </is>
      </c>
      <c r="I1300" s="7" t="inlineStr">
        <is>
          <t>Value Cars</t>
        </is>
      </c>
      <c r="J1300" s="8" t="n">
        <v>2012</v>
      </c>
      <c r="K1300" s="9" t="n">
        <v>38787</v>
      </c>
      <c r="L1300" s="10" t="n">
        <v>215000</v>
      </c>
      <c r="M1300" s="10" t="n">
        <v>8474.58</v>
      </c>
      <c r="N1300" s="11">
        <f>IF(M1300="","",ROUND(M1300*1.18,2))</f>
        <v/>
      </c>
      <c r="O1300" s="12">
        <f>IF(M1300="","",ROUND(N1300-M1300,2))</f>
        <v/>
      </c>
      <c r="P1300" s="13">
        <f>IF(AND(A1300&lt;&gt;"",B1300&lt;&gt;""), A1300&amp;" · "&amp;B1300, "")</f>
        <v/>
      </c>
    </row>
    <row r="1301">
      <c r="A1301" s="6" t="inlineStr">
        <is>
          <t>FY26</t>
        </is>
      </c>
      <c r="B1301" s="6" t="inlineStr">
        <is>
          <t>Mar</t>
        </is>
      </c>
      <c r="C1301" s="6" t="inlineStr">
        <is>
          <t>TN</t>
        </is>
      </c>
      <c r="D1301" s="7" t="inlineStr">
        <is>
          <t>TN64F8019</t>
        </is>
      </c>
      <c r="E1301" s="7" t="inlineStr">
        <is>
          <t>HONDA</t>
        </is>
      </c>
      <c r="F1301" s="7" t="inlineStr">
        <is>
          <t>Amaze</t>
        </is>
      </c>
      <c r="G1301" s="7" t="inlineStr">
        <is>
          <t>EXCHANGE ROTN</t>
        </is>
      </c>
      <c r="H1301" s="7" t="inlineStr">
        <is>
          <t>Captive</t>
        </is>
      </c>
      <c r="I1301" s="7" t="inlineStr">
        <is>
          <t>SRI RAJA KANAPATHY CARS</t>
        </is>
      </c>
      <c r="J1301" s="8" t="n">
        <v>2013</v>
      </c>
      <c r="K1301" s="9" t="n">
        <v>273214</v>
      </c>
      <c r="L1301" s="10" t="n">
        <v>200000</v>
      </c>
      <c r="M1301" s="10" t="n">
        <v>8474.58</v>
      </c>
      <c r="N1301" s="11">
        <f>IF(M1301="","",ROUND(M1301*1.18,2))</f>
        <v/>
      </c>
      <c r="O1301" s="12">
        <f>IF(M1301="","",ROUND(N1301-M1301,2))</f>
        <v/>
      </c>
      <c r="P1301" s="13">
        <f>IF(AND(A1301&lt;&gt;"",B1301&lt;&gt;""), A1301&amp;" · "&amp;B1301, "")</f>
        <v/>
      </c>
    </row>
    <row r="1302">
      <c r="A1302" s="6" t="inlineStr">
        <is>
          <t>FY26</t>
        </is>
      </c>
      <c r="B1302" s="6" t="inlineStr">
        <is>
          <t>Mar</t>
        </is>
      </c>
      <c r="C1302" s="6" t="inlineStr">
        <is>
          <t>TN</t>
        </is>
      </c>
      <c r="D1302" s="7" t="inlineStr">
        <is>
          <t>TN65AB9560</t>
        </is>
      </c>
      <c r="E1302" s="7" t="inlineStr">
        <is>
          <t>MARUTI SUZUKI</t>
        </is>
      </c>
      <c r="F1302" s="7" t="inlineStr">
        <is>
          <t>Celerio</t>
        </is>
      </c>
      <c r="G1302" s="7" t="inlineStr">
        <is>
          <t>EXCHANGE ROTN</t>
        </is>
      </c>
      <c r="H1302" s="7" t="inlineStr">
        <is>
          <t>Captive</t>
        </is>
      </c>
      <c r="I1302" s="7" t="inlineStr">
        <is>
          <t>Value Cars</t>
        </is>
      </c>
      <c r="J1302" s="8" t="n">
        <v>2016</v>
      </c>
      <c r="K1302" s="9" t="n">
        <v>96373</v>
      </c>
      <c r="L1302" s="10" t="n">
        <v>270000</v>
      </c>
      <c r="M1302" s="10" t="n">
        <v>4237.29</v>
      </c>
      <c r="N1302" s="11">
        <f>IF(M1302="","",ROUND(M1302*1.18,2))</f>
        <v/>
      </c>
      <c r="O1302" s="12">
        <f>IF(M1302="","",ROUND(N1302-M1302,2))</f>
        <v/>
      </c>
      <c r="P1302" s="13">
        <f>IF(AND(A1302&lt;&gt;"",B1302&lt;&gt;""), A1302&amp;" · "&amp;B1302, "")</f>
        <v/>
      </c>
    </row>
    <row r="1303">
      <c r="A1303" s="6" t="inlineStr">
        <is>
          <t>FY26</t>
        </is>
      </c>
      <c r="B1303" s="6" t="inlineStr">
        <is>
          <t>Mar</t>
        </is>
      </c>
      <c r="C1303" s="6" t="inlineStr">
        <is>
          <t>TN</t>
        </is>
      </c>
      <c r="D1303" s="7" t="inlineStr">
        <is>
          <t>TN66B5733</t>
        </is>
      </c>
      <c r="E1303" s="7" t="inlineStr">
        <is>
          <t>VOLKSWAGEN</t>
        </is>
      </c>
      <c r="F1303" s="7" t="inlineStr">
        <is>
          <t>Polo</t>
        </is>
      </c>
      <c r="G1303" s="7" t="inlineStr">
        <is>
          <t>EXCHANGE ROTN</t>
        </is>
      </c>
      <c r="H1303" s="7" t="inlineStr">
        <is>
          <t>Captive</t>
        </is>
      </c>
      <c r="I1303" s="7" t="inlineStr">
        <is>
          <t>Sarvesh Cars</t>
        </is>
      </c>
      <c r="J1303" s="8" t="n">
        <v>2010</v>
      </c>
      <c r="K1303" s="9" t="n">
        <v>162694</v>
      </c>
      <c r="L1303" s="10" t="n">
        <v>180000</v>
      </c>
      <c r="M1303" s="10" t="n">
        <v>4237.29</v>
      </c>
      <c r="N1303" s="11">
        <f>IF(M1303="","",ROUND(M1303*1.18,2))</f>
        <v/>
      </c>
      <c r="O1303" s="12">
        <f>IF(M1303="","",ROUND(N1303-M1303,2))</f>
        <v/>
      </c>
      <c r="P1303" s="13">
        <f>IF(AND(A1303&lt;&gt;"",B1303&lt;&gt;""), A1303&amp;" · "&amp;B1303, "")</f>
        <v/>
      </c>
    </row>
    <row r="1304">
      <c r="A1304" s="6" t="inlineStr">
        <is>
          <t>FY26</t>
        </is>
      </c>
      <c r="B1304" s="6" t="inlineStr">
        <is>
          <t>Mar</t>
        </is>
      </c>
      <c r="C1304" s="6" t="inlineStr">
        <is>
          <t>TN</t>
        </is>
      </c>
      <c r="D1304" s="7" t="inlineStr">
        <is>
          <t>TN66H8655</t>
        </is>
      </c>
      <c r="E1304" s="7" t="inlineStr">
        <is>
          <t>HYUNDAI</t>
        </is>
      </c>
      <c r="F1304" s="7" t="inlineStr">
        <is>
          <t>Eon</t>
        </is>
      </c>
      <c r="G1304" s="7" t="inlineStr">
        <is>
          <t>EXCHANGE ROTN</t>
        </is>
      </c>
      <c r="H1304" s="7" t="inlineStr">
        <is>
          <t>Captive</t>
        </is>
      </c>
      <c r="I1304" s="7" t="inlineStr">
        <is>
          <t>Uzhavan Enterprise</t>
        </is>
      </c>
      <c r="J1304" s="8" t="n">
        <v>2013</v>
      </c>
      <c r="K1304" s="9" t="n">
        <v>136587</v>
      </c>
      <c r="L1304" s="10" t="n">
        <v>150000</v>
      </c>
      <c r="M1304" s="10" t="n">
        <v>8474.58</v>
      </c>
      <c r="N1304" s="11">
        <f>IF(M1304="","",ROUND(M1304*1.18,2))</f>
        <v/>
      </c>
      <c r="O1304" s="12">
        <f>IF(M1304="","",ROUND(N1304-M1304,2))</f>
        <v/>
      </c>
      <c r="P1304" s="13">
        <f>IF(AND(A1304&lt;&gt;"",B1304&lt;&gt;""), A1304&amp;" · "&amp;B1304, "")</f>
        <v/>
      </c>
    </row>
    <row r="1305">
      <c r="A1305" s="6" t="inlineStr">
        <is>
          <t>FY26</t>
        </is>
      </c>
      <c r="B1305" s="6" t="inlineStr">
        <is>
          <t>Mar</t>
        </is>
      </c>
      <c r="C1305" s="6" t="inlineStr">
        <is>
          <t>TN</t>
        </is>
      </c>
      <c r="D1305" s="7" t="inlineStr">
        <is>
          <t>TN66L0739</t>
        </is>
      </c>
      <c r="E1305" s="7" t="inlineStr">
        <is>
          <t>HONDA</t>
        </is>
      </c>
      <c r="F1305" s="7" t="inlineStr">
        <is>
          <t>City</t>
        </is>
      </c>
      <c r="G1305" s="7" t="inlineStr">
        <is>
          <t>EXCHANGE ROTN</t>
        </is>
      </c>
      <c r="H1305" s="7" t="inlineStr">
        <is>
          <t>Captive</t>
        </is>
      </c>
      <c r="I1305" s="7" t="inlineStr">
        <is>
          <t>Sai Cars</t>
        </is>
      </c>
      <c r="J1305" s="8" t="n">
        <v>2014</v>
      </c>
      <c r="K1305" s="9" t="n">
        <v>141748</v>
      </c>
      <c r="L1305" s="10" t="n">
        <v>475000</v>
      </c>
      <c r="M1305" s="10" t="n">
        <v>8474.58</v>
      </c>
      <c r="N1305" s="11">
        <f>IF(M1305="","",ROUND(M1305*1.18,2))</f>
        <v/>
      </c>
      <c r="O1305" s="12">
        <f>IF(M1305="","",ROUND(N1305-M1305,2))</f>
        <v/>
      </c>
      <c r="P1305" s="13">
        <f>IF(AND(A1305&lt;&gt;"",B1305&lt;&gt;""), A1305&amp;" · "&amp;B1305, "")</f>
        <v/>
      </c>
    </row>
    <row r="1306">
      <c r="A1306" s="6" t="inlineStr">
        <is>
          <t>FY26</t>
        </is>
      </c>
      <c r="B1306" s="6" t="inlineStr">
        <is>
          <t>Mar</t>
        </is>
      </c>
      <c r="C1306" s="6" t="inlineStr">
        <is>
          <t>TN</t>
        </is>
      </c>
      <c r="D1306" s="7" t="inlineStr">
        <is>
          <t>TN66L4059</t>
        </is>
      </c>
      <c r="E1306" s="7" t="inlineStr">
        <is>
          <t>MARUTI SUZUKI</t>
        </is>
      </c>
      <c r="F1306" s="7" t="inlineStr">
        <is>
          <t>Celerio</t>
        </is>
      </c>
      <c r="G1306" s="7" t="inlineStr">
        <is>
          <t>EXCHANGE ROTN</t>
        </is>
      </c>
      <c r="H1306" s="7" t="inlineStr">
        <is>
          <t>Captive</t>
        </is>
      </c>
      <c r="I1306" s="7" t="inlineStr">
        <is>
          <t>SRI RAJA KANAPATHY CARS</t>
        </is>
      </c>
      <c r="J1306" s="8" t="n">
        <v>2014</v>
      </c>
      <c r="K1306" s="9" t="n">
        <v>47326</v>
      </c>
      <c r="L1306" s="10" t="n">
        <v>180000</v>
      </c>
      <c r="M1306" s="10" t="n">
        <v>4237.29</v>
      </c>
      <c r="N1306" s="11">
        <f>IF(M1306="","",ROUND(M1306*1.18,2))</f>
        <v/>
      </c>
      <c r="O1306" s="12">
        <f>IF(M1306="","",ROUND(N1306-M1306,2))</f>
        <v/>
      </c>
      <c r="P1306" s="13">
        <f>IF(AND(A1306&lt;&gt;"",B1306&lt;&gt;""), A1306&amp;" · "&amp;B1306, "")</f>
        <v/>
      </c>
    </row>
    <row r="1307">
      <c r="A1307" s="6" t="inlineStr">
        <is>
          <t>FY26</t>
        </is>
      </c>
      <c r="B1307" s="6" t="inlineStr">
        <is>
          <t>Mar</t>
        </is>
      </c>
      <c r="C1307" s="6" t="inlineStr">
        <is>
          <t>TN</t>
        </is>
      </c>
      <c r="D1307" s="7" t="inlineStr">
        <is>
          <t>TN66M2071</t>
        </is>
      </c>
      <c r="E1307" s="7" t="inlineStr">
        <is>
          <t>MARUTI SUZUKI</t>
        </is>
      </c>
      <c r="F1307" s="7" t="inlineStr">
        <is>
          <t>Wagon R</t>
        </is>
      </c>
      <c r="G1307" s="7" t="inlineStr">
        <is>
          <t>EXCHANGE ROTN</t>
        </is>
      </c>
      <c r="H1307" s="7" t="inlineStr">
        <is>
          <t>Captive</t>
        </is>
      </c>
      <c r="I1307" s="7" t="inlineStr">
        <is>
          <t>PURUSOTHAMAN J CARS</t>
        </is>
      </c>
      <c r="J1307" s="8" t="n">
        <v>2014</v>
      </c>
      <c r="K1307" s="9" t="n">
        <v>98357</v>
      </c>
      <c r="L1307" s="10" t="n">
        <v>210000</v>
      </c>
      <c r="M1307" s="10" t="n">
        <v>4237.29</v>
      </c>
      <c r="N1307" s="11">
        <f>IF(M1307="","",ROUND(M1307*1.18,2))</f>
        <v/>
      </c>
      <c r="O1307" s="12">
        <f>IF(M1307="","",ROUND(N1307-M1307,2))</f>
        <v/>
      </c>
      <c r="P1307" s="13">
        <f>IF(AND(A1307&lt;&gt;"",B1307&lt;&gt;""), A1307&amp;" · "&amp;B1307, "")</f>
        <v/>
      </c>
    </row>
    <row r="1308">
      <c r="A1308" s="6" t="inlineStr">
        <is>
          <t>FY26</t>
        </is>
      </c>
      <c r="B1308" s="6" t="inlineStr">
        <is>
          <t>Mar</t>
        </is>
      </c>
      <c r="C1308" s="6" t="inlineStr">
        <is>
          <t>TN</t>
        </is>
      </c>
      <c r="D1308" s="7" t="inlineStr">
        <is>
          <t>TN66Q2134</t>
        </is>
      </c>
      <c r="E1308" s="7" t="inlineStr">
        <is>
          <t>FORD</t>
        </is>
      </c>
      <c r="F1308" s="7" t="inlineStr">
        <is>
          <t>Figo</t>
        </is>
      </c>
      <c r="G1308" s="7" t="inlineStr">
        <is>
          <t>EXCHANGE ROTN</t>
        </is>
      </c>
      <c r="H1308" s="7" t="inlineStr">
        <is>
          <t>Captive</t>
        </is>
      </c>
      <c r="I1308" s="7" t="inlineStr">
        <is>
          <t>Dheera Cars</t>
        </is>
      </c>
      <c r="J1308" s="8" t="n">
        <v>2015</v>
      </c>
      <c r="K1308" s="9" t="n">
        <v>180261</v>
      </c>
      <c r="L1308" s="10" t="n">
        <v>355000</v>
      </c>
      <c r="M1308" s="10" t="n">
        <v>4237.29</v>
      </c>
      <c r="N1308" s="11">
        <f>IF(M1308="","",ROUND(M1308*1.18,2))</f>
        <v/>
      </c>
      <c r="O1308" s="12">
        <f>IF(M1308="","",ROUND(N1308-M1308,2))</f>
        <v/>
      </c>
      <c r="P1308" s="13">
        <f>IF(AND(A1308&lt;&gt;"",B1308&lt;&gt;""), A1308&amp;" · "&amp;B1308, "")</f>
        <v/>
      </c>
    </row>
    <row r="1309">
      <c r="A1309" s="6" t="inlineStr">
        <is>
          <t>FY26</t>
        </is>
      </c>
      <c r="B1309" s="6" t="inlineStr">
        <is>
          <t>Mar</t>
        </is>
      </c>
      <c r="C1309" s="6" t="inlineStr">
        <is>
          <t>TN</t>
        </is>
      </c>
      <c r="D1309" s="7" t="inlineStr">
        <is>
          <t>TN66R5178</t>
        </is>
      </c>
      <c r="E1309" s="7" t="inlineStr">
        <is>
          <t>MARUTI SUZUKI</t>
        </is>
      </c>
      <c r="F1309" s="7" t="inlineStr">
        <is>
          <t>Wagon R</t>
        </is>
      </c>
      <c r="G1309" s="7" t="inlineStr">
        <is>
          <t>EXCHANGE ROTN</t>
        </is>
      </c>
      <c r="H1309" s="7" t="inlineStr">
        <is>
          <t>Captive</t>
        </is>
      </c>
      <c r="I1309" s="7" t="inlineStr">
        <is>
          <t>Sun Cars</t>
        </is>
      </c>
      <c r="J1309" s="8" t="n">
        <v>2015</v>
      </c>
      <c r="K1309" s="9" t="n">
        <v>117714</v>
      </c>
      <c r="L1309" s="10" t="n">
        <v>400000</v>
      </c>
      <c r="M1309" s="10" t="n">
        <v>4237.29</v>
      </c>
      <c r="N1309" s="11">
        <f>IF(M1309="","",ROUND(M1309*1.18,2))</f>
        <v/>
      </c>
      <c r="O1309" s="12">
        <f>IF(M1309="","",ROUND(N1309-M1309,2))</f>
        <v/>
      </c>
      <c r="P1309" s="13">
        <f>IF(AND(A1309&lt;&gt;"",B1309&lt;&gt;""), A1309&amp;" · "&amp;B1309, "")</f>
        <v/>
      </c>
    </row>
    <row r="1310">
      <c r="A1310" s="6" t="inlineStr">
        <is>
          <t>FY26</t>
        </is>
      </c>
      <c r="B1310" s="6" t="inlineStr">
        <is>
          <t>Mar</t>
        </is>
      </c>
      <c r="C1310" s="6" t="inlineStr">
        <is>
          <t>TN</t>
        </is>
      </c>
      <c r="D1310" s="7" t="inlineStr">
        <is>
          <t>TN66R6148</t>
        </is>
      </c>
      <c r="E1310" s="7" t="inlineStr">
        <is>
          <t>MARUTI SUZUKI</t>
        </is>
      </c>
      <c r="F1310" s="7" t="inlineStr">
        <is>
          <t>Ritz</t>
        </is>
      </c>
      <c r="G1310" s="7" t="inlineStr">
        <is>
          <t>EXCHANGE ROTN</t>
        </is>
      </c>
      <c r="H1310" s="7" t="inlineStr">
        <is>
          <t>Captive</t>
        </is>
      </c>
      <c r="I1310" s="7" t="inlineStr">
        <is>
          <t>Dheera Cars</t>
        </is>
      </c>
      <c r="J1310" s="8" t="n">
        <v>2015</v>
      </c>
      <c r="K1310" s="9" t="n">
        <v>70657</v>
      </c>
      <c r="L1310" s="10" t="n">
        <v>250000</v>
      </c>
      <c r="M1310" s="10" t="n">
        <v>8474.58</v>
      </c>
      <c r="N1310" s="11">
        <f>IF(M1310="","",ROUND(M1310*1.18,2))</f>
        <v/>
      </c>
      <c r="O1310" s="12">
        <f>IF(M1310="","",ROUND(N1310-M1310,2))</f>
        <v/>
      </c>
      <c r="P1310" s="13">
        <f>IF(AND(A1310&lt;&gt;"",B1310&lt;&gt;""), A1310&amp;" · "&amp;B1310, "")</f>
        <v/>
      </c>
    </row>
    <row r="1311">
      <c r="A1311" s="6" t="inlineStr">
        <is>
          <t>FY26</t>
        </is>
      </c>
      <c r="B1311" s="6" t="inlineStr">
        <is>
          <t>Mar</t>
        </is>
      </c>
      <c r="C1311" s="6" t="inlineStr">
        <is>
          <t>TN</t>
        </is>
      </c>
      <c r="D1311" s="7" t="inlineStr">
        <is>
          <t>TN66S0579</t>
        </is>
      </c>
      <c r="E1311" s="7" t="inlineStr">
        <is>
          <t>CHEVROLET</t>
        </is>
      </c>
      <c r="F1311" s="7" t="inlineStr">
        <is>
          <t>Cruze</t>
        </is>
      </c>
      <c r="G1311" s="7" t="inlineStr">
        <is>
          <t>EXCHANGE ROTN</t>
        </is>
      </c>
      <c r="H1311" s="7" t="inlineStr">
        <is>
          <t>Captive</t>
        </is>
      </c>
      <c r="I1311" s="7" t="inlineStr">
        <is>
          <t>YUGA DHEERAN CARS</t>
        </is>
      </c>
      <c r="J1311" s="8" t="n">
        <v>2016</v>
      </c>
      <c r="K1311" s="9" t="n">
        <v>121819</v>
      </c>
      <c r="L1311" s="10" t="n">
        <v>425000</v>
      </c>
      <c r="M1311" s="10" t="n">
        <v>12711.86</v>
      </c>
      <c r="N1311" s="11">
        <f>IF(M1311="","",ROUND(M1311*1.18,2))</f>
        <v/>
      </c>
      <c r="O1311" s="12">
        <f>IF(M1311="","",ROUND(N1311-M1311,2))</f>
        <v/>
      </c>
      <c r="P1311" s="13">
        <f>IF(AND(A1311&lt;&gt;"",B1311&lt;&gt;""), A1311&amp;" · "&amp;B1311, "")</f>
        <v/>
      </c>
    </row>
    <row r="1312">
      <c r="A1312" s="6" t="inlineStr">
        <is>
          <t>FY26</t>
        </is>
      </c>
      <c r="B1312" s="6" t="inlineStr">
        <is>
          <t>Mar</t>
        </is>
      </c>
      <c r="C1312" s="6" t="inlineStr">
        <is>
          <t>TN</t>
        </is>
      </c>
      <c r="D1312" s="7" t="inlineStr">
        <is>
          <t>TN67AA8321</t>
        </is>
      </c>
      <c r="E1312" s="7" t="inlineStr">
        <is>
          <t>FORD</t>
        </is>
      </c>
      <c r="F1312" s="7" t="inlineStr">
        <is>
          <t>Ikon</t>
        </is>
      </c>
      <c r="G1312" s="7" t="inlineStr">
        <is>
          <t>EXCHANGE ROTN</t>
        </is>
      </c>
      <c r="H1312" s="7" t="inlineStr">
        <is>
          <t>Captive</t>
        </is>
      </c>
      <c r="I1312" s="7" t="inlineStr">
        <is>
          <t>Saravana Cars</t>
        </is>
      </c>
      <c r="J1312" s="8" t="n">
        <v>2009</v>
      </c>
      <c r="K1312" s="9" t="n">
        <v>325000</v>
      </c>
      <c r="L1312" s="10" t="n">
        <v>45000</v>
      </c>
      <c r="M1312" s="10" t="n">
        <v>4237.29</v>
      </c>
      <c r="N1312" s="11">
        <f>IF(M1312="","",ROUND(M1312*1.18,2))</f>
        <v/>
      </c>
      <c r="O1312" s="12">
        <f>IF(M1312="","",ROUND(N1312-M1312,2))</f>
        <v/>
      </c>
      <c r="P1312" s="13">
        <f>IF(AND(A1312&lt;&gt;"",B1312&lt;&gt;""), A1312&amp;" · "&amp;B1312, "")</f>
        <v/>
      </c>
    </row>
    <row r="1313">
      <c r="A1313" s="6" t="inlineStr">
        <is>
          <t>FY26</t>
        </is>
      </c>
      <c r="B1313" s="6" t="inlineStr">
        <is>
          <t>Mar</t>
        </is>
      </c>
      <c r="C1313" s="6" t="inlineStr">
        <is>
          <t>TN</t>
        </is>
      </c>
      <c r="D1313" s="7" t="inlineStr">
        <is>
          <t>TN67J4446</t>
        </is>
      </c>
      <c r="E1313" s="7" t="inlineStr">
        <is>
          <t>HONDA</t>
        </is>
      </c>
      <c r="F1313" s="7" t="inlineStr">
        <is>
          <t>City</t>
        </is>
      </c>
      <c r="G1313" s="7" t="inlineStr">
        <is>
          <t>EXCHANGE ROTN</t>
        </is>
      </c>
      <c r="H1313" s="7" t="inlineStr">
        <is>
          <t>Captive</t>
        </is>
      </c>
      <c r="I1313" s="7" t="inlineStr">
        <is>
          <t>KSM Auto Consulting</t>
        </is>
      </c>
      <c r="J1313" s="8" t="n">
        <v>2008</v>
      </c>
      <c r="K1313" s="9" t="n">
        <v>182541</v>
      </c>
      <c r="L1313" s="10" t="n">
        <v>140000</v>
      </c>
      <c r="M1313" s="10" t="n">
        <v>8474.58</v>
      </c>
      <c r="N1313" s="11">
        <f>IF(M1313="","",ROUND(M1313*1.18,2))</f>
        <v/>
      </c>
      <c r="O1313" s="12">
        <f>IF(M1313="","",ROUND(N1313-M1313,2))</f>
        <v/>
      </c>
      <c r="P1313" s="13">
        <f>IF(AND(A1313&lt;&gt;"",B1313&lt;&gt;""), A1313&amp;" · "&amp;B1313, "")</f>
        <v/>
      </c>
    </row>
    <row r="1314">
      <c r="A1314" s="6" t="inlineStr">
        <is>
          <t>FY26</t>
        </is>
      </c>
      <c r="B1314" s="6" t="inlineStr">
        <is>
          <t>Mar</t>
        </is>
      </c>
      <c r="C1314" s="6" t="inlineStr">
        <is>
          <t>TN</t>
        </is>
      </c>
      <c r="D1314" s="7" t="inlineStr">
        <is>
          <t>TN69AM0193</t>
        </is>
      </c>
      <c r="E1314" s="7" t="inlineStr">
        <is>
          <t>HONDA</t>
        </is>
      </c>
      <c r="F1314" s="7" t="inlineStr">
        <is>
          <t>Amaze</t>
        </is>
      </c>
      <c r="G1314" s="7" t="inlineStr">
        <is>
          <t>EXCHANGE ROTN</t>
        </is>
      </c>
      <c r="H1314" s="7" t="inlineStr">
        <is>
          <t>Captive</t>
        </is>
      </c>
      <c r="I1314" s="7" t="inlineStr">
        <is>
          <t>Senthur Finance</t>
        </is>
      </c>
      <c r="J1314" s="8" t="n">
        <v>2014</v>
      </c>
      <c r="K1314" s="9" t="n">
        <v>93284</v>
      </c>
      <c r="L1314" s="10" t="n">
        <v>205000</v>
      </c>
      <c r="M1314" s="10" t="n">
        <v>8474.58</v>
      </c>
      <c r="N1314" s="11">
        <f>IF(M1314="","",ROUND(M1314*1.18,2))</f>
        <v/>
      </c>
      <c r="O1314" s="12">
        <f>IF(M1314="","",ROUND(N1314-M1314,2))</f>
        <v/>
      </c>
      <c r="P1314" s="13">
        <f>IF(AND(A1314&lt;&gt;"",B1314&lt;&gt;""), A1314&amp;" · "&amp;B1314, "")</f>
        <v/>
      </c>
    </row>
    <row r="1315">
      <c r="A1315" s="6" t="inlineStr">
        <is>
          <t>FY26</t>
        </is>
      </c>
      <c r="B1315" s="6" t="inlineStr">
        <is>
          <t>Mar</t>
        </is>
      </c>
      <c r="C1315" s="6" t="inlineStr">
        <is>
          <t>TN</t>
        </is>
      </c>
      <c r="D1315" s="7" t="inlineStr">
        <is>
          <t>TN72P4208</t>
        </is>
      </c>
      <c r="E1315" s="7" t="inlineStr">
        <is>
          <t>HYUNDAI</t>
        </is>
      </c>
      <c r="F1315" s="7" t="inlineStr">
        <is>
          <t>Santro</t>
        </is>
      </c>
      <c r="G1315" s="7" t="inlineStr">
        <is>
          <t>EXCHANGE ROTN</t>
        </is>
      </c>
      <c r="H1315" s="7" t="inlineStr">
        <is>
          <t>Captive</t>
        </is>
      </c>
      <c r="I1315" s="7" t="inlineStr">
        <is>
          <t>Value Cars</t>
        </is>
      </c>
      <c r="J1315" s="8" t="n">
        <v>2010</v>
      </c>
      <c r="K1315" s="9" t="n">
        <v>89234</v>
      </c>
      <c r="L1315" s="10" t="n">
        <v>90000</v>
      </c>
      <c r="M1315" s="10" t="n">
        <v>4237.29</v>
      </c>
      <c r="N1315" s="11">
        <f>IF(M1315="","",ROUND(M1315*1.18,2))</f>
        <v/>
      </c>
      <c r="O1315" s="12">
        <f>IF(M1315="","",ROUND(N1315-M1315,2))</f>
        <v/>
      </c>
      <c r="P1315" s="13">
        <f>IF(AND(A1315&lt;&gt;"",B1315&lt;&gt;""), A1315&amp;" · "&amp;B1315, "")</f>
        <v/>
      </c>
    </row>
    <row r="1316">
      <c r="A1316" s="6" t="inlineStr">
        <is>
          <t>FY26</t>
        </is>
      </c>
      <c r="B1316" s="6" t="inlineStr">
        <is>
          <t>Mar</t>
        </is>
      </c>
      <c r="C1316" s="6" t="inlineStr">
        <is>
          <t>TN</t>
        </is>
      </c>
      <c r="D1316" s="7" t="inlineStr">
        <is>
          <t>TN73Z4147</t>
        </is>
      </c>
      <c r="E1316" s="7" t="inlineStr">
        <is>
          <t>MARUTI SUZUKI</t>
        </is>
      </c>
      <c r="F1316" s="7" t="inlineStr">
        <is>
          <t>A-Star</t>
        </is>
      </c>
      <c r="G1316" s="7" t="inlineStr">
        <is>
          <t>KHIVRAJ MOTOR</t>
        </is>
      </c>
      <c r="H1316" s="7" t="inlineStr">
        <is>
          <t>Non-Captive</t>
        </is>
      </c>
      <c r="I1316" s="7" t="inlineStr">
        <is>
          <t>Santhosh Cars</t>
        </is>
      </c>
      <c r="J1316" s="8" t="n">
        <v>2009</v>
      </c>
      <c r="K1316" s="9" t="n">
        <v>92900</v>
      </c>
      <c r="L1316" s="10" t="n">
        <v>100000</v>
      </c>
      <c r="M1316" s="10" t="n">
        <v>2966.1</v>
      </c>
      <c r="N1316" s="11">
        <f>IF(M1316="","",ROUND(M1316*1.18,2))</f>
        <v/>
      </c>
      <c r="O1316" s="12">
        <f>IF(M1316="","",ROUND(N1316-M1316,2))</f>
        <v/>
      </c>
      <c r="P1316" s="13">
        <f>IF(AND(A1316&lt;&gt;"",B1316&lt;&gt;""), A1316&amp;" · "&amp;B1316, "")</f>
        <v/>
      </c>
    </row>
    <row r="1317">
      <c r="A1317" s="6" t="inlineStr">
        <is>
          <t>FY26</t>
        </is>
      </c>
      <c r="B1317" s="6" t="inlineStr">
        <is>
          <t>Mar</t>
        </is>
      </c>
      <c r="C1317" s="6" t="inlineStr">
        <is>
          <t>TN</t>
        </is>
      </c>
      <c r="D1317" s="7" t="inlineStr">
        <is>
          <t>TN83A4081</t>
        </is>
      </c>
      <c r="E1317" s="7" t="inlineStr">
        <is>
          <t>HYUNDAI</t>
        </is>
      </c>
      <c r="F1317" s="7" t="inlineStr">
        <is>
          <t>Creta</t>
        </is>
      </c>
      <c r="G1317" s="7" t="inlineStr">
        <is>
          <t>EXCHANGE ROTN</t>
        </is>
      </c>
      <c r="H1317" s="7" t="inlineStr">
        <is>
          <t>Captive</t>
        </is>
      </c>
      <c r="I1317" s="7" t="inlineStr">
        <is>
          <t>Gugha Cars</t>
        </is>
      </c>
      <c r="J1317" s="8" t="n">
        <v>2016</v>
      </c>
      <c r="K1317" s="9" t="n">
        <v>135035</v>
      </c>
      <c r="L1317" s="10" t="n">
        <v>415000</v>
      </c>
      <c r="M1317" s="10" t="n">
        <v>4237.29</v>
      </c>
      <c r="N1317" s="11">
        <f>IF(M1317="","",ROUND(M1317*1.18,2))</f>
        <v/>
      </c>
      <c r="O1317" s="12">
        <f>IF(M1317="","",ROUND(N1317-M1317,2))</f>
        <v/>
      </c>
      <c r="P1317" s="13">
        <f>IF(AND(A1317&lt;&gt;"",B1317&lt;&gt;""), A1317&amp;" · "&amp;B1317, "")</f>
        <v/>
      </c>
    </row>
    <row r="1318">
      <c r="A1318" s="6" t="inlineStr">
        <is>
          <t>FY26</t>
        </is>
      </c>
      <c r="B1318" s="6" t="inlineStr">
        <is>
          <t>Mar</t>
        </is>
      </c>
      <c r="C1318" s="6" t="inlineStr">
        <is>
          <t>TN</t>
        </is>
      </c>
      <c r="D1318" s="7" t="inlineStr">
        <is>
          <t>TN874023</t>
        </is>
      </c>
      <c r="E1318" s="7" t="inlineStr">
        <is>
          <t>RENAULT</t>
        </is>
      </c>
      <c r="F1318" s="7" t="inlineStr">
        <is>
          <t>Kwid</t>
        </is>
      </c>
      <c r="G1318" s="7" t="inlineStr">
        <is>
          <t>EXCHANGE ROTN</t>
        </is>
      </c>
      <c r="H1318" s="7" t="inlineStr">
        <is>
          <t>Captive</t>
        </is>
      </c>
      <c r="I1318" s="7" t="inlineStr">
        <is>
          <t>YUGA DHEERAN CARS</t>
        </is>
      </c>
      <c r="J1318" s="8" t="n">
        <v>2017</v>
      </c>
      <c r="K1318" s="9" t="n">
        <v>62971</v>
      </c>
      <c r="L1318" s="10" t="n">
        <v>235000</v>
      </c>
      <c r="M1318" s="10" t="n">
        <v>8474.58</v>
      </c>
      <c r="N1318" s="11">
        <f>IF(M1318="","",ROUND(M1318*1.18,2))</f>
        <v/>
      </c>
      <c r="O1318" s="12">
        <f>IF(M1318="","",ROUND(N1318-M1318,2))</f>
        <v/>
      </c>
      <c r="P1318" s="13">
        <f>IF(AND(A1318&lt;&gt;"",B1318&lt;&gt;""), A1318&amp;" · "&amp;B1318, "")</f>
        <v/>
      </c>
    </row>
    <row r="1319">
      <c r="A1319" s="6" t="inlineStr">
        <is>
          <t>FY26</t>
        </is>
      </c>
      <c r="B1319" s="6" t="inlineStr">
        <is>
          <t>Mar</t>
        </is>
      </c>
      <c r="C1319" s="6" t="inlineStr">
        <is>
          <t>TN</t>
        </is>
      </c>
      <c r="D1319" s="7" t="inlineStr">
        <is>
          <t>TN88K4633</t>
        </is>
      </c>
      <c r="E1319" s="7" t="inlineStr">
        <is>
          <t>HONDA</t>
        </is>
      </c>
      <c r="F1319" s="7" t="inlineStr">
        <is>
          <t>Amaze</t>
        </is>
      </c>
      <c r="G1319" s="7" t="inlineStr">
        <is>
          <t>EXCHANGE ROTN</t>
        </is>
      </c>
      <c r="H1319" s="7" t="inlineStr">
        <is>
          <t>Captive</t>
        </is>
      </c>
      <c r="I1319" s="7" t="inlineStr">
        <is>
          <t>Sai Cars</t>
        </is>
      </c>
      <c r="J1319" s="8" t="n">
        <v>2023</v>
      </c>
      <c r="K1319" s="9" t="n">
        <v>44612</v>
      </c>
      <c r="L1319" s="10" t="n">
        <v>460000</v>
      </c>
      <c r="M1319" s="10" t="n">
        <v>8474.58</v>
      </c>
      <c r="N1319" s="11">
        <f>IF(M1319="","",ROUND(M1319*1.18,2))</f>
        <v/>
      </c>
      <c r="O1319" s="12">
        <f>IF(M1319="","",ROUND(N1319-M1319,2))</f>
        <v/>
      </c>
      <c r="P1319" s="13">
        <f>IF(AND(A1319&lt;&gt;"",B1319&lt;&gt;""), A1319&amp;" · "&amp;B1319, "")</f>
        <v/>
      </c>
    </row>
    <row r="1320">
      <c r="A1320" s="6" t="inlineStr">
        <is>
          <t>FY26</t>
        </is>
      </c>
      <c r="B1320" s="6" t="inlineStr">
        <is>
          <t>Mar</t>
        </is>
      </c>
      <c r="C1320" s="6" t="inlineStr">
        <is>
          <t>TN</t>
        </is>
      </c>
      <c r="D1320" s="7" t="inlineStr">
        <is>
          <t>TN91X7394</t>
        </is>
      </c>
      <c r="E1320" s="7" t="inlineStr">
        <is>
          <t>MARUTI SUZUKI</t>
        </is>
      </c>
      <c r="F1320" s="7" t="inlineStr">
        <is>
          <t>Alto K10</t>
        </is>
      </c>
      <c r="G1320" s="7" t="inlineStr">
        <is>
          <t>KHIVRAJ MOTOR</t>
        </is>
      </c>
      <c r="H1320" s="7" t="inlineStr">
        <is>
          <t>Non-Captive</t>
        </is>
      </c>
      <c r="I1320" s="7" t="inlineStr">
        <is>
          <t>AA Cars</t>
        </is>
      </c>
      <c r="J1320" s="8" t="n">
        <v>2016</v>
      </c>
      <c r="K1320" s="9" t="n">
        <v>98528</v>
      </c>
      <c r="L1320" s="10" t="n">
        <v>205000</v>
      </c>
      <c r="M1320" s="10" t="n">
        <v>5084.75</v>
      </c>
      <c r="N1320" s="11">
        <f>IF(M1320="","",ROUND(M1320*1.18,2))</f>
        <v/>
      </c>
      <c r="O1320" s="12">
        <f>IF(M1320="","",ROUND(N1320-M1320,2))</f>
        <v/>
      </c>
      <c r="P1320" s="13">
        <f>IF(AND(A1320&lt;&gt;"",B1320&lt;&gt;""), A1320&amp;" · "&amp;B1320, "")</f>
        <v/>
      </c>
    </row>
    <row r="1321">
      <c r="A1321" s="6" t="inlineStr">
        <is>
          <t>FY26</t>
        </is>
      </c>
      <c r="B1321" s="6" t="inlineStr">
        <is>
          <t>Mar</t>
        </is>
      </c>
      <c r="C1321" s="6" t="inlineStr">
        <is>
          <t>TN</t>
        </is>
      </c>
      <c r="D1321" s="7" t="inlineStr">
        <is>
          <t>TN954676</t>
        </is>
      </c>
      <c r="E1321" s="7" t="inlineStr">
        <is>
          <t>MARUTI SUZUKI</t>
        </is>
      </c>
      <c r="F1321" s="7" t="inlineStr">
        <is>
          <t>Ciaz</t>
        </is>
      </c>
      <c r="G1321" s="7" t="inlineStr">
        <is>
          <t>EXCHANGE ROTN</t>
        </is>
      </c>
      <c r="H1321" s="7" t="inlineStr">
        <is>
          <t>Captive</t>
        </is>
      </c>
      <c r="I1321" s="7" t="inlineStr">
        <is>
          <t>Ashwin cars</t>
        </is>
      </c>
      <c r="J1321" s="8" t="n">
        <v>2017</v>
      </c>
      <c r="K1321" s="9" t="n">
        <v>86882</v>
      </c>
      <c r="L1321" s="10" t="n">
        <v>505000</v>
      </c>
      <c r="M1321" s="10" t="n">
        <v>8474.58</v>
      </c>
      <c r="N1321" s="11">
        <f>IF(M1321="","",ROUND(M1321*1.18,2))</f>
        <v/>
      </c>
      <c r="O1321" s="12">
        <f>IF(M1321="","",ROUND(N1321-M1321,2))</f>
        <v/>
      </c>
      <c r="P1321" s="13">
        <f>IF(AND(A1321&lt;&gt;"",B1321&lt;&gt;""), A1321&amp;" · "&amp;B1321, "")</f>
        <v/>
      </c>
    </row>
    <row r="1322">
      <c r="A1322" s="6" t="inlineStr">
        <is>
          <t>FY26</t>
        </is>
      </c>
      <c r="B1322" s="6" t="inlineStr">
        <is>
          <t>Mar</t>
        </is>
      </c>
      <c r="C1322" s="6" t="inlineStr">
        <is>
          <t>TN</t>
        </is>
      </c>
      <c r="D1322" s="7" t="inlineStr">
        <is>
          <t>TN95E1062</t>
        </is>
      </c>
      <c r="E1322" s="7" t="inlineStr">
        <is>
          <t>MARUTI SUZUKI</t>
        </is>
      </c>
      <c r="F1322" s="7" t="inlineStr">
        <is>
          <t>Ignis</t>
        </is>
      </c>
      <c r="G1322" s="7" t="inlineStr">
        <is>
          <t>EXCHANGE ROTN</t>
        </is>
      </c>
      <c r="H1322" s="7" t="inlineStr">
        <is>
          <t>Captive</t>
        </is>
      </c>
      <c r="I1322" s="7" t="inlineStr">
        <is>
          <t>Paul Cars</t>
        </is>
      </c>
      <c r="J1322" s="8" t="n">
        <v>2020</v>
      </c>
      <c r="K1322" s="9" t="n"/>
      <c r="L1322" s="10" t="n">
        <v>410000</v>
      </c>
      <c r="M1322" s="10" t="n">
        <v>8474.58</v>
      </c>
      <c r="N1322" s="11">
        <f>IF(M1322="","",ROUND(M1322*1.18,2))</f>
        <v/>
      </c>
      <c r="O1322" s="12">
        <f>IF(M1322="","",ROUND(N1322-M1322,2))</f>
        <v/>
      </c>
      <c r="P1322" s="13">
        <f>IF(AND(A1322&lt;&gt;"",B1322&lt;&gt;""), A1322&amp;" · "&amp;B1322, "")</f>
        <v/>
      </c>
    </row>
    <row r="1323">
      <c r="A1323" s="6" t="inlineStr">
        <is>
          <t>FY26</t>
        </is>
      </c>
      <c r="B1323" s="6" t="inlineStr">
        <is>
          <t>Mar</t>
        </is>
      </c>
      <c r="C1323" s="6" t="inlineStr">
        <is>
          <t>TN</t>
        </is>
      </c>
      <c r="D1323" s="7" t="inlineStr">
        <is>
          <t>TN95E8789</t>
        </is>
      </c>
      <c r="E1323" s="7" t="inlineStr">
        <is>
          <t>HONDA</t>
        </is>
      </c>
      <c r="F1323" s="7" t="inlineStr">
        <is>
          <t>City</t>
        </is>
      </c>
      <c r="G1323" s="7" t="inlineStr">
        <is>
          <t>EXCHANGE ROTN</t>
        </is>
      </c>
      <c r="H1323" s="7" t="inlineStr">
        <is>
          <t>Captive</t>
        </is>
      </c>
      <c r="I1323" s="7" t="inlineStr">
        <is>
          <t>Sai Cars</t>
        </is>
      </c>
      <c r="J1323" s="8" t="n">
        <v>2021</v>
      </c>
      <c r="K1323" s="9" t="n">
        <v>124143</v>
      </c>
      <c r="L1323" s="10" t="n">
        <v>550000</v>
      </c>
      <c r="M1323" s="10" t="n">
        <v>4237.29</v>
      </c>
      <c r="N1323" s="11">
        <f>IF(M1323="","",ROUND(M1323*1.18,2))</f>
        <v/>
      </c>
      <c r="O1323" s="12">
        <f>IF(M1323="","",ROUND(N1323-M1323,2))</f>
        <v/>
      </c>
      <c r="P1323" s="13">
        <f>IF(AND(A1323&lt;&gt;"",B1323&lt;&gt;""), A1323&amp;" · "&amp;B1323, "")</f>
        <v/>
      </c>
    </row>
    <row r="1324">
      <c r="A1324" s="6" t="inlineStr">
        <is>
          <t>FY26</t>
        </is>
      </c>
      <c r="B1324" s="6" t="inlineStr">
        <is>
          <t>Mar</t>
        </is>
      </c>
      <c r="C1324" s="6" t="inlineStr">
        <is>
          <t>TN</t>
        </is>
      </c>
      <c r="D1324" s="7" t="inlineStr">
        <is>
          <t>TN99J7981</t>
        </is>
      </c>
      <c r="E1324" s="7" t="inlineStr">
        <is>
          <t>HYUNDAI</t>
        </is>
      </c>
      <c r="F1324" s="7" t="inlineStr">
        <is>
          <t>Verna</t>
        </is>
      </c>
      <c r="G1324" s="7" t="inlineStr">
        <is>
          <t>EXCHANGE ROTN</t>
        </is>
      </c>
      <c r="H1324" s="7" t="inlineStr">
        <is>
          <t>Captive</t>
        </is>
      </c>
      <c r="I1324" s="7" t="inlineStr">
        <is>
          <t>Sarvesh Cars</t>
        </is>
      </c>
      <c r="J1324" s="8" t="n">
        <v>2017</v>
      </c>
      <c r="K1324" s="9" t="n">
        <v>118470</v>
      </c>
      <c r="L1324" s="10" t="n">
        <v>450000</v>
      </c>
      <c r="M1324" s="10" t="n">
        <v>4237.29</v>
      </c>
      <c r="N1324" s="11">
        <f>IF(M1324="","",ROUND(M1324*1.18,2))</f>
        <v/>
      </c>
      <c r="O1324" s="12">
        <f>IF(M1324="","",ROUND(N1324-M1324,2))</f>
        <v/>
      </c>
      <c r="P1324" s="13">
        <f>IF(AND(A1324&lt;&gt;"",B1324&lt;&gt;""), A1324&amp;" · "&amp;B1324, "")</f>
        <v/>
      </c>
    </row>
    <row r="1325">
      <c r="A1325" s="6" t="inlineStr">
        <is>
          <t>FY26</t>
        </is>
      </c>
      <c r="B1325" s="6" t="inlineStr">
        <is>
          <t>Mar</t>
        </is>
      </c>
      <c r="C1325" s="6" t="inlineStr">
        <is>
          <t>TN</t>
        </is>
      </c>
      <c r="D1325" s="7" t="inlineStr">
        <is>
          <t>TN99L8091</t>
        </is>
      </c>
      <c r="E1325" s="7" t="inlineStr">
        <is>
          <t>HYUNDAI</t>
        </is>
      </c>
      <c r="F1325" s="7" t="inlineStr">
        <is>
          <t>i20</t>
        </is>
      </c>
      <c r="G1325" s="7" t="inlineStr">
        <is>
          <t>EXCHANGE ROTN</t>
        </is>
      </c>
      <c r="H1325" s="7" t="inlineStr">
        <is>
          <t>Captive</t>
        </is>
      </c>
      <c r="I1325" s="7" t="inlineStr">
        <is>
          <t>Auto Solution</t>
        </is>
      </c>
      <c r="J1325" s="8" t="n">
        <v>2018</v>
      </c>
      <c r="K1325" s="9" t="n">
        <v>62845</v>
      </c>
      <c r="L1325" s="10" t="n">
        <v>575000</v>
      </c>
      <c r="M1325" s="10" t="n">
        <v>12711.86</v>
      </c>
      <c r="N1325" s="11">
        <f>IF(M1325="","",ROUND(M1325*1.18,2))</f>
        <v/>
      </c>
      <c r="O1325" s="12">
        <f>IF(M1325="","",ROUND(N1325-M1325,2))</f>
        <v/>
      </c>
      <c r="P1325" s="13">
        <f>IF(AND(A1325&lt;&gt;"",B1325&lt;&gt;""), A1325&amp;" · "&amp;B1325, "")</f>
        <v/>
      </c>
    </row>
    <row r="1326">
      <c r="A1326" s="6" t="inlineStr">
        <is>
          <t>FY27</t>
        </is>
      </c>
      <c r="B1326" s="6" t="inlineStr">
        <is>
          <t>Apr</t>
        </is>
      </c>
      <c r="C1326" s="6" t="inlineStr">
        <is>
          <t>AP/TS</t>
        </is>
      </c>
      <c r="D1326" s="7" t="inlineStr">
        <is>
          <t>AP05CW6858</t>
        </is>
      </c>
      <c r="E1326" s="7" t="inlineStr">
        <is>
          <t>HONDA</t>
        </is>
      </c>
      <c r="F1326" s="7" t="inlineStr">
        <is>
          <t>BR-V</t>
        </is>
      </c>
      <c r="G1326" s="7" t="inlineStr">
        <is>
          <t>EXCHANGE VIJAYAWADA</t>
        </is>
      </c>
      <c r="H1326" s="7" t="inlineStr">
        <is>
          <t>Captive</t>
        </is>
      </c>
      <c r="I1326" s="7" t="inlineStr">
        <is>
          <t>Mohammed Shafivulla</t>
        </is>
      </c>
      <c r="J1326" s="8" t="n">
        <v>2016</v>
      </c>
      <c r="K1326" s="9" t="n">
        <v>140987</v>
      </c>
      <c r="L1326" s="10" t="n">
        <v>465000</v>
      </c>
      <c r="M1326" s="10" t="n">
        <v>12711.86</v>
      </c>
      <c r="N1326" s="11">
        <f>IF(M1326="","",ROUND(M1326*1.18,2))</f>
        <v/>
      </c>
      <c r="O1326" s="12">
        <f>IF(M1326="","",ROUND(N1326-M1326,2))</f>
        <v/>
      </c>
      <c r="P1326" s="13">
        <f>IF(AND(A1326&lt;&gt;"",B1326&lt;&gt;""), A1326&amp;" · "&amp;B1326, "")</f>
        <v/>
      </c>
    </row>
    <row r="1327">
      <c r="A1327" s="6" t="inlineStr">
        <is>
          <t>FY27</t>
        </is>
      </c>
      <c r="B1327" s="6" t="inlineStr">
        <is>
          <t>Apr</t>
        </is>
      </c>
      <c r="C1327" s="6" t="inlineStr">
        <is>
          <t>AP/TS</t>
        </is>
      </c>
      <c r="D1327" s="7" t="inlineStr">
        <is>
          <t>AP07CJ4027</t>
        </is>
      </c>
      <c r="E1327" s="7" t="inlineStr">
        <is>
          <t>RENAULT</t>
        </is>
      </c>
      <c r="F1327" s="7" t="inlineStr">
        <is>
          <t>Scala</t>
        </is>
      </c>
      <c r="G1327" s="7" t="inlineStr">
        <is>
          <t>EXCHANGE VIJAYAWADA</t>
        </is>
      </c>
      <c r="H1327" s="7" t="inlineStr">
        <is>
          <t>Captive</t>
        </is>
      </c>
      <c r="I1327" s="7" t="inlineStr">
        <is>
          <t>Guthi Ravi Krishna</t>
        </is>
      </c>
      <c r="J1327" s="8" t="n">
        <v>2014</v>
      </c>
      <c r="K1327" s="9" t="n">
        <v>189054</v>
      </c>
      <c r="L1327" s="10" t="n">
        <v>210000</v>
      </c>
      <c r="M1327" s="10" t="n">
        <v>8474.58</v>
      </c>
      <c r="N1327" s="11">
        <f>IF(M1327="","",ROUND(M1327*1.18,2))</f>
        <v/>
      </c>
      <c r="O1327" s="12">
        <f>IF(M1327="","",ROUND(N1327-M1327,2))</f>
        <v/>
      </c>
      <c r="P1327" s="13">
        <f>IF(AND(A1327&lt;&gt;"",B1327&lt;&gt;""), A1327&amp;" · "&amp;B1327, "")</f>
        <v/>
      </c>
    </row>
    <row r="1328">
      <c r="A1328" s="6" t="inlineStr">
        <is>
          <t>FY27</t>
        </is>
      </c>
      <c r="B1328" s="6" t="inlineStr">
        <is>
          <t>Apr</t>
        </is>
      </c>
      <c r="C1328" s="6" t="inlineStr">
        <is>
          <t>AP/TS</t>
        </is>
      </c>
      <c r="D1328" s="7" t="inlineStr">
        <is>
          <t>AP09BX5540</t>
        </is>
      </c>
      <c r="E1328" s="7" t="inlineStr">
        <is>
          <t>HONDA</t>
        </is>
      </c>
      <c r="F1328" s="7" t="inlineStr">
        <is>
          <t>City</t>
        </is>
      </c>
      <c r="G1328" s="7" t="inlineStr">
        <is>
          <t>EXCHANGE HYDERABAD</t>
        </is>
      </c>
      <c r="H1328" s="7" t="inlineStr">
        <is>
          <t>Captive</t>
        </is>
      </c>
      <c r="I1328" s="7" t="inlineStr">
        <is>
          <t>Nandharam Swapna</t>
        </is>
      </c>
      <c r="J1328" s="8" t="n">
        <v>2010</v>
      </c>
      <c r="K1328" s="9" t="n">
        <v>58533</v>
      </c>
      <c r="L1328" s="10" t="n">
        <v>180000</v>
      </c>
      <c r="M1328" s="10" t="n">
        <v>8474.58</v>
      </c>
      <c r="N1328" s="11">
        <f>IF(M1328="","",ROUND(M1328*1.18,2))</f>
        <v/>
      </c>
      <c r="O1328" s="12">
        <f>IF(M1328="","",ROUND(N1328-M1328,2))</f>
        <v/>
      </c>
      <c r="P1328" s="13">
        <f>IF(AND(A1328&lt;&gt;"",B1328&lt;&gt;""), A1328&amp;" · "&amp;B1328, "")</f>
        <v/>
      </c>
    </row>
    <row r="1329">
      <c r="A1329" s="6" t="inlineStr">
        <is>
          <t>FY27</t>
        </is>
      </c>
      <c r="B1329" s="6" t="inlineStr">
        <is>
          <t>Apr</t>
        </is>
      </c>
      <c r="C1329" s="6" t="inlineStr">
        <is>
          <t>AP/TS</t>
        </is>
      </c>
      <c r="D1329" s="7" t="inlineStr">
        <is>
          <t>AP09CB2766</t>
        </is>
      </c>
      <c r="E1329" s="7" t="inlineStr">
        <is>
          <t>HONDA</t>
        </is>
      </c>
      <c r="F1329" s="7" t="inlineStr">
        <is>
          <t>City</t>
        </is>
      </c>
      <c r="G1329" s="7" t="inlineStr">
        <is>
          <t>MOHAMMED GOUSE BASHA</t>
        </is>
      </c>
      <c r="H1329" s="7" t="inlineStr">
        <is>
          <t>Non-Captive</t>
        </is>
      </c>
      <c r="I1329" s="7" t="inlineStr">
        <is>
          <t>Tenali Srinivas</t>
        </is>
      </c>
      <c r="J1329" s="8" t="n">
        <v>2010</v>
      </c>
      <c r="K1329" s="9" t="n">
        <v>139741</v>
      </c>
      <c r="L1329" s="10" t="n">
        <v>180000</v>
      </c>
      <c r="M1329" s="10" t="n">
        <v>5084.75</v>
      </c>
      <c r="N1329" s="11">
        <f>IF(M1329="","",ROUND(M1329*1.18,2))</f>
        <v/>
      </c>
      <c r="O1329" s="12">
        <f>IF(M1329="","",ROUND(N1329-M1329,2))</f>
        <v/>
      </c>
      <c r="P1329" s="13">
        <f>IF(AND(A1329&lt;&gt;"",B1329&lt;&gt;""), A1329&amp;" · "&amp;B1329, "")</f>
        <v/>
      </c>
    </row>
    <row r="1330">
      <c r="A1330" s="6" t="inlineStr">
        <is>
          <t>FY27</t>
        </is>
      </c>
      <c r="B1330" s="6" t="inlineStr">
        <is>
          <t>Apr</t>
        </is>
      </c>
      <c r="C1330" s="6" t="inlineStr">
        <is>
          <t>AP/TS</t>
        </is>
      </c>
      <c r="D1330" s="7" t="inlineStr">
        <is>
          <t>AP09CF0923</t>
        </is>
      </c>
      <c r="E1330" s="7" t="inlineStr">
        <is>
          <t>HONDA</t>
        </is>
      </c>
      <c r="F1330" s="7" t="inlineStr">
        <is>
          <t>City</t>
        </is>
      </c>
      <c r="G1330" s="7" t="inlineStr">
        <is>
          <t>PUDARI BABU</t>
        </is>
      </c>
      <c r="H1330" s="7" t="inlineStr">
        <is>
          <t>Non-Captive</t>
        </is>
      </c>
      <c r="I1330" s="7" t="inlineStr">
        <is>
          <t>Bukya Santhosh Naik</t>
        </is>
      </c>
      <c r="J1330" s="8" t="n">
        <v>2011</v>
      </c>
      <c r="K1330" s="9" t="n">
        <v>173383</v>
      </c>
      <c r="L1330" s="10" t="n">
        <v>132500</v>
      </c>
      <c r="M1330" s="10" t="n">
        <v>2118.64</v>
      </c>
      <c r="N1330" s="11">
        <f>IF(M1330="","",ROUND(M1330*1.18,2))</f>
        <v/>
      </c>
      <c r="O1330" s="12">
        <f>IF(M1330="","",ROUND(N1330-M1330,2))</f>
        <v/>
      </c>
      <c r="P1330" s="13">
        <f>IF(AND(A1330&lt;&gt;"",B1330&lt;&gt;""), A1330&amp;" · "&amp;B1330, "")</f>
        <v/>
      </c>
    </row>
    <row r="1331">
      <c r="A1331" s="6" t="inlineStr">
        <is>
          <t>FY27</t>
        </is>
      </c>
      <c r="B1331" s="6" t="inlineStr">
        <is>
          <t>Apr</t>
        </is>
      </c>
      <c r="C1331" s="6" t="inlineStr">
        <is>
          <t>AP/TS</t>
        </is>
      </c>
      <c r="D1331" s="7" t="inlineStr">
        <is>
          <t>AP09CG8055</t>
        </is>
      </c>
      <c r="E1331" s="7" t="inlineStr">
        <is>
          <t>VOLVO</t>
        </is>
      </c>
      <c r="F1331" s="7" t="inlineStr">
        <is>
          <t>S60</t>
        </is>
      </c>
      <c r="G1331" s="7" t="inlineStr">
        <is>
          <t>EXCHANGE HYDERABAD</t>
        </is>
      </c>
      <c r="H1331" s="7" t="inlineStr">
        <is>
          <t>Captive</t>
        </is>
      </c>
      <c r="I1331" s="7" t="inlineStr">
        <is>
          <t>Odapally Sandeep</t>
        </is>
      </c>
      <c r="J1331" s="8" t="n">
        <v>2011</v>
      </c>
      <c r="K1331" s="9" t="n">
        <v>148996</v>
      </c>
      <c r="L1331" s="10" t="n">
        <v>225500</v>
      </c>
      <c r="M1331" s="10" t="n">
        <v>4661.02</v>
      </c>
      <c r="N1331" s="11">
        <f>IF(M1331="","",ROUND(M1331*1.18,2))</f>
        <v/>
      </c>
      <c r="O1331" s="12">
        <f>IF(M1331="","",ROUND(N1331-M1331,2))</f>
        <v/>
      </c>
      <c r="P1331" s="13">
        <f>IF(AND(A1331&lt;&gt;"",B1331&lt;&gt;""), A1331&amp;" · "&amp;B1331, "")</f>
        <v/>
      </c>
    </row>
    <row r="1332">
      <c r="A1332" s="6" t="inlineStr">
        <is>
          <t>FY27</t>
        </is>
      </c>
      <c r="B1332" s="6" t="inlineStr">
        <is>
          <t>Apr</t>
        </is>
      </c>
      <c r="C1332" s="6" t="inlineStr">
        <is>
          <t>AP/TS</t>
        </is>
      </c>
      <c r="D1332" s="7" t="inlineStr">
        <is>
          <t>AP09CL6210</t>
        </is>
      </c>
      <c r="E1332" s="7" t="inlineStr">
        <is>
          <t>HONDA</t>
        </is>
      </c>
      <c r="F1332" s="7" t="inlineStr">
        <is>
          <t>Brio</t>
        </is>
      </c>
      <c r="G1332" s="7" t="inlineStr">
        <is>
          <t>EXCHANGE HYDERABAD</t>
        </is>
      </c>
      <c r="H1332" s="7" t="inlineStr">
        <is>
          <t>Captive</t>
        </is>
      </c>
      <c r="I1332" s="7" t="inlineStr">
        <is>
          <t>Naini Ramesh</t>
        </is>
      </c>
      <c r="J1332" s="8" t="n">
        <v>2012</v>
      </c>
      <c r="K1332" s="9" t="n">
        <v>83823</v>
      </c>
      <c r="L1332" s="10" t="n">
        <v>130000</v>
      </c>
      <c r="M1332" s="10" t="n">
        <v>4237.29</v>
      </c>
      <c r="N1332" s="11">
        <f>IF(M1332="","",ROUND(M1332*1.18,2))</f>
        <v/>
      </c>
      <c r="O1332" s="12">
        <f>IF(M1332="","",ROUND(N1332-M1332,2))</f>
        <v/>
      </c>
      <c r="P1332" s="13">
        <f>IF(AND(A1332&lt;&gt;"",B1332&lt;&gt;""), A1332&amp;" · "&amp;B1332, "")</f>
        <v/>
      </c>
    </row>
    <row r="1333">
      <c r="A1333" s="6" t="inlineStr">
        <is>
          <t>FY27</t>
        </is>
      </c>
      <c r="B1333" s="6" t="inlineStr">
        <is>
          <t>Apr</t>
        </is>
      </c>
      <c r="C1333" s="6" t="inlineStr">
        <is>
          <t>AP/TS</t>
        </is>
      </c>
      <c r="D1333" s="7" t="inlineStr">
        <is>
          <t>AP10AT6000</t>
        </is>
      </c>
      <c r="E1333" s="7" t="inlineStr">
        <is>
          <t>HONDA</t>
        </is>
      </c>
      <c r="F1333" s="7" t="inlineStr">
        <is>
          <t>City</t>
        </is>
      </c>
      <c r="G1333" s="7" t="inlineStr">
        <is>
          <t>PUDARI BABU</t>
        </is>
      </c>
      <c r="H1333" s="7" t="inlineStr">
        <is>
          <t>Non-Captive</t>
        </is>
      </c>
      <c r="I1333" s="7" t="inlineStr">
        <is>
          <t>Odapally Sandeep</t>
        </is>
      </c>
      <c r="J1333" s="8" t="n">
        <v>2010</v>
      </c>
      <c r="K1333" s="9" t="n">
        <v>150918</v>
      </c>
      <c r="L1333" s="10" t="n">
        <v>112500</v>
      </c>
      <c r="M1333" s="10" t="n">
        <v>2118.64</v>
      </c>
      <c r="N1333" s="11">
        <f>IF(M1333="","",ROUND(M1333*1.18,2))</f>
        <v/>
      </c>
      <c r="O1333" s="12">
        <f>IF(M1333="","",ROUND(N1333-M1333,2))</f>
        <v/>
      </c>
      <c r="P1333" s="13">
        <f>IF(AND(A1333&lt;&gt;"",B1333&lt;&gt;""), A1333&amp;" · "&amp;B1333, "")</f>
        <v/>
      </c>
    </row>
    <row r="1334">
      <c r="A1334" s="6" t="inlineStr">
        <is>
          <t>FY27</t>
        </is>
      </c>
      <c r="B1334" s="6" t="inlineStr">
        <is>
          <t>Apr</t>
        </is>
      </c>
      <c r="C1334" s="6" t="inlineStr">
        <is>
          <t>AP/TS</t>
        </is>
      </c>
      <c r="D1334" s="7" t="inlineStr">
        <is>
          <t>AP11S7780</t>
        </is>
      </c>
      <c r="E1334" s="7" t="inlineStr">
        <is>
          <t>HONDA</t>
        </is>
      </c>
      <c r="F1334" s="7" t="inlineStr">
        <is>
          <t>City</t>
        </is>
      </c>
      <c r="G1334" s="7" t="inlineStr">
        <is>
          <t>EXCHANGE HYDERABAD</t>
        </is>
      </c>
      <c r="H1334" s="7" t="inlineStr">
        <is>
          <t>Captive</t>
        </is>
      </c>
      <c r="I1334" s="7" t="inlineStr">
        <is>
          <t>Nandharam Swapna</t>
        </is>
      </c>
      <c r="J1334" s="8" t="n">
        <v>2006</v>
      </c>
      <c r="K1334" s="9" t="n">
        <v>59735</v>
      </c>
      <c r="L1334" s="10" t="n">
        <v>90000</v>
      </c>
      <c r="M1334" s="10" t="n">
        <v>4237.29</v>
      </c>
      <c r="N1334" s="11">
        <f>IF(M1334="","",ROUND(M1334*1.18,2))</f>
        <v/>
      </c>
      <c r="O1334" s="12">
        <f>IF(M1334="","",ROUND(N1334-M1334,2))</f>
        <v/>
      </c>
      <c r="P1334" s="13">
        <f>IF(AND(A1334&lt;&gt;"",B1334&lt;&gt;""), A1334&amp;" · "&amp;B1334, "")</f>
        <v/>
      </c>
    </row>
    <row r="1335">
      <c r="A1335" s="6" t="inlineStr">
        <is>
          <t>FY27</t>
        </is>
      </c>
      <c r="B1335" s="6" t="inlineStr">
        <is>
          <t>Apr</t>
        </is>
      </c>
      <c r="C1335" s="6" t="inlineStr">
        <is>
          <t>AP/TS</t>
        </is>
      </c>
      <c r="D1335" s="7" t="inlineStr">
        <is>
          <t>AP13AD9789</t>
        </is>
      </c>
      <c r="E1335" s="7" t="inlineStr">
        <is>
          <t>HONDA</t>
        </is>
      </c>
      <c r="F1335" s="7" t="inlineStr">
        <is>
          <t>City</t>
        </is>
      </c>
      <c r="G1335" s="7" t="inlineStr">
        <is>
          <t>MOHAMMED GOUSE BASHA</t>
        </is>
      </c>
      <c r="H1335" s="7" t="inlineStr">
        <is>
          <t>Non-Captive</t>
        </is>
      </c>
      <c r="I1335" s="7" t="inlineStr">
        <is>
          <t>Koppuravuri Srinivasa Rao</t>
        </is>
      </c>
      <c r="J1335" s="8" t="n">
        <v>2013</v>
      </c>
      <c r="K1335" s="9" t="n">
        <v>256586</v>
      </c>
      <c r="L1335" s="10" t="n">
        <v>190000</v>
      </c>
      <c r="M1335" s="10" t="n">
        <v>5084.75</v>
      </c>
      <c r="N1335" s="11">
        <f>IF(M1335="","",ROUND(M1335*1.18,2))</f>
        <v/>
      </c>
      <c r="O1335" s="12">
        <f>IF(M1335="","",ROUND(N1335-M1335,2))</f>
        <v/>
      </c>
      <c r="P1335" s="13">
        <f>IF(AND(A1335&lt;&gt;"",B1335&lt;&gt;""), A1335&amp;" · "&amp;B1335, "")</f>
        <v/>
      </c>
    </row>
    <row r="1336">
      <c r="A1336" s="6" t="inlineStr">
        <is>
          <t>FY27</t>
        </is>
      </c>
      <c r="B1336" s="6" t="inlineStr">
        <is>
          <t>Apr</t>
        </is>
      </c>
      <c r="C1336" s="6" t="inlineStr">
        <is>
          <t>AP/TS</t>
        </is>
      </c>
      <c r="D1336" s="7" t="inlineStr">
        <is>
          <t>AP16CC8338</t>
        </is>
      </c>
      <c r="E1336" s="7" t="inlineStr">
        <is>
          <t>HONDA</t>
        </is>
      </c>
      <c r="F1336" s="7" t="inlineStr">
        <is>
          <t>City</t>
        </is>
      </c>
      <c r="G1336" s="7" t="inlineStr">
        <is>
          <t>MOHAMMED GOUSE BASHA</t>
        </is>
      </c>
      <c r="H1336" s="7" t="inlineStr">
        <is>
          <t>Non-Captive</t>
        </is>
      </c>
      <c r="I1336" s="7" t="inlineStr">
        <is>
          <t>Koppuravuri Srinivasa Rao</t>
        </is>
      </c>
      <c r="J1336" s="8" t="n">
        <v>2012</v>
      </c>
      <c r="K1336" s="9" t="n">
        <v>214521</v>
      </c>
      <c r="L1336" s="10" t="n">
        <v>190000</v>
      </c>
      <c r="M1336" s="10" t="n">
        <v>5084.75</v>
      </c>
      <c r="N1336" s="11">
        <f>IF(M1336="","",ROUND(M1336*1.18,2))</f>
        <v/>
      </c>
      <c r="O1336" s="12">
        <f>IF(M1336="","",ROUND(N1336-M1336,2))</f>
        <v/>
      </c>
      <c r="P1336" s="13">
        <f>IF(AND(A1336&lt;&gt;"",B1336&lt;&gt;""), A1336&amp;" · "&amp;B1336, "")</f>
        <v/>
      </c>
    </row>
    <row r="1337">
      <c r="A1337" s="6" t="inlineStr">
        <is>
          <t>FY27</t>
        </is>
      </c>
      <c r="B1337" s="6" t="inlineStr">
        <is>
          <t>Apr</t>
        </is>
      </c>
      <c r="C1337" s="6" t="inlineStr">
        <is>
          <t>AP/TS</t>
        </is>
      </c>
      <c r="D1337" s="7" t="inlineStr">
        <is>
          <t>AP16CF4698</t>
        </is>
      </c>
      <c r="E1337" s="7" t="inlineStr">
        <is>
          <t>HONDA</t>
        </is>
      </c>
      <c r="F1337" s="7" t="inlineStr">
        <is>
          <t>City</t>
        </is>
      </c>
      <c r="G1337" s="7" t="inlineStr">
        <is>
          <t>T SRINIVAS</t>
        </is>
      </c>
      <c r="H1337" s="7" t="inlineStr">
        <is>
          <t>Non-Captive</t>
        </is>
      </c>
      <c r="I1337" s="7" t="inlineStr">
        <is>
          <t>Mohammed Gouse Basha</t>
        </is>
      </c>
      <c r="J1337" s="8" t="n">
        <v>2013</v>
      </c>
      <c r="K1337" s="9" t="n">
        <v>188029</v>
      </c>
      <c r="L1337" s="10" t="n">
        <v>180000</v>
      </c>
      <c r="M1337" s="10" t="n">
        <v>5084.75</v>
      </c>
      <c r="N1337" s="11">
        <f>IF(M1337="","",ROUND(M1337*1.18,2))</f>
        <v/>
      </c>
      <c r="O1337" s="12">
        <f>IF(M1337="","",ROUND(N1337-M1337,2))</f>
        <v/>
      </c>
      <c r="P1337" s="13">
        <f>IF(AND(A1337&lt;&gt;"",B1337&lt;&gt;""), A1337&amp;" · "&amp;B1337, "")</f>
        <v/>
      </c>
    </row>
    <row r="1338">
      <c r="A1338" s="6" t="inlineStr">
        <is>
          <t>FY27</t>
        </is>
      </c>
      <c r="B1338" s="6" t="inlineStr">
        <is>
          <t>Apr</t>
        </is>
      </c>
      <c r="C1338" s="6" t="inlineStr">
        <is>
          <t>AP/TS</t>
        </is>
      </c>
      <c r="D1338" s="7" t="inlineStr">
        <is>
          <t>AP16CH0014</t>
        </is>
      </c>
      <c r="E1338" s="7" t="inlineStr">
        <is>
          <t>HYUNDAI</t>
        </is>
      </c>
      <c r="F1338" s="7" t="inlineStr">
        <is>
          <t>i10</t>
        </is>
      </c>
      <c r="G1338" s="7" t="inlineStr">
        <is>
          <t>VINOD KUMAR MURARI</t>
        </is>
      </c>
      <c r="H1338" s="7" t="inlineStr">
        <is>
          <t>Non-Captive</t>
        </is>
      </c>
      <c r="I1338" s="7" t="inlineStr">
        <is>
          <t>Guthi Ravi Krishna</t>
        </is>
      </c>
      <c r="J1338" s="8" t="n">
        <v>2013</v>
      </c>
      <c r="K1338" s="9" t="n">
        <v>140151</v>
      </c>
      <c r="L1338" s="10" t="n">
        <v>200000</v>
      </c>
      <c r="M1338" s="10" t="n">
        <v>5084.75</v>
      </c>
      <c r="N1338" s="11">
        <f>IF(M1338="","",ROUND(M1338*1.18,2))</f>
        <v/>
      </c>
      <c r="O1338" s="12">
        <f>IF(M1338="","",ROUND(N1338-M1338,2))</f>
        <v/>
      </c>
      <c r="P1338" s="13">
        <f>IF(AND(A1338&lt;&gt;"",B1338&lt;&gt;""), A1338&amp;" · "&amp;B1338, "")</f>
        <v/>
      </c>
    </row>
    <row r="1339">
      <c r="A1339" s="6" t="inlineStr">
        <is>
          <t>FY27</t>
        </is>
      </c>
      <c r="B1339" s="6" t="inlineStr">
        <is>
          <t>Apr</t>
        </is>
      </c>
      <c r="C1339" s="6" t="inlineStr">
        <is>
          <t>AP/TS</t>
        </is>
      </c>
      <c r="D1339" s="7" t="inlineStr">
        <is>
          <t>AP16CH1525</t>
        </is>
      </c>
      <c r="E1339" s="7" t="inlineStr">
        <is>
          <t>MARUTI SUZUKI</t>
        </is>
      </c>
      <c r="F1339" s="7" t="inlineStr">
        <is>
          <t>Dzire</t>
        </is>
      </c>
      <c r="G1339" s="7" t="inlineStr">
        <is>
          <t>CHITTIBOMMA SRINIVASA RAO</t>
        </is>
      </c>
      <c r="H1339" s="7" t="inlineStr">
        <is>
          <t>Non-Captive</t>
        </is>
      </c>
      <c r="I1339" s="7" t="inlineStr">
        <is>
          <t>Gopi Nagaraju</t>
        </is>
      </c>
      <c r="J1339" s="8" t="n">
        <v>2013</v>
      </c>
      <c r="K1339" s="9" t="n">
        <v>138222</v>
      </c>
      <c r="L1339" s="10" t="n">
        <v>187500</v>
      </c>
      <c r="M1339" s="10" t="n">
        <v>2118.64</v>
      </c>
      <c r="N1339" s="11">
        <f>IF(M1339="","",ROUND(M1339*1.18,2))</f>
        <v/>
      </c>
      <c r="O1339" s="12">
        <f>IF(M1339="","",ROUND(N1339-M1339,2))</f>
        <v/>
      </c>
      <c r="P1339" s="13">
        <f>IF(AND(A1339&lt;&gt;"",B1339&lt;&gt;""), A1339&amp;" · "&amp;B1339, "")</f>
        <v/>
      </c>
    </row>
    <row r="1340">
      <c r="A1340" s="6" t="inlineStr">
        <is>
          <t>FY27</t>
        </is>
      </c>
      <c r="B1340" s="6" t="inlineStr">
        <is>
          <t>Apr</t>
        </is>
      </c>
      <c r="C1340" s="6" t="inlineStr">
        <is>
          <t>AP/TS</t>
        </is>
      </c>
      <c r="D1340" s="7" t="inlineStr">
        <is>
          <t>AP16CH2476</t>
        </is>
      </c>
      <c r="E1340" s="7" t="inlineStr">
        <is>
          <t>HYUNDAI</t>
        </is>
      </c>
      <c r="F1340" s="7" t="inlineStr">
        <is>
          <t>i10</t>
        </is>
      </c>
      <c r="G1340" s="7" t="inlineStr">
        <is>
          <t>MOHAMMED GOUSE BASHA</t>
        </is>
      </c>
      <c r="H1340" s="7" t="inlineStr">
        <is>
          <t>Non-Captive</t>
        </is>
      </c>
      <c r="I1340" s="7" t="inlineStr">
        <is>
          <t>Tenali Srinivas</t>
        </is>
      </c>
      <c r="J1340" s="8" t="n">
        <v>2013</v>
      </c>
      <c r="K1340" s="9" t="n">
        <v>187125</v>
      </c>
      <c r="L1340" s="10" t="n">
        <v>180000</v>
      </c>
      <c r="M1340" s="10" t="n">
        <v>5084.75</v>
      </c>
      <c r="N1340" s="11">
        <f>IF(M1340="","",ROUND(M1340*1.18,2))</f>
        <v/>
      </c>
      <c r="O1340" s="12">
        <f>IF(M1340="","",ROUND(N1340-M1340,2))</f>
        <v/>
      </c>
      <c r="P1340" s="13">
        <f>IF(AND(A1340&lt;&gt;"",B1340&lt;&gt;""), A1340&amp;" · "&amp;B1340, "")</f>
        <v/>
      </c>
    </row>
    <row r="1341">
      <c r="A1341" s="6" t="inlineStr">
        <is>
          <t>FY27</t>
        </is>
      </c>
      <c r="B1341" s="6" t="inlineStr">
        <is>
          <t>Apr</t>
        </is>
      </c>
      <c r="C1341" s="6" t="inlineStr">
        <is>
          <t>AP/TS</t>
        </is>
      </c>
      <c r="D1341" s="7" t="inlineStr">
        <is>
          <t>AP16CH5879</t>
        </is>
      </c>
      <c r="E1341" s="7" t="inlineStr">
        <is>
          <t>TOYOTA</t>
        </is>
      </c>
      <c r="F1341" s="7" t="inlineStr">
        <is>
          <t>Etios</t>
        </is>
      </c>
      <c r="G1341" s="7" t="inlineStr">
        <is>
          <t>EXCHANGE VIJAYAWADA</t>
        </is>
      </c>
      <c r="H1341" s="7" t="inlineStr">
        <is>
          <t>Captive</t>
        </is>
      </c>
      <c r="I1341" s="7" t="inlineStr">
        <is>
          <t>Suresh Ginjupalli</t>
        </is>
      </c>
      <c r="J1341" s="8" t="n">
        <v>2013</v>
      </c>
      <c r="K1341" s="9" t="n">
        <v>59802</v>
      </c>
      <c r="L1341" s="10" t="n">
        <v>257500</v>
      </c>
      <c r="M1341" s="10" t="n">
        <v>6355.93</v>
      </c>
      <c r="N1341" s="11">
        <f>IF(M1341="","",ROUND(M1341*1.18,2))</f>
        <v/>
      </c>
      <c r="O1341" s="12">
        <f>IF(M1341="","",ROUND(N1341-M1341,2))</f>
        <v/>
      </c>
      <c r="P1341" s="13">
        <f>IF(AND(A1341&lt;&gt;"",B1341&lt;&gt;""), A1341&amp;" · "&amp;B1341, "")</f>
        <v/>
      </c>
    </row>
    <row r="1342">
      <c r="A1342" s="6" t="inlineStr">
        <is>
          <t>FY27</t>
        </is>
      </c>
      <c r="B1342" s="6" t="inlineStr">
        <is>
          <t>Apr</t>
        </is>
      </c>
      <c r="C1342" s="6" t="inlineStr">
        <is>
          <t>AP/TS</t>
        </is>
      </c>
      <c r="D1342" s="7" t="inlineStr">
        <is>
          <t>AP16CJ6026</t>
        </is>
      </c>
      <c r="E1342" s="7" t="inlineStr">
        <is>
          <t>MARUTI SUZUKI</t>
        </is>
      </c>
      <c r="F1342" s="7" t="inlineStr">
        <is>
          <t>Swift</t>
        </is>
      </c>
      <c r="G1342" s="7" t="inlineStr">
        <is>
          <t>CHITTIBOMMA SRINIVASA RAO</t>
        </is>
      </c>
      <c r="H1342" s="7" t="inlineStr">
        <is>
          <t>Non-Captive</t>
        </is>
      </c>
      <c r="I1342" s="7" t="inlineStr">
        <is>
          <t>Gopi Nagaraju</t>
        </is>
      </c>
      <c r="J1342" s="8" t="n">
        <v>2013</v>
      </c>
      <c r="K1342" s="9" t="n">
        <v>123050</v>
      </c>
      <c r="L1342" s="10" t="n">
        <v>182500</v>
      </c>
      <c r="M1342" s="10" t="n">
        <v>2118.64</v>
      </c>
      <c r="N1342" s="11">
        <f>IF(M1342="","",ROUND(M1342*1.18,2))</f>
        <v/>
      </c>
      <c r="O1342" s="12">
        <f>IF(M1342="","",ROUND(N1342-M1342,2))</f>
        <v/>
      </c>
      <c r="P1342" s="13">
        <f>IF(AND(A1342&lt;&gt;"",B1342&lt;&gt;""), A1342&amp;" · "&amp;B1342, "")</f>
        <v/>
      </c>
    </row>
    <row r="1343">
      <c r="A1343" s="6" t="inlineStr">
        <is>
          <t>FY27</t>
        </is>
      </c>
      <c r="B1343" s="6" t="inlineStr">
        <is>
          <t>Apr</t>
        </is>
      </c>
      <c r="C1343" s="6" t="inlineStr">
        <is>
          <t>AP/TS</t>
        </is>
      </c>
      <c r="D1343" s="7" t="inlineStr">
        <is>
          <t>AP16CL0181</t>
        </is>
      </c>
      <c r="E1343" s="7" t="inlineStr">
        <is>
          <t>HONDA</t>
        </is>
      </c>
      <c r="F1343" s="7" t="inlineStr">
        <is>
          <t>Brio</t>
        </is>
      </c>
      <c r="G1343" s="7" t="inlineStr">
        <is>
          <t>CHITTIBOMMA SRINIVASA RAO</t>
        </is>
      </c>
      <c r="H1343" s="7" t="inlineStr">
        <is>
          <t>Non-Captive</t>
        </is>
      </c>
      <c r="I1343" s="7" t="inlineStr">
        <is>
          <t>Gopi Nagaraju</t>
        </is>
      </c>
      <c r="J1343" s="8" t="n">
        <v>2013</v>
      </c>
      <c r="K1343" s="9" t="n">
        <v>124251</v>
      </c>
      <c r="L1343" s="10" t="n">
        <v>162500</v>
      </c>
      <c r="M1343" s="10" t="n">
        <v>2118.64</v>
      </c>
      <c r="N1343" s="11">
        <f>IF(M1343="","",ROUND(M1343*1.18,2))</f>
        <v/>
      </c>
      <c r="O1343" s="12">
        <f>IF(M1343="","",ROUND(N1343-M1343,2))</f>
        <v/>
      </c>
      <c r="P1343" s="13">
        <f>IF(AND(A1343&lt;&gt;"",B1343&lt;&gt;""), A1343&amp;" · "&amp;B1343, "")</f>
        <v/>
      </c>
    </row>
    <row r="1344">
      <c r="A1344" s="6" t="inlineStr">
        <is>
          <t>FY27</t>
        </is>
      </c>
      <c r="B1344" s="6" t="inlineStr">
        <is>
          <t>Apr</t>
        </is>
      </c>
      <c r="C1344" s="6" t="inlineStr">
        <is>
          <t>AP/TS</t>
        </is>
      </c>
      <c r="D1344" s="7" t="inlineStr">
        <is>
          <t>AP16CQ0959</t>
        </is>
      </c>
      <c r="E1344" s="7" t="inlineStr">
        <is>
          <t>HYUNDAI</t>
        </is>
      </c>
      <c r="F1344" s="7" t="inlineStr">
        <is>
          <t>Grand i10</t>
        </is>
      </c>
      <c r="G1344" s="7" t="inlineStr">
        <is>
          <t>T SRINIVAS</t>
        </is>
      </c>
      <c r="H1344" s="7" t="inlineStr">
        <is>
          <t>Non-Captive</t>
        </is>
      </c>
      <c r="I1344" s="7" t="inlineStr">
        <is>
          <t>Naga Suresh Polukonda</t>
        </is>
      </c>
      <c r="J1344" s="8" t="n">
        <v>2014</v>
      </c>
      <c r="K1344" s="9" t="n">
        <v>199108</v>
      </c>
      <c r="L1344" s="10" t="n">
        <v>100000</v>
      </c>
      <c r="M1344" s="10" t="n">
        <v>4237.29</v>
      </c>
      <c r="N1344" s="11">
        <f>IF(M1344="","",ROUND(M1344*1.18,2))</f>
        <v/>
      </c>
      <c r="O1344" s="12">
        <f>IF(M1344="","",ROUND(N1344-M1344,2))</f>
        <v/>
      </c>
      <c r="P1344" s="13">
        <f>IF(AND(A1344&lt;&gt;"",B1344&lt;&gt;""), A1344&amp;" · "&amp;B1344, "")</f>
        <v/>
      </c>
    </row>
    <row r="1345">
      <c r="A1345" s="6" t="inlineStr">
        <is>
          <t>FY27</t>
        </is>
      </c>
      <c r="B1345" s="6" t="inlineStr">
        <is>
          <t>Apr</t>
        </is>
      </c>
      <c r="C1345" s="6" t="inlineStr">
        <is>
          <t>AP/TS</t>
        </is>
      </c>
      <c r="D1345" s="7" t="inlineStr">
        <is>
          <t>AP16CS0477</t>
        </is>
      </c>
      <c r="E1345" s="7" t="inlineStr">
        <is>
          <t>HYUNDAI</t>
        </is>
      </c>
      <c r="F1345" s="7" t="inlineStr">
        <is>
          <t>Grand i10</t>
        </is>
      </c>
      <c r="G1345" s="7" t="inlineStr">
        <is>
          <t>CHITTIBOMMA SRINIVASA RAO</t>
        </is>
      </c>
      <c r="H1345" s="7" t="inlineStr">
        <is>
          <t>Non-Captive</t>
        </is>
      </c>
      <c r="I1345" s="7" t="inlineStr">
        <is>
          <t>Gopi Nagaraju</t>
        </is>
      </c>
      <c r="J1345" s="8" t="n">
        <v>2014</v>
      </c>
      <c r="K1345" s="9" t="n">
        <v>147108</v>
      </c>
      <c r="L1345" s="10" t="n">
        <v>202500</v>
      </c>
      <c r="M1345" s="10" t="n">
        <v>2118.64</v>
      </c>
      <c r="N1345" s="11">
        <f>IF(M1345="","",ROUND(M1345*1.18,2))</f>
        <v/>
      </c>
      <c r="O1345" s="12">
        <f>IF(M1345="","",ROUND(N1345-M1345,2))</f>
        <v/>
      </c>
      <c r="P1345" s="13">
        <f>IF(AND(A1345&lt;&gt;"",B1345&lt;&gt;""), A1345&amp;" · "&amp;B1345, "")</f>
        <v/>
      </c>
    </row>
    <row r="1346">
      <c r="A1346" s="6" t="inlineStr">
        <is>
          <t>FY27</t>
        </is>
      </c>
      <c r="B1346" s="6" t="inlineStr">
        <is>
          <t>Apr</t>
        </is>
      </c>
      <c r="C1346" s="6" t="inlineStr">
        <is>
          <t>AP/TS</t>
        </is>
      </c>
      <c r="D1346" s="7" t="inlineStr">
        <is>
          <t>AP16DC2996</t>
        </is>
      </c>
      <c r="E1346" s="7" t="inlineStr">
        <is>
          <t>HYUNDAI</t>
        </is>
      </c>
      <c r="F1346" s="7" t="inlineStr">
        <is>
          <t>Grand i10</t>
        </is>
      </c>
      <c r="G1346" s="7" t="inlineStr">
        <is>
          <t>VINOD KUMAR MURARI</t>
        </is>
      </c>
      <c r="H1346" s="7" t="inlineStr">
        <is>
          <t>Non-Captive</t>
        </is>
      </c>
      <c r="I1346" s="7" t="inlineStr">
        <is>
          <t>Naga Suresh Polukonda</t>
        </is>
      </c>
      <c r="J1346" s="8" t="n">
        <v>2015</v>
      </c>
      <c r="K1346" s="9" t="n">
        <v>191643</v>
      </c>
      <c r="L1346" s="10" t="n">
        <v>170000</v>
      </c>
      <c r="M1346" s="10" t="n">
        <v>5084.75</v>
      </c>
      <c r="N1346" s="11">
        <f>IF(M1346="","",ROUND(M1346*1.18,2))</f>
        <v/>
      </c>
      <c r="O1346" s="12">
        <f>IF(M1346="","",ROUND(N1346-M1346,2))</f>
        <v/>
      </c>
      <c r="P1346" s="13">
        <f>IF(AND(A1346&lt;&gt;"",B1346&lt;&gt;""), A1346&amp;" · "&amp;B1346, "")</f>
        <v/>
      </c>
    </row>
    <row r="1347">
      <c r="A1347" s="6" t="inlineStr">
        <is>
          <t>FY27</t>
        </is>
      </c>
      <c r="B1347" s="6" t="inlineStr">
        <is>
          <t>Apr</t>
        </is>
      </c>
      <c r="C1347" s="6" t="inlineStr">
        <is>
          <t>AP/TS</t>
        </is>
      </c>
      <c r="D1347" s="7" t="inlineStr">
        <is>
          <t>AP16DP2237</t>
        </is>
      </c>
      <c r="E1347" s="7" t="inlineStr">
        <is>
          <t>MARUTI SUZUKI</t>
        </is>
      </c>
      <c r="F1347" s="7" t="inlineStr">
        <is>
          <t>Ritz</t>
        </is>
      </c>
      <c r="G1347" s="7" t="inlineStr">
        <is>
          <t>VINOD KUMAR MURARI</t>
        </is>
      </c>
      <c r="H1347" s="7" t="inlineStr">
        <is>
          <t>Non-Captive</t>
        </is>
      </c>
      <c r="I1347" s="7" t="inlineStr">
        <is>
          <t>Guthi Ravi Krishna</t>
        </is>
      </c>
      <c r="J1347" s="8" t="n">
        <v>2016</v>
      </c>
      <c r="K1347" s="9" t="n">
        <v>169063</v>
      </c>
      <c r="L1347" s="10" t="n">
        <v>190000</v>
      </c>
      <c r="M1347" s="10" t="n">
        <v>5932.2</v>
      </c>
      <c r="N1347" s="11">
        <f>IF(M1347="","",ROUND(M1347*1.18,2))</f>
        <v/>
      </c>
      <c r="O1347" s="12">
        <f>IF(M1347="","",ROUND(N1347-M1347,2))</f>
        <v/>
      </c>
      <c r="P1347" s="13">
        <f>IF(AND(A1347&lt;&gt;"",B1347&lt;&gt;""), A1347&amp;" · "&amp;B1347, "")</f>
        <v/>
      </c>
    </row>
    <row r="1348">
      <c r="A1348" s="6" t="inlineStr">
        <is>
          <t>FY27</t>
        </is>
      </c>
      <c r="B1348" s="6" t="inlineStr">
        <is>
          <t>Apr</t>
        </is>
      </c>
      <c r="C1348" s="6" t="inlineStr">
        <is>
          <t>AP/TS</t>
        </is>
      </c>
      <c r="D1348" s="7" t="inlineStr">
        <is>
          <t>AP16EN6993</t>
        </is>
      </c>
      <c r="E1348" s="7" t="inlineStr">
        <is>
          <t>MARUTI SUZUKI</t>
        </is>
      </c>
      <c r="F1348" s="7" t="inlineStr">
        <is>
          <t>Celerio</t>
        </is>
      </c>
      <c r="G1348" s="7" t="inlineStr">
        <is>
          <t>VINOD KUMAR MURARI</t>
        </is>
      </c>
      <c r="H1348" s="7" t="inlineStr">
        <is>
          <t>Non-Captive</t>
        </is>
      </c>
      <c r="I1348" s="7" t="inlineStr">
        <is>
          <t>Devarapalli Avinash</t>
        </is>
      </c>
      <c r="J1348" s="8" t="n">
        <v>2017</v>
      </c>
      <c r="K1348" s="9" t="n">
        <v>135212</v>
      </c>
      <c r="L1348" s="10" t="n">
        <v>190000</v>
      </c>
      <c r="M1348" s="10" t="n">
        <v>5084.75</v>
      </c>
      <c r="N1348" s="11">
        <f>IF(M1348="","",ROUND(M1348*1.18,2))</f>
        <v/>
      </c>
      <c r="O1348" s="12">
        <f>IF(M1348="","",ROUND(N1348-M1348,2))</f>
        <v/>
      </c>
      <c r="P1348" s="13">
        <f>IF(AND(A1348&lt;&gt;"",B1348&lt;&gt;""), A1348&amp;" · "&amp;B1348, "")</f>
        <v/>
      </c>
    </row>
    <row r="1349">
      <c r="A1349" s="6" t="inlineStr">
        <is>
          <t>FY27</t>
        </is>
      </c>
      <c r="B1349" s="6" t="inlineStr">
        <is>
          <t>Apr</t>
        </is>
      </c>
      <c r="C1349" s="6" t="inlineStr">
        <is>
          <t>AP/TS</t>
        </is>
      </c>
      <c r="D1349" s="7" t="inlineStr">
        <is>
          <t>AP16ER1002</t>
        </is>
      </c>
      <c r="E1349" s="7" t="inlineStr">
        <is>
          <t>HONDA</t>
        </is>
      </c>
      <c r="F1349" s="7" t="inlineStr">
        <is>
          <t>Jazz</t>
        </is>
      </c>
      <c r="G1349" s="7" t="inlineStr">
        <is>
          <t>VINOD KUMAR MURARI</t>
        </is>
      </c>
      <c r="H1349" s="7" t="inlineStr">
        <is>
          <t>Non-Captive</t>
        </is>
      </c>
      <c r="I1349" s="7" t="inlineStr">
        <is>
          <t>Turaka Sarat</t>
        </is>
      </c>
      <c r="J1349" s="8" t="n">
        <v>2017</v>
      </c>
      <c r="K1349" s="9" t="n">
        <v>185856</v>
      </c>
      <c r="L1349" s="10" t="n">
        <v>180000</v>
      </c>
      <c r="M1349" s="10" t="n">
        <v>5084.75</v>
      </c>
      <c r="N1349" s="11">
        <f>IF(M1349="","",ROUND(M1349*1.18,2))</f>
        <v/>
      </c>
      <c r="O1349" s="12">
        <f>IF(M1349="","",ROUND(N1349-M1349,2))</f>
        <v/>
      </c>
      <c r="P1349" s="13">
        <f>IF(AND(A1349&lt;&gt;"",B1349&lt;&gt;""), A1349&amp;" · "&amp;B1349, "")</f>
        <v/>
      </c>
    </row>
    <row r="1350">
      <c r="A1350" s="6" t="inlineStr">
        <is>
          <t>FY27</t>
        </is>
      </c>
      <c r="B1350" s="6" t="inlineStr">
        <is>
          <t>Apr</t>
        </is>
      </c>
      <c r="C1350" s="6" t="inlineStr">
        <is>
          <t>AP/TS</t>
        </is>
      </c>
      <c r="D1350" s="7" t="inlineStr">
        <is>
          <t>AP16FD7112</t>
        </is>
      </c>
      <c r="E1350" s="7" t="inlineStr">
        <is>
          <t>HYUNDAI</t>
        </is>
      </c>
      <c r="F1350" s="7" t="inlineStr">
        <is>
          <t>Eon</t>
        </is>
      </c>
      <c r="G1350" s="7" t="inlineStr">
        <is>
          <t>T SRINIVAS</t>
        </is>
      </c>
      <c r="H1350" s="7" t="inlineStr">
        <is>
          <t>Non-Captive</t>
        </is>
      </c>
      <c r="I1350" s="7" t="inlineStr">
        <is>
          <t>Suresh Ginjupalli</t>
        </is>
      </c>
      <c r="J1350" s="8" t="n">
        <v>2018</v>
      </c>
      <c r="K1350" s="9" t="n">
        <v>136252</v>
      </c>
      <c r="L1350" s="10" t="n">
        <v>217500</v>
      </c>
      <c r="M1350" s="10" t="n">
        <v>6355.93</v>
      </c>
      <c r="N1350" s="11">
        <f>IF(M1350="","",ROUND(M1350*1.18,2))</f>
        <v/>
      </c>
      <c r="O1350" s="12">
        <f>IF(M1350="","",ROUND(N1350-M1350,2))</f>
        <v/>
      </c>
      <c r="P1350" s="13">
        <f>IF(AND(A1350&lt;&gt;"",B1350&lt;&gt;""), A1350&amp;" · "&amp;B1350, "")</f>
        <v/>
      </c>
    </row>
    <row r="1351">
      <c r="A1351" s="6" t="inlineStr">
        <is>
          <t>FY27</t>
        </is>
      </c>
      <c r="B1351" s="6" t="inlineStr">
        <is>
          <t>Apr</t>
        </is>
      </c>
      <c r="C1351" s="6" t="inlineStr">
        <is>
          <t>AP/TS</t>
        </is>
      </c>
      <c r="D1351" s="7" t="inlineStr">
        <is>
          <t>AP24AV4747</t>
        </is>
      </c>
      <c r="E1351" s="7" t="inlineStr">
        <is>
          <t>HYUNDAI</t>
        </is>
      </c>
      <c r="F1351" s="7" t="inlineStr">
        <is>
          <t>Verna</t>
        </is>
      </c>
      <c r="G1351" s="7" t="inlineStr">
        <is>
          <t>PUDARI BABU</t>
        </is>
      </c>
      <c r="H1351" s="7" t="inlineStr">
        <is>
          <t>Non-Captive</t>
        </is>
      </c>
      <c r="I1351" s="7" t="inlineStr">
        <is>
          <t>Bukya Santhosh Naik</t>
        </is>
      </c>
      <c r="J1351" s="8" t="n">
        <v>2013</v>
      </c>
      <c r="K1351" s="9" t="n">
        <v>115125</v>
      </c>
      <c r="L1351" s="10" t="n">
        <v>182500</v>
      </c>
      <c r="M1351" s="10" t="n">
        <v>2118.64</v>
      </c>
      <c r="N1351" s="11">
        <f>IF(M1351="","",ROUND(M1351*1.18,2))</f>
        <v/>
      </c>
      <c r="O1351" s="12">
        <f>IF(M1351="","",ROUND(N1351-M1351,2))</f>
        <v/>
      </c>
      <c r="P1351" s="13">
        <f>IF(AND(A1351&lt;&gt;"",B1351&lt;&gt;""), A1351&amp;" · "&amp;B1351, "")</f>
        <v/>
      </c>
    </row>
    <row r="1352">
      <c r="A1352" s="6" t="inlineStr">
        <is>
          <t>FY27</t>
        </is>
      </c>
      <c r="B1352" s="6" t="inlineStr">
        <is>
          <t>Apr</t>
        </is>
      </c>
      <c r="C1352" s="6" t="inlineStr">
        <is>
          <t>AP/TS</t>
        </is>
      </c>
      <c r="D1352" s="7" t="inlineStr">
        <is>
          <t>AP25AQ8979</t>
        </is>
      </c>
      <c r="E1352" s="7" t="inlineStr">
        <is>
          <t>HYUNDAI</t>
        </is>
      </c>
      <c r="F1352" s="7" t="inlineStr">
        <is>
          <t>Grand i10</t>
        </is>
      </c>
      <c r="G1352" s="7" t="inlineStr">
        <is>
          <t>PUDARI BABU</t>
        </is>
      </c>
      <c r="H1352" s="7" t="inlineStr">
        <is>
          <t>Non-Captive</t>
        </is>
      </c>
      <c r="I1352" s="7" t="inlineStr">
        <is>
          <t>Odapally Sandeep</t>
        </is>
      </c>
      <c r="J1352" s="8" t="n">
        <v>2013</v>
      </c>
      <c r="K1352" s="9" t="n">
        <v>130943</v>
      </c>
      <c r="L1352" s="10" t="n">
        <v>152500</v>
      </c>
      <c r="M1352" s="10" t="n">
        <v>2118.64</v>
      </c>
      <c r="N1352" s="11">
        <f>IF(M1352="","",ROUND(M1352*1.18,2))</f>
        <v/>
      </c>
      <c r="O1352" s="12">
        <f>IF(M1352="","",ROUND(N1352-M1352,2))</f>
        <v/>
      </c>
      <c r="P1352" s="13">
        <f>IF(AND(A1352&lt;&gt;"",B1352&lt;&gt;""), A1352&amp;" · "&amp;B1352, "")</f>
        <v/>
      </c>
    </row>
    <row r="1353">
      <c r="A1353" s="6" t="inlineStr">
        <is>
          <t>FY27</t>
        </is>
      </c>
      <c r="B1353" s="6" t="inlineStr">
        <is>
          <t>Apr</t>
        </is>
      </c>
      <c r="C1353" s="6" t="inlineStr">
        <is>
          <t>AP/TS</t>
        </is>
      </c>
      <c r="D1353" s="7" t="inlineStr">
        <is>
          <t>AP28CH4442</t>
        </is>
      </c>
      <c r="E1353" s="7" t="inlineStr">
        <is>
          <t>HYUNDAI</t>
        </is>
      </c>
      <c r="F1353" s="7" t="inlineStr">
        <is>
          <t>Verna</t>
        </is>
      </c>
      <c r="G1353" s="7" t="inlineStr">
        <is>
          <t>PUNEET GUPTA</t>
        </is>
      </c>
      <c r="H1353" s="7" t="inlineStr">
        <is>
          <t>Non-Captive</t>
        </is>
      </c>
      <c r="I1353" s="7" t="inlineStr">
        <is>
          <t>Prabjyoth Singh Wasu</t>
        </is>
      </c>
      <c r="J1353" s="8" t="n">
        <v>2012</v>
      </c>
      <c r="K1353" s="9" t="n">
        <v>162600</v>
      </c>
      <c r="L1353" s="10" t="n">
        <v>182500</v>
      </c>
      <c r="M1353" s="10" t="n">
        <v>2118.64</v>
      </c>
      <c r="N1353" s="11">
        <f>IF(M1353="","",ROUND(M1353*1.18,2))</f>
        <v/>
      </c>
      <c r="O1353" s="12">
        <f>IF(M1353="","",ROUND(N1353-M1353,2))</f>
        <v/>
      </c>
      <c r="P1353" s="13">
        <f>IF(AND(A1353&lt;&gt;"",B1353&lt;&gt;""), A1353&amp;" · "&amp;B1353, "")</f>
        <v/>
      </c>
    </row>
    <row r="1354">
      <c r="A1354" s="6" t="inlineStr">
        <is>
          <t>FY27</t>
        </is>
      </c>
      <c r="B1354" s="6" t="inlineStr">
        <is>
          <t>Apr</t>
        </is>
      </c>
      <c r="C1354" s="6" t="inlineStr">
        <is>
          <t>AP/TS</t>
        </is>
      </c>
      <c r="D1354" s="7" t="inlineStr">
        <is>
          <t>AP28CJ8988</t>
        </is>
      </c>
      <c r="E1354" s="7" t="inlineStr">
        <is>
          <t>VOLKSWAGEN</t>
        </is>
      </c>
      <c r="F1354" s="7" t="inlineStr">
        <is>
          <t>Polo</t>
        </is>
      </c>
      <c r="G1354" s="7" t="inlineStr">
        <is>
          <t>GUTHI RAVI KRISHNA</t>
        </is>
      </c>
      <c r="H1354" s="7" t="inlineStr">
        <is>
          <t>Non-Captive</t>
        </is>
      </c>
      <c r="I1354" s="7" t="inlineStr">
        <is>
          <t>Adapa Aravind Sai Kumar</t>
        </is>
      </c>
      <c r="J1354" s="8" t="n">
        <v>2013</v>
      </c>
      <c r="K1354" s="9" t="n">
        <v>169015</v>
      </c>
      <c r="L1354" s="10" t="n">
        <v>190000</v>
      </c>
      <c r="M1354" s="10" t="n">
        <v>5084.75</v>
      </c>
      <c r="N1354" s="11">
        <f>IF(M1354="","",ROUND(M1354*1.18,2))</f>
        <v/>
      </c>
      <c r="O1354" s="12">
        <f>IF(M1354="","",ROUND(N1354-M1354,2))</f>
        <v/>
      </c>
      <c r="P1354" s="13">
        <f>IF(AND(A1354&lt;&gt;"",B1354&lt;&gt;""), A1354&amp;" · "&amp;B1354, "")</f>
        <v/>
      </c>
    </row>
    <row r="1355">
      <c r="A1355" s="6" t="inlineStr">
        <is>
          <t>FY27</t>
        </is>
      </c>
      <c r="B1355" s="6" t="inlineStr">
        <is>
          <t>Apr</t>
        </is>
      </c>
      <c r="C1355" s="6" t="inlineStr">
        <is>
          <t>AP/TS</t>
        </is>
      </c>
      <c r="D1355" s="7" t="inlineStr">
        <is>
          <t>AP28CL3732</t>
        </is>
      </c>
      <c r="E1355" s="7" t="inlineStr">
        <is>
          <t>MARUTI SUZUKI</t>
        </is>
      </c>
      <c r="F1355" s="7" t="inlineStr">
        <is>
          <t>Swift</t>
        </is>
      </c>
      <c r="G1355" s="7" t="inlineStr">
        <is>
          <t>PUDARI BABU</t>
        </is>
      </c>
      <c r="H1355" s="7" t="inlineStr">
        <is>
          <t>Non-Captive</t>
        </is>
      </c>
      <c r="I1355" s="7" t="inlineStr">
        <is>
          <t>Bukya Santhosh Naik</t>
        </is>
      </c>
      <c r="J1355" s="8" t="n">
        <v>2013</v>
      </c>
      <c r="K1355" s="9" t="n">
        <v>155592</v>
      </c>
      <c r="L1355" s="10" t="n">
        <v>207500</v>
      </c>
      <c r="M1355" s="10" t="n">
        <v>2118.64</v>
      </c>
      <c r="N1355" s="11">
        <f>IF(M1355="","",ROUND(M1355*1.18,2))</f>
        <v/>
      </c>
      <c r="O1355" s="12">
        <f>IF(M1355="","",ROUND(N1355-M1355,2))</f>
        <v/>
      </c>
      <c r="P1355" s="13">
        <f>IF(AND(A1355&lt;&gt;"",B1355&lt;&gt;""), A1355&amp;" · "&amp;B1355, "")</f>
        <v/>
      </c>
    </row>
    <row r="1356">
      <c r="A1356" s="6" t="inlineStr">
        <is>
          <t>FY27</t>
        </is>
      </c>
      <c r="B1356" s="6" t="inlineStr">
        <is>
          <t>Apr</t>
        </is>
      </c>
      <c r="C1356" s="6" t="inlineStr">
        <is>
          <t>AP/TS</t>
        </is>
      </c>
      <c r="D1356" s="7" t="inlineStr">
        <is>
          <t>AP28DM1181</t>
        </is>
      </c>
      <c r="E1356" s="7" t="inlineStr">
        <is>
          <t>MARUTI SUZUKI</t>
        </is>
      </c>
      <c r="F1356" s="7" t="inlineStr">
        <is>
          <t>Alto</t>
        </is>
      </c>
      <c r="G1356" s="7" t="inlineStr">
        <is>
          <t>PUNEET GUPTA</t>
        </is>
      </c>
      <c r="H1356" s="7" t="inlineStr">
        <is>
          <t>Non-Captive</t>
        </is>
      </c>
      <c r="I1356" s="7" t="inlineStr">
        <is>
          <t>Prabjyoth Singh Wasu</t>
        </is>
      </c>
      <c r="J1356" s="8" t="n">
        <v>2011</v>
      </c>
      <c r="K1356" s="9" t="n">
        <v>185212</v>
      </c>
      <c r="L1356" s="10" t="n">
        <v>92500</v>
      </c>
      <c r="M1356" s="10" t="n">
        <v>2118.64</v>
      </c>
      <c r="N1356" s="11">
        <f>IF(M1356="","",ROUND(M1356*1.18,2))</f>
        <v/>
      </c>
      <c r="O1356" s="12">
        <f>IF(M1356="","",ROUND(N1356-M1356,2))</f>
        <v/>
      </c>
      <c r="P1356" s="13">
        <f>IF(AND(A1356&lt;&gt;"",B1356&lt;&gt;""), A1356&amp;" · "&amp;B1356, "")</f>
        <v/>
      </c>
    </row>
    <row r="1357">
      <c r="A1357" s="6" t="inlineStr">
        <is>
          <t>FY27</t>
        </is>
      </c>
      <c r="B1357" s="6" t="inlineStr">
        <is>
          <t>Apr</t>
        </is>
      </c>
      <c r="C1357" s="6" t="inlineStr">
        <is>
          <t>AP/TS</t>
        </is>
      </c>
      <c r="D1357" s="7" t="inlineStr">
        <is>
          <t>AP28DM5482</t>
        </is>
      </c>
      <c r="E1357" s="7" t="inlineStr">
        <is>
          <t>MARUTI SUZUKI</t>
        </is>
      </c>
      <c r="F1357" s="7" t="inlineStr">
        <is>
          <t>Swift</t>
        </is>
      </c>
      <c r="G1357" s="7" t="inlineStr">
        <is>
          <t>PUNEET GUPTA</t>
        </is>
      </c>
      <c r="H1357" s="7" t="inlineStr">
        <is>
          <t>Non-Captive</t>
        </is>
      </c>
      <c r="I1357" s="7" t="inlineStr">
        <is>
          <t>Prabjyoth Singh Wasu</t>
        </is>
      </c>
      <c r="J1357" s="8" t="n">
        <v>2012</v>
      </c>
      <c r="K1357" s="9" t="n">
        <v>182287</v>
      </c>
      <c r="L1357" s="10" t="n">
        <v>172500</v>
      </c>
      <c r="M1357" s="10" t="n">
        <v>2118.64</v>
      </c>
      <c r="N1357" s="11">
        <f>IF(M1357="","",ROUND(M1357*1.18,2))</f>
        <v/>
      </c>
      <c r="O1357" s="12">
        <f>IF(M1357="","",ROUND(N1357-M1357,2))</f>
        <v/>
      </c>
      <c r="P1357" s="13">
        <f>IF(AND(A1357&lt;&gt;"",B1357&lt;&gt;""), A1357&amp;" · "&amp;B1357, "")</f>
        <v/>
      </c>
    </row>
    <row r="1358">
      <c r="A1358" s="6" t="inlineStr">
        <is>
          <t>FY27</t>
        </is>
      </c>
      <c r="B1358" s="6" t="inlineStr">
        <is>
          <t>Apr</t>
        </is>
      </c>
      <c r="C1358" s="6" t="inlineStr">
        <is>
          <t>AP/TS</t>
        </is>
      </c>
      <c r="D1358" s="7" t="inlineStr">
        <is>
          <t>AP28DU2410</t>
        </is>
      </c>
      <c r="E1358" s="7" t="inlineStr">
        <is>
          <t>HONDA</t>
        </is>
      </c>
      <c r="F1358" s="7" t="inlineStr">
        <is>
          <t>Brio</t>
        </is>
      </c>
      <c r="G1358" s="7" t="inlineStr">
        <is>
          <t>PUNEET GUPTA</t>
        </is>
      </c>
      <c r="H1358" s="7" t="inlineStr">
        <is>
          <t>Non-Captive</t>
        </is>
      </c>
      <c r="I1358" s="7" t="inlineStr">
        <is>
          <t>Prabjyoth Singh Wasu</t>
        </is>
      </c>
      <c r="J1358" s="8" t="n">
        <v>2013</v>
      </c>
      <c r="K1358" s="9" t="n">
        <v>149707</v>
      </c>
      <c r="L1358" s="10" t="n">
        <v>197500</v>
      </c>
      <c r="M1358" s="10" t="n">
        <v>2118.64</v>
      </c>
      <c r="N1358" s="11">
        <f>IF(M1358="","",ROUND(M1358*1.18,2))</f>
        <v/>
      </c>
      <c r="O1358" s="12">
        <f>IF(M1358="","",ROUND(N1358-M1358,2))</f>
        <v/>
      </c>
      <c r="P1358" s="13">
        <f>IF(AND(A1358&lt;&gt;"",B1358&lt;&gt;""), A1358&amp;" · "&amp;B1358, "")</f>
        <v/>
      </c>
    </row>
    <row r="1359">
      <c r="A1359" s="6" t="inlineStr">
        <is>
          <t>FY27</t>
        </is>
      </c>
      <c r="B1359" s="6" t="inlineStr">
        <is>
          <t>Apr</t>
        </is>
      </c>
      <c r="C1359" s="6" t="inlineStr">
        <is>
          <t>AP/TS</t>
        </is>
      </c>
      <c r="D1359" s="7" t="inlineStr">
        <is>
          <t>AP28DV2888</t>
        </is>
      </c>
      <c r="E1359" s="7" t="inlineStr">
        <is>
          <t>MARUTI SUZUKI</t>
        </is>
      </c>
      <c r="F1359" s="7" t="inlineStr">
        <is>
          <t>Swift</t>
        </is>
      </c>
      <c r="G1359" s="7" t="inlineStr">
        <is>
          <t>PUDARI BABU</t>
        </is>
      </c>
      <c r="H1359" s="7" t="inlineStr">
        <is>
          <t>Non-Captive</t>
        </is>
      </c>
      <c r="I1359" s="7" t="inlineStr">
        <is>
          <t>Bukya Santhosh Naik</t>
        </is>
      </c>
      <c r="J1359" s="8" t="n">
        <v>2013</v>
      </c>
      <c r="K1359" s="9" t="n">
        <v>142056</v>
      </c>
      <c r="L1359" s="10" t="n">
        <v>207500</v>
      </c>
      <c r="M1359" s="10" t="n">
        <v>2118.64</v>
      </c>
      <c r="N1359" s="11">
        <f>IF(M1359="","",ROUND(M1359*1.18,2))</f>
        <v/>
      </c>
      <c r="O1359" s="12">
        <f>IF(M1359="","",ROUND(N1359-M1359,2))</f>
        <v/>
      </c>
      <c r="P1359" s="13">
        <f>IF(AND(A1359&lt;&gt;"",B1359&lt;&gt;""), A1359&amp;" · "&amp;B1359, "")</f>
        <v/>
      </c>
    </row>
    <row r="1360">
      <c r="A1360" s="6" t="inlineStr">
        <is>
          <t>FY27</t>
        </is>
      </c>
      <c r="B1360" s="6" t="inlineStr">
        <is>
          <t>Apr</t>
        </is>
      </c>
      <c r="C1360" s="6" t="inlineStr">
        <is>
          <t>AP/TS</t>
        </is>
      </c>
      <c r="D1360" s="7" t="inlineStr">
        <is>
          <t>AP28DX8862</t>
        </is>
      </c>
      <c r="E1360" s="7" t="inlineStr">
        <is>
          <t>VOLKSWAGEN</t>
        </is>
      </c>
      <c r="F1360" s="7" t="inlineStr">
        <is>
          <t>Polo</t>
        </is>
      </c>
      <c r="G1360" s="7" t="inlineStr">
        <is>
          <t>PUNEET GUPTA</t>
        </is>
      </c>
      <c r="H1360" s="7" t="inlineStr">
        <is>
          <t>Non-Captive</t>
        </is>
      </c>
      <c r="I1360" s="7" t="inlineStr">
        <is>
          <t>Prabjyoth Singh Wasu</t>
        </is>
      </c>
      <c r="J1360" s="8" t="n">
        <v>2014</v>
      </c>
      <c r="K1360" s="9" t="n">
        <v>152756</v>
      </c>
      <c r="L1360" s="10" t="n">
        <v>222500</v>
      </c>
      <c r="M1360" s="10" t="n">
        <v>2118.64</v>
      </c>
      <c r="N1360" s="11">
        <f>IF(M1360="","",ROUND(M1360*1.18,2))</f>
        <v/>
      </c>
      <c r="O1360" s="12">
        <f>IF(M1360="","",ROUND(N1360-M1360,2))</f>
        <v/>
      </c>
      <c r="P1360" s="13">
        <f>IF(AND(A1360&lt;&gt;"",B1360&lt;&gt;""), A1360&amp;" · "&amp;B1360, "")</f>
        <v/>
      </c>
    </row>
    <row r="1361">
      <c r="A1361" s="6" t="inlineStr">
        <is>
          <t>FY27</t>
        </is>
      </c>
      <c r="B1361" s="6" t="inlineStr">
        <is>
          <t>Apr</t>
        </is>
      </c>
      <c r="C1361" s="6" t="inlineStr">
        <is>
          <t>AP/TS</t>
        </is>
      </c>
      <c r="D1361" s="7" t="inlineStr">
        <is>
          <t>AP29AA0450</t>
        </is>
      </c>
      <c r="E1361" s="7" t="inlineStr">
        <is>
          <t>HONDA</t>
        </is>
      </c>
      <c r="F1361" s="7" t="inlineStr">
        <is>
          <t>City</t>
        </is>
      </c>
      <c r="G1361" s="7" t="inlineStr">
        <is>
          <t>PUNEET GUPTA</t>
        </is>
      </c>
      <c r="H1361" s="7" t="inlineStr">
        <is>
          <t>Non-Captive</t>
        </is>
      </c>
      <c r="I1361" s="7" t="inlineStr">
        <is>
          <t>Nandharam Swapna</t>
        </is>
      </c>
      <c r="J1361" s="8" t="n">
        <v>2007</v>
      </c>
      <c r="K1361" s="9" t="n">
        <v>223189</v>
      </c>
      <c r="L1361" s="10" t="n">
        <v>50000</v>
      </c>
      <c r="M1361" s="10" t="n">
        <v>4237.29</v>
      </c>
      <c r="N1361" s="11">
        <f>IF(M1361="","",ROUND(M1361*1.18,2))</f>
        <v/>
      </c>
      <c r="O1361" s="12">
        <f>IF(M1361="","",ROUND(N1361-M1361,2))</f>
        <v/>
      </c>
      <c r="P1361" s="13">
        <f>IF(AND(A1361&lt;&gt;"",B1361&lt;&gt;""), A1361&amp;" · "&amp;B1361, "")</f>
        <v/>
      </c>
    </row>
    <row r="1362">
      <c r="A1362" s="6" t="inlineStr">
        <is>
          <t>FY27</t>
        </is>
      </c>
      <c r="B1362" s="6" t="inlineStr">
        <is>
          <t>Apr</t>
        </is>
      </c>
      <c r="C1362" s="6" t="inlineStr">
        <is>
          <t>AP/TS</t>
        </is>
      </c>
      <c r="D1362" s="7" t="inlineStr">
        <is>
          <t>AP29AP4779</t>
        </is>
      </c>
      <c r="E1362" s="7" t="inlineStr">
        <is>
          <t>HYUNDAI</t>
        </is>
      </c>
      <c r="F1362" s="7" t="inlineStr">
        <is>
          <t>Verna</t>
        </is>
      </c>
      <c r="G1362" s="7" t="inlineStr">
        <is>
          <t>PUDARI BABU</t>
        </is>
      </c>
      <c r="H1362" s="7" t="inlineStr">
        <is>
          <t>Non-Captive</t>
        </is>
      </c>
      <c r="I1362" s="7" t="inlineStr">
        <is>
          <t>Odapally Sandeep</t>
        </is>
      </c>
      <c r="J1362" s="8" t="n">
        <v>2010</v>
      </c>
      <c r="K1362" s="9" t="n">
        <v>161066</v>
      </c>
      <c r="L1362" s="10" t="n">
        <v>102500</v>
      </c>
      <c r="M1362" s="10" t="n">
        <v>2118.64</v>
      </c>
      <c r="N1362" s="11">
        <f>IF(M1362="","",ROUND(M1362*1.18,2))</f>
        <v/>
      </c>
      <c r="O1362" s="12">
        <f>IF(M1362="","",ROUND(N1362-M1362,2))</f>
        <v/>
      </c>
      <c r="P1362" s="13">
        <f>IF(AND(A1362&lt;&gt;"",B1362&lt;&gt;""), A1362&amp;" · "&amp;B1362, "")</f>
        <v/>
      </c>
    </row>
    <row r="1363">
      <c r="A1363" s="6" t="inlineStr">
        <is>
          <t>FY27</t>
        </is>
      </c>
      <c r="B1363" s="6" t="inlineStr">
        <is>
          <t>Apr</t>
        </is>
      </c>
      <c r="C1363" s="6" t="inlineStr">
        <is>
          <t>AP/TS</t>
        </is>
      </c>
      <c r="D1363" s="7" t="inlineStr">
        <is>
          <t>AP29BT3708</t>
        </is>
      </c>
      <c r="E1363" s="7" t="inlineStr">
        <is>
          <t>MARUTI SUZUKI</t>
        </is>
      </c>
      <c r="F1363" s="7" t="inlineStr">
        <is>
          <t>Swift</t>
        </is>
      </c>
      <c r="G1363" s="7" t="inlineStr">
        <is>
          <t>PUNEET GUPTA</t>
        </is>
      </c>
      <c r="H1363" s="7" t="inlineStr">
        <is>
          <t>Non-Captive</t>
        </is>
      </c>
      <c r="I1363" s="7" t="inlineStr">
        <is>
          <t>Prabjyoth Singh Wasu</t>
        </is>
      </c>
      <c r="J1363" s="8" t="n">
        <v>2013</v>
      </c>
      <c r="K1363" s="9" t="n">
        <v>182114</v>
      </c>
      <c r="L1363" s="10" t="n">
        <v>207500</v>
      </c>
      <c r="M1363" s="10" t="n">
        <v>2118.64</v>
      </c>
      <c r="N1363" s="11">
        <f>IF(M1363="","",ROUND(M1363*1.18,2))</f>
        <v/>
      </c>
      <c r="O1363" s="12">
        <f>IF(M1363="","",ROUND(N1363-M1363,2))</f>
        <v/>
      </c>
      <c r="P1363" s="13">
        <f>IF(AND(A1363&lt;&gt;"",B1363&lt;&gt;""), A1363&amp;" · "&amp;B1363, "")</f>
        <v/>
      </c>
    </row>
    <row r="1364">
      <c r="A1364" s="6" t="inlineStr">
        <is>
          <t>FY27</t>
        </is>
      </c>
      <c r="B1364" s="6" t="inlineStr">
        <is>
          <t>Apr</t>
        </is>
      </c>
      <c r="C1364" s="6" t="inlineStr">
        <is>
          <t>AP/TS</t>
        </is>
      </c>
      <c r="D1364" s="7" t="inlineStr">
        <is>
          <t>AP31DC0800</t>
        </is>
      </c>
      <c r="E1364" s="7" t="inlineStr">
        <is>
          <t>RENAULT</t>
        </is>
      </c>
      <c r="F1364" s="7" t="inlineStr">
        <is>
          <t>Scala</t>
        </is>
      </c>
      <c r="G1364" s="7" t="inlineStr">
        <is>
          <t>T SRINIVAS</t>
        </is>
      </c>
      <c r="H1364" s="7" t="inlineStr">
        <is>
          <t>Non-Captive</t>
        </is>
      </c>
      <c r="I1364" s="7" t="inlineStr">
        <is>
          <t>Guthi Ravi Krishna</t>
        </is>
      </c>
      <c r="J1364" s="8" t="n">
        <v>2015</v>
      </c>
      <c r="K1364" s="9" t="n">
        <v>175212</v>
      </c>
      <c r="L1364" s="10" t="n">
        <v>205000</v>
      </c>
      <c r="M1364" s="10" t="n">
        <v>4237.29</v>
      </c>
      <c r="N1364" s="11">
        <f>IF(M1364="","",ROUND(M1364*1.18,2))</f>
        <v/>
      </c>
      <c r="O1364" s="12">
        <f>IF(M1364="","",ROUND(N1364-M1364,2))</f>
        <v/>
      </c>
      <c r="P1364" s="13">
        <f>IF(AND(A1364&lt;&gt;"",B1364&lt;&gt;""), A1364&amp;" · "&amp;B1364, "")</f>
        <v/>
      </c>
    </row>
    <row r="1365">
      <c r="A1365" s="6" t="inlineStr">
        <is>
          <t>FY27</t>
        </is>
      </c>
      <c r="B1365" s="6" t="inlineStr">
        <is>
          <t>Apr</t>
        </is>
      </c>
      <c r="C1365" s="6" t="inlineStr">
        <is>
          <t>AP/TS</t>
        </is>
      </c>
      <c r="D1365" s="7" t="inlineStr">
        <is>
          <t>AP31DD4428</t>
        </is>
      </c>
      <c r="E1365" s="7" t="inlineStr">
        <is>
          <t>RENAULT</t>
        </is>
      </c>
      <c r="F1365" s="7" t="inlineStr">
        <is>
          <t>Kwid</t>
        </is>
      </c>
      <c r="G1365" s="7" t="inlineStr">
        <is>
          <t>EXCHANGE VIZAG</t>
        </is>
      </c>
      <c r="H1365" s="7" t="inlineStr">
        <is>
          <t>Captive</t>
        </is>
      </c>
      <c r="I1365" s="7" t="inlineStr">
        <is>
          <t>Kaki Dinesh Kumar</t>
        </is>
      </c>
      <c r="J1365" s="8" t="n">
        <v>2015</v>
      </c>
      <c r="K1365" s="9" t="n">
        <v>42523</v>
      </c>
      <c r="L1365" s="10" t="n">
        <v>165000</v>
      </c>
      <c r="M1365" s="10" t="n">
        <v>8474.58</v>
      </c>
      <c r="N1365" s="11">
        <f>IF(M1365="","",ROUND(M1365*1.18,2))</f>
        <v/>
      </c>
      <c r="O1365" s="12">
        <f>IF(M1365="","",ROUND(N1365-M1365,2))</f>
        <v/>
      </c>
      <c r="P1365" s="13">
        <f>IF(AND(A1365&lt;&gt;"",B1365&lt;&gt;""), A1365&amp;" · "&amp;B1365, "")</f>
        <v/>
      </c>
    </row>
    <row r="1366">
      <c r="A1366" s="6" t="inlineStr">
        <is>
          <t>FY27</t>
        </is>
      </c>
      <c r="B1366" s="6" t="inlineStr">
        <is>
          <t>Apr</t>
        </is>
      </c>
      <c r="C1366" s="6" t="inlineStr">
        <is>
          <t>AP/TS</t>
        </is>
      </c>
      <c r="D1366" s="7" t="inlineStr">
        <is>
          <t>AP31DD5343</t>
        </is>
      </c>
      <c r="E1366" s="7" t="inlineStr">
        <is>
          <t>HYUNDAI</t>
        </is>
      </c>
      <c r="F1366" s="7" t="inlineStr">
        <is>
          <t>Santro</t>
        </is>
      </c>
      <c r="G1366" s="7" t="inlineStr">
        <is>
          <t>AVAALA RAJU</t>
        </is>
      </c>
      <c r="H1366" s="7" t="inlineStr">
        <is>
          <t>Non-Captive</t>
        </is>
      </c>
      <c r="I1366" s="7" t="inlineStr">
        <is>
          <t>Kaki Dinesh Kumar</t>
        </is>
      </c>
      <c r="J1366" s="8" t="n">
        <v>2002</v>
      </c>
      <c r="K1366" s="9" t="n">
        <v>125239</v>
      </c>
      <c r="L1366" s="10" t="n">
        <v>30000</v>
      </c>
      <c r="M1366" s="10" t="n">
        <v>4237.29</v>
      </c>
      <c r="N1366" s="11">
        <f>IF(M1366="","",ROUND(M1366*1.18,2))</f>
        <v/>
      </c>
      <c r="O1366" s="12">
        <f>IF(M1366="","",ROUND(N1366-M1366,2))</f>
        <v/>
      </c>
      <c r="P1366" s="13">
        <f>IF(AND(A1366&lt;&gt;"",B1366&lt;&gt;""), A1366&amp;" · "&amp;B1366, "")</f>
        <v/>
      </c>
    </row>
    <row r="1367">
      <c r="A1367" s="6" t="inlineStr">
        <is>
          <t>FY27</t>
        </is>
      </c>
      <c r="B1367" s="6" t="inlineStr">
        <is>
          <t>Apr</t>
        </is>
      </c>
      <c r="C1367" s="6" t="inlineStr">
        <is>
          <t>AP/TS</t>
        </is>
      </c>
      <c r="D1367" s="7" t="inlineStr">
        <is>
          <t>AP31DT8105</t>
        </is>
      </c>
      <c r="E1367" s="7" t="inlineStr">
        <is>
          <t>MARUTI SUZUKI</t>
        </is>
      </c>
      <c r="F1367" s="7" t="inlineStr">
        <is>
          <t>Zen</t>
        </is>
      </c>
      <c r="G1367" s="7" t="inlineStr">
        <is>
          <t>AVAALA RAJU</t>
        </is>
      </c>
      <c r="H1367" s="7" t="inlineStr">
        <is>
          <t>Non-Captive</t>
        </is>
      </c>
      <c r="I1367" s="7" t="inlineStr">
        <is>
          <t>Kaki Dinesh Kumar</t>
        </is>
      </c>
      <c r="J1367" s="8" t="n">
        <v>2003</v>
      </c>
      <c r="K1367" s="9" t="n">
        <v>180114</v>
      </c>
      <c r="L1367" s="10" t="n">
        <v>30000</v>
      </c>
      <c r="M1367" s="10" t="n">
        <v>4237.29</v>
      </c>
      <c r="N1367" s="11">
        <f>IF(M1367="","",ROUND(M1367*1.18,2))</f>
        <v/>
      </c>
      <c r="O1367" s="12">
        <f>IF(M1367="","",ROUND(N1367-M1367,2))</f>
        <v/>
      </c>
      <c r="P1367" s="13">
        <f>IF(AND(A1367&lt;&gt;"",B1367&lt;&gt;""), A1367&amp;" · "&amp;B1367, "")</f>
        <v/>
      </c>
    </row>
    <row r="1368">
      <c r="A1368" s="6" t="inlineStr">
        <is>
          <t>FY27</t>
        </is>
      </c>
      <c r="B1368" s="6" t="inlineStr">
        <is>
          <t>Apr</t>
        </is>
      </c>
      <c r="C1368" s="6" t="inlineStr">
        <is>
          <t>AP/TS</t>
        </is>
      </c>
      <c r="D1368" s="7" t="inlineStr">
        <is>
          <t>AP33C8676</t>
        </is>
      </c>
      <c r="E1368" s="7" t="inlineStr">
        <is>
          <t>TATA</t>
        </is>
      </c>
      <c r="F1368" s="7" t="inlineStr">
        <is>
          <t>Indigo</t>
        </is>
      </c>
      <c r="G1368" s="7" t="inlineStr">
        <is>
          <t>EXCHANGE VIZAG</t>
        </is>
      </c>
      <c r="H1368" s="7" t="inlineStr">
        <is>
          <t>Captive</t>
        </is>
      </c>
      <c r="I1368" s="7" t="inlineStr">
        <is>
          <t>Kaki Dinesh Kumar</t>
        </is>
      </c>
      <c r="J1368" s="8" t="n">
        <v>2009</v>
      </c>
      <c r="K1368" s="9" t="n">
        <v>163545</v>
      </c>
      <c r="L1368" s="10" t="n">
        <v>44000</v>
      </c>
      <c r="M1368" s="10" t="n">
        <v>5084.75</v>
      </c>
      <c r="N1368" s="11">
        <f>IF(M1368="","",ROUND(M1368*1.18,2))</f>
        <v/>
      </c>
      <c r="O1368" s="12">
        <f>IF(M1368="","",ROUND(N1368-M1368,2))</f>
        <v/>
      </c>
      <c r="P1368" s="13">
        <f>IF(AND(A1368&lt;&gt;"",B1368&lt;&gt;""), A1368&amp;" · "&amp;B1368, "")</f>
        <v/>
      </c>
    </row>
    <row r="1369">
      <c r="A1369" s="6" t="inlineStr">
        <is>
          <t>FY27</t>
        </is>
      </c>
      <c r="B1369" s="6" t="inlineStr">
        <is>
          <t>Apr</t>
        </is>
      </c>
      <c r="C1369" s="6" t="inlineStr">
        <is>
          <t>AP/TS</t>
        </is>
      </c>
      <c r="D1369" s="7" t="inlineStr">
        <is>
          <t>AP37AY5931</t>
        </is>
      </c>
      <c r="E1369" s="7" t="inlineStr">
        <is>
          <t>MARUTI SUZUKI</t>
        </is>
      </c>
      <c r="F1369" s="7" t="inlineStr">
        <is>
          <t>Alto</t>
        </is>
      </c>
      <c r="G1369" s="7" t="inlineStr">
        <is>
          <t>EXCHANGE VIJAYAWADA</t>
        </is>
      </c>
      <c r="H1369" s="7" t="inlineStr">
        <is>
          <t>Captive</t>
        </is>
      </c>
      <c r="I1369" s="7" t="inlineStr">
        <is>
          <t>Akiri Akash</t>
        </is>
      </c>
      <c r="J1369" s="8" t="n">
        <v>2010</v>
      </c>
      <c r="K1369" s="9" t="n">
        <v>124708</v>
      </c>
      <c r="L1369" s="10" t="n">
        <v>90000</v>
      </c>
      <c r="M1369" s="10" t="n">
        <v>8474.58</v>
      </c>
      <c r="N1369" s="11">
        <f>IF(M1369="","",ROUND(M1369*1.18,2))</f>
        <v/>
      </c>
      <c r="O1369" s="12">
        <f>IF(M1369="","",ROUND(N1369-M1369,2))</f>
        <v/>
      </c>
      <c r="P1369" s="13">
        <f>IF(AND(A1369&lt;&gt;"",B1369&lt;&gt;""), A1369&amp;" · "&amp;B1369, "")</f>
        <v/>
      </c>
    </row>
    <row r="1370">
      <c r="A1370" s="6" t="inlineStr">
        <is>
          <t>FY27</t>
        </is>
      </c>
      <c r="B1370" s="6" t="inlineStr">
        <is>
          <t>Apr</t>
        </is>
      </c>
      <c r="C1370" s="6" t="inlineStr">
        <is>
          <t>AP/TS</t>
        </is>
      </c>
      <c r="D1370" s="7" t="inlineStr">
        <is>
          <t>AP37CC5005</t>
        </is>
      </c>
      <c r="E1370" s="7" t="inlineStr">
        <is>
          <t>HYUNDAI</t>
        </is>
      </c>
      <c r="F1370" s="7" t="inlineStr">
        <is>
          <t>i20</t>
        </is>
      </c>
      <c r="G1370" s="7" t="inlineStr">
        <is>
          <t>T SRINIVAS</t>
        </is>
      </c>
      <c r="H1370" s="7" t="inlineStr">
        <is>
          <t>Non-Captive</t>
        </is>
      </c>
      <c r="I1370" s="7" t="inlineStr">
        <is>
          <t>Vinod Kumar Murari</t>
        </is>
      </c>
      <c r="J1370" s="8" t="n">
        <v>2014</v>
      </c>
      <c r="K1370" s="9" t="n">
        <v>194991</v>
      </c>
      <c r="L1370" s="10" t="n">
        <v>100000</v>
      </c>
      <c r="M1370" s="10" t="n">
        <v>4237.29</v>
      </c>
      <c r="N1370" s="11">
        <f>IF(M1370="","",ROUND(M1370*1.18,2))</f>
        <v/>
      </c>
      <c r="O1370" s="12">
        <f>IF(M1370="","",ROUND(N1370-M1370,2))</f>
        <v/>
      </c>
      <c r="P1370" s="13">
        <f>IF(AND(A1370&lt;&gt;"",B1370&lt;&gt;""), A1370&amp;" · "&amp;B1370, "")</f>
        <v/>
      </c>
    </row>
    <row r="1371">
      <c r="A1371" s="6" t="inlineStr">
        <is>
          <t>FY27</t>
        </is>
      </c>
      <c r="B1371" s="6" t="inlineStr">
        <is>
          <t>Apr</t>
        </is>
      </c>
      <c r="C1371" s="6" t="inlineStr">
        <is>
          <t>AP/TS</t>
        </is>
      </c>
      <c r="D1371" s="7" t="inlineStr">
        <is>
          <t>AP37CJ3123</t>
        </is>
      </c>
      <c r="E1371" s="7" t="inlineStr">
        <is>
          <t>VOLKSWAGEN</t>
        </is>
      </c>
      <c r="F1371" s="7" t="inlineStr">
        <is>
          <t>Polo</t>
        </is>
      </c>
      <c r="G1371" s="7" t="inlineStr">
        <is>
          <t>GUTHI RAVI KRISHNA</t>
        </is>
      </c>
      <c r="H1371" s="7" t="inlineStr">
        <is>
          <t>Non-Captive</t>
        </is>
      </c>
      <c r="I1371" s="7" t="inlineStr">
        <is>
          <t>Adapa Aravind Sai Kumar</t>
        </is>
      </c>
      <c r="J1371" s="8" t="n">
        <v>2015</v>
      </c>
      <c r="K1371" s="9" t="n">
        <v>175411</v>
      </c>
      <c r="L1371" s="10" t="n">
        <v>190000</v>
      </c>
      <c r="M1371" s="10" t="n">
        <v>5084.75</v>
      </c>
      <c r="N1371" s="11">
        <f>IF(M1371="","",ROUND(M1371*1.18,2))</f>
        <v/>
      </c>
      <c r="O1371" s="12">
        <f>IF(M1371="","",ROUND(N1371-M1371,2))</f>
        <v/>
      </c>
      <c r="P1371" s="13">
        <f>IF(AND(A1371&lt;&gt;"",B1371&lt;&gt;""), A1371&amp;" · "&amp;B1371, "")</f>
        <v/>
      </c>
    </row>
    <row r="1372">
      <c r="A1372" s="6" t="inlineStr">
        <is>
          <t>FY27</t>
        </is>
      </c>
      <c r="B1372" s="6" t="inlineStr">
        <is>
          <t>Apr</t>
        </is>
      </c>
      <c r="C1372" s="6" t="inlineStr">
        <is>
          <t>AP/TS</t>
        </is>
      </c>
      <c r="D1372" s="7" t="inlineStr">
        <is>
          <t>AP39AT6336</t>
        </is>
      </c>
      <c r="E1372" s="7" t="inlineStr">
        <is>
          <t>HONDA</t>
        </is>
      </c>
      <c r="F1372" s="7" t="inlineStr">
        <is>
          <t>Amaze</t>
        </is>
      </c>
      <c r="G1372" s="7" t="inlineStr">
        <is>
          <t>EXCHANGE VIJAYAWADA</t>
        </is>
      </c>
      <c r="H1372" s="7" t="inlineStr">
        <is>
          <t>Captive</t>
        </is>
      </c>
      <c r="I1372" s="7" t="inlineStr">
        <is>
          <t>Tenali Srinivas</t>
        </is>
      </c>
      <c r="J1372" s="8" t="n">
        <v>2019</v>
      </c>
      <c r="K1372" s="9" t="n">
        <v>140336</v>
      </c>
      <c r="L1372" s="10" t="n">
        <v>440000</v>
      </c>
      <c r="M1372" s="10" t="n">
        <v>8474.58</v>
      </c>
      <c r="N1372" s="11">
        <f>IF(M1372="","",ROUND(M1372*1.18,2))</f>
        <v/>
      </c>
      <c r="O1372" s="12">
        <f>IF(M1372="","",ROUND(N1372-M1372,2))</f>
        <v/>
      </c>
      <c r="P1372" s="13">
        <f>IF(AND(A1372&lt;&gt;"",B1372&lt;&gt;""), A1372&amp;" · "&amp;B1372, "")</f>
        <v/>
      </c>
    </row>
    <row r="1373">
      <c r="A1373" s="6" t="inlineStr">
        <is>
          <t>FY27</t>
        </is>
      </c>
      <c r="B1373" s="6" t="inlineStr">
        <is>
          <t>Apr</t>
        </is>
      </c>
      <c r="C1373" s="6" t="inlineStr">
        <is>
          <t>AP/TS</t>
        </is>
      </c>
      <c r="D1373" s="7" t="inlineStr">
        <is>
          <t>AP39DE2959</t>
        </is>
      </c>
      <c r="E1373" s="7" t="inlineStr">
        <is>
          <t>HYUNDAI</t>
        </is>
      </c>
      <c r="F1373" s="7" t="inlineStr">
        <is>
          <t>Verna</t>
        </is>
      </c>
      <c r="G1373" s="7" t="inlineStr">
        <is>
          <t>EXCHANGE VIJAYAWADA</t>
        </is>
      </c>
      <c r="H1373" s="7" t="inlineStr">
        <is>
          <t>Captive</t>
        </is>
      </c>
      <c r="I1373" s="7" t="inlineStr">
        <is>
          <t>Guthi Ravi Krishna</t>
        </is>
      </c>
      <c r="J1373" s="8" t="n">
        <v>2019</v>
      </c>
      <c r="K1373" s="9" t="n">
        <v>73454</v>
      </c>
      <c r="L1373" s="10" t="n">
        <v>662000</v>
      </c>
      <c r="M1373" s="10" t="n">
        <v>10169.49</v>
      </c>
      <c r="N1373" s="11">
        <f>IF(M1373="","",ROUND(M1373*1.18,2))</f>
        <v/>
      </c>
      <c r="O1373" s="12">
        <f>IF(M1373="","",ROUND(N1373-M1373,2))</f>
        <v/>
      </c>
      <c r="P1373" s="13">
        <f>IF(AND(A1373&lt;&gt;"",B1373&lt;&gt;""), A1373&amp;" · "&amp;B1373, "")</f>
        <v/>
      </c>
    </row>
    <row r="1374">
      <c r="A1374" s="6" t="inlineStr">
        <is>
          <t>FY27</t>
        </is>
      </c>
      <c r="B1374" s="6" t="inlineStr">
        <is>
          <t>Apr</t>
        </is>
      </c>
      <c r="C1374" s="6" t="inlineStr">
        <is>
          <t>AP/TS</t>
        </is>
      </c>
      <c r="D1374" s="7" t="inlineStr">
        <is>
          <t>AP39FJ2329</t>
        </is>
      </c>
      <c r="E1374" s="7" t="inlineStr">
        <is>
          <t>HONDA</t>
        </is>
      </c>
      <c r="F1374" s="7" t="inlineStr">
        <is>
          <t>WR-V</t>
        </is>
      </c>
      <c r="G1374" s="7" t="inlineStr">
        <is>
          <t>EXCHANGE VIJAYAWADA</t>
        </is>
      </c>
      <c r="H1374" s="7" t="inlineStr">
        <is>
          <t>Captive</t>
        </is>
      </c>
      <c r="I1374" s="7" t="inlineStr">
        <is>
          <t>Vinod Kumar Murari</t>
        </is>
      </c>
      <c r="J1374" s="8" t="n">
        <v>2020</v>
      </c>
      <c r="K1374" s="9" t="n">
        <v>104105</v>
      </c>
      <c r="L1374" s="10" t="n">
        <v>490000</v>
      </c>
      <c r="M1374" s="10" t="n">
        <v>8474.58</v>
      </c>
      <c r="N1374" s="11">
        <f>IF(M1374="","",ROUND(M1374*1.18,2))</f>
        <v/>
      </c>
      <c r="O1374" s="12">
        <f>IF(M1374="","",ROUND(N1374-M1374,2))</f>
        <v/>
      </c>
      <c r="P1374" s="13">
        <f>IF(AND(A1374&lt;&gt;"",B1374&lt;&gt;""), A1374&amp;" · "&amp;B1374, "")</f>
        <v/>
      </c>
    </row>
    <row r="1375">
      <c r="A1375" s="6" t="inlineStr">
        <is>
          <t>FY27</t>
        </is>
      </c>
      <c r="B1375" s="6" t="inlineStr">
        <is>
          <t>Apr</t>
        </is>
      </c>
      <c r="C1375" s="6" t="inlineStr">
        <is>
          <t>AP/TS</t>
        </is>
      </c>
      <c r="D1375" s="7" t="inlineStr">
        <is>
          <t>AP39KF7366</t>
        </is>
      </c>
      <c r="E1375" s="7" t="inlineStr">
        <is>
          <t>MARUTI SUZUKI</t>
        </is>
      </c>
      <c r="F1375" s="7" t="inlineStr">
        <is>
          <t>S-Presso</t>
        </is>
      </c>
      <c r="G1375" s="7" t="inlineStr">
        <is>
          <t>EXCHANGE VIZAG</t>
        </is>
      </c>
      <c r="H1375" s="7" t="inlineStr">
        <is>
          <t>Captive</t>
        </is>
      </c>
      <c r="I1375" s="7" t="inlineStr">
        <is>
          <t>P S Aamir Ovez</t>
        </is>
      </c>
      <c r="J1375" s="8" t="n">
        <v>2021</v>
      </c>
      <c r="K1375" s="9" t="n">
        <v>32361</v>
      </c>
      <c r="L1375" s="10" t="n">
        <v>332000</v>
      </c>
      <c r="M1375" s="10" t="n">
        <v>10169.49</v>
      </c>
      <c r="N1375" s="11">
        <f>IF(M1375="","",ROUND(M1375*1.18,2))</f>
        <v/>
      </c>
      <c r="O1375" s="12">
        <f>IF(M1375="","",ROUND(N1375-M1375,2))</f>
        <v/>
      </c>
      <c r="P1375" s="13">
        <f>IF(AND(A1375&lt;&gt;"",B1375&lt;&gt;""), A1375&amp;" · "&amp;B1375, "")</f>
        <v/>
      </c>
    </row>
    <row r="1376">
      <c r="A1376" s="6" t="inlineStr">
        <is>
          <t>FY27</t>
        </is>
      </c>
      <c r="B1376" s="6" t="inlineStr">
        <is>
          <t>Apr</t>
        </is>
      </c>
      <c r="C1376" s="6" t="inlineStr">
        <is>
          <t>AP/TS</t>
        </is>
      </c>
      <c r="D1376" s="7" t="inlineStr">
        <is>
          <t>TG097748</t>
        </is>
      </c>
      <c r="E1376" s="7" t="inlineStr">
        <is>
          <t>RENAULT</t>
        </is>
      </c>
      <c r="F1376" s="7" t="inlineStr">
        <is>
          <t>Kwid</t>
        </is>
      </c>
      <c r="G1376" s="7" t="inlineStr">
        <is>
          <t>EXCHANGE HYDERABAD</t>
        </is>
      </c>
      <c r="H1376" s="7" t="inlineStr">
        <is>
          <t>Captive</t>
        </is>
      </c>
      <c r="I1376" s="7" t="inlineStr">
        <is>
          <t>Prabjyoth Singh Wasu</t>
        </is>
      </c>
      <c r="J1376" s="8" t="n">
        <v>2024</v>
      </c>
      <c r="K1376" s="9" t="n">
        <v>23433</v>
      </c>
      <c r="L1376" s="10" t="n">
        <v>355000</v>
      </c>
      <c r="M1376" s="10" t="n">
        <v>8474.58</v>
      </c>
      <c r="N1376" s="11">
        <f>IF(M1376="","",ROUND(M1376*1.18,2))</f>
        <v/>
      </c>
      <c r="O1376" s="12">
        <f>IF(M1376="","",ROUND(N1376-M1376,2))</f>
        <v/>
      </c>
      <c r="P1376" s="13">
        <f>IF(AND(A1376&lt;&gt;"",B1376&lt;&gt;""), A1376&amp;" · "&amp;B1376, "")</f>
        <v/>
      </c>
    </row>
    <row r="1377">
      <c r="A1377" s="6" t="inlineStr">
        <is>
          <t>FY27</t>
        </is>
      </c>
      <c r="B1377" s="6" t="inlineStr">
        <is>
          <t>Apr</t>
        </is>
      </c>
      <c r="C1377" s="6" t="inlineStr">
        <is>
          <t>AP/TS</t>
        </is>
      </c>
      <c r="D1377" s="7" t="inlineStr">
        <is>
          <t>TS04EF4777</t>
        </is>
      </c>
      <c r="E1377" s="7" t="inlineStr">
        <is>
          <t>FORD</t>
        </is>
      </c>
      <c r="F1377" s="7" t="inlineStr">
        <is>
          <t>Aspire</t>
        </is>
      </c>
      <c r="G1377" s="7" t="inlineStr">
        <is>
          <t>ODAPALLY SANDEEP</t>
        </is>
      </c>
      <c r="H1377" s="7" t="inlineStr">
        <is>
          <t>Non-Captive</t>
        </is>
      </c>
      <c r="I1377" s="7" t="inlineStr">
        <is>
          <t>Prabjyoth Singh Wasu</t>
        </is>
      </c>
      <c r="J1377" s="8" t="n">
        <v>2015</v>
      </c>
      <c r="K1377" s="9" t="n">
        <v>175418</v>
      </c>
      <c r="L1377" s="10" t="n">
        <v>150000</v>
      </c>
      <c r="M1377" s="10" t="n">
        <v>4237.29</v>
      </c>
      <c r="N1377" s="11">
        <f>IF(M1377="","",ROUND(M1377*1.18,2))</f>
        <v/>
      </c>
      <c r="O1377" s="12">
        <f>IF(M1377="","",ROUND(N1377-M1377,2))</f>
        <v/>
      </c>
      <c r="P1377" s="13">
        <f>IF(AND(A1377&lt;&gt;"",B1377&lt;&gt;""), A1377&amp;" · "&amp;B1377, "")</f>
        <v/>
      </c>
    </row>
    <row r="1378">
      <c r="A1378" s="6" t="inlineStr">
        <is>
          <t>FY27</t>
        </is>
      </c>
      <c r="B1378" s="6" t="inlineStr">
        <is>
          <t>Apr</t>
        </is>
      </c>
      <c r="C1378" s="6" t="inlineStr">
        <is>
          <t>AP/TS</t>
        </is>
      </c>
      <c r="D1378" s="7" t="inlineStr">
        <is>
          <t>TS04EK3140</t>
        </is>
      </c>
      <c r="E1378" s="7" t="inlineStr">
        <is>
          <t>MARUTI SUZUKI</t>
        </is>
      </c>
      <c r="F1378" s="7" t="inlineStr">
        <is>
          <t>Alto K10</t>
        </is>
      </c>
      <c r="G1378" s="7" t="inlineStr">
        <is>
          <t>ODAPALLY SANDEEP</t>
        </is>
      </c>
      <c r="H1378" s="7" t="inlineStr">
        <is>
          <t>Non-Captive</t>
        </is>
      </c>
      <c r="I1378" s="7" t="inlineStr">
        <is>
          <t>Prabjyoth Singh Wasu</t>
        </is>
      </c>
      <c r="J1378" s="8" t="n">
        <v>2015</v>
      </c>
      <c r="K1378" s="9" t="n">
        <v>142128</v>
      </c>
      <c r="L1378" s="10" t="n">
        <v>150000</v>
      </c>
      <c r="M1378" s="10" t="n">
        <v>4237.29</v>
      </c>
      <c r="N1378" s="11">
        <f>IF(M1378="","",ROUND(M1378*1.18,2))</f>
        <v/>
      </c>
      <c r="O1378" s="12">
        <f>IF(M1378="","",ROUND(N1378-M1378,2))</f>
        <v/>
      </c>
      <c r="P1378" s="13">
        <f>IF(AND(A1378&lt;&gt;"",B1378&lt;&gt;""), A1378&amp;" · "&amp;B1378, "")</f>
        <v/>
      </c>
    </row>
    <row r="1379">
      <c r="A1379" s="6" t="inlineStr">
        <is>
          <t>FY27</t>
        </is>
      </c>
      <c r="B1379" s="6" t="inlineStr">
        <is>
          <t>Apr</t>
        </is>
      </c>
      <c r="C1379" s="6" t="inlineStr">
        <is>
          <t>AP/TS</t>
        </is>
      </c>
      <c r="D1379" s="7" t="inlineStr">
        <is>
          <t>TS05EL2788</t>
        </is>
      </c>
      <c r="E1379" s="7" t="inlineStr">
        <is>
          <t>HYUNDAI</t>
        </is>
      </c>
      <c r="F1379" s="7" t="inlineStr">
        <is>
          <t>Grand i10</t>
        </is>
      </c>
      <c r="G1379" s="7" t="inlineStr">
        <is>
          <t>PUDARI BABU</t>
        </is>
      </c>
      <c r="H1379" s="7" t="inlineStr">
        <is>
          <t>Non-Captive</t>
        </is>
      </c>
      <c r="I1379" s="7" t="inlineStr">
        <is>
          <t>Bukya Santhosh Naik</t>
        </is>
      </c>
      <c r="J1379" s="8" t="n">
        <v>2015</v>
      </c>
      <c r="K1379" s="9" t="n">
        <v>140236</v>
      </c>
      <c r="L1379" s="10" t="n">
        <v>187500</v>
      </c>
      <c r="M1379" s="10" t="n">
        <v>2118.64</v>
      </c>
      <c r="N1379" s="11">
        <f>IF(M1379="","",ROUND(M1379*1.18,2))</f>
        <v/>
      </c>
      <c r="O1379" s="12">
        <f>IF(M1379="","",ROUND(N1379-M1379,2))</f>
        <v/>
      </c>
      <c r="P1379" s="13">
        <f>IF(AND(A1379&lt;&gt;"",B1379&lt;&gt;""), A1379&amp;" · "&amp;B1379, "")</f>
        <v/>
      </c>
    </row>
    <row r="1380">
      <c r="A1380" s="6" t="inlineStr">
        <is>
          <t>FY27</t>
        </is>
      </c>
      <c r="B1380" s="6" t="inlineStr">
        <is>
          <t>Apr</t>
        </is>
      </c>
      <c r="C1380" s="6" t="inlineStr">
        <is>
          <t>AP/TS</t>
        </is>
      </c>
      <c r="D1380" s="7" t="inlineStr">
        <is>
          <t>TS07EE4260</t>
        </is>
      </c>
      <c r="E1380" s="7" t="inlineStr">
        <is>
          <t>MARUTI SUZUKI</t>
        </is>
      </c>
      <c r="F1380" s="7" t="inlineStr">
        <is>
          <t>Celerio</t>
        </is>
      </c>
      <c r="G1380" s="7" t="inlineStr">
        <is>
          <t>PUDARI BABU</t>
        </is>
      </c>
      <c r="H1380" s="7" t="inlineStr">
        <is>
          <t>Non-Captive</t>
        </is>
      </c>
      <c r="I1380" s="7" t="inlineStr">
        <is>
          <t>Bukya Santhosh Naik</t>
        </is>
      </c>
      <c r="J1380" s="8" t="n">
        <v>2014</v>
      </c>
      <c r="K1380" s="9" t="n">
        <v>128105</v>
      </c>
      <c r="L1380" s="10" t="n">
        <v>182500</v>
      </c>
      <c r="M1380" s="10" t="n">
        <v>2118.64</v>
      </c>
      <c r="N1380" s="11">
        <f>IF(M1380="","",ROUND(M1380*1.18,2))</f>
        <v/>
      </c>
      <c r="O1380" s="12">
        <f>IF(M1380="","",ROUND(N1380-M1380,2))</f>
        <v/>
      </c>
      <c r="P1380" s="13">
        <f>IF(AND(A1380&lt;&gt;"",B1380&lt;&gt;""), A1380&amp;" · "&amp;B1380, "")</f>
        <v/>
      </c>
    </row>
    <row r="1381">
      <c r="A1381" s="6" t="inlineStr">
        <is>
          <t>FY27</t>
        </is>
      </c>
      <c r="B1381" s="6" t="inlineStr">
        <is>
          <t>Apr</t>
        </is>
      </c>
      <c r="C1381" s="6" t="inlineStr">
        <is>
          <t>AP/TS</t>
        </is>
      </c>
      <c r="D1381" s="7" t="inlineStr">
        <is>
          <t>TS07HU9989</t>
        </is>
      </c>
      <c r="E1381" s="7" t="inlineStr">
        <is>
          <t>MARUTI SUZUKI</t>
        </is>
      </c>
      <c r="F1381" s="7" t="inlineStr">
        <is>
          <t>Vitara Brezza</t>
        </is>
      </c>
      <c r="G1381" s="7" t="inlineStr">
        <is>
          <t>EXCHANGE HYDERABAD</t>
        </is>
      </c>
      <c r="H1381" s="7" t="inlineStr">
        <is>
          <t>Captive</t>
        </is>
      </c>
      <c r="I1381" s="7" t="inlineStr">
        <is>
          <t>Nandharam Swapna</t>
        </is>
      </c>
      <c r="J1381" s="8" t="n">
        <v>2021</v>
      </c>
      <c r="K1381" s="9" t="n">
        <v>81343</v>
      </c>
      <c r="L1381" s="10" t="n">
        <v>570000</v>
      </c>
      <c r="M1381" s="10" t="n">
        <v>8474.58</v>
      </c>
      <c r="N1381" s="11">
        <f>IF(M1381="","",ROUND(M1381*1.18,2))</f>
        <v/>
      </c>
      <c r="O1381" s="12">
        <f>IF(M1381="","",ROUND(N1381-M1381,2))</f>
        <v/>
      </c>
      <c r="P1381" s="13">
        <f>IF(AND(A1381&lt;&gt;"",B1381&lt;&gt;""), A1381&amp;" · "&amp;B1381, "")</f>
        <v/>
      </c>
    </row>
    <row r="1382">
      <c r="A1382" s="6" t="inlineStr">
        <is>
          <t>FY27</t>
        </is>
      </c>
      <c r="B1382" s="6" t="inlineStr">
        <is>
          <t>Apr</t>
        </is>
      </c>
      <c r="C1382" s="6" t="inlineStr">
        <is>
          <t>AP/TS</t>
        </is>
      </c>
      <c r="D1382" s="7" t="inlineStr">
        <is>
          <t>TS08EA8364</t>
        </is>
      </c>
      <c r="E1382" s="7" t="inlineStr">
        <is>
          <t>MARUTI SUZUKI</t>
        </is>
      </c>
      <c r="F1382" s="7" t="inlineStr">
        <is>
          <t>Swift</t>
        </is>
      </c>
      <c r="G1382" s="7" t="inlineStr">
        <is>
          <t>PUDARI BABU</t>
        </is>
      </c>
      <c r="H1382" s="7" t="inlineStr">
        <is>
          <t>Non-Captive</t>
        </is>
      </c>
      <c r="I1382" s="7" t="inlineStr">
        <is>
          <t>Bukya Santhosh Naik</t>
        </is>
      </c>
      <c r="J1382" s="8" t="n">
        <v>2014</v>
      </c>
      <c r="K1382" s="9" t="n">
        <v>155145</v>
      </c>
      <c r="L1382" s="10" t="n">
        <v>212500</v>
      </c>
      <c r="M1382" s="10" t="n">
        <v>2118.64</v>
      </c>
      <c r="N1382" s="11">
        <f>IF(M1382="","",ROUND(M1382*1.18,2))</f>
        <v/>
      </c>
      <c r="O1382" s="12">
        <f>IF(M1382="","",ROUND(N1382-M1382,2))</f>
        <v/>
      </c>
      <c r="P1382" s="13">
        <f>IF(AND(A1382&lt;&gt;"",B1382&lt;&gt;""), A1382&amp;" · "&amp;B1382, "")</f>
        <v/>
      </c>
    </row>
    <row r="1383">
      <c r="A1383" s="6" t="inlineStr">
        <is>
          <t>FY27</t>
        </is>
      </c>
      <c r="B1383" s="6" t="inlineStr">
        <is>
          <t>Apr</t>
        </is>
      </c>
      <c r="C1383" s="6" t="inlineStr">
        <is>
          <t>AP/TS</t>
        </is>
      </c>
      <c r="D1383" s="7" t="inlineStr">
        <is>
          <t>TS08EB7332</t>
        </is>
      </c>
      <c r="E1383" s="7" t="inlineStr">
        <is>
          <t>MARUTI SUZUKI</t>
        </is>
      </c>
      <c r="F1383" s="7" t="inlineStr">
        <is>
          <t>Ritz</t>
        </is>
      </c>
      <c r="G1383" s="7" t="inlineStr">
        <is>
          <t>PUNEET GUPTA</t>
        </is>
      </c>
      <c r="H1383" s="7" t="inlineStr">
        <is>
          <t>Non-Captive</t>
        </is>
      </c>
      <c r="I1383" s="7" t="inlineStr">
        <is>
          <t>Prabjyoth Singh Wasu</t>
        </is>
      </c>
      <c r="J1383" s="8" t="n">
        <v>2014</v>
      </c>
      <c r="K1383" s="9" t="n">
        <v>132250</v>
      </c>
      <c r="L1383" s="10" t="n">
        <v>197500</v>
      </c>
      <c r="M1383" s="10" t="n">
        <v>2118.64</v>
      </c>
      <c r="N1383" s="11">
        <f>IF(M1383="","",ROUND(M1383*1.18,2))</f>
        <v/>
      </c>
      <c r="O1383" s="12">
        <f>IF(M1383="","",ROUND(N1383-M1383,2))</f>
        <v/>
      </c>
      <c r="P1383" s="13">
        <f>IF(AND(A1383&lt;&gt;"",B1383&lt;&gt;""), A1383&amp;" · "&amp;B1383, "")</f>
        <v/>
      </c>
    </row>
    <row r="1384">
      <c r="A1384" s="6" t="inlineStr">
        <is>
          <t>FY27</t>
        </is>
      </c>
      <c r="B1384" s="6" t="inlineStr">
        <is>
          <t>Apr</t>
        </is>
      </c>
      <c r="C1384" s="6" t="inlineStr">
        <is>
          <t>AP/TS</t>
        </is>
      </c>
      <c r="D1384" s="7" t="inlineStr">
        <is>
          <t>TS09EJ6888</t>
        </is>
      </c>
      <c r="E1384" s="7" t="inlineStr">
        <is>
          <t>NISSAN</t>
        </is>
      </c>
      <c r="F1384" s="7" t="inlineStr">
        <is>
          <t>Sunny</t>
        </is>
      </c>
      <c r="G1384" s="7" t="inlineStr">
        <is>
          <t>PUNEET GUPTA</t>
        </is>
      </c>
      <c r="H1384" s="7" t="inlineStr">
        <is>
          <t>Non-Captive</t>
        </is>
      </c>
      <c r="I1384" s="7" t="inlineStr">
        <is>
          <t>Prabjyoth Singh Wasu</t>
        </is>
      </c>
      <c r="J1384" s="8" t="n">
        <v>2015</v>
      </c>
      <c r="K1384" s="9" t="n">
        <v>160877</v>
      </c>
      <c r="L1384" s="10" t="n">
        <v>232500</v>
      </c>
      <c r="M1384" s="10" t="n">
        <v>2118.64</v>
      </c>
      <c r="N1384" s="11">
        <f>IF(M1384="","",ROUND(M1384*1.18,2))</f>
        <v/>
      </c>
      <c r="O1384" s="12">
        <f>IF(M1384="","",ROUND(N1384-M1384,2))</f>
        <v/>
      </c>
      <c r="P1384" s="13">
        <f>IF(AND(A1384&lt;&gt;"",B1384&lt;&gt;""), A1384&amp;" · "&amp;B1384, "")</f>
        <v/>
      </c>
    </row>
    <row r="1385">
      <c r="A1385" s="6" t="inlineStr">
        <is>
          <t>FY27</t>
        </is>
      </c>
      <c r="B1385" s="6" t="inlineStr">
        <is>
          <t>Apr</t>
        </is>
      </c>
      <c r="C1385" s="6" t="inlineStr">
        <is>
          <t>AP/TS</t>
        </is>
      </c>
      <c r="D1385" s="7" t="inlineStr">
        <is>
          <t>TS10EF3454</t>
        </is>
      </c>
      <c r="E1385" s="7" t="inlineStr">
        <is>
          <t>TATA</t>
        </is>
      </c>
      <c r="F1385" s="7" t="inlineStr">
        <is>
          <t>Zest</t>
        </is>
      </c>
      <c r="G1385" s="7" t="inlineStr">
        <is>
          <t>PUDARI BABU</t>
        </is>
      </c>
      <c r="H1385" s="7" t="inlineStr">
        <is>
          <t>Non-Captive</t>
        </is>
      </c>
      <c r="I1385" s="7" t="inlineStr">
        <is>
          <t>Odapally Sandeep</t>
        </is>
      </c>
      <c r="J1385" s="8" t="n">
        <v>2015</v>
      </c>
      <c r="K1385" s="9" t="n">
        <v>220151</v>
      </c>
      <c r="L1385" s="10" t="n">
        <v>112500</v>
      </c>
      <c r="M1385" s="10" t="n">
        <v>2118.64</v>
      </c>
      <c r="N1385" s="11">
        <f>IF(M1385="","",ROUND(M1385*1.18,2))</f>
        <v/>
      </c>
      <c r="O1385" s="12">
        <f>IF(M1385="","",ROUND(N1385-M1385,2))</f>
        <v/>
      </c>
      <c r="P1385" s="13">
        <f>IF(AND(A1385&lt;&gt;"",B1385&lt;&gt;""), A1385&amp;" · "&amp;B1385, "")</f>
        <v/>
      </c>
    </row>
    <row r="1386">
      <c r="A1386" s="6" t="inlineStr">
        <is>
          <t>FY27</t>
        </is>
      </c>
      <c r="B1386" s="6" t="inlineStr">
        <is>
          <t>Apr</t>
        </is>
      </c>
      <c r="C1386" s="6" t="inlineStr">
        <is>
          <t>AP/TS</t>
        </is>
      </c>
      <c r="D1386" s="7" t="inlineStr">
        <is>
          <t>TS11EF7454</t>
        </is>
      </c>
      <c r="E1386" s="7" t="inlineStr">
        <is>
          <t>MARUTI SUZUKI</t>
        </is>
      </c>
      <c r="F1386" s="7" t="inlineStr">
        <is>
          <t>Celerio</t>
        </is>
      </c>
      <c r="G1386" s="7" t="inlineStr">
        <is>
          <t>PUDARI BABU</t>
        </is>
      </c>
      <c r="H1386" s="7" t="inlineStr">
        <is>
          <t>Non-Captive</t>
        </is>
      </c>
      <c r="I1386" s="7" t="inlineStr">
        <is>
          <t>Bukya Santhosh Naik</t>
        </is>
      </c>
      <c r="J1386" s="8" t="n">
        <v>2015</v>
      </c>
      <c r="K1386" s="9" t="n">
        <v>148763</v>
      </c>
      <c r="L1386" s="10" t="n">
        <v>192500</v>
      </c>
      <c r="M1386" s="10" t="n">
        <v>2118.64</v>
      </c>
      <c r="N1386" s="11">
        <f>IF(M1386="","",ROUND(M1386*1.18,2))</f>
        <v/>
      </c>
      <c r="O1386" s="12">
        <f>IF(M1386="","",ROUND(N1386-M1386,2))</f>
        <v/>
      </c>
      <c r="P1386" s="13">
        <f>IF(AND(A1386&lt;&gt;"",B1386&lt;&gt;""), A1386&amp;" · "&amp;B1386, "")</f>
        <v/>
      </c>
    </row>
    <row r="1387">
      <c r="A1387" s="6" t="inlineStr">
        <is>
          <t>FY27</t>
        </is>
      </c>
      <c r="B1387" s="6" t="inlineStr">
        <is>
          <t>Apr</t>
        </is>
      </c>
      <c r="C1387" s="6" t="inlineStr">
        <is>
          <t>Kerala</t>
        </is>
      </c>
      <c r="D1387" s="7" t="inlineStr">
        <is>
          <t>KA04MD9968</t>
        </is>
      </c>
      <c r="E1387" s="7" t="inlineStr">
        <is>
          <t>FORD</t>
        </is>
      </c>
      <c r="F1387" s="7" t="inlineStr">
        <is>
          <t>Fiesta</t>
        </is>
      </c>
      <c r="G1387" s="7" t="inlineStr">
        <is>
          <t>JISHNU PRIYAN</t>
        </is>
      </c>
      <c r="H1387" s="7" t="inlineStr">
        <is>
          <t>Non-Captive</t>
        </is>
      </c>
      <c r="I1387" s="7" t="inlineStr">
        <is>
          <t>RAFEEK T A</t>
        </is>
      </c>
      <c r="J1387" s="8" t="n"/>
      <c r="K1387" s="9" t="n">
        <v>105000</v>
      </c>
      <c r="L1387" s="10" t="n">
        <v>25000</v>
      </c>
      <c r="M1387" s="10" t="n">
        <v>8474.58</v>
      </c>
      <c r="N1387" s="11">
        <f>IF(M1387="","",ROUND(M1387*1.18,2))</f>
        <v/>
      </c>
      <c r="O1387" s="12">
        <f>IF(M1387="","",ROUND(N1387-M1387,2))</f>
        <v/>
      </c>
      <c r="P1387" s="13">
        <f>IF(AND(A1387&lt;&gt;"",B1387&lt;&gt;""), A1387&amp;" · "&amp;B1387, "")</f>
        <v/>
      </c>
    </row>
    <row r="1388">
      <c r="A1388" s="6" t="inlineStr">
        <is>
          <t>FY27</t>
        </is>
      </c>
      <c r="B1388" s="6" t="inlineStr">
        <is>
          <t>Apr</t>
        </is>
      </c>
      <c r="C1388" s="6" t="inlineStr">
        <is>
          <t>Kerala</t>
        </is>
      </c>
      <c r="D1388" s="7" t="inlineStr">
        <is>
          <t>KL01AN3853</t>
        </is>
      </c>
      <c r="E1388" s="7" t="inlineStr">
        <is>
          <t>MARUTI SUZUKI</t>
        </is>
      </c>
      <c r="F1388" s="7" t="inlineStr">
        <is>
          <t>Swift</t>
        </is>
      </c>
      <c r="G1388" s="7" t="inlineStr">
        <is>
          <t>ABHISHEK</t>
        </is>
      </c>
      <c r="H1388" s="7" t="inlineStr">
        <is>
          <t>Non-Captive</t>
        </is>
      </c>
      <c r="I1388" s="7" t="inlineStr">
        <is>
          <t>TRIVANDRUM MOTORS</t>
        </is>
      </c>
      <c r="J1388" s="8" t="n"/>
      <c r="K1388" s="9" t="n">
        <v>94000</v>
      </c>
      <c r="L1388" s="10" t="n">
        <v>75000</v>
      </c>
      <c r="M1388" s="10" t="n">
        <v>4237.29</v>
      </c>
      <c r="N1388" s="11">
        <f>IF(M1388="","",ROUND(M1388*1.18,2))</f>
        <v/>
      </c>
      <c r="O1388" s="12">
        <f>IF(M1388="","",ROUND(N1388-M1388,2))</f>
        <v/>
      </c>
      <c r="P1388" s="13">
        <f>IF(AND(A1388&lt;&gt;"",B1388&lt;&gt;""), A1388&amp;" · "&amp;B1388, "")</f>
        <v/>
      </c>
    </row>
    <row r="1389">
      <c r="A1389" s="6" t="inlineStr">
        <is>
          <t>FY27</t>
        </is>
      </c>
      <c r="B1389" s="6" t="inlineStr">
        <is>
          <t>Apr</t>
        </is>
      </c>
      <c r="C1389" s="6" t="inlineStr">
        <is>
          <t>Kerala</t>
        </is>
      </c>
      <c r="D1389" s="7" t="inlineStr">
        <is>
          <t>KL01AT4014</t>
        </is>
      </c>
      <c r="E1389" s="7" t="inlineStr">
        <is>
          <t>HYUNDAI</t>
        </is>
      </c>
      <c r="F1389" s="7" t="inlineStr">
        <is>
          <t>Santro</t>
        </is>
      </c>
      <c r="G1389" s="7" t="inlineStr">
        <is>
          <t>ABHISHEK</t>
        </is>
      </c>
      <c r="H1389" s="7" t="inlineStr">
        <is>
          <t>Non-Captive</t>
        </is>
      </c>
      <c r="I1389" s="7" t="inlineStr">
        <is>
          <t>TRIVANDRUM MOTORS</t>
        </is>
      </c>
      <c r="J1389" s="8" t="n">
        <v>2008</v>
      </c>
      <c r="K1389" s="9" t="n">
        <v>90000</v>
      </c>
      <c r="L1389" s="10" t="n">
        <v>40000</v>
      </c>
      <c r="M1389" s="10" t="n">
        <v>5932.2</v>
      </c>
      <c r="N1389" s="11">
        <f>IF(M1389="","",ROUND(M1389*1.18,2))</f>
        <v/>
      </c>
      <c r="O1389" s="12">
        <f>IF(M1389="","",ROUND(N1389-M1389,2))</f>
        <v/>
      </c>
      <c r="P1389" s="13">
        <f>IF(AND(A1389&lt;&gt;"",B1389&lt;&gt;""), A1389&amp;" · "&amp;B1389, "")</f>
        <v/>
      </c>
    </row>
    <row r="1390">
      <c r="A1390" s="6" t="inlineStr">
        <is>
          <t>FY27</t>
        </is>
      </c>
      <c r="B1390" s="6" t="inlineStr">
        <is>
          <t>Apr</t>
        </is>
      </c>
      <c r="C1390" s="6" t="inlineStr">
        <is>
          <t>Kerala</t>
        </is>
      </c>
      <c r="D1390" s="7" t="inlineStr">
        <is>
          <t>KL01AV9428</t>
        </is>
      </c>
      <c r="E1390" s="7" t="inlineStr">
        <is>
          <t>MARUTI SUZUKI</t>
        </is>
      </c>
      <c r="F1390" s="7" t="inlineStr">
        <is>
          <t>Zen Estilo</t>
        </is>
      </c>
      <c r="G1390" s="7" t="inlineStr">
        <is>
          <t>ABHISHEK</t>
        </is>
      </c>
      <c r="H1390" s="7" t="inlineStr">
        <is>
          <t>Non-Captive</t>
        </is>
      </c>
      <c r="I1390" s="7" t="inlineStr">
        <is>
          <t>TOYOTA FINANCE</t>
        </is>
      </c>
      <c r="J1390" s="8" t="n"/>
      <c r="K1390" s="9" t="n">
        <v>40000</v>
      </c>
      <c r="L1390" s="10" t="n">
        <v>20000</v>
      </c>
      <c r="M1390" s="10" t="n">
        <v>4237.29</v>
      </c>
      <c r="N1390" s="11">
        <f>IF(M1390="","",ROUND(M1390*1.18,2))</f>
        <v/>
      </c>
      <c r="O1390" s="12">
        <f>IF(M1390="","",ROUND(N1390-M1390,2))</f>
        <v/>
      </c>
      <c r="P1390" s="13">
        <f>IF(AND(A1390&lt;&gt;"",B1390&lt;&gt;""), A1390&amp;" · "&amp;B1390, "")</f>
        <v/>
      </c>
    </row>
    <row r="1391">
      <c r="A1391" s="6" t="inlineStr">
        <is>
          <t>FY27</t>
        </is>
      </c>
      <c r="B1391" s="6" t="inlineStr">
        <is>
          <t>Apr</t>
        </is>
      </c>
      <c r="C1391" s="6" t="inlineStr">
        <is>
          <t>Kerala</t>
        </is>
      </c>
      <c r="D1391" s="7" t="inlineStr">
        <is>
          <t>KL01BE7810</t>
        </is>
      </c>
      <c r="E1391" s="7" t="inlineStr">
        <is>
          <t>HYUNDAI</t>
        </is>
      </c>
      <c r="F1391" s="7" t="inlineStr">
        <is>
          <t>Eon</t>
        </is>
      </c>
      <c r="G1391" s="7" t="inlineStr">
        <is>
          <t>JISHNU PRIYAN</t>
        </is>
      </c>
      <c r="H1391" s="7" t="inlineStr">
        <is>
          <t>Non-Captive</t>
        </is>
      </c>
      <c r="I1391" s="7" t="inlineStr">
        <is>
          <t>DINESH P S</t>
        </is>
      </c>
      <c r="J1391" s="8" t="n"/>
      <c r="K1391" s="9" t="n">
        <v>55570</v>
      </c>
      <c r="L1391" s="10" t="n">
        <v>90000</v>
      </c>
      <c r="M1391" s="10" t="n">
        <v>8474.58</v>
      </c>
      <c r="N1391" s="11">
        <f>IF(M1391="","",ROUND(M1391*1.18,2))</f>
        <v/>
      </c>
      <c r="O1391" s="12">
        <f>IF(M1391="","",ROUND(N1391-M1391,2))</f>
        <v/>
      </c>
      <c r="P1391" s="13">
        <f>IF(AND(A1391&lt;&gt;"",B1391&lt;&gt;""), A1391&amp;" · "&amp;B1391, "")</f>
        <v/>
      </c>
    </row>
    <row r="1392">
      <c r="A1392" s="6" t="inlineStr">
        <is>
          <t>FY27</t>
        </is>
      </c>
      <c r="B1392" s="6" t="inlineStr">
        <is>
          <t>Apr</t>
        </is>
      </c>
      <c r="C1392" s="6" t="inlineStr">
        <is>
          <t>Kerala</t>
        </is>
      </c>
      <c r="D1392" s="7" t="inlineStr">
        <is>
          <t>KL01BH6206</t>
        </is>
      </c>
      <c r="E1392" s="7" t="inlineStr">
        <is>
          <t>FORD</t>
        </is>
      </c>
      <c r="F1392" s="7" t="inlineStr">
        <is>
          <t>Figo</t>
        </is>
      </c>
      <c r="G1392" s="7" t="inlineStr">
        <is>
          <t>POPULAR MARUTI</t>
        </is>
      </c>
      <c r="H1392" s="7" t="inlineStr">
        <is>
          <t>Non-Captive</t>
        </is>
      </c>
      <c r="I1392" s="7" t="inlineStr">
        <is>
          <t>SANTHOSH</t>
        </is>
      </c>
      <c r="J1392" s="8" t="n"/>
      <c r="K1392" s="9" t="n">
        <v>168000</v>
      </c>
      <c r="L1392" s="10" t="n">
        <v>50000</v>
      </c>
      <c r="M1392" s="10" t="n">
        <v>5932.2</v>
      </c>
      <c r="N1392" s="11">
        <f>IF(M1392="","",ROUND(M1392*1.18,2))</f>
        <v/>
      </c>
      <c r="O1392" s="12">
        <f>IF(M1392="","",ROUND(N1392-M1392,2))</f>
        <v/>
      </c>
      <c r="P1392" s="13">
        <f>IF(AND(A1392&lt;&gt;"",B1392&lt;&gt;""), A1392&amp;" · "&amp;B1392, "")</f>
        <v/>
      </c>
    </row>
    <row r="1393">
      <c r="A1393" s="6" t="inlineStr">
        <is>
          <t>FY27</t>
        </is>
      </c>
      <c r="B1393" s="6" t="inlineStr">
        <is>
          <t>Apr</t>
        </is>
      </c>
      <c r="C1393" s="6" t="inlineStr">
        <is>
          <t>Kerala</t>
        </is>
      </c>
      <c r="D1393" s="7" t="inlineStr">
        <is>
          <t>KL01BR4041</t>
        </is>
      </c>
      <c r="E1393" s="7" t="inlineStr">
        <is>
          <t>HYUNDAI</t>
        </is>
      </c>
      <c r="F1393" s="7" t="inlineStr">
        <is>
          <t>Accent</t>
        </is>
      </c>
      <c r="G1393" s="7" t="inlineStr">
        <is>
          <t>PRAJOD</t>
        </is>
      </c>
      <c r="H1393" s="7" t="inlineStr">
        <is>
          <t>Non-Captive</t>
        </is>
      </c>
      <c r="I1393" s="7" t="inlineStr">
        <is>
          <t>KAIRALI TOYOTA</t>
        </is>
      </c>
      <c r="J1393" s="8" t="n">
        <v>2014</v>
      </c>
      <c r="K1393" s="9" t="n">
        <v>98900</v>
      </c>
      <c r="L1393" s="10" t="n">
        <v>240000</v>
      </c>
      <c r="M1393" s="10" t="n">
        <v>8474.58</v>
      </c>
      <c r="N1393" s="11">
        <f>IF(M1393="","",ROUND(M1393*1.18,2))</f>
        <v/>
      </c>
      <c r="O1393" s="12">
        <f>IF(M1393="","",ROUND(N1393-M1393,2))</f>
        <v/>
      </c>
      <c r="P1393" s="13">
        <f>IF(AND(A1393&lt;&gt;"",B1393&lt;&gt;""), A1393&amp;" · "&amp;B1393, "")</f>
        <v/>
      </c>
    </row>
    <row r="1394">
      <c r="A1394" s="6" t="inlineStr">
        <is>
          <t>FY27</t>
        </is>
      </c>
      <c r="B1394" s="6" t="inlineStr">
        <is>
          <t>Apr</t>
        </is>
      </c>
      <c r="C1394" s="6" t="inlineStr">
        <is>
          <t>Kerala</t>
        </is>
      </c>
      <c r="D1394" s="7" t="inlineStr">
        <is>
          <t>KL01CN7173</t>
        </is>
      </c>
      <c r="E1394" s="7" t="inlineStr">
        <is>
          <t>RENAULT</t>
        </is>
      </c>
      <c r="F1394" s="7" t="inlineStr">
        <is>
          <t>Triber</t>
        </is>
      </c>
      <c r="G1394" s="7" t="inlineStr">
        <is>
          <t>KISHORE</t>
        </is>
      </c>
      <c r="H1394" s="7" t="inlineStr">
        <is>
          <t>Non-Captive</t>
        </is>
      </c>
      <c r="I1394" s="7" t="inlineStr">
        <is>
          <t>SS MAHINDRA</t>
        </is>
      </c>
      <c r="J1394" s="8" t="n"/>
      <c r="K1394" s="9" t="n">
        <v>37800</v>
      </c>
      <c r="L1394" s="10" t="n">
        <v>375000</v>
      </c>
      <c r="M1394" s="10" t="n">
        <v>4237.29</v>
      </c>
      <c r="N1394" s="11">
        <f>IF(M1394="","",ROUND(M1394*1.18,2))</f>
        <v/>
      </c>
      <c r="O1394" s="12">
        <f>IF(M1394="","",ROUND(N1394-M1394,2))</f>
        <v/>
      </c>
      <c r="P1394" s="13">
        <f>IF(AND(A1394&lt;&gt;"",B1394&lt;&gt;""), A1394&amp;" · "&amp;B1394, "")</f>
        <v/>
      </c>
    </row>
    <row r="1395">
      <c r="A1395" s="6" t="inlineStr">
        <is>
          <t>FY27</t>
        </is>
      </c>
      <c r="B1395" s="6" t="inlineStr">
        <is>
          <t>Apr</t>
        </is>
      </c>
      <c r="C1395" s="6" t="inlineStr">
        <is>
          <t>Kerala</t>
        </is>
      </c>
      <c r="D1395" s="7" t="inlineStr">
        <is>
          <t>KL01W9612</t>
        </is>
      </c>
      <c r="E1395" s="7" t="inlineStr">
        <is>
          <t>MARUTI SUZUKI</t>
        </is>
      </c>
      <c r="F1395" s="7" t="inlineStr">
        <is>
          <t>Alto</t>
        </is>
      </c>
      <c r="G1395" s="7" t="inlineStr">
        <is>
          <t>KISHORE</t>
        </is>
      </c>
      <c r="H1395" s="7" t="inlineStr">
        <is>
          <t>Non-Captive</t>
        </is>
      </c>
      <c r="I1395" s="7" t="inlineStr">
        <is>
          <t>POPULAR MARUTI</t>
        </is>
      </c>
      <c r="J1395" s="8" t="n"/>
      <c r="K1395" s="9" t="n">
        <v>50000</v>
      </c>
      <c r="L1395" s="10" t="n">
        <v>15000</v>
      </c>
      <c r="M1395" s="10" t="n">
        <v>4237.29</v>
      </c>
      <c r="N1395" s="11">
        <f>IF(M1395="","",ROUND(M1395*1.18,2))</f>
        <v/>
      </c>
      <c r="O1395" s="12">
        <f>IF(M1395="","",ROUND(N1395-M1395,2))</f>
        <v/>
      </c>
      <c r="P1395" s="13">
        <f>IF(AND(A1395&lt;&gt;"",B1395&lt;&gt;""), A1395&amp;" · "&amp;B1395, "")</f>
        <v/>
      </c>
    </row>
    <row r="1396">
      <c r="A1396" s="6" t="inlineStr">
        <is>
          <t>FY27</t>
        </is>
      </c>
      <c r="B1396" s="6" t="inlineStr">
        <is>
          <t>Apr</t>
        </is>
      </c>
      <c r="C1396" s="6" t="inlineStr">
        <is>
          <t>Kerala</t>
        </is>
      </c>
      <c r="D1396" s="7" t="inlineStr">
        <is>
          <t>KL02AR3312</t>
        </is>
      </c>
      <c r="E1396" s="7" t="inlineStr">
        <is>
          <t>HYUNDAI</t>
        </is>
      </c>
      <c r="F1396" s="7" t="inlineStr">
        <is>
          <t>i20</t>
        </is>
      </c>
      <c r="G1396" s="7" t="inlineStr">
        <is>
          <t>MUHANNED NASIM</t>
        </is>
      </c>
      <c r="H1396" s="7" t="inlineStr">
        <is>
          <t>Non-Captive</t>
        </is>
      </c>
      <c r="I1396" s="7" t="inlineStr">
        <is>
          <t>SHIBU BABU</t>
        </is>
      </c>
      <c r="J1396" s="8" t="n">
        <v>2014</v>
      </c>
      <c r="K1396" s="9" t="n">
        <v>68000</v>
      </c>
      <c r="L1396" s="10" t="n">
        <v>320000</v>
      </c>
      <c r="M1396" s="10" t="n">
        <v>6779.66</v>
      </c>
      <c r="N1396" s="11">
        <f>IF(M1396="","",ROUND(M1396*1.18,2))</f>
        <v/>
      </c>
      <c r="O1396" s="12">
        <f>IF(M1396="","",ROUND(N1396-M1396,2))</f>
        <v/>
      </c>
      <c r="P1396" s="13">
        <f>IF(AND(A1396&lt;&gt;"",B1396&lt;&gt;""), A1396&amp;" · "&amp;B1396, "")</f>
        <v/>
      </c>
    </row>
    <row r="1397">
      <c r="A1397" s="6" t="inlineStr">
        <is>
          <t>FY27</t>
        </is>
      </c>
      <c r="B1397" s="6" t="inlineStr">
        <is>
          <t>Apr</t>
        </is>
      </c>
      <c r="C1397" s="6" t="inlineStr">
        <is>
          <t>Kerala</t>
        </is>
      </c>
      <c r="D1397" s="7" t="inlineStr">
        <is>
          <t>KL02AZ6059</t>
        </is>
      </c>
      <c r="E1397" s="7" t="inlineStr">
        <is>
          <t>HYUNDAI</t>
        </is>
      </c>
      <c r="F1397" s="7" t="inlineStr">
        <is>
          <t>Eon</t>
        </is>
      </c>
      <c r="G1397" s="7" t="inlineStr">
        <is>
          <t>PINNACLE NISSAN</t>
        </is>
      </c>
      <c r="H1397" s="7" t="inlineStr">
        <is>
          <t>Non-Captive</t>
        </is>
      </c>
      <c r="I1397" s="7" t="inlineStr">
        <is>
          <t>SHAHAR</t>
        </is>
      </c>
      <c r="J1397" s="8" t="n"/>
      <c r="K1397" s="9" t="n">
        <v>69756</v>
      </c>
      <c r="L1397" s="10" t="n">
        <v>194000</v>
      </c>
      <c r="M1397" s="10" t="n">
        <v>5084.75</v>
      </c>
      <c r="N1397" s="11">
        <f>IF(M1397="","",ROUND(M1397*1.18,2))</f>
        <v/>
      </c>
      <c r="O1397" s="12">
        <f>IF(M1397="","",ROUND(N1397-M1397,2))</f>
        <v/>
      </c>
      <c r="P1397" s="13">
        <f>IF(AND(A1397&lt;&gt;"",B1397&lt;&gt;""), A1397&amp;" · "&amp;B1397, "")</f>
        <v/>
      </c>
    </row>
    <row r="1398">
      <c r="A1398" s="6" t="inlineStr">
        <is>
          <t>FY27</t>
        </is>
      </c>
      <c r="B1398" s="6" t="inlineStr">
        <is>
          <t>Apr</t>
        </is>
      </c>
      <c r="C1398" s="6" t="inlineStr">
        <is>
          <t>Kerala</t>
        </is>
      </c>
      <c r="D1398" s="7" t="inlineStr">
        <is>
          <t>KL02BF2227</t>
        </is>
      </c>
      <c r="E1398" s="7" t="inlineStr">
        <is>
          <t>MAHINDRA</t>
        </is>
      </c>
      <c r="F1398" s="7" t="inlineStr">
        <is>
          <t>TUV300</t>
        </is>
      </c>
      <c r="G1398" s="7" t="inlineStr">
        <is>
          <t>MAXX MOTORS</t>
        </is>
      </c>
      <c r="H1398" s="7" t="inlineStr">
        <is>
          <t>Non-Captive</t>
        </is>
      </c>
      <c r="I1398" s="7" t="inlineStr">
        <is>
          <t>PINNACLE NISSAN</t>
        </is>
      </c>
      <c r="J1398" s="8" t="n"/>
      <c r="K1398" s="9" t="n">
        <v>57631</v>
      </c>
      <c r="L1398" s="10" t="n">
        <v>415000</v>
      </c>
      <c r="M1398" s="10" t="n">
        <v>8474.58</v>
      </c>
      <c r="N1398" s="11">
        <f>IF(M1398="","",ROUND(M1398*1.18,2))</f>
        <v/>
      </c>
      <c r="O1398" s="12">
        <f>IF(M1398="","",ROUND(N1398-M1398,2))</f>
        <v/>
      </c>
      <c r="P1398" s="13">
        <f>IF(AND(A1398&lt;&gt;"",B1398&lt;&gt;""), A1398&amp;" · "&amp;B1398, "")</f>
        <v/>
      </c>
    </row>
    <row r="1399">
      <c r="A1399" s="6" t="inlineStr">
        <is>
          <t>FY27</t>
        </is>
      </c>
      <c r="B1399" s="6" t="inlineStr">
        <is>
          <t>Apr</t>
        </is>
      </c>
      <c r="C1399" s="6" t="inlineStr">
        <is>
          <t>Kerala</t>
        </is>
      </c>
      <c r="D1399" s="7" t="inlineStr">
        <is>
          <t>KL02BV4262</t>
        </is>
      </c>
      <c r="E1399" s="7" t="inlineStr">
        <is>
          <t>HYUNDAI</t>
        </is>
      </c>
      <c r="F1399" s="7" t="inlineStr">
        <is>
          <t>Venue</t>
        </is>
      </c>
      <c r="G1399" s="7" t="inlineStr">
        <is>
          <t>TRIVANDRUM MOTORS</t>
        </is>
      </c>
      <c r="H1399" s="7" t="inlineStr">
        <is>
          <t>Non-Captive</t>
        </is>
      </c>
      <c r="I1399" s="7" t="inlineStr">
        <is>
          <t>RIYAS</t>
        </is>
      </c>
      <c r="J1399" s="8" t="n"/>
      <c r="K1399" s="9" t="n">
        <v>15800</v>
      </c>
      <c r="L1399" s="10" t="n">
        <v>700000</v>
      </c>
      <c r="M1399" s="10" t="n">
        <v>8474.58</v>
      </c>
      <c r="N1399" s="11">
        <f>IF(M1399="","",ROUND(M1399*1.18,2))</f>
        <v/>
      </c>
      <c r="O1399" s="12">
        <f>IF(M1399="","",ROUND(N1399-M1399,2))</f>
        <v/>
      </c>
      <c r="P1399" s="13">
        <f>IF(AND(A1399&lt;&gt;"",B1399&lt;&gt;""), A1399&amp;" · "&amp;B1399, "")</f>
        <v/>
      </c>
    </row>
    <row r="1400">
      <c r="A1400" s="6" t="inlineStr">
        <is>
          <t>FY27</t>
        </is>
      </c>
      <c r="B1400" s="6" t="inlineStr">
        <is>
          <t>Apr</t>
        </is>
      </c>
      <c r="C1400" s="6" t="inlineStr">
        <is>
          <t>Kerala</t>
        </is>
      </c>
      <c r="D1400" s="7" t="inlineStr">
        <is>
          <t>KL02S3932</t>
        </is>
      </c>
      <c r="E1400" s="7" t="inlineStr">
        <is>
          <t>MARUTI SUZUKI</t>
        </is>
      </c>
      <c r="F1400" s="7" t="inlineStr">
        <is>
          <t>Alto</t>
        </is>
      </c>
      <c r="G1400" s="7" t="inlineStr">
        <is>
          <t>MITHUN BABU</t>
        </is>
      </c>
      <c r="H1400" s="7" t="inlineStr">
        <is>
          <t>Non-Captive</t>
        </is>
      </c>
      <c r="I1400" s="7" t="inlineStr">
        <is>
          <t>AKHILNATH</t>
        </is>
      </c>
      <c r="J1400" s="8" t="n"/>
      <c r="K1400" s="9" t="n">
        <v>87012</v>
      </c>
      <c r="L1400" s="10" t="n">
        <v>35000</v>
      </c>
      <c r="M1400" s="10" t="n">
        <v>4237.29</v>
      </c>
      <c r="N1400" s="11">
        <f>IF(M1400="","",ROUND(M1400*1.18,2))</f>
        <v/>
      </c>
      <c r="O1400" s="12">
        <f>IF(M1400="","",ROUND(N1400-M1400,2))</f>
        <v/>
      </c>
      <c r="P1400" s="13">
        <f>IF(AND(A1400&lt;&gt;"",B1400&lt;&gt;""), A1400&amp;" · "&amp;B1400, "")</f>
        <v/>
      </c>
    </row>
    <row r="1401">
      <c r="A1401" s="6" t="inlineStr">
        <is>
          <t>FY27</t>
        </is>
      </c>
      <c r="B1401" s="6" t="inlineStr">
        <is>
          <t>Apr</t>
        </is>
      </c>
      <c r="C1401" s="6" t="inlineStr">
        <is>
          <t>Kerala</t>
        </is>
      </c>
      <c r="D1401" s="7" t="inlineStr">
        <is>
          <t>KL02V3821</t>
        </is>
      </c>
      <c r="E1401" s="7" t="inlineStr">
        <is>
          <t>MARUTI SUZUKI</t>
        </is>
      </c>
      <c r="F1401" s="7" t="inlineStr">
        <is>
          <t>Alto</t>
        </is>
      </c>
      <c r="G1401" s="7" t="inlineStr">
        <is>
          <t>MUTHOOT HONDA</t>
        </is>
      </c>
      <c r="H1401" s="7" t="inlineStr">
        <is>
          <t>Non-Captive</t>
        </is>
      </c>
      <c r="I1401" s="7" t="inlineStr">
        <is>
          <t>SHAHAR</t>
        </is>
      </c>
      <c r="J1401" s="8" t="n"/>
      <c r="K1401" s="9" t="n">
        <v>112356</v>
      </c>
      <c r="L1401" s="10" t="n">
        <v>25000</v>
      </c>
      <c r="M1401" s="10" t="n">
        <v>4237.29</v>
      </c>
      <c r="N1401" s="11">
        <f>IF(M1401="","",ROUND(M1401*1.18,2))</f>
        <v/>
      </c>
      <c r="O1401" s="12">
        <f>IF(M1401="","",ROUND(N1401-M1401,2))</f>
        <v/>
      </c>
      <c r="P1401" s="13">
        <f>IF(AND(A1401&lt;&gt;"",B1401&lt;&gt;""), A1401&amp;" · "&amp;B1401, "")</f>
        <v/>
      </c>
    </row>
    <row r="1402">
      <c r="A1402" s="6" t="inlineStr">
        <is>
          <t>FY27</t>
        </is>
      </c>
      <c r="B1402" s="6" t="inlineStr">
        <is>
          <t>Apr</t>
        </is>
      </c>
      <c r="C1402" s="6" t="inlineStr">
        <is>
          <t>Kerala</t>
        </is>
      </c>
      <c r="D1402" s="7" t="inlineStr">
        <is>
          <t>KL03AJ4656</t>
        </is>
      </c>
      <c r="E1402" s="7" t="inlineStr">
        <is>
          <t>HYUNDAI</t>
        </is>
      </c>
      <c r="F1402" s="7" t="inlineStr">
        <is>
          <t>Creta</t>
        </is>
      </c>
      <c r="G1402" s="7" t="inlineStr">
        <is>
          <t>KESHVIN HYUNDAI</t>
        </is>
      </c>
      <c r="H1402" s="7" t="inlineStr">
        <is>
          <t>Non-Captive</t>
        </is>
      </c>
      <c r="I1402" s="7" t="inlineStr">
        <is>
          <t>HAVEN MOTORS</t>
        </is>
      </c>
      <c r="J1402" s="8" t="n"/>
      <c r="K1402" s="9" t="n">
        <v>89462</v>
      </c>
      <c r="L1402" s="10" t="n">
        <v>565000</v>
      </c>
      <c r="M1402" s="10" t="n">
        <v>8474.58</v>
      </c>
      <c r="N1402" s="11">
        <f>IF(M1402="","",ROUND(M1402*1.18,2))</f>
        <v/>
      </c>
      <c r="O1402" s="12">
        <f>IF(M1402="","",ROUND(N1402-M1402,2))</f>
        <v/>
      </c>
      <c r="P1402" s="13">
        <f>IF(AND(A1402&lt;&gt;"",B1402&lt;&gt;""), A1402&amp;" · "&amp;B1402, "")</f>
        <v/>
      </c>
    </row>
    <row r="1403">
      <c r="A1403" s="6" t="inlineStr">
        <is>
          <t>FY27</t>
        </is>
      </c>
      <c r="B1403" s="6" t="inlineStr">
        <is>
          <t>Apr</t>
        </is>
      </c>
      <c r="C1403" s="6" t="inlineStr">
        <is>
          <t>Kerala</t>
        </is>
      </c>
      <c r="D1403" s="7" t="inlineStr">
        <is>
          <t>KL03U1993</t>
        </is>
      </c>
      <c r="E1403" s="7" t="inlineStr">
        <is>
          <t>MARUTI SUZUKI</t>
        </is>
      </c>
      <c r="F1403" s="7" t="inlineStr">
        <is>
          <t>Zen</t>
        </is>
      </c>
      <c r="G1403" s="7" t="inlineStr">
        <is>
          <t>EVM SKODA</t>
        </is>
      </c>
      <c r="H1403" s="7" t="inlineStr">
        <is>
          <t>Non-Captive</t>
        </is>
      </c>
      <c r="I1403" s="7" t="inlineStr">
        <is>
          <t>HUSSAIN O E</t>
        </is>
      </c>
      <c r="J1403" s="8" t="n"/>
      <c r="K1403" s="9" t="n">
        <v>140000</v>
      </c>
      <c r="L1403" s="10" t="n">
        <v>45000</v>
      </c>
      <c r="M1403" s="10" t="n">
        <v>8474.58</v>
      </c>
      <c r="N1403" s="11">
        <f>IF(M1403="","",ROUND(M1403*1.18,2))</f>
        <v/>
      </c>
      <c r="O1403" s="12">
        <f>IF(M1403="","",ROUND(N1403-M1403,2))</f>
        <v/>
      </c>
      <c r="P1403" s="13">
        <f>IF(AND(A1403&lt;&gt;"",B1403&lt;&gt;""), A1403&amp;" · "&amp;B1403, "")</f>
        <v/>
      </c>
    </row>
    <row r="1404">
      <c r="A1404" s="6" t="inlineStr">
        <is>
          <t>FY27</t>
        </is>
      </c>
      <c r="B1404" s="6" t="inlineStr">
        <is>
          <t>Apr</t>
        </is>
      </c>
      <c r="C1404" s="6" t="inlineStr">
        <is>
          <t>Kerala</t>
        </is>
      </c>
      <c r="D1404" s="7" t="inlineStr">
        <is>
          <t>KL04AV7697</t>
        </is>
      </c>
      <c r="E1404" s="7" t="inlineStr">
        <is>
          <t>MARUTI SUZUKI</t>
        </is>
      </c>
      <c r="F1404" s="7" t="inlineStr">
        <is>
          <t>Swift</t>
        </is>
      </c>
      <c r="G1404" s="7" t="inlineStr">
        <is>
          <t>MAIJO MARUTI</t>
        </is>
      </c>
      <c r="H1404" s="7" t="inlineStr">
        <is>
          <t>Non-Captive</t>
        </is>
      </c>
      <c r="I1404" s="7" t="inlineStr">
        <is>
          <t>HUSSAIN O E</t>
        </is>
      </c>
      <c r="J1404" s="8" t="n"/>
      <c r="K1404" s="9" t="n">
        <v>16771</v>
      </c>
      <c r="L1404" s="10" t="n">
        <v>675000</v>
      </c>
      <c r="M1404" s="10" t="n">
        <v>8474.58</v>
      </c>
      <c r="N1404" s="11">
        <f>IF(M1404="","",ROUND(M1404*1.18,2))</f>
        <v/>
      </c>
      <c r="O1404" s="12">
        <f>IF(M1404="","",ROUND(N1404-M1404,2))</f>
        <v/>
      </c>
      <c r="P1404" s="13">
        <f>IF(AND(A1404&lt;&gt;"",B1404&lt;&gt;""), A1404&amp;" · "&amp;B1404, "")</f>
        <v/>
      </c>
    </row>
    <row r="1405">
      <c r="A1405" s="6" t="inlineStr">
        <is>
          <t>FY27</t>
        </is>
      </c>
      <c r="B1405" s="6" t="inlineStr">
        <is>
          <t>Apr</t>
        </is>
      </c>
      <c r="C1405" s="6" t="inlineStr">
        <is>
          <t>Kerala</t>
        </is>
      </c>
      <c r="D1405" s="7" t="inlineStr">
        <is>
          <t>KL04X9757</t>
        </is>
      </c>
      <c r="E1405" s="7" t="inlineStr">
        <is>
          <t>MARUTI SUZUKI</t>
        </is>
      </c>
      <c r="F1405" s="7" t="inlineStr">
        <is>
          <t>Zen Estilo</t>
        </is>
      </c>
      <c r="G1405" s="7" t="inlineStr">
        <is>
          <t>AMRITH V CHANDY</t>
        </is>
      </c>
      <c r="H1405" s="7" t="inlineStr">
        <is>
          <t>Non-Captive</t>
        </is>
      </c>
      <c r="I1405" s="7" t="inlineStr">
        <is>
          <t>ASHRAF T A</t>
        </is>
      </c>
      <c r="J1405" s="8" t="n"/>
      <c r="K1405" s="9" t="n">
        <v>90898</v>
      </c>
      <c r="L1405" s="10" t="n">
        <v>65000</v>
      </c>
      <c r="M1405" s="10" t="n">
        <v>8474.58</v>
      </c>
      <c r="N1405" s="11">
        <f>IF(M1405="","",ROUND(M1405*1.18,2))</f>
        <v/>
      </c>
      <c r="O1405" s="12">
        <f>IF(M1405="","",ROUND(N1405-M1405,2))</f>
        <v/>
      </c>
      <c r="P1405" s="13">
        <f>IF(AND(A1405&lt;&gt;"",B1405&lt;&gt;""), A1405&amp;" · "&amp;B1405, "")</f>
        <v/>
      </c>
    </row>
    <row r="1406">
      <c r="A1406" s="6" t="inlineStr">
        <is>
          <t>FY27</t>
        </is>
      </c>
      <c r="B1406" s="6" t="inlineStr">
        <is>
          <t>Apr</t>
        </is>
      </c>
      <c r="C1406" s="6" t="inlineStr">
        <is>
          <t>Kerala</t>
        </is>
      </c>
      <c r="D1406" s="7" t="inlineStr">
        <is>
          <t>KL05AB8106</t>
        </is>
      </c>
      <c r="E1406" s="7" t="inlineStr">
        <is>
          <t>MARUTI SUZUKI</t>
        </is>
      </c>
      <c r="F1406" s="7" t="inlineStr">
        <is>
          <t>A-Star</t>
        </is>
      </c>
      <c r="G1406" s="7" t="inlineStr">
        <is>
          <t>MUHAMMED SHAJI</t>
        </is>
      </c>
      <c r="H1406" s="7" t="inlineStr">
        <is>
          <t>Non-Captive</t>
        </is>
      </c>
      <c r="I1406" s="7" t="inlineStr">
        <is>
          <t>TINU P SOMAN</t>
        </is>
      </c>
      <c r="J1406" s="8" t="n"/>
      <c r="K1406" s="9" t="n">
        <v>83000</v>
      </c>
      <c r="L1406" s="10" t="n">
        <v>70000</v>
      </c>
      <c r="M1406" s="10" t="n">
        <v>8474.58</v>
      </c>
      <c r="N1406" s="11">
        <f>IF(M1406="","",ROUND(M1406*1.18,2))</f>
        <v/>
      </c>
      <c r="O1406" s="12">
        <f>IF(M1406="","",ROUND(N1406-M1406,2))</f>
        <v/>
      </c>
      <c r="P1406" s="13">
        <f>IF(AND(A1406&lt;&gt;"",B1406&lt;&gt;""), A1406&amp;" · "&amp;B1406, "")</f>
        <v/>
      </c>
    </row>
    <row r="1407">
      <c r="A1407" s="6" t="inlineStr">
        <is>
          <t>FY27</t>
        </is>
      </c>
      <c r="B1407" s="6" t="inlineStr">
        <is>
          <t>Apr</t>
        </is>
      </c>
      <c r="C1407" s="6" t="inlineStr">
        <is>
          <t>Kerala</t>
        </is>
      </c>
      <c r="D1407" s="7" t="inlineStr">
        <is>
          <t>KL05AE2392</t>
        </is>
      </c>
      <c r="E1407" s="7" t="inlineStr">
        <is>
          <t>FORD</t>
        </is>
      </c>
      <c r="F1407" s="7" t="inlineStr">
        <is>
          <t>Figo</t>
        </is>
      </c>
      <c r="G1407" s="7" t="inlineStr">
        <is>
          <t>ANAS HAMEED</t>
        </is>
      </c>
      <c r="H1407" s="7" t="inlineStr">
        <is>
          <t>Non-Captive</t>
        </is>
      </c>
      <c r="I1407" s="7" t="inlineStr">
        <is>
          <t>VTJ</t>
        </is>
      </c>
      <c r="J1407" s="8" t="n"/>
      <c r="K1407" s="9" t="n">
        <v>58990</v>
      </c>
      <c r="L1407" s="10" t="n">
        <v>65000</v>
      </c>
      <c r="M1407" s="10" t="n">
        <v>8474.58</v>
      </c>
      <c r="N1407" s="11">
        <f>IF(M1407="","",ROUND(M1407*1.18,2))</f>
        <v/>
      </c>
      <c r="O1407" s="12">
        <f>IF(M1407="","",ROUND(N1407-M1407,2))</f>
        <v/>
      </c>
      <c r="P1407" s="13">
        <f>IF(AND(A1407&lt;&gt;"",B1407&lt;&gt;""), A1407&amp;" · "&amp;B1407, "")</f>
        <v/>
      </c>
    </row>
    <row r="1408">
      <c r="A1408" s="6" t="inlineStr">
        <is>
          <t>FY27</t>
        </is>
      </c>
      <c r="B1408" s="6" t="inlineStr">
        <is>
          <t>Apr</t>
        </is>
      </c>
      <c r="C1408" s="6" t="inlineStr">
        <is>
          <t>Kerala</t>
        </is>
      </c>
      <c r="D1408" s="7" t="inlineStr">
        <is>
          <t>KL05AF4030</t>
        </is>
      </c>
      <c r="E1408" s="7" t="inlineStr">
        <is>
          <t>MARUTI SUZUKI</t>
        </is>
      </c>
      <c r="F1408" s="7" t="inlineStr">
        <is>
          <t>Alto</t>
        </is>
      </c>
      <c r="G1408" s="7" t="inlineStr">
        <is>
          <t>POPULAR MARUTI</t>
        </is>
      </c>
      <c r="H1408" s="7" t="inlineStr">
        <is>
          <t>Non-Captive</t>
        </is>
      </c>
      <c r="I1408" s="7" t="inlineStr">
        <is>
          <t>VTJ</t>
        </is>
      </c>
      <c r="J1408" s="8" t="n"/>
      <c r="K1408" s="9" t="n">
        <v>120890</v>
      </c>
      <c r="L1408" s="10" t="n">
        <v>85000</v>
      </c>
      <c r="M1408" s="10" t="n">
        <v>8474.58</v>
      </c>
      <c r="N1408" s="11">
        <f>IF(M1408="","",ROUND(M1408*1.18,2))</f>
        <v/>
      </c>
      <c r="O1408" s="12">
        <f>IF(M1408="","",ROUND(N1408-M1408,2))</f>
        <v/>
      </c>
      <c r="P1408" s="13">
        <f>IF(AND(A1408&lt;&gt;"",B1408&lt;&gt;""), A1408&amp;" · "&amp;B1408, "")</f>
        <v/>
      </c>
    </row>
    <row r="1409">
      <c r="A1409" s="6" t="inlineStr">
        <is>
          <t>FY27</t>
        </is>
      </c>
      <c r="B1409" s="6" t="inlineStr">
        <is>
          <t>Apr</t>
        </is>
      </c>
      <c r="C1409" s="6" t="inlineStr">
        <is>
          <t>Kerala</t>
        </is>
      </c>
      <c r="D1409" s="7" t="inlineStr">
        <is>
          <t>KL05AH7804</t>
        </is>
      </c>
      <c r="E1409" s="7" t="inlineStr">
        <is>
          <t>MARUTI SUZUKI</t>
        </is>
      </c>
      <c r="F1409" s="7" t="inlineStr">
        <is>
          <t>A-Star</t>
        </is>
      </c>
      <c r="G1409" s="7" t="inlineStr">
        <is>
          <t>AMRITH V CHANDY</t>
        </is>
      </c>
      <c r="H1409" s="7" t="inlineStr">
        <is>
          <t>Non-Captive</t>
        </is>
      </c>
      <c r="I1409" s="7" t="inlineStr">
        <is>
          <t>ROBIN MATHEW</t>
        </is>
      </c>
      <c r="J1409" s="8" t="n"/>
      <c r="K1409" s="9" t="n">
        <v>53656</v>
      </c>
      <c r="L1409" s="10" t="n">
        <v>215000</v>
      </c>
      <c r="M1409" s="10" t="n">
        <v>8474.58</v>
      </c>
      <c r="N1409" s="11">
        <f>IF(M1409="","",ROUND(M1409*1.18,2))</f>
        <v/>
      </c>
      <c r="O1409" s="12">
        <f>IF(M1409="","",ROUND(N1409-M1409,2))</f>
        <v/>
      </c>
      <c r="P1409" s="13">
        <f>IF(AND(A1409&lt;&gt;"",B1409&lt;&gt;""), A1409&amp;" · "&amp;B1409, "")</f>
        <v/>
      </c>
    </row>
    <row r="1410">
      <c r="A1410" s="6" t="inlineStr">
        <is>
          <t>FY27</t>
        </is>
      </c>
      <c r="B1410" s="6" t="inlineStr">
        <is>
          <t>Apr</t>
        </is>
      </c>
      <c r="C1410" s="6" t="inlineStr">
        <is>
          <t>Kerala</t>
        </is>
      </c>
      <c r="D1410" s="7" t="inlineStr">
        <is>
          <t>KL05BA5525</t>
        </is>
      </c>
      <c r="E1410" s="7" t="inlineStr">
        <is>
          <t>TOYOTA</t>
        </is>
      </c>
      <c r="F1410" s="7" t="inlineStr">
        <is>
          <t>Glanza</t>
        </is>
      </c>
      <c r="G1410" s="7" t="inlineStr">
        <is>
          <t>VYSHAKH RAJESH</t>
        </is>
      </c>
      <c r="H1410" s="7" t="inlineStr">
        <is>
          <t>Non-Captive</t>
        </is>
      </c>
      <c r="I1410" s="7" t="inlineStr">
        <is>
          <t>SHAMSUDHEEN</t>
        </is>
      </c>
      <c r="J1410" s="8" t="n"/>
      <c r="K1410" s="9" t="n">
        <v>38787</v>
      </c>
      <c r="L1410" s="10" t="n">
        <v>740000</v>
      </c>
      <c r="M1410" s="10" t="n">
        <v>8474.58</v>
      </c>
      <c r="N1410" s="11">
        <f>IF(M1410="","",ROUND(M1410*1.18,2))</f>
        <v/>
      </c>
      <c r="O1410" s="12">
        <f>IF(M1410="","",ROUND(N1410-M1410,2))</f>
        <v/>
      </c>
      <c r="P1410" s="13">
        <f>IF(AND(A1410&lt;&gt;"",B1410&lt;&gt;""), A1410&amp;" · "&amp;B1410, "")</f>
        <v/>
      </c>
    </row>
    <row r="1411">
      <c r="A1411" s="6" t="inlineStr">
        <is>
          <t>FY27</t>
        </is>
      </c>
      <c r="B1411" s="6" t="inlineStr">
        <is>
          <t>Apr</t>
        </is>
      </c>
      <c r="C1411" s="6" t="inlineStr">
        <is>
          <t>Kerala</t>
        </is>
      </c>
      <c r="D1411" s="7" t="inlineStr">
        <is>
          <t>KL05M5665</t>
        </is>
      </c>
      <c r="E1411" s="7" t="inlineStr">
        <is>
          <t>HONDA</t>
        </is>
      </c>
      <c r="F1411" s="7" t="inlineStr">
        <is>
          <t>City</t>
        </is>
      </c>
      <c r="G1411" s="7" t="inlineStr">
        <is>
          <t>POPULAR MARUTI</t>
        </is>
      </c>
      <c r="H1411" s="7" t="inlineStr">
        <is>
          <t>Non-Captive</t>
        </is>
      </c>
      <c r="I1411" s="7" t="inlineStr">
        <is>
          <t>ROBIN MATHEW</t>
        </is>
      </c>
      <c r="J1411" s="8" t="n"/>
      <c r="K1411" s="9" t="n">
        <v>187978</v>
      </c>
      <c r="L1411" s="10" t="n">
        <v>142000</v>
      </c>
      <c r="M1411" s="10" t="n">
        <v>6779.66</v>
      </c>
      <c r="N1411" s="11">
        <f>IF(M1411="","",ROUND(M1411*1.18,2))</f>
        <v/>
      </c>
      <c r="O1411" s="12">
        <f>IF(M1411="","",ROUND(N1411-M1411,2))</f>
        <v/>
      </c>
      <c r="P1411" s="13">
        <f>IF(AND(A1411&lt;&gt;"",B1411&lt;&gt;""), A1411&amp;" · "&amp;B1411, "")</f>
        <v/>
      </c>
    </row>
    <row r="1412">
      <c r="A1412" s="6" t="inlineStr">
        <is>
          <t>FY27</t>
        </is>
      </c>
      <c r="B1412" s="6" t="inlineStr">
        <is>
          <t>Apr</t>
        </is>
      </c>
      <c r="C1412" s="6" t="inlineStr">
        <is>
          <t>Kerala</t>
        </is>
      </c>
      <c r="D1412" s="7" t="inlineStr">
        <is>
          <t>KL05Z1771</t>
        </is>
      </c>
      <c r="E1412" s="7" t="inlineStr">
        <is>
          <t>MARUTI SUZUKI</t>
        </is>
      </c>
      <c r="F1412" s="7" t="inlineStr">
        <is>
          <t>Swift</t>
        </is>
      </c>
      <c r="G1412" s="7" t="inlineStr">
        <is>
          <t>POPULAR MARUTI</t>
        </is>
      </c>
      <c r="H1412" s="7" t="inlineStr">
        <is>
          <t>Non-Captive</t>
        </is>
      </c>
      <c r="I1412" s="7" t="inlineStr">
        <is>
          <t>RAFEEK T A</t>
        </is>
      </c>
      <c r="J1412" s="8" t="n"/>
      <c r="K1412" s="9" t="n">
        <v>184594</v>
      </c>
      <c r="L1412" s="10" t="n">
        <v>113500</v>
      </c>
      <c r="M1412" s="10" t="n">
        <v>8474.58</v>
      </c>
      <c r="N1412" s="11">
        <f>IF(M1412="","",ROUND(M1412*1.18,2))</f>
        <v/>
      </c>
      <c r="O1412" s="12">
        <f>IF(M1412="","",ROUND(N1412-M1412,2))</f>
        <v/>
      </c>
      <c r="P1412" s="13">
        <f>IF(AND(A1412&lt;&gt;"",B1412&lt;&gt;""), A1412&amp;" · "&amp;B1412, "")</f>
        <v/>
      </c>
    </row>
    <row r="1413">
      <c r="A1413" s="6" t="inlineStr">
        <is>
          <t>FY27</t>
        </is>
      </c>
      <c r="B1413" s="6" t="inlineStr">
        <is>
          <t>Apr</t>
        </is>
      </c>
      <c r="C1413" s="6" t="inlineStr">
        <is>
          <t>Kerala</t>
        </is>
      </c>
      <c r="D1413" s="7" t="inlineStr">
        <is>
          <t>KL07BG9678</t>
        </is>
      </c>
      <c r="E1413" s="7" t="inlineStr">
        <is>
          <t>MARUTI SUZUKI</t>
        </is>
      </c>
      <c r="F1413" s="7" t="inlineStr">
        <is>
          <t>Zen Estilo</t>
        </is>
      </c>
      <c r="G1413" s="7" t="inlineStr">
        <is>
          <t>POPULAR MARUTI</t>
        </is>
      </c>
      <c r="H1413" s="7" t="inlineStr">
        <is>
          <t>Non-Captive</t>
        </is>
      </c>
      <c r="I1413" s="7" t="inlineStr">
        <is>
          <t>ANAS VH</t>
        </is>
      </c>
      <c r="J1413" s="8" t="n"/>
      <c r="K1413" s="9" t="n">
        <v>424552</v>
      </c>
      <c r="L1413" s="10" t="n">
        <v>55000</v>
      </c>
      <c r="M1413" s="10" t="n">
        <v>8474.58</v>
      </c>
      <c r="N1413" s="11">
        <f>IF(M1413="","",ROUND(M1413*1.18,2))</f>
        <v/>
      </c>
      <c r="O1413" s="12">
        <f>IF(M1413="","",ROUND(N1413-M1413,2))</f>
        <v/>
      </c>
      <c r="P1413" s="13">
        <f>IF(AND(A1413&lt;&gt;"",B1413&lt;&gt;""), A1413&amp;" · "&amp;B1413, "")</f>
        <v/>
      </c>
    </row>
    <row r="1414">
      <c r="A1414" s="6" t="inlineStr">
        <is>
          <t>FY27</t>
        </is>
      </c>
      <c r="B1414" s="6" t="inlineStr">
        <is>
          <t>Apr</t>
        </is>
      </c>
      <c r="C1414" s="6" t="inlineStr">
        <is>
          <t>Kerala</t>
        </is>
      </c>
      <c r="D1414" s="7" t="inlineStr">
        <is>
          <t>KL07BS0732</t>
        </is>
      </c>
      <c r="E1414" s="7" t="inlineStr">
        <is>
          <t>MARUTI SUZUKI</t>
        </is>
      </c>
      <c r="F1414" s="7" t="inlineStr">
        <is>
          <t>Eeco</t>
        </is>
      </c>
      <c r="G1414" s="7" t="inlineStr">
        <is>
          <t>POPULAR MARUTI</t>
        </is>
      </c>
      <c r="H1414" s="7" t="inlineStr">
        <is>
          <t>Non-Captive</t>
        </is>
      </c>
      <c r="I1414" s="7" t="inlineStr">
        <is>
          <t>HUSSAIN O E</t>
        </is>
      </c>
      <c r="J1414" s="8" t="n"/>
      <c r="K1414" s="9" t="n">
        <v>176000</v>
      </c>
      <c r="L1414" s="10" t="n">
        <v>70000</v>
      </c>
      <c r="M1414" s="10" t="n">
        <v>8474.58</v>
      </c>
      <c r="N1414" s="11">
        <f>IF(M1414="","",ROUND(M1414*1.18,2))</f>
        <v/>
      </c>
      <c r="O1414" s="12">
        <f>IF(M1414="","",ROUND(N1414-M1414,2))</f>
        <v/>
      </c>
      <c r="P1414" s="13">
        <f>IF(AND(A1414&lt;&gt;"",B1414&lt;&gt;""), A1414&amp;" · "&amp;B1414, "")</f>
        <v/>
      </c>
    </row>
    <row r="1415">
      <c r="A1415" s="6" t="inlineStr">
        <is>
          <t>FY27</t>
        </is>
      </c>
      <c r="B1415" s="6" t="inlineStr">
        <is>
          <t>Apr</t>
        </is>
      </c>
      <c r="C1415" s="6" t="inlineStr">
        <is>
          <t>Kerala</t>
        </is>
      </c>
      <c r="D1415" s="7" t="inlineStr">
        <is>
          <t>KL07BT9243</t>
        </is>
      </c>
      <c r="E1415" s="7" t="inlineStr">
        <is>
          <t>TOYOTA</t>
        </is>
      </c>
      <c r="F1415" s="7" t="inlineStr">
        <is>
          <t>Innova</t>
        </is>
      </c>
      <c r="G1415" s="7" t="inlineStr">
        <is>
          <t>AUTOMOTIVE MAHINDRA</t>
        </is>
      </c>
      <c r="H1415" s="7" t="inlineStr">
        <is>
          <t>Non-Captive</t>
        </is>
      </c>
      <c r="I1415" s="7" t="inlineStr">
        <is>
          <t>VTJ</t>
        </is>
      </c>
      <c r="J1415" s="8" t="n"/>
      <c r="K1415" s="9" t="n">
        <v>113000</v>
      </c>
      <c r="L1415" s="10" t="n">
        <v>680000</v>
      </c>
      <c r="M1415" s="10" t="n">
        <v>8474.58</v>
      </c>
      <c r="N1415" s="11">
        <f>IF(M1415="","",ROUND(M1415*1.18,2))</f>
        <v/>
      </c>
      <c r="O1415" s="12">
        <f>IF(M1415="","",ROUND(N1415-M1415,2))</f>
        <v/>
      </c>
      <c r="P1415" s="13">
        <f>IF(AND(A1415&lt;&gt;"",B1415&lt;&gt;""), A1415&amp;" · "&amp;B1415, "")</f>
        <v/>
      </c>
    </row>
    <row r="1416">
      <c r="A1416" s="6" t="inlineStr">
        <is>
          <t>FY27</t>
        </is>
      </c>
      <c r="B1416" s="6" t="inlineStr">
        <is>
          <t>Apr</t>
        </is>
      </c>
      <c r="C1416" s="6" t="inlineStr">
        <is>
          <t>Kerala</t>
        </is>
      </c>
      <c r="D1416" s="7" t="inlineStr">
        <is>
          <t>KL07CA6996</t>
        </is>
      </c>
      <c r="E1416" s="7" t="inlineStr">
        <is>
          <t>RENAULT</t>
        </is>
      </c>
      <c r="F1416" s="7" t="inlineStr">
        <is>
          <t>Scala</t>
        </is>
      </c>
      <c r="G1416" s="7" t="inlineStr">
        <is>
          <t>EVM CITROEN</t>
        </is>
      </c>
      <c r="H1416" s="7" t="inlineStr">
        <is>
          <t>Non-Captive</t>
        </is>
      </c>
      <c r="I1416" s="7" t="inlineStr">
        <is>
          <t>VISHNU M S</t>
        </is>
      </c>
      <c r="J1416" s="8" t="n"/>
      <c r="K1416" s="9" t="n">
        <v>70800</v>
      </c>
      <c r="L1416" s="10" t="n">
        <v>210000</v>
      </c>
      <c r="M1416" s="10" t="n">
        <v>8474.58</v>
      </c>
      <c r="N1416" s="11">
        <f>IF(M1416="","",ROUND(M1416*1.18,2))</f>
        <v/>
      </c>
      <c r="O1416" s="12">
        <f>IF(M1416="","",ROUND(N1416-M1416,2))</f>
        <v/>
      </c>
      <c r="P1416" s="13">
        <f>IF(AND(A1416&lt;&gt;"",B1416&lt;&gt;""), A1416&amp;" · "&amp;B1416, "")</f>
        <v/>
      </c>
    </row>
    <row r="1417">
      <c r="A1417" s="6" t="inlineStr">
        <is>
          <t>FY27</t>
        </is>
      </c>
      <c r="B1417" s="6" t="inlineStr">
        <is>
          <t>Apr</t>
        </is>
      </c>
      <c r="C1417" s="6" t="inlineStr">
        <is>
          <t>Kerala</t>
        </is>
      </c>
      <c r="D1417" s="7" t="inlineStr">
        <is>
          <t>KL07CR9102</t>
        </is>
      </c>
      <c r="E1417" s="7" t="inlineStr">
        <is>
          <t>HONDA</t>
        </is>
      </c>
      <c r="F1417" s="7" t="inlineStr">
        <is>
          <t>Amaze</t>
        </is>
      </c>
      <c r="G1417" s="7" t="inlineStr">
        <is>
          <t>POPULAR MARUTI</t>
        </is>
      </c>
      <c r="H1417" s="7" t="inlineStr">
        <is>
          <t>Non-Captive</t>
        </is>
      </c>
      <c r="I1417" s="7" t="inlineStr">
        <is>
          <t>CARNIVAL CARS</t>
        </is>
      </c>
      <c r="J1417" s="8" t="n"/>
      <c r="K1417" s="9" t="n">
        <v>61297</v>
      </c>
      <c r="L1417" s="10" t="n">
        <v>410000</v>
      </c>
      <c r="M1417" s="10" t="n">
        <v>8474.58</v>
      </c>
      <c r="N1417" s="11">
        <f>IF(M1417="","",ROUND(M1417*1.18,2))</f>
        <v/>
      </c>
      <c r="O1417" s="12">
        <f>IF(M1417="","",ROUND(N1417-M1417,2))</f>
        <v/>
      </c>
      <c r="P1417" s="13">
        <f>IF(AND(A1417&lt;&gt;"",B1417&lt;&gt;""), A1417&amp;" · "&amp;B1417, "")</f>
        <v/>
      </c>
    </row>
    <row r="1418">
      <c r="A1418" s="6" t="inlineStr">
        <is>
          <t>FY27</t>
        </is>
      </c>
      <c r="B1418" s="6" t="inlineStr">
        <is>
          <t>Apr</t>
        </is>
      </c>
      <c r="C1418" s="6" t="inlineStr">
        <is>
          <t>Kerala</t>
        </is>
      </c>
      <c r="D1418" s="7" t="inlineStr">
        <is>
          <t>KL07CR9102</t>
        </is>
      </c>
      <c r="E1418" s="7" t="inlineStr">
        <is>
          <t>HONDA</t>
        </is>
      </c>
      <c r="F1418" s="7" t="inlineStr">
        <is>
          <t>Amaze</t>
        </is>
      </c>
      <c r="G1418" s="7" t="inlineStr">
        <is>
          <t>CARNIVAL CARS</t>
        </is>
      </c>
      <c r="H1418" s="7" t="inlineStr">
        <is>
          <t>Non-Captive</t>
        </is>
      </c>
      <c r="I1418" s="7" t="inlineStr">
        <is>
          <t>VTJ</t>
        </is>
      </c>
      <c r="J1418" s="8" t="n"/>
      <c r="K1418" s="9" t="n">
        <v>62000</v>
      </c>
      <c r="L1418" s="10" t="n">
        <v>420000</v>
      </c>
      <c r="M1418" s="10" t="n">
        <v>8474.58</v>
      </c>
      <c r="N1418" s="11">
        <f>IF(M1418="","",ROUND(M1418*1.18,2))</f>
        <v/>
      </c>
      <c r="O1418" s="12">
        <f>IF(M1418="","",ROUND(N1418-M1418,2))</f>
        <v/>
      </c>
      <c r="P1418" s="13">
        <f>IF(AND(A1418&lt;&gt;"",B1418&lt;&gt;""), A1418&amp;" · "&amp;B1418, "")</f>
        <v/>
      </c>
    </row>
    <row r="1419">
      <c r="A1419" s="6" t="inlineStr">
        <is>
          <t>FY27</t>
        </is>
      </c>
      <c r="B1419" s="6" t="inlineStr">
        <is>
          <t>Apr</t>
        </is>
      </c>
      <c r="C1419" s="6" t="inlineStr">
        <is>
          <t>Kerala</t>
        </is>
      </c>
      <c r="D1419" s="7" t="inlineStr">
        <is>
          <t>KL07CV1873</t>
        </is>
      </c>
      <c r="E1419" s="7" t="inlineStr">
        <is>
          <t>KIA</t>
        </is>
      </c>
      <c r="F1419" s="7" t="inlineStr">
        <is>
          <t>Seltos</t>
        </is>
      </c>
      <c r="G1419" s="7" t="inlineStr">
        <is>
          <t>EVM SKODA</t>
        </is>
      </c>
      <c r="H1419" s="7" t="inlineStr">
        <is>
          <t>Non-Captive</t>
        </is>
      </c>
      <c r="I1419" s="7" t="inlineStr">
        <is>
          <t>VISHNU M S</t>
        </is>
      </c>
      <c r="J1419" s="8" t="n"/>
      <c r="K1419" s="9" t="n">
        <v>48056</v>
      </c>
      <c r="L1419" s="10" t="n">
        <v>950000</v>
      </c>
      <c r="M1419" s="10" t="n">
        <v>8474.58</v>
      </c>
      <c r="N1419" s="11">
        <f>IF(M1419="","",ROUND(M1419*1.18,2))</f>
        <v/>
      </c>
      <c r="O1419" s="12">
        <f>IF(M1419="","",ROUND(N1419-M1419,2))</f>
        <v/>
      </c>
      <c r="P1419" s="13">
        <f>IF(AND(A1419&lt;&gt;"",B1419&lt;&gt;""), A1419&amp;" · "&amp;B1419, "")</f>
        <v/>
      </c>
    </row>
    <row r="1420">
      <c r="A1420" s="6" t="inlineStr">
        <is>
          <t>FY27</t>
        </is>
      </c>
      <c r="B1420" s="6" t="inlineStr">
        <is>
          <t>Apr</t>
        </is>
      </c>
      <c r="C1420" s="6" t="inlineStr">
        <is>
          <t>Kerala</t>
        </is>
      </c>
      <c r="D1420" s="7" t="inlineStr">
        <is>
          <t>KL07DC7060</t>
        </is>
      </c>
      <c r="E1420" s="7" t="inlineStr">
        <is>
          <t>MAHINDRA</t>
        </is>
      </c>
      <c r="F1420" s="7" t="inlineStr">
        <is>
          <t>XUV400</t>
        </is>
      </c>
      <c r="G1420" s="7" t="inlineStr">
        <is>
          <t>ERAM MOTORS</t>
        </is>
      </c>
      <c r="H1420" s="7" t="inlineStr">
        <is>
          <t>Non-Captive</t>
        </is>
      </c>
      <c r="I1420" s="7" t="inlineStr">
        <is>
          <t>FABITH</t>
        </is>
      </c>
      <c r="J1420" s="8" t="n"/>
      <c r="K1420" s="9" t="n">
        <v>33600</v>
      </c>
      <c r="L1420" s="10" t="n">
        <v>965000</v>
      </c>
      <c r="M1420" s="10" t="n">
        <v>8474.58</v>
      </c>
      <c r="N1420" s="11">
        <f>IF(M1420="","",ROUND(M1420*1.18,2))</f>
        <v/>
      </c>
      <c r="O1420" s="12">
        <f>IF(M1420="","",ROUND(N1420-M1420,2))</f>
        <v/>
      </c>
      <c r="P1420" s="13">
        <f>IF(AND(A1420&lt;&gt;"",B1420&lt;&gt;""), A1420&amp;" · "&amp;B1420, "")</f>
        <v/>
      </c>
    </row>
    <row r="1421">
      <c r="A1421" s="6" t="inlineStr">
        <is>
          <t>FY27</t>
        </is>
      </c>
      <c r="B1421" s="6" t="inlineStr">
        <is>
          <t>Apr</t>
        </is>
      </c>
      <c r="C1421" s="6" t="inlineStr">
        <is>
          <t>Kerala</t>
        </is>
      </c>
      <c r="D1421" s="7" t="inlineStr">
        <is>
          <t>KL08AV3989</t>
        </is>
      </c>
      <c r="E1421" s="7" t="inlineStr">
        <is>
          <t>TOYOTA</t>
        </is>
      </c>
      <c r="F1421" s="7" t="inlineStr">
        <is>
          <t>Etios</t>
        </is>
      </c>
      <c r="G1421" s="7" t="inlineStr">
        <is>
          <t>EVM CITROEN</t>
        </is>
      </c>
      <c r="H1421" s="7" t="inlineStr">
        <is>
          <t>Non-Captive</t>
        </is>
      </c>
      <c r="I1421" s="7" t="inlineStr">
        <is>
          <t>Aitos Cars</t>
        </is>
      </c>
      <c r="J1421" s="8" t="n"/>
      <c r="K1421" s="9" t="n">
        <v>89000</v>
      </c>
      <c r="L1421" s="10" t="n">
        <v>155000</v>
      </c>
      <c r="M1421" s="10" t="n">
        <v>8474.58</v>
      </c>
      <c r="N1421" s="11">
        <f>IF(M1421="","",ROUND(M1421*1.18,2))</f>
        <v/>
      </c>
      <c r="O1421" s="12">
        <f>IF(M1421="","",ROUND(N1421-M1421,2))</f>
        <v/>
      </c>
      <c r="P1421" s="13">
        <f>IF(AND(A1421&lt;&gt;"",B1421&lt;&gt;""), A1421&amp;" · "&amp;B1421, "")</f>
        <v/>
      </c>
    </row>
    <row r="1422">
      <c r="A1422" s="6" t="inlineStr">
        <is>
          <t>FY27</t>
        </is>
      </c>
      <c r="B1422" s="6" t="inlineStr">
        <is>
          <t>Apr</t>
        </is>
      </c>
      <c r="C1422" s="6" t="inlineStr">
        <is>
          <t>Kerala</t>
        </is>
      </c>
      <c r="D1422" s="7" t="inlineStr">
        <is>
          <t>KL08BK5112</t>
        </is>
      </c>
      <c r="E1422" s="7" t="inlineStr">
        <is>
          <t>FORD</t>
        </is>
      </c>
      <c r="F1422" s="7" t="inlineStr">
        <is>
          <t>EcoSport</t>
        </is>
      </c>
      <c r="G1422" s="7" t="inlineStr">
        <is>
          <t>POPULAR MARUTI</t>
        </is>
      </c>
      <c r="H1422" s="7" t="inlineStr">
        <is>
          <t>Non-Captive</t>
        </is>
      </c>
      <c r="I1422" s="7" t="inlineStr">
        <is>
          <t>Aitos Cars</t>
        </is>
      </c>
      <c r="J1422" s="8" t="n"/>
      <c r="K1422" s="9" t="n">
        <v>61566</v>
      </c>
      <c r="L1422" s="10" t="n">
        <v>450000</v>
      </c>
      <c r="M1422" s="10" t="n">
        <v>8474.58</v>
      </c>
      <c r="N1422" s="11">
        <f>IF(M1422="","",ROUND(M1422*1.18,2))</f>
        <v/>
      </c>
      <c r="O1422" s="12">
        <f>IF(M1422="","",ROUND(N1422-M1422,2))</f>
        <v/>
      </c>
      <c r="P1422" s="13">
        <f>IF(AND(A1422&lt;&gt;"",B1422&lt;&gt;""), A1422&amp;" · "&amp;B1422, "")</f>
        <v/>
      </c>
    </row>
    <row r="1423">
      <c r="A1423" s="6" t="inlineStr">
        <is>
          <t>FY27</t>
        </is>
      </c>
      <c r="B1423" s="6" t="inlineStr">
        <is>
          <t>Apr</t>
        </is>
      </c>
      <c r="C1423" s="6" t="inlineStr">
        <is>
          <t>Kerala</t>
        </is>
      </c>
      <c r="D1423" s="7" t="inlineStr">
        <is>
          <t>KL09K4185</t>
        </is>
      </c>
      <c r="E1423" s="7" t="inlineStr">
        <is>
          <t>MARUTI SUZUKI</t>
        </is>
      </c>
      <c r="F1423" s="7" t="inlineStr">
        <is>
          <t>Alto</t>
        </is>
      </c>
      <c r="G1423" s="7" t="inlineStr">
        <is>
          <t>AUTOTRUST</t>
        </is>
      </c>
      <c r="H1423" s="7" t="inlineStr">
        <is>
          <t>Non-Captive</t>
        </is>
      </c>
      <c r="I1423" s="7" t="inlineStr">
        <is>
          <t>INDUS MARUTI</t>
        </is>
      </c>
      <c r="J1423" s="8" t="n">
        <v>2002</v>
      </c>
      <c r="K1423" s="9" t="n">
        <v>168000</v>
      </c>
      <c r="L1423" s="10" t="n">
        <v>14000</v>
      </c>
      <c r="M1423" s="10" t="n">
        <v>4237.29</v>
      </c>
      <c r="N1423" s="11">
        <f>IF(M1423="","",ROUND(M1423*1.18,2))</f>
        <v/>
      </c>
      <c r="O1423" s="12">
        <f>IF(M1423="","",ROUND(N1423-M1423,2))</f>
        <v/>
      </c>
      <c r="P1423" s="13">
        <f>IF(AND(A1423&lt;&gt;"",B1423&lt;&gt;""), A1423&amp;" · "&amp;B1423, "")</f>
        <v/>
      </c>
    </row>
    <row r="1424">
      <c r="A1424" s="6" t="inlineStr">
        <is>
          <t>FY27</t>
        </is>
      </c>
      <c r="B1424" s="6" t="inlineStr">
        <is>
          <t>Apr</t>
        </is>
      </c>
      <c r="C1424" s="6" t="inlineStr">
        <is>
          <t>Kerala</t>
        </is>
      </c>
      <c r="D1424" s="7" t="inlineStr">
        <is>
          <t>KL10AE0642</t>
        </is>
      </c>
      <c r="E1424" s="7" t="inlineStr">
        <is>
          <t>MARUTI SUZUKI</t>
        </is>
      </c>
      <c r="F1424" s="7" t="inlineStr">
        <is>
          <t>Alto</t>
        </is>
      </c>
      <c r="G1424" s="7" t="inlineStr">
        <is>
          <t>VIMAL</t>
        </is>
      </c>
      <c r="H1424" s="7" t="inlineStr">
        <is>
          <t>Non-Captive</t>
        </is>
      </c>
      <c r="I1424" s="7" t="inlineStr">
        <is>
          <t>CETREION</t>
        </is>
      </c>
      <c r="J1424" s="8" t="n"/>
      <c r="K1424" s="9" t="n">
        <v>94000</v>
      </c>
      <c r="L1424" s="10" t="n">
        <v>50000</v>
      </c>
      <c r="M1424" s="10" t="n">
        <v>4237.29</v>
      </c>
      <c r="N1424" s="11">
        <f>IF(M1424="","",ROUND(M1424*1.18,2))</f>
        <v/>
      </c>
      <c r="O1424" s="12">
        <f>IF(M1424="","",ROUND(N1424-M1424,2))</f>
        <v/>
      </c>
      <c r="P1424" s="13">
        <f>IF(AND(A1424&lt;&gt;"",B1424&lt;&gt;""), A1424&amp;" · "&amp;B1424, "")</f>
        <v/>
      </c>
    </row>
    <row r="1425">
      <c r="A1425" s="6" t="inlineStr">
        <is>
          <t>FY27</t>
        </is>
      </c>
      <c r="B1425" s="6" t="inlineStr">
        <is>
          <t>Apr</t>
        </is>
      </c>
      <c r="C1425" s="6" t="inlineStr">
        <is>
          <t>Kerala</t>
        </is>
      </c>
      <c r="D1425" s="7" t="inlineStr">
        <is>
          <t>KL10AJ1863</t>
        </is>
      </c>
      <c r="E1425" s="7" t="inlineStr">
        <is>
          <t>MARUTI SUZUKI</t>
        </is>
      </c>
      <c r="F1425" s="7" t="inlineStr">
        <is>
          <t>Ritz</t>
        </is>
      </c>
      <c r="G1425" s="7" t="inlineStr">
        <is>
          <t>HAMSA</t>
        </is>
      </c>
      <c r="H1425" s="7" t="inlineStr">
        <is>
          <t>Non-Captive</t>
        </is>
      </c>
      <c r="I1425" s="7" t="inlineStr">
        <is>
          <t>BIMAL</t>
        </is>
      </c>
      <c r="J1425" s="8" t="n">
        <v>2011</v>
      </c>
      <c r="K1425" s="9" t="n">
        <v>151000</v>
      </c>
      <c r="L1425" s="10" t="n">
        <v>145000</v>
      </c>
      <c r="M1425" s="10" t="n">
        <v>4237.29</v>
      </c>
      <c r="N1425" s="11">
        <f>IF(M1425="","",ROUND(M1425*1.18,2))</f>
        <v/>
      </c>
      <c r="O1425" s="12">
        <f>IF(M1425="","",ROUND(N1425-M1425,2))</f>
        <v/>
      </c>
      <c r="P1425" s="13">
        <f>IF(AND(A1425&lt;&gt;"",B1425&lt;&gt;""), A1425&amp;" · "&amp;B1425, "")</f>
        <v/>
      </c>
    </row>
    <row r="1426">
      <c r="A1426" s="6" t="inlineStr">
        <is>
          <t>FY27</t>
        </is>
      </c>
      <c r="B1426" s="6" t="inlineStr">
        <is>
          <t>Apr</t>
        </is>
      </c>
      <c r="C1426" s="6" t="inlineStr">
        <is>
          <t>Kerala</t>
        </is>
      </c>
      <c r="D1426" s="7" t="inlineStr">
        <is>
          <t>KL10AK8334</t>
        </is>
      </c>
      <c r="E1426" s="7" t="inlineStr">
        <is>
          <t>HYUNDAI</t>
        </is>
      </c>
      <c r="F1426" s="7" t="inlineStr">
        <is>
          <t>Verna</t>
        </is>
      </c>
      <c r="G1426" s="7" t="inlineStr">
        <is>
          <t>BIRAJU RAJ</t>
        </is>
      </c>
      <c r="H1426" s="7" t="inlineStr">
        <is>
          <t>Non-Captive</t>
        </is>
      </c>
      <c r="I1426" s="7" t="inlineStr">
        <is>
          <t>UCD ASOKAN</t>
        </is>
      </c>
      <c r="J1426" s="8" t="n">
        <v>2012</v>
      </c>
      <c r="K1426" s="9" t="n">
        <v>100000</v>
      </c>
      <c r="L1426" s="10" t="n">
        <v>310000</v>
      </c>
      <c r="M1426" s="10" t="n">
        <v>4237.29</v>
      </c>
      <c r="N1426" s="11">
        <f>IF(M1426="","",ROUND(M1426*1.18,2))</f>
        <v/>
      </c>
      <c r="O1426" s="12">
        <f>IF(M1426="","",ROUND(N1426-M1426,2))</f>
        <v/>
      </c>
      <c r="P1426" s="13">
        <f>IF(AND(A1426&lt;&gt;"",B1426&lt;&gt;""), A1426&amp;" · "&amp;B1426, "")</f>
        <v/>
      </c>
    </row>
    <row r="1427">
      <c r="A1427" s="6" t="inlineStr">
        <is>
          <t>FY27</t>
        </is>
      </c>
      <c r="B1427" s="6" t="inlineStr">
        <is>
          <t>Apr</t>
        </is>
      </c>
      <c r="C1427" s="6" t="inlineStr">
        <is>
          <t>Kerala</t>
        </is>
      </c>
      <c r="D1427" s="7" t="inlineStr">
        <is>
          <t>KL11BM0789</t>
        </is>
      </c>
      <c r="E1427" s="7" t="inlineStr">
        <is>
          <t>TATA</t>
        </is>
      </c>
      <c r="F1427" s="7" t="inlineStr">
        <is>
          <t>Tiago</t>
        </is>
      </c>
      <c r="G1427" s="7" t="inlineStr">
        <is>
          <t>CAR ZONE</t>
        </is>
      </c>
      <c r="H1427" s="7" t="inlineStr">
        <is>
          <t>Non-Captive</t>
        </is>
      </c>
      <c r="I1427" s="7" t="inlineStr">
        <is>
          <t>BIMAL</t>
        </is>
      </c>
      <c r="J1427" s="8" t="n">
        <v>2018</v>
      </c>
      <c r="K1427" s="9" t="n">
        <v>60000</v>
      </c>
      <c r="L1427" s="10" t="n">
        <v>295000</v>
      </c>
      <c r="M1427" s="10" t="n">
        <v>4237.29</v>
      </c>
      <c r="N1427" s="11">
        <f>IF(M1427="","",ROUND(M1427*1.18,2))</f>
        <v/>
      </c>
      <c r="O1427" s="12">
        <f>IF(M1427="","",ROUND(N1427-M1427,2))</f>
        <v/>
      </c>
      <c r="P1427" s="13">
        <f>IF(AND(A1427&lt;&gt;"",B1427&lt;&gt;""), A1427&amp;" · "&amp;B1427, "")</f>
        <v/>
      </c>
    </row>
    <row r="1428">
      <c r="A1428" s="6" t="inlineStr">
        <is>
          <t>FY27</t>
        </is>
      </c>
      <c r="B1428" s="6" t="inlineStr">
        <is>
          <t>Apr</t>
        </is>
      </c>
      <c r="C1428" s="6" t="inlineStr">
        <is>
          <t>Kerala</t>
        </is>
      </c>
      <c r="D1428" s="7" t="inlineStr">
        <is>
          <t>KL11BN0554</t>
        </is>
      </c>
      <c r="E1428" s="7" t="inlineStr">
        <is>
          <t>HYUNDAI</t>
        </is>
      </c>
      <c r="F1428" s="7" t="inlineStr">
        <is>
          <t>Santro</t>
        </is>
      </c>
      <c r="G1428" s="7" t="inlineStr">
        <is>
          <t>SHAHIL NK</t>
        </is>
      </c>
      <c r="H1428" s="7" t="inlineStr">
        <is>
          <t>Non-Captive</t>
        </is>
      </c>
      <c r="I1428" s="7" t="inlineStr">
        <is>
          <t>EVM SKODA</t>
        </is>
      </c>
      <c r="J1428" s="8" t="n"/>
      <c r="K1428" s="9" t="n">
        <v>33000</v>
      </c>
      <c r="L1428" s="10" t="n">
        <v>335000</v>
      </c>
      <c r="M1428" s="10" t="n">
        <v>4237.29</v>
      </c>
      <c r="N1428" s="11">
        <f>IF(M1428="","",ROUND(M1428*1.18,2))</f>
        <v/>
      </c>
      <c r="O1428" s="12">
        <f>IF(M1428="","",ROUND(N1428-M1428,2))</f>
        <v/>
      </c>
      <c r="P1428" s="13">
        <f>IF(AND(A1428&lt;&gt;"",B1428&lt;&gt;""), A1428&amp;" · "&amp;B1428, "")</f>
        <v/>
      </c>
    </row>
    <row r="1429">
      <c r="A1429" s="6" t="inlineStr">
        <is>
          <t>FY27</t>
        </is>
      </c>
      <c r="B1429" s="6" t="inlineStr">
        <is>
          <t>Apr</t>
        </is>
      </c>
      <c r="C1429" s="6" t="inlineStr">
        <is>
          <t>Kerala</t>
        </is>
      </c>
      <c r="D1429" s="7" t="inlineStr">
        <is>
          <t>KL11BU2380</t>
        </is>
      </c>
      <c r="E1429" s="7" t="inlineStr">
        <is>
          <t>RENAULT</t>
        </is>
      </c>
      <c r="F1429" s="7" t="inlineStr">
        <is>
          <t>Kwid</t>
        </is>
      </c>
      <c r="G1429" s="7" t="inlineStr">
        <is>
          <t>ABDUL SAMAD</t>
        </is>
      </c>
      <c r="H1429" s="7" t="inlineStr">
        <is>
          <t>Non-Captive</t>
        </is>
      </c>
      <c r="I1429" s="7" t="inlineStr">
        <is>
          <t>APCO HONDA</t>
        </is>
      </c>
      <c r="J1429" s="8" t="n">
        <v>2021</v>
      </c>
      <c r="K1429" s="9" t="n">
        <v>26000</v>
      </c>
      <c r="L1429" s="10" t="n">
        <v>325000</v>
      </c>
      <c r="M1429" s="10" t="n">
        <v>8474.58</v>
      </c>
      <c r="N1429" s="11">
        <f>IF(M1429="","",ROUND(M1429*1.18,2))</f>
        <v/>
      </c>
      <c r="O1429" s="12">
        <f>IF(M1429="","",ROUND(N1429-M1429,2))</f>
        <v/>
      </c>
      <c r="P1429" s="13">
        <f>IF(AND(A1429&lt;&gt;"",B1429&lt;&gt;""), A1429&amp;" · "&amp;B1429, "")</f>
        <v/>
      </c>
    </row>
    <row r="1430">
      <c r="A1430" s="6" t="inlineStr">
        <is>
          <t>FY27</t>
        </is>
      </c>
      <c r="B1430" s="6" t="inlineStr">
        <is>
          <t>Apr</t>
        </is>
      </c>
      <c r="C1430" s="6" t="inlineStr">
        <is>
          <t>Kerala</t>
        </is>
      </c>
      <c r="D1430" s="7" t="inlineStr">
        <is>
          <t>KL11BW9704</t>
        </is>
      </c>
      <c r="E1430" s="7" t="inlineStr">
        <is>
          <t>MAHINDRA</t>
        </is>
      </c>
      <c r="F1430" s="7" t="inlineStr">
        <is>
          <t>Scorpio</t>
        </is>
      </c>
      <c r="G1430" s="7" t="inlineStr">
        <is>
          <t>SHIMJITH</t>
        </is>
      </c>
      <c r="H1430" s="7" t="inlineStr">
        <is>
          <t>Non-Captive</t>
        </is>
      </c>
      <c r="I1430" s="7" t="inlineStr">
        <is>
          <t>SHAHARIYAD</t>
        </is>
      </c>
      <c r="J1430" s="8" t="n">
        <v>2022</v>
      </c>
      <c r="K1430" s="9" t="n">
        <v>89000</v>
      </c>
      <c r="L1430" s="10" t="n">
        <v>500000</v>
      </c>
      <c r="M1430" s="10" t="n">
        <v>8474.58</v>
      </c>
      <c r="N1430" s="11">
        <f>IF(M1430="","",ROUND(M1430*1.18,2))</f>
        <v/>
      </c>
      <c r="O1430" s="12">
        <f>IF(M1430="","",ROUND(N1430-M1430,2))</f>
        <v/>
      </c>
      <c r="P1430" s="13">
        <f>IF(AND(A1430&lt;&gt;"",B1430&lt;&gt;""), A1430&amp;" · "&amp;B1430, "")</f>
        <v/>
      </c>
    </row>
    <row r="1431">
      <c r="A1431" s="6" t="inlineStr">
        <is>
          <t>FY27</t>
        </is>
      </c>
      <c r="B1431" s="6" t="inlineStr">
        <is>
          <t>Apr</t>
        </is>
      </c>
      <c r="C1431" s="6" t="inlineStr">
        <is>
          <t>Kerala</t>
        </is>
      </c>
      <c r="D1431" s="7" t="inlineStr">
        <is>
          <t>KL13AT0234</t>
        </is>
      </c>
      <c r="E1431" s="7" t="inlineStr">
        <is>
          <t>KIA</t>
        </is>
      </c>
      <c r="F1431" s="7" t="inlineStr">
        <is>
          <t>Sonet</t>
        </is>
      </c>
      <c r="G1431" s="7" t="inlineStr">
        <is>
          <t>CAR ZONE</t>
        </is>
      </c>
      <c r="H1431" s="7" t="inlineStr">
        <is>
          <t>Non-Captive</t>
        </is>
      </c>
      <c r="I1431" s="7" t="inlineStr">
        <is>
          <t>DKH KIA</t>
        </is>
      </c>
      <c r="J1431" s="8" t="n"/>
      <c r="K1431" s="9" t="n">
        <v>84000</v>
      </c>
      <c r="L1431" s="10" t="n">
        <v>700000</v>
      </c>
      <c r="M1431" s="10" t="n">
        <v>8474.58</v>
      </c>
      <c r="N1431" s="11">
        <f>IF(M1431="","",ROUND(M1431*1.18,2))</f>
        <v/>
      </c>
      <c r="O1431" s="12">
        <f>IF(M1431="","",ROUND(N1431-M1431,2))</f>
        <v/>
      </c>
      <c r="P1431" s="13">
        <f>IF(AND(A1431&lt;&gt;"",B1431&lt;&gt;""), A1431&amp;" · "&amp;B1431, "")</f>
        <v/>
      </c>
    </row>
    <row r="1432">
      <c r="A1432" s="6" t="inlineStr">
        <is>
          <t>FY27</t>
        </is>
      </c>
      <c r="B1432" s="6" t="inlineStr">
        <is>
          <t>Apr</t>
        </is>
      </c>
      <c r="C1432" s="6" t="inlineStr">
        <is>
          <t>Kerala</t>
        </is>
      </c>
      <c r="D1432" s="7" t="inlineStr">
        <is>
          <t>KL13E8289</t>
        </is>
      </c>
      <c r="E1432" s="7" t="inlineStr">
        <is>
          <t>MARUTI SUZUKI</t>
        </is>
      </c>
      <c r="F1432" s="7" t="inlineStr">
        <is>
          <t>Esteem</t>
        </is>
      </c>
      <c r="G1432" s="7" t="inlineStr">
        <is>
          <t>AUTOTRUST</t>
        </is>
      </c>
      <c r="H1432" s="7" t="inlineStr">
        <is>
          <t>Non-Captive</t>
        </is>
      </c>
      <c r="I1432" s="7" t="inlineStr">
        <is>
          <t>INDUS MARUTI</t>
        </is>
      </c>
      <c r="J1432" s="8" t="n">
        <v>1999</v>
      </c>
      <c r="K1432" s="9" t="n">
        <v>230000</v>
      </c>
      <c r="L1432" s="10" t="n">
        <v>10000</v>
      </c>
      <c r="M1432" s="10" t="n">
        <v>4237.29</v>
      </c>
      <c r="N1432" s="11">
        <f>IF(M1432="","",ROUND(M1432*1.18,2))</f>
        <v/>
      </c>
      <c r="O1432" s="12">
        <f>IF(M1432="","",ROUND(N1432-M1432,2))</f>
        <v/>
      </c>
      <c r="P1432" s="13">
        <f>IF(AND(A1432&lt;&gt;"",B1432&lt;&gt;""), A1432&amp;" · "&amp;B1432, "")</f>
        <v/>
      </c>
    </row>
    <row r="1433">
      <c r="A1433" s="6" t="inlineStr">
        <is>
          <t>FY27</t>
        </is>
      </c>
      <c r="B1433" s="6" t="inlineStr">
        <is>
          <t>Apr</t>
        </is>
      </c>
      <c r="C1433" s="6" t="inlineStr">
        <is>
          <t>Kerala</t>
        </is>
      </c>
      <c r="D1433" s="7" t="inlineStr">
        <is>
          <t>KL13X7347</t>
        </is>
      </c>
      <c r="E1433" s="7" t="inlineStr">
        <is>
          <t>HYUNDAI</t>
        </is>
      </c>
      <c r="F1433" s="7" t="inlineStr">
        <is>
          <t>Eon</t>
        </is>
      </c>
      <c r="G1433" s="7" t="inlineStr">
        <is>
          <t>MARVEL MOTORS</t>
        </is>
      </c>
      <c r="H1433" s="7" t="inlineStr">
        <is>
          <t>Non-Captive</t>
        </is>
      </c>
      <c r="I1433" s="7" t="inlineStr">
        <is>
          <t>SAP MAHINDRA</t>
        </is>
      </c>
      <c r="J1433" s="8" t="n"/>
      <c r="K1433" s="9" t="n">
        <v>90000</v>
      </c>
      <c r="L1433" s="10" t="n">
        <v>90000</v>
      </c>
      <c r="M1433" s="10" t="n">
        <v>5084.75</v>
      </c>
      <c r="N1433" s="11">
        <f>IF(M1433="","",ROUND(M1433*1.18,2))</f>
        <v/>
      </c>
      <c r="O1433" s="12">
        <f>IF(M1433="","",ROUND(N1433-M1433,2))</f>
        <v/>
      </c>
      <c r="P1433" s="13">
        <f>IF(AND(A1433&lt;&gt;"",B1433&lt;&gt;""), A1433&amp;" · "&amp;B1433, "")</f>
        <v/>
      </c>
    </row>
    <row r="1434">
      <c r="A1434" s="6" t="inlineStr">
        <is>
          <t>FY27</t>
        </is>
      </c>
      <c r="B1434" s="6" t="inlineStr">
        <is>
          <t>Apr</t>
        </is>
      </c>
      <c r="C1434" s="6" t="inlineStr">
        <is>
          <t>Kerala</t>
        </is>
      </c>
      <c r="D1434" s="7" t="inlineStr">
        <is>
          <t>KL13X8740</t>
        </is>
      </c>
      <c r="E1434" s="7" t="inlineStr">
        <is>
          <t>MARUTI SUZUKI</t>
        </is>
      </c>
      <c r="F1434" s="7" t="inlineStr">
        <is>
          <t>Alto</t>
        </is>
      </c>
      <c r="G1434" s="7" t="inlineStr">
        <is>
          <t>RATHEESH</t>
        </is>
      </c>
      <c r="H1434" s="7" t="inlineStr">
        <is>
          <t>Non-Captive</t>
        </is>
      </c>
      <c r="I1434" s="7" t="inlineStr">
        <is>
          <t>MARVEL CARS</t>
        </is>
      </c>
      <c r="J1434" s="8" t="n">
        <v>2012</v>
      </c>
      <c r="K1434" s="9" t="n">
        <v>110000</v>
      </c>
      <c r="L1434" s="10" t="n">
        <v>100000</v>
      </c>
      <c r="M1434" s="10" t="n">
        <v>4237.29</v>
      </c>
      <c r="N1434" s="11">
        <f>IF(M1434="","",ROUND(M1434*1.18,2))</f>
        <v/>
      </c>
      <c r="O1434" s="12">
        <f>IF(M1434="","",ROUND(N1434-M1434,2))</f>
        <v/>
      </c>
      <c r="P1434" s="13">
        <f>IF(AND(A1434&lt;&gt;"",B1434&lt;&gt;""), A1434&amp;" · "&amp;B1434, "")</f>
        <v/>
      </c>
    </row>
    <row r="1435">
      <c r="A1435" s="6" t="inlineStr">
        <is>
          <t>FY27</t>
        </is>
      </c>
      <c r="B1435" s="6" t="inlineStr">
        <is>
          <t>Apr</t>
        </is>
      </c>
      <c r="C1435" s="6" t="inlineStr">
        <is>
          <t>Kerala</t>
        </is>
      </c>
      <c r="D1435" s="7" t="inlineStr">
        <is>
          <t>KL13Z0062</t>
        </is>
      </c>
      <c r="E1435" s="7" t="inlineStr">
        <is>
          <t>MARUTI SUZUKI</t>
        </is>
      </c>
      <c r="F1435" s="7" t="inlineStr">
        <is>
          <t>Wagon R</t>
        </is>
      </c>
      <c r="G1435" s="7" t="inlineStr">
        <is>
          <t>MARVEL MOTORS</t>
        </is>
      </c>
      <c r="H1435" s="7" t="inlineStr">
        <is>
          <t>Non-Captive</t>
        </is>
      </c>
      <c r="I1435" s="7" t="inlineStr">
        <is>
          <t>POPULAR</t>
        </is>
      </c>
      <c r="J1435" s="8" t="n">
        <v>2012</v>
      </c>
      <c r="K1435" s="9" t="n">
        <v>66180</v>
      </c>
      <c r="L1435" s="10" t="n">
        <v>150000</v>
      </c>
      <c r="M1435" s="10" t="n">
        <v>4237.29</v>
      </c>
      <c r="N1435" s="11">
        <f>IF(M1435="","",ROUND(M1435*1.18,2))</f>
        <v/>
      </c>
      <c r="O1435" s="12">
        <f>IF(M1435="","",ROUND(N1435-M1435,2))</f>
        <v/>
      </c>
      <c r="P1435" s="13">
        <f>IF(AND(A1435&lt;&gt;"",B1435&lt;&gt;""), A1435&amp;" · "&amp;B1435, "")</f>
        <v/>
      </c>
    </row>
    <row r="1436">
      <c r="A1436" s="6" t="inlineStr">
        <is>
          <t>FY27</t>
        </is>
      </c>
      <c r="B1436" s="6" t="inlineStr">
        <is>
          <t>Apr</t>
        </is>
      </c>
      <c r="C1436" s="6" t="inlineStr">
        <is>
          <t>Kerala</t>
        </is>
      </c>
      <c r="D1436" s="7" t="inlineStr">
        <is>
          <t>KL14H5906</t>
        </is>
      </c>
      <c r="E1436" s="7" t="inlineStr">
        <is>
          <t>HYUNDAI</t>
        </is>
      </c>
      <c r="F1436" s="7" t="inlineStr">
        <is>
          <t>Santro</t>
        </is>
      </c>
      <c r="G1436" s="7" t="inlineStr">
        <is>
          <t>VASIL AUTOBOT</t>
        </is>
      </c>
      <c r="H1436" s="7" t="inlineStr">
        <is>
          <t>Non-Captive</t>
        </is>
      </c>
      <c r="I1436" s="7" t="inlineStr">
        <is>
          <t>APCO HYUNDAI</t>
        </is>
      </c>
      <c r="J1436" s="8" t="n">
        <v>2009</v>
      </c>
      <c r="K1436" s="9" t="n">
        <v>120000</v>
      </c>
      <c r="L1436" s="10" t="n">
        <v>70000</v>
      </c>
      <c r="M1436" s="10" t="n">
        <v>4237.29</v>
      </c>
      <c r="N1436" s="11">
        <f>IF(M1436="","",ROUND(M1436*1.18,2))</f>
        <v/>
      </c>
      <c r="O1436" s="12">
        <f>IF(M1436="","",ROUND(N1436-M1436,2))</f>
        <v/>
      </c>
      <c r="P1436" s="13">
        <f>IF(AND(A1436&lt;&gt;"",B1436&lt;&gt;""), A1436&amp;" · "&amp;B1436, "")</f>
        <v/>
      </c>
    </row>
    <row r="1437">
      <c r="A1437" s="6" t="inlineStr">
        <is>
          <t>FY27</t>
        </is>
      </c>
      <c r="B1437" s="6" t="inlineStr">
        <is>
          <t>Apr</t>
        </is>
      </c>
      <c r="C1437" s="6" t="inlineStr">
        <is>
          <t>Kerala</t>
        </is>
      </c>
      <c r="D1437" s="7" t="inlineStr">
        <is>
          <t>KL14U7488</t>
        </is>
      </c>
      <c r="E1437" s="7" t="inlineStr">
        <is>
          <t>HYUNDAI</t>
        </is>
      </c>
      <c r="F1437" s="7" t="inlineStr">
        <is>
          <t>Eon</t>
        </is>
      </c>
      <c r="G1437" s="7" t="inlineStr">
        <is>
          <t>MARVEL MOTORS</t>
        </is>
      </c>
      <c r="H1437" s="7" t="inlineStr">
        <is>
          <t>Non-Captive</t>
        </is>
      </c>
      <c r="I1437" s="7" t="inlineStr">
        <is>
          <t>POPULAR</t>
        </is>
      </c>
      <c r="J1437" s="8" t="n"/>
      <c r="K1437" s="9" t="n">
        <v>90000</v>
      </c>
      <c r="L1437" s="10" t="n">
        <v>120000</v>
      </c>
      <c r="M1437" s="10" t="n">
        <v>4237.29</v>
      </c>
      <c r="N1437" s="11">
        <f>IF(M1437="","",ROUND(M1437*1.18,2))</f>
        <v/>
      </c>
      <c r="O1437" s="12">
        <f>IF(M1437="","",ROUND(N1437-M1437,2))</f>
        <v/>
      </c>
      <c r="P1437" s="13">
        <f>IF(AND(A1437&lt;&gt;"",B1437&lt;&gt;""), A1437&amp;" · "&amp;B1437, "")</f>
        <v/>
      </c>
    </row>
    <row r="1438">
      <c r="A1438" s="6" t="inlineStr">
        <is>
          <t>FY27</t>
        </is>
      </c>
      <c r="B1438" s="6" t="inlineStr">
        <is>
          <t>Apr</t>
        </is>
      </c>
      <c r="C1438" s="6" t="inlineStr">
        <is>
          <t>Kerala</t>
        </is>
      </c>
      <c r="D1438" s="7" t="inlineStr">
        <is>
          <t>KL14V9215</t>
        </is>
      </c>
      <c r="E1438" s="7" t="inlineStr">
        <is>
          <t>MAHINDRA</t>
        </is>
      </c>
      <c r="F1438" s="7" t="inlineStr">
        <is>
          <t>KUV100</t>
        </is>
      </c>
      <c r="G1438" s="7" t="inlineStr">
        <is>
          <t>SARITH AUTOBOT</t>
        </is>
      </c>
      <c r="H1438" s="7" t="inlineStr">
        <is>
          <t>Non-Captive</t>
        </is>
      </c>
      <c r="I1438" s="7" t="inlineStr">
        <is>
          <t>KVR TATA KASEGODE</t>
        </is>
      </c>
      <c r="J1438" s="8" t="n">
        <v>2018</v>
      </c>
      <c r="K1438" s="9" t="n">
        <v>55000</v>
      </c>
      <c r="L1438" s="10" t="n">
        <v>195000</v>
      </c>
      <c r="M1438" s="10" t="n">
        <v>5932.2</v>
      </c>
      <c r="N1438" s="11">
        <f>IF(M1438="","",ROUND(M1438*1.18,2))</f>
        <v/>
      </c>
      <c r="O1438" s="12">
        <f>IF(M1438="","",ROUND(N1438-M1438,2))</f>
        <v/>
      </c>
      <c r="P1438" s="13">
        <f>IF(AND(A1438&lt;&gt;"",B1438&lt;&gt;""), A1438&amp;" · "&amp;B1438, "")</f>
        <v/>
      </c>
    </row>
    <row r="1439">
      <c r="A1439" s="6" t="inlineStr">
        <is>
          <t>FY27</t>
        </is>
      </c>
      <c r="B1439" s="6" t="inlineStr">
        <is>
          <t>Apr</t>
        </is>
      </c>
      <c r="C1439" s="6" t="inlineStr">
        <is>
          <t>Kerala</t>
        </is>
      </c>
      <c r="D1439" s="7" t="inlineStr">
        <is>
          <t>KL16J8335</t>
        </is>
      </c>
      <c r="E1439" s="7" t="inlineStr">
        <is>
          <t>VOLKSWAGEN</t>
        </is>
      </c>
      <c r="F1439" s="7" t="inlineStr">
        <is>
          <t>Polo</t>
        </is>
      </c>
      <c r="G1439" s="7" t="inlineStr">
        <is>
          <t>VARUN</t>
        </is>
      </c>
      <c r="H1439" s="7" t="inlineStr">
        <is>
          <t>Non-Captive</t>
        </is>
      </c>
      <c r="I1439" s="7" t="inlineStr">
        <is>
          <t>ANOOP</t>
        </is>
      </c>
      <c r="J1439" s="8" t="n"/>
      <c r="K1439" s="9" t="n">
        <v>87993</v>
      </c>
      <c r="L1439" s="10" t="n">
        <v>175000</v>
      </c>
      <c r="M1439" s="10" t="n">
        <v>5932.2</v>
      </c>
      <c r="N1439" s="11">
        <f>IF(M1439="","",ROUND(M1439*1.18,2))</f>
        <v/>
      </c>
      <c r="O1439" s="12">
        <f>IF(M1439="","",ROUND(N1439-M1439,2))</f>
        <v/>
      </c>
      <c r="P1439" s="13">
        <f>IF(AND(A1439&lt;&gt;"",B1439&lt;&gt;""), A1439&amp;" · "&amp;B1439, "")</f>
        <v/>
      </c>
    </row>
    <row r="1440">
      <c r="A1440" s="6" t="inlineStr">
        <is>
          <t>FY27</t>
        </is>
      </c>
      <c r="B1440" s="6" t="inlineStr">
        <is>
          <t>Apr</t>
        </is>
      </c>
      <c r="C1440" s="6" t="inlineStr">
        <is>
          <t>Kerala</t>
        </is>
      </c>
      <c r="D1440" s="7" t="inlineStr">
        <is>
          <t>KL16Q5004</t>
        </is>
      </c>
      <c r="E1440" s="7" t="inlineStr">
        <is>
          <t>NISSAN</t>
        </is>
      </c>
      <c r="F1440" s="7" t="inlineStr">
        <is>
          <t>Terrano</t>
        </is>
      </c>
      <c r="G1440" s="7" t="inlineStr">
        <is>
          <t>ALBIN</t>
        </is>
      </c>
      <c r="H1440" s="7" t="inlineStr">
        <is>
          <t>Non-Captive</t>
        </is>
      </c>
      <c r="I1440" s="7" t="inlineStr">
        <is>
          <t>RAFEEK T A</t>
        </is>
      </c>
      <c r="J1440" s="8" t="n"/>
      <c r="K1440" s="9" t="n">
        <v>147905</v>
      </c>
      <c r="L1440" s="10" t="n">
        <v>365000</v>
      </c>
      <c r="M1440" s="10" t="n">
        <v>8474.58</v>
      </c>
      <c r="N1440" s="11">
        <f>IF(M1440="","",ROUND(M1440*1.18,2))</f>
        <v/>
      </c>
      <c r="O1440" s="12">
        <f>IF(M1440="","",ROUND(N1440-M1440,2))</f>
        <v/>
      </c>
      <c r="P1440" s="13">
        <f>IF(AND(A1440&lt;&gt;"",B1440&lt;&gt;""), A1440&amp;" · "&amp;B1440, "")</f>
        <v/>
      </c>
    </row>
    <row r="1441">
      <c r="A1441" s="6" t="inlineStr">
        <is>
          <t>FY27</t>
        </is>
      </c>
      <c r="B1441" s="6" t="inlineStr">
        <is>
          <t>Apr</t>
        </is>
      </c>
      <c r="C1441" s="6" t="inlineStr">
        <is>
          <t>Kerala</t>
        </is>
      </c>
      <c r="D1441" s="7" t="inlineStr">
        <is>
          <t>KL16U4959</t>
        </is>
      </c>
      <c r="E1441" s="7" t="inlineStr">
        <is>
          <t>HONDA</t>
        </is>
      </c>
      <c r="F1441" s="7" t="inlineStr">
        <is>
          <t>Amaze</t>
        </is>
      </c>
      <c r="G1441" s="7" t="inlineStr">
        <is>
          <t>MUHAMMED SHAJI</t>
        </is>
      </c>
      <c r="H1441" s="7" t="inlineStr">
        <is>
          <t>Non-Captive</t>
        </is>
      </c>
      <c r="I1441" s="7" t="inlineStr">
        <is>
          <t>VTJ</t>
        </is>
      </c>
      <c r="J1441" s="8" t="n"/>
      <c r="K1441" s="9" t="n">
        <v>58787</v>
      </c>
      <c r="L1441" s="10" t="n">
        <v>545000</v>
      </c>
      <c r="M1441" s="10" t="n">
        <v>8474.58</v>
      </c>
      <c r="N1441" s="11">
        <f>IF(M1441="","",ROUND(M1441*1.18,2))</f>
        <v/>
      </c>
      <c r="O1441" s="12">
        <f>IF(M1441="","",ROUND(N1441-M1441,2))</f>
        <v/>
      </c>
      <c r="P1441" s="13">
        <f>IF(AND(A1441&lt;&gt;"",B1441&lt;&gt;""), A1441&amp;" · "&amp;B1441, "")</f>
        <v/>
      </c>
    </row>
    <row r="1442">
      <c r="A1442" s="6" t="inlineStr">
        <is>
          <t>FY27</t>
        </is>
      </c>
      <c r="B1442" s="6" t="inlineStr">
        <is>
          <t>Apr</t>
        </is>
      </c>
      <c r="C1442" s="6" t="inlineStr">
        <is>
          <t>Kerala</t>
        </is>
      </c>
      <c r="D1442" s="7" t="inlineStr">
        <is>
          <t>KL18AD6385</t>
        </is>
      </c>
      <c r="E1442" s="7" t="inlineStr">
        <is>
          <t>RENAULT</t>
        </is>
      </c>
      <c r="F1442" s="7" t="inlineStr">
        <is>
          <t>Kwid</t>
        </is>
      </c>
      <c r="G1442" s="7" t="inlineStr">
        <is>
          <t>PALMS ASSOCIATES</t>
        </is>
      </c>
      <c r="H1442" s="7" t="inlineStr">
        <is>
          <t>Non-Captive</t>
        </is>
      </c>
      <c r="I1442" s="7" t="inlineStr">
        <is>
          <t>SHAJEE CARS</t>
        </is>
      </c>
      <c r="J1442" s="8" t="n">
        <v>2020</v>
      </c>
      <c r="K1442" s="9" t="n">
        <v>28000</v>
      </c>
      <c r="L1442" s="10" t="n">
        <v>295000</v>
      </c>
      <c r="M1442" s="10" t="n">
        <v>5084.75</v>
      </c>
      <c r="N1442" s="11">
        <f>IF(M1442="","",ROUND(M1442*1.18,2))</f>
        <v/>
      </c>
      <c r="O1442" s="12">
        <f>IF(M1442="","",ROUND(N1442-M1442,2))</f>
        <v/>
      </c>
      <c r="P1442" s="13">
        <f>IF(AND(A1442&lt;&gt;"",B1442&lt;&gt;""), A1442&amp;" · "&amp;B1442, "")</f>
        <v/>
      </c>
    </row>
    <row r="1443">
      <c r="A1443" s="6" t="inlineStr">
        <is>
          <t>FY27</t>
        </is>
      </c>
      <c r="B1443" s="6" t="inlineStr">
        <is>
          <t>Apr</t>
        </is>
      </c>
      <c r="C1443" s="6" t="inlineStr">
        <is>
          <t>Kerala</t>
        </is>
      </c>
      <c r="D1443" s="7" t="inlineStr">
        <is>
          <t>KL18S7048</t>
        </is>
      </c>
      <c r="E1443" s="7" t="inlineStr">
        <is>
          <t>DATSUN</t>
        </is>
      </c>
      <c r="F1443" s="7" t="inlineStr">
        <is>
          <t>Redi-GO</t>
        </is>
      </c>
      <c r="G1443" s="7" t="inlineStr">
        <is>
          <t>EVM CITROEN</t>
        </is>
      </c>
      <c r="H1443" s="7" t="inlineStr">
        <is>
          <t>Non-Captive</t>
        </is>
      </c>
      <c r="I1443" s="7" t="inlineStr">
        <is>
          <t>VTJ</t>
        </is>
      </c>
      <c r="J1443" s="8" t="n"/>
      <c r="K1443" s="9" t="n">
        <v>84100</v>
      </c>
      <c r="L1443" s="10" t="n">
        <v>90000</v>
      </c>
      <c r="M1443" s="10" t="n">
        <v>8474.58</v>
      </c>
      <c r="N1443" s="11">
        <f>IF(M1443="","",ROUND(M1443*1.18,2))</f>
        <v/>
      </c>
      <c r="O1443" s="12">
        <f>IF(M1443="","",ROUND(N1443-M1443,2))</f>
        <v/>
      </c>
      <c r="P1443" s="13">
        <f>IF(AND(A1443&lt;&gt;"",B1443&lt;&gt;""), A1443&amp;" · "&amp;B1443, "")</f>
        <v/>
      </c>
    </row>
    <row r="1444">
      <c r="A1444" s="6" t="inlineStr">
        <is>
          <t>FY27</t>
        </is>
      </c>
      <c r="B1444" s="6" t="inlineStr">
        <is>
          <t>Apr</t>
        </is>
      </c>
      <c r="C1444" s="6" t="inlineStr">
        <is>
          <t>Kerala</t>
        </is>
      </c>
      <c r="D1444" s="7" t="inlineStr">
        <is>
          <t>KL18X0919</t>
        </is>
      </c>
      <c r="E1444" s="7" t="inlineStr">
        <is>
          <t>MARUTI SUZUKI</t>
        </is>
      </c>
      <c r="F1444" s="7" t="inlineStr">
        <is>
          <t>Vitara Brezza</t>
        </is>
      </c>
      <c r="G1444" s="7" t="inlineStr">
        <is>
          <t>FAHAD TOKYO CARS</t>
        </is>
      </c>
      <c r="H1444" s="7" t="inlineStr">
        <is>
          <t>Non-Captive</t>
        </is>
      </c>
      <c r="I1444" s="7" t="inlineStr">
        <is>
          <t>AMANA TOYOTA</t>
        </is>
      </c>
      <c r="J1444" s="8" t="n">
        <v>2019</v>
      </c>
      <c r="K1444" s="9" t="n">
        <v>130000</v>
      </c>
      <c r="L1444" s="10" t="n">
        <v>610000</v>
      </c>
      <c r="M1444" s="10" t="n">
        <v>6779.66</v>
      </c>
      <c r="N1444" s="11">
        <f>IF(M1444="","",ROUND(M1444*1.18,2))</f>
        <v/>
      </c>
      <c r="O1444" s="12">
        <f>IF(M1444="","",ROUND(N1444-M1444,2))</f>
        <v/>
      </c>
      <c r="P1444" s="13">
        <f>IF(AND(A1444&lt;&gt;"",B1444&lt;&gt;""), A1444&amp;" · "&amp;B1444, "")</f>
        <v/>
      </c>
    </row>
    <row r="1445">
      <c r="A1445" s="6" t="inlineStr">
        <is>
          <t>FY27</t>
        </is>
      </c>
      <c r="B1445" s="6" t="inlineStr">
        <is>
          <t>Apr</t>
        </is>
      </c>
      <c r="C1445" s="6" t="inlineStr">
        <is>
          <t>Kerala</t>
        </is>
      </c>
      <c r="D1445" s="7" t="inlineStr">
        <is>
          <t>KL195397</t>
        </is>
      </c>
      <c r="E1445" s="7" t="inlineStr">
        <is>
          <t>MARUTI SUZUKI</t>
        </is>
      </c>
      <c r="F1445" s="7" t="inlineStr">
        <is>
          <t>Wagon R</t>
        </is>
      </c>
      <c r="G1445" s="7" t="inlineStr">
        <is>
          <t>MUHSIN</t>
        </is>
      </c>
      <c r="H1445" s="7" t="inlineStr">
        <is>
          <t>Non-Captive</t>
        </is>
      </c>
      <c r="I1445" s="7" t="inlineStr">
        <is>
          <t>PPS KIA</t>
        </is>
      </c>
      <c r="J1445" s="8" t="n"/>
      <c r="K1445" s="9" t="n">
        <v>100300</v>
      </c>
      <c r="L1445" s="10" t="n">
        <v>55000</v>
      </c>
      <c r="M1445" s="10" t="n">
        <v>4237.29</v>
      </c>
      <c r="N1445" s="11">
        <f>IF(M1445="","",ROUND(M1445*1.18,2))</f>
        <v/>
      </c>
      <c r="O1445" s="12">
        <f>IF(M1445="","",ROUND(N1445-M1445,2))</f>
        <v/>
      </c>
      <c r="P1445" s="13">
        <f>IF(AND(A1445&lt;&gt;"",B1445&lt;&gt;""), A1445&amp;" · "&amp;B1445, "")</f>
        <v/>
      </c>
    </row>
    <row r="1446">
      <c r="A1446" s="6" t="inlineStr">
        <is>
          <t>FY27</t>
        </is>
      </c>
      <c r="B1446" s="6" t="inlineStr">
        <is>
          <t>Apr</t>
        </is>
      </c>
      <c r="C1446" s="6" t="inlineStr">
        <is>
          <t>Kerala</t>
        </is>
      </c>
      <c r="D1446" s="7" t="inlineStr">
        <is>
          <t>KL20L7575</t>
        </is>
      </c>
      <c r="E1446" s="7" t="inlineStr">
        <is>
          <t>VOLKSWAGEN</t>
        </is>
      </c>
      <c r="F1446" s="7" t="inlineStr">
        <is>
          <t>Ameo</t>
        </is>
      </c>
      <c r="G1446" s="7" t="inlineStr">
        <is>
          <t>HAMSA</t>
        </is>
      </c>
      <c r="H1446" s="7" t="inlineStr">
        <is>
          <t>Non-Captive</t>
        </is>
      </c>
      <c r="I1446" s="7" t="inlineStr">
        <is>
          <t>DKH KIA</t>
        </is>
      </c>
      <c r="J1446" s="8" t="n">
        <v>2017</v>
      </c>
      <c r="K1446" s="9" t="n">
        <v>67000</v>
      </c>
      <c r="L1446" s="10" t="n">
        <v>275000</v>
      </c>
      <c r="M1446" s="10" t="n">
        <v>4237.29</v>
      </c>
      <c r="N1446" s="11">
        <f>IF(M1446="","",ROUND(M1446*1.18,2))</f>
        <v/>
      </c>
      <c r="O1446" s="12">
        <f>IF(M1446="","",ROUND(N1446-M1446,2))</f>
        <v/>
      </c>
      <c r="P1446" s="13">
        <f>IF(AND(A1446&lt;&gt;"",B1446&lt;&gt;""), A1446&amp;" · "&amp;B1446, "")</f>
        <v/>
      </c>
    </row>
    <row r="1447">
      <c r="A1447" s="6" t="inlineStr">
        <is>
          <t>FY27</t>
        </is>
      </c>
      <c r="B1447" s="6" t="inlineStr">
        <is>
          <t>Apr</t>
        </is>
      </c>
      <c r="C1447" s="6" t="inlineStr">
        <is>
          <t>Kerala</t>
        </is>
      </c>
      <c r="D1447" s="7" t="inlineStr">
        <is>
          <t>KL23L9292</t>
        </is>
      </c>
      <c r="E1447" s="7" t="inlineStr">
        <is>
          <t>MARUTI SUZUKI</t>
        </is>
      </c>
      <c r="F1447" s="7" t="inlineStr">
        <is>
          <t>Wagon R</t>
        </is>
      </c>
      <c r="G1447" s="7" t="inlineStr">
        <is>
          <t>MUHAMMED SHAJI</t>
        </is>
      </c>
      <c r="H1447" s="7" t="inlineStr">
        <is>
          <t>Non-Captive</t>
        </is>
      </c>
      <c r="I1447" s="7" t="inlineStr">
        <is>
          <t>ASHRAF T A</t>
        </is>
      </c>
      <c r="J1447" s="8" t="n"/>
      <c r="K1447" s="9" t="n">
        <v>58687</v>
      </c>
      <c r="L1447" s="10" t="n">
        <v>350000</v>
      </c>
      <c r="M1447" s="10" t="n">
        <v>8474.58</v>
      </c>
      <c r="N1447" s="11">
        <f>IF(M1447="","",ROUND(M1447*1.18,2))</f>
        <v/>
      </c>
      <c r="O1447" s="12">
        <f>IF(M1447="","",ROUND(N1447-M1447,2))</f>
        <v/>
      </c>
      <c r="P1447" s="13">
        <f>IF(AND(A1447&lt;&gt;"",B1447&lt;&gt;""), A1447&amp;" · "&amp;B1447, "")</f>
        <v/>
      </c>
    </row>
    <row r="1448">
      <c r="A1448" s="6" t="inlineStr">
        <is>
          <t>FY27</t>
        </is>
      </c>
      <c r="B1448" s="6" t="inlineStr">
        <is>
          <t>Apr</t>
        </is>
      </c>
      <c r="C1448" s="6" t="inlineStr">
        <is>
          <t>Kerala</t>
        </is>
      </c>
      <c r="D1448" s="7" t="inlineStr">
        <is>
          <t>KL24D1308</t>
        </is>
      </c>
      <c r="E1448" s="7" t="inlineStr">
        <is>
          <t>HYUNDAI</t>
        </is>
      </c>
      <c r="F1448" s="7" t="inlineStr">
        <is>
          <t>i10</t>
        </is>
      </c>
      <c r="G1448" s="7" t="inlineStr">
        <is>
          <t>PRAJOSH</t>
        </is>
      </c>
      <c r="H1448" s="7" t="inlineStr">
        <is>
          <t>Non-Captive</t>
        </is>
      </c>
      <c r="I1448" s="7" t="inlineStr">
        <is>
          <t>EVM CETRION</t>
        </is>
      </c>
      <c r="J1448" s="8" t="n">
        <v>2011</v>
      </c>
      <c r="K1448" s="9" t="n">
        <v>106000</v>
      </c>
      <c r="L1448" s="10" t="n">
        <v>50000</v>
      </c>
      <c r="M1448" s="10" t="n">
        <v>4237.29</v>
      </c>
      <c r="N1448" s="11">
        <f>IF(M1448="","",ROUND(M1448*1.18,2))</f>
        <v/>
      </c>
      <c r="O1448" s="12">
        <f>IF(M1448="","",ROUND(N1448-M1448,2))</f>
        <v/>
      </c>
      <c r="P1448" s="13">
        <f>IF(AND(A1448&lt;&gt;"",B1448&lt;&gt;""), A1448&amp;" · "&amp;B1448, "")</f>
        <v/>
      </c>
    </row>
    <row r="1449">
      <c r="A1449" s="6" t="inlineStr">
        <is>
          <t>FY27</t>
        </is>
      </c>
      <c r="B1449" s="6" t="inlineStr">
        <is>
          <t>Apr</t>
        </is>
      </c>
      <c r="C1449" s="6" t="inlineStr">
        <is>
          <t>Kerala</t>
        </is>
      </c>
      <c r="D1449" s="7" t="inlineStr">
        <is>
          <t>KL24U8812</t>
        </is>
      </c>
      <c r="E1449" s="7" t="inlineStr">
        <is>
          <t>HYUNDAI</t>
        </is>
      </c>
      <c r="F1449" s="7" t="inlineStr">
        <is>
          <t>Venue</t>
        </is>
      </c>
      <c r="G1449" s="7" t="inlineStr">
        <is>
          <t>SAIDALI</t>
        </is>
      </c>
      <c r="H1449" s="7" t="inlineStr">
        <is>
          <t>Non-Captive</t>
        </is>
      </c>
      <c r="I1449" s="7" t="inlineStr">
        <is>
          <t>INDUS MARUTI</t>
        </is>
      </c>
      <c r="J1449" s="8" t="n"/>
      <c r="K1449" s="9" t="n">
        <v>39887</v>
      </c>
      <c r="L1449" s="10" t="n">
        <v>650000</v>
      </c>
      <c r="M1449" s="10" t="n">
        <v>5932.2</v>
      </c>
      <c r="N1449" s="11">
        <f>IF(M1449="","",ROUND(M1449*1.18,2))</f>
        <v/>
      </c>
      <c r="O1449" s="12">
        <f>IF(M1449="","",ROUND(N1449-M1449,2))</f>
        <v/>
      </c>
      <c r="P1449" s="13">
        <f>IF(AND(A1449&lt;&gt;"",B1449&lt;&gt;""), A1449&amp;" · "&amp;B1449, "")</f>
        <v/>
      </c>
    </row>
    <row r="1450">
      <c r="A1450" s="6" t="inlineStr">
        <is>
          <t>FY27</t>
        </is>
      </c>
      <c r="B1450" s="6" t="inlineStr">
        <is>
          <t>Apr</t>
        </is>
      </c>
      <c r="C1450" s="6" t="inlineStr">
        <is>
          <t>Kerala</t>
        </is>
      </c>
      <c r="D1450" s="7" t="inlineStr">
        <is>
          <t>KL25L9868</t>
        </is>
      </c>
      <c r="E1450" s="7" t="inlineStr">
        <is>
          <t>TATA</t>
        </is>
      </c>
      <c r="F1450" s="7" t="inlineStr">
        <is>
          <t>Hexa</t>
        </is>
      </c>
      <c r="G1450" s="7" t="inlineStr">
        <is>
          <t>SIRAJ</t>
        </is>
      </c>
      <c r="H1450" s="7" t="inlineStr">
        <is>
          <t>Non-Captive</t>
        </is>
      </c>
      <c r="I1450" s="7" t="inlineStr">
        <is>
          <t>TATA KVR</t>
        </is>
      </c>
      <c r="J1450" s="8" t="n"/>
      <c r="K1450" s="9" t="n">
        <v>130000</v>
      </c>
      <c r="L1450" s="10" t="n">
        <v>750000</v>
      </c>
      <c r="M1450" s="10" t="n">
        <v>12711.86</v>
      </c>
      <c r="N1450" s="11">
        <f>IF(M1450="","",ROUND(M1450*1.18,2))</f>
        <v/>
      </c>
      <c r="O1450" s="12">
        <f>IF(M1450="","",ROUND(N1450-M1450,2))</f>
        <v/>
      </c>
      <c r="P1450" s="13">
        <f>IF(AND(A1450&lt;&gt;"",B1450&lt;&gt;""), A1450&amp;" · "&amp;B1450, "")</f>
        <v/>
      </c>
    </row>
    <row r="1451">
      <c r="A1451" s="6" t="inlineStr">
        <is>
          <t>FY27</t>
        </is>
      </c>
      <c r="B1451" s="6" t="inlineStr">
        <is>
          <t>Apr</t>
        </is>
      </c>
      <c r="C1451" s="6" t="inlineStr">
        <is>
          <t>Kerala</t>
        </is>
      </c>
      <c r="D1451" s="7" t="inlineStr">
        <is>
          <t>KL266452</t>
        </is>
      </c>
      <c r="E1451" s="7" t="inlineStr">
        <is>
          <t>MARUTI SUZUKI</t>
        </is>
      </c>
      <c r="F1451" s="7" t="inlineStr">
        <is>
          <t>Alto</t>
        </is>
      </c>
      <c r="G1451" s="7" t="inlineStr">
        <is>
          <t>SANTHOSH</t>
        </is>
      </c>
      <c r="H1451" s="7" t="inlineStr">
        <is>
          <t>Non-Captive</t>
        </is>
      </c>
      <c r="I1451" s="7" t="inlineStr">
        <is>
          <t>POPULAR MARUTI</t>
        </is>
      </c>
      <c r="J1451" s="8" t="n"/>
      <c r="K1451" s="9" t="n">
        <v>102000</v>
      </c>
      <c r="L1451" s="10" t="n">
        <v>30000</v>
      </c>
      <c r="M1451" s="10" t="n">
        <v>4237.29</v>
      </c>
      <c r="N1451" s="11">
        <f>IF(M1451="","",ROUND(M1451*1.18,2))</f>
        <v/>
      </c>
      <c r="O1451" s="12">
        <f>IF(M1451="","",ROUND(N1451-M1451,2))</f>
        <v/>
      </c>
      <c r="P1451" s="13">
        <f>IF(AND(A1451&lt;&gt;"",B1451&lt;&gt;""), A1451&amp;" · "&amp;B1451, "")</f>
        <v/>
      </c>
    </row>
    <row r="1452">
      <c r="A1452" s="6" t="inlineStr">
        <is>
          <t>FY27</t>
        </is>
      </c>
      <c r="B1452" s="6" t="inlineStr">
        <is>
          <t>Apr</t>
        </is>
      </c>
      <c r="C1452" s="6" t="inlineStr">
        <is>
          <t>Kerala</t>
        </is>
      </c>
      <c r="D1452" s="7" t="inlineStr">
        <is>
          <t>KL26G8384</t>
        </is>
      </c>
      <c r="E1452" s="7" t="inlineStr">
        <is>
          <t>MARUTI SUZUKI</t>
        </is>
      </c>
      <c r="F1452" s="7" t="inlineStr">
        <is>
          <t>Swift</t>
        </is>
      </c>
      <c r="G1452" s="7" t="inlineStr">
        <is>
          <t>AKHILNATH</t>
        </is>
      </c>
      <c r="H1452" s="7" t="inlineStr">
        <is>
          <t>Non-Captive</t>
        </is>
      </c>
      <c r="I1452" s="7" t="inlineStr">
        <is>
          <t>LUXON TATA</t>
        </is>
      </c>
      <c r="J1452" s="8" t="n">
        <v>2016</v>
      </c>
      <c r="K1452" s="9" t="n">
        <v>149665</v>
      </c>
      <c r="L1452" s="10" t="n">
        <v>250000</v>
      </c>
      <c r="M1452" s="10" t="n">
        <v>5932.2</v>
      </c>
      <c r="N1452" s="11">
        <f>IF(M1452="","",ROUND(M1452*1.18,2))</f>
        <v/>
      </c>
      <c r="O1452" s="12">
        <f>IF(M1452="","",ROUND(N1452-M1452,2))</f>
        <v/>
      </c>
      <c r="P1452" s="13">
        <f>IF(AND(A1452&lt;&gt;"",B1452&lt;&gt;""), A1452&amp;" · "&amp;B1452, "")</f>
        <v/>
      </c>
    </row>
    <row r="1453">
      <c r="A1453" s="6" t="inlineStr">
        <is>
          <t>FY27</t>
        </is>
      </c>
      <c r="B1453" s="6" t="inlineStr">
        <is>
          <t>Apr</t>
        </is>
      </c>
      <c r="C1453" s="6" t="inlineStr">
        <is>
          <t>Kerala</t>
        </is>
      </c>
      <c r="D1453" s="7" t="inlineStr">
        <is>
          <t>KL30A0577</t>
        </is>
      </c>
      <c r="E1453" s="7" t="inlineStr">
        <is>
          <t>MARUTI SUZUKI</t>
        </is>
      </c>
      <c r="F1453" s="7" t="inlineStr">
        <is>
          <t>A-Star</t>
        </is>
      </c>
      <c r="G1453" s="7" t="inlineStr">
        <is>
          <t>AKHILNATH</t>
        </is>
      </c>
      <c r="H1453" s="7" t="inlineStr">
        <is>
          <t>Non-Captive</t>
        </is>
      </c>
      <c r="I1453" s="7" t="inlineStr">
        <is>
          <t>MITHUN BABU</t>
        </is>
      </c>
      <c r="J1453" s="8" t="n"/>
      <c r="K1453" s="9" t="n">
        <v>75645</v>
      </c>
      <c r="L1453" s="10" t="n">
        <v>100000</v>
      </c>
      <c r="M1453" s="10" t="n">
        <v>4237.29</v>
      </c>
      <c r="N1453" s="11">
        <f>IF(M1453="","",ROUND(M1453*1.18,2))</f>
        <v/>
      </c>
      <c r="O1453" s="12">
        <f>IF(M1453="","",ROUND(N1453-M1453,2))</f>
        <v/>
      </c>
      <c r="P1453" s="13">
        <f>IF(AND(A1453&lt;&gt;"",B1453&lt;&gt;""), A1453&amp;" · "&amp;B1453, "")</f>
        <v/>
      </c>
    </row>
    <row r="1454">
      <c r="A1454" s="6" t="inlineStr">
        <is>
          <t>FY27</t>
        </is>
      </c>
      <c r="B1454" s="6" t="inlineStr">
        <is>
          <t>Apr</t>
        </is>
      </c>
      <c r="C1454" s="6" t="inlineStr">
        <is>
          <t>Kerala</t>
        </is>
      </c>
      <c r="D1454" s="7" t="inlineStr">
        <is>
          <t>KL315638</t>
        </is>
      </c>
      <c r="E1454" s="7" t="inlineStr">
        <is>
          <t>&lt;NA&gt;</t>
        </is>
      </c>
      <c r="F1454" s="7" t="inlineStr">
        <is>
          <t>&lt;NA&gt;</t>
        </is>
      </c>
      <c r="G1454" s="7" t="inlineStr">
        <is>
          <t>&lt;NA&gt;</t>
        </is>
      </c>
      <c r="H1454" s="7" t="inlineStr">
        <is>
          <t>Non-Captive</t>
        </is>
      </c>
      <c r="I1454" s="7" t="inlineStr">
        <is>
          <t>Sajith,Leaps Trucks</t>
        </is>
      </c>
      <c r="J1454" s="8" t="n"/>
      <c r="K1454" s="9" t="n">
        <v>300000</v>
      </c>
      <c r="L1454" s="10" t="n">
        <v>170000</v>
      </c>
      <c r="M1454" s="10" t="n">
        <v>5084.75</v>
      </c>
      <c r="N1454" s="11">
        <f>IF(M1454="","",ROUND(M1454*1.18,2))</f>
        <v/>
      </c>
      <c r="O1454" s="12">
        <f>IF(M1454="","",ROUND(N1454-M1454,2))</f>
        <v/>
      </c>
      <c r="P1454" s="13">
        <f>IF(AND(A1454&lt;&gt;"",B1454&lt;&gt;""), A1454&amp;" · "&amp;B1454, "")</f>
        <v/>
      </c>
    </row>
    <row r="1455">
      <c r="A1455" s="6" t="inlineStr">
        <is>
          <t>FY27</t>
        </is>
      </c>
      <c r="B1455" s="6" t="inlineStr">
        <is>
          <t>Apr</t>
        </is>
      </c>
      <c r="C1455" s="6" t="inlineStr">
        <is>
          <t>Kerala</t>
        </is>
      </c>
      <c r="D1455" s="7" t="inlineStr">
        <is>
          <t>KL32F0961</t>
        </is>
      </c>
      <c r="E1455" s="7" t="inlineStr">
        <is>
          <t>HYUNDAI</t>
        </is>
      </c>
      <c r="F1455" s="7" t="inlineStr">
        <is>
          <t>Eon</t>
        </is>
      </c>
      <c r="G1455" s="7" t="inlineStr">
        <is>
          <t>VTJ</t>
        </is>
      </c>
      <c r="H1455" s="7" t="inlineStr">
        <is>
          <t>Non-Captive</t>
        </is>
      </c>
      <c r="I1455" s="7" t="inlineStr">
        <is>
          <t>ABDUL SALAM K K</t>
        </is>
      </c>
      <c r="J1455" s="8" t="n"/>
      <c r="K1455" s="9" t="n">
        <v>49700</v>
      </c>
      <c r="L1455" s="10" t="n">
        <v>91000</v>
      </c>
      <c r="M1455" s="10" t="n">
        <v>8474.58</v>
      </c>
      <c r="N1455" s="11">
        <f>IF(M1455="","",ROUND(M1455*1.18,2))</f>
        <v/>
      </c>
      <c r="O1455" s="12">
        <f>IF(M1455="","",ROUND(N1455-M1455,2))</f>
        <v/>
      </c>
      <c r="P1455" s="13">
        <f>IF(AND(A1455&lt;&gt;"",B1455&lt;&gt;""), A1455&amp;" · "&amp;B1455, "")</f>
        <v/>
      </c>
    </row>
    <row r="1456">
      <c r="A1456" s="6" t="inlineStr">
        <is>
          <t>FY27</t>
        </is>
      </c>
      <c r="B1456" s="6" t="inlineStr">
        <is>
          <t>Apr</t>
        </is>
      </c>
      <c r="C1456" s="6" t="inlineStr">
        <is>
          <t>Kerala</t>
        </is>
      </c>
      <c r="D1456" s="7" t="inlineStr">
        <is>
          <t>KL35E9561</t>
        </is>
      </c>
      <c r="E1456" s="7" t="inlineStr">
        <is>
          <t>MARUTI SUZUKI</t>
        </is>
      </c>
      <c r="F1456" s="7" t="inlineStr">
        <is>
          <t>Wagon R</t>
        </is>
      </c>
      <c r="G1456" s="7" t="inlineStr">
        <is>
          <t>AMRITH V CHANDY</t>
        </is>
      </c>
      <c r="H1456" s="7" t="inlineStr">
        <is>
          <t>Non-Captive</t>
        </is>
      </c>
      <c r="I1456" s="7" t="inlineStr">
        <is>
          <t>TINU P SOMAN</t>
        </is>
      </c>
      <c r="J1456" s="8" t="n"/>
      <c r="K1456" s="9" t="n">
        <v>82000</v>
      </c>
      <c r="L1456" s="10" t="n">
        <v>230000</v>
      </c>
      <c r="M1456" s="10" t="n">
        <v>8474.58</v>
      </c>
      <c r="N1456" s="11">
        <f>IF(M1456="","",ROUND(M1456*1.18,2))</f>
        <v/>
      </c>
      <c r="O1456" s="12">
        <f>IF(M1456="","",ROUND(N1456-M1456,2))</f>
        <v/>
      </c>
      <c r="P1456" s="13">
        <f>IF(AND(A1456&lt;&gt;"",B1456&lt;&gt;""), A1456&amp;" · "&amp;B1456, "")</f>
        <v/>
      </c>
    </row>
    <row r="1457">
      <c r="A1457" s="6" t="inlineStr">
        <is>
          <t>FY27</t>
        </is>
      </c>
      <c r="B1457" s="6" t="inlineStr">
        <is>
          <t>Apr</t>
        </is>
      </c>
      <c r="C1457" s="6" t="inlineStr">
        <is>
          <t>Kerala</t>
        </is>
      </c>
      <c r="D1457" s="7" t="inlineStr">
        <is>
          <t>KL38D4621</t>
        </is>
      </c>
      <c r="E1457" s="7" t="inlineStr">
        <is>
          <t>HYUNDAI</t>
        </is>
      </c>
      <c r="F1457" s="7" t="inlineStr">
        <is>
          <t>Eon</t>
        </is>
      </c>
      <c r="G1457" s="7" t="inlineStr">
        <is>
          <t>SARITH AUTOBOT</t>
        </is>
      </c>
      <c r="H1457" s="7" t="inlineStr">
        <is>
          <t>Non-Captive</t>
        </is>
      </c>
      <c r="I1457" s="7" t="inlineStr">
        <is>
          <t>BIMAL</t>
        </is>
      </c>
      <c r="J1457" s="8" t="n">
        <v>2013</v>
      </c>
      <c r="K1457" s="9" t="n">
        <v>28000</v>
      </c>
      <c r="L1457" s="10" t="n">
        <v>120000</v>
      </c>
      <c r="M1457" s="10" t="n">
        <v>5084.75</v>
      </c>
      <c r="N1457" s="11">
        <f>IF(M1457="","",ROUND(M1457*1.18,2))</f>
        <v/>
      </c>
      <c r="O1457" s="12">
        <f>IF(M1457="","",ROUND(N1457-M1457,2))</f>
        <v/>
      </c>
      <c r="P1457" s="13">
        <f>IF(AND(A1457&lt;&gt;"",B1457&lt;&gt;""), A1457&amp;" · "&amp;B1457, "")</f>
        <v/>
      </c>
    </row>
    <row r="1458">
      <c r="A1458" s="6" t="inlineStr">
        <is>
          <t>FY27</t>
        </is>
      </c>
      <c r="B1458" s="6" t="inlineStr">
        <is>
          <t>Apr</t>
        </is>
      </c>
      <c r="C1458" s="6" t="inlineStr">
        <is>
          <t>Kerala</t>
        </is>
      </c>
      <c r="D1458" s="7" t="inlineStr">
        <is>
          <t>KL39D7804</t>
        </is>
      </c>
      <c r="E1458" s="7" t="inlineStr">
        <is>
          <t>MARUTI SUZUKI</t>
        </is>
      </c>
      <c r="F1458" s="7" t="inlineStr">
        <is>
          <t>Swift</t>
        </is>
      </c>
      <c r="G1458" s="7" t="inlineStr">
        <is>
          <t>INDUS MARUTI</t>
        </is>
      </c>
      <c r="H1458" s="7" t="inlineStr">
        <is>
          <t>Non-Captive</t>
        </is>
      </c>
      <c r="I1458" s="7" t="inlineStr">
        <is>
          <t>HUSSAIN O E</t>
        </is>
      </c>
      <c r="J1458" s="8" t="n"/>
      <c r="K1458" s="9" t="n">
        <v>144966</v>
      </c>
      <c r="L1458" s="10" t="n">
        <v>225000</v>
      </c>
      <c r="M1458" s="10" t="n">
        <v>8474.58</v>
      </c>
      <c r="N1458" s="11">
        <f>IF(M1458="","",ROUND(M1458*1.18,2))</f>
        <v/>
      </c>
      <c r="O1458" s="12">
        <f>IF(M1458="","",ROUND(N1458-M1458,2))</f>
        <v/>
      </c>
      <c r="P1458" s="13">
        <f>IF(AND(A1458&lt;&gt;"",B1458&lt;&gt;""), A1458&amp;" · "&amp;B1458, "")</f>
        <v/>
      </c>
    </row>
    <row r="1459">
      <c r="A1459" s="6" t="inlineStr">
        <is>
          <t>FY27</t>
        </is>
      </c>
      <c r="B1459" s="6" t="inlineStr">
        <is>
          <t>Apr</t>
        </is>
      </c>
      <c r="C1459" s="6" t="inlineStr">
        <is>
          <t>Kerala</t>
        </is>
      </c>
      <c r="D1459" s="7" t="inlineStr">
        <is>
          <t>KL39N5652</t>
        </is>
      </c>
      <c r="E1459" s="7" t="inlineStr">
        <is>
          <t>RENAULT</t>
        </is>
      </c>
      <c r="F1459" s="7" t="inlineStr">
        <is>
          <t>Captur</t>
        </is>
      </c>
      <c r="G1459" s="7" t="inlineStr">
        <is>
          <t>EVM JEEP</t>
        </is>
      </c>
      <c r="H1459" s="7" t="inlineStr">
        <is>
          <t>Non-Captive</t>
        </is>
      </c>
      <c r="I1459" s="7" t="inlineStr">
        <is>
          <t>HAVEN MOTORS</t>
        </is>
      </c>
      <c r="J1459" s="8" t="n"/>
      <c r="K1459" s="9" t="n">
        <v>31000</v>
      </c>
      <c r="L1459" s="10" t="n">
        <v>420000</v>
      </c>
      <c r="M1459" s="10" t="n">
        <v>8474.58</v>
      </c>
      <c r="N1459" s="11">
        <f>IF(M1459="","",ROUND(M1459*1.18,2))</f>
        <v/>
      </c>
      <c r="O1459" s="12">
        <f>IF(M1459="","",ROUND(N1459-M1459,2))</f>
        <v/>
      </c>
      <c r="P1459" s="13">
        <f>IF(AND(A1459&lt;&gt;"",B1459&lt;&gt;""), A1459&amp;" · "&amp;B1459, "")</f>
        <v/>
      </c>
    </row>
    <row r="1460">
      <c r="A1460" s="6" t="inlineStr">
        <is>
          <t>FY27</t>
        </is>
      </c>
      <c r="B1460" s="6" t="inlineStr">
        <is>
          <t>Apr</t>
        </is>
      </c>
      <c r="C1460" s="6" t="inlineStr">
        <is>
          <t>Kerala</t>
        </is>
      </c>
      <c r="D1460" s="7" t="inlineStr">
        <is>
          <t>KL40T4157</t>
        </is>
      </c>
      <c r="E1460" s="7" t="inlineStr">
        <is>
          <t>RENAULT</t>
        </is>
      </c>
      <c r="F1460" s="7" t="inlineStr">
        <is>
          <t>Kiger</t>
        </is>
      </c>
      <c r="G1460" s="7" t="inlineStr">
        <is>
          <t>EVM JEEP</t>
        </is>
      </c>
      <c r="H1460" s="7" t="inlineStr">
        <is>
          <t>Non-Captive</t>
        </is>
      </c>
      <c r="I1460" s="7" t="inlineStr">
        <is>
          <t>RASIK RAHIM</t>
        </is>
      </c>
      <c r="J1460" s="8" t="n"/>
      <c r="K1460" s="9" t="n">
        <v>56139</v>
      </c>
      <c r="L1460" s="10" t="n">
        <v>415000</v>
      </c>
      <c r="M1460" s="10" t="n">
        <v>8474.58</v>
      </c>
      <c r="N1460" s="11">
        <f>IF(M1460="","",ROUND(M1460*1.18,2))</f>
        <v/>
      </c>
      <c r="O1460" s="12">
        <f>IF(M1460="","",ROUND(N1460-M1460,2))</f>
        <v/>
      </c>
      <c r="P1460" s="13">
        <f>IF(AND(A1460&lt;&gt;"",B1460&lt;&gt;""), A1460&amp;" · "&amp;B1460, "")</f>
        <v/>
      </c>
    </row>
    <row r="1461">
      <c r="A1461" s="6" t="inlineStr">
        <is>
          <t>FY27</t>
        </is>
      </c>
      <c r="B1461" s="6" t="inlineStr">
        <is>
          <t>Apr</t>
        </is>
      </c>
      <c r="C1461" s="6" t="inlineStr">
        <is>
          <t>Kerala</t>
        </is>
      </c>
      <c r="D1461" s="7" t="inlineStr">
        <is>
          <t>KL40V5629</t>
        </is>
      </c>
      <c r="E1461" s="7" t="inlineStr">
        <is>
          <t>TATA</t>
        </is>
      </c>
      <c r="F1461" s="7" t="inlineStr">
        <is>
          <t>Nexon</t>
        </is>
      </c>
      <c r="G1461" s="7" t="inlineStr">
        <is>
          <t>GOKULAM TATA</t>
        </is>
      </c>
      <c r="H1461" s="7" t="inlineStr">
        <is>
          <t>Non-Captive</t>
        </is>
      </c>
      <c r="I1461" s="7" t="inlineStr">
        <is>
          <t>Aitos Cars</t>
        </is>
      </c>
      <c r="J1461" s="8" t="n"/>
      <c r="K1461" s="9" t="n">
        <v>6500</v>
      </c>
      <c r="L1461" s="10" t="n">
        <v>740000</v>
      </c>
      <c r="M1461" s="10" t="n">
        <v>8474.58</v>
      </c>
      <c r="N1461" s="11">
        <f>IF(M1461="","",ROUND(M1461*1.18,2))</f>
        <v/>
      </c>
      <c r="O1461" s="12">
        <f>IF(M1461="","",ROUND(N1461-M1461,2))</f>
        <v/>
      </c>
      <c r="P1461" s="13">
        <f>IF(AND(A1461&lt;&gt;"",B1461&lt;&gt;""), A1461&amp;" · "&amp;B1461, "")</f>
        <v/>
      </c>
    </row>
    <row r="1462">
      <c r="A1462" s="6" t="inlineStr">
        <is>
          <t>FY27</t>
        </is>
      </c>
      <c r="B1462" s="6" t="inlineStr">
        <is>
          <t>Apr</t>
        </is>
      </c>
      <c r="C1462" s="6" t="inlineStr">
        <is>
          <t>Kerala</t>
        </is>
      </c>
      <c r="D1462" s="7" t="inlineStr">
        <is>
          <t>KL41E8267</t>
        </is>
      </c>
      <c r="E1462" s="7" t="inlineStr">
        <is>
          <t>CHEVROLET</t>
        </is>
      </c>
      <c r="F1462" s="7" t="inlineStr">
        <is>
          <t>Spark</t>
        </is>
      </c>
      <c r="G1462" s="7" t="inlineStr">
        <is>
          <t>POPULAR MARUTI</t>
        </is>
      </c>
      <c r="H1462" s="7" t="inlineStr">
        <is>
          <t>Non-Captive</t>
        </is>
      </c>
      <c r="I1462" s="7" t="inlineStr">
        <is>
          <t>HUSSAIN O E</t>
        </is>
      </c>
      <c r="J1462" s="8" t="n"/>
      <c r="K1462" s="9" t="n">
        <v>60893</v>
      </c>
      <c r="L1462" s="10" t="n">
        <v>30000</v>
      </c>
      <c r="M1462" s="10" t="n">
        <v>8474.58</v>
      </c>
      <c r="N1462" s="11">
        <f>IF(M1462="","",ROUND(M1462*1.18,2))</f>
        <v/>
      </c>
      <c r="O1462" s="12">
        <f>IF(M1462="","",ROUND(N1462-M1462,2))</f>
        <v/>
      </c>
      <c r="P1462" s="13">
        <f>IF(AND(A1462&lt;&gt;"",B1462&lt;&gt;""), A1462&amp;" · "&amp;B1462, "")</f>
        <v/>
      </c>
    </row>
    <row r="1463">
      <c r="A1463" s="6" t="inlineStr">
        <is>
          <t>FY27</t>
        </is>
      </c>
      <c r="B1463" s="6" t="inlineStr">
        <is>
          <t>Apr</t>
        </is>
      </c>
      <c r="C1463" s="6" t="inlineStr">
        <is>
          <t>Kerala</t>
        </is>
      </c>
      <c r="D1463" s="7" t="inlineStr">
        <is>
          <t>KL41J1449</t>
        </is>
      </c>
      <c r="E1463" s="7" t="inlineStr">
        <is>
          <t>MARUTI SUZUKI</t>
        </is>
      </c>
      <c r="F1463" s="7" t="inlineStr">
        <is>
          <t>Alto</t>
        </is>
      </c>
      <c r="G1463" s="7" t="inlineStr">
        <is>
          <t>POPULAR MARUTI</t>
        </is>
      </c>
      <c r="H1463" s="7" t="inlineStr">
        <is>
          <t>Non-Captive</t>
        </is>
      </c>
      <c r="I1463" s="7" t="inlineStr">
        <is>
          <t>HUSSAIN O E</t>
        </is>
      </c>
      <c r="J1463" s="8" t="n"/>
      <c r="K1463" s="9" t="n">
        <v>81000</v>
      </c>
      <c r="L1463" s="10" t="n">
        <v>137000</v>
      </c>
      <c r="M1463" s="10" t="n">
        <v>8474.58</v>
      </c>
      <c r="N1463" s="11">
        <f>IF(M1463="","",ROUND(M1463*1.18,2))</f>
        <v/>
      </c>
      <c r="O1463" s="12">
        <f>IF(M1463="","",ROUND(N1463-M1463,2))</f>
        <v/>
      </c>
      <c r="P1463" s="13">
        <f>IF(AND(A1463&lt;&gt;"",B1463&lt;&gt;""), A1463&amp;" · "&amp;B1463, "")</f>
        <v/>
      </c>
    </row>
    <row r="1464">
      <c r="A1464" s="6" t="inlineStr">
        <is>
          <t>FY27</t>
        </is>
      </c>
      <c r="B1464" s="6" t="inlineStr">
        <is>
          <t>Apr</t>
        </is>
      </c>
      <c r="C1464" s="6" t="inlineStr">
        <is>
          <t>Kerala</t>
        </is>
      </c>
      <c r="D1464" s="7" t="inlineStr">
        <is>
          <t>KL41K2939</t>
        </is>
      </c>
      <c r="E1464" s="7" t="inlineStr">
        <is>
          <t>RENAULT</t>
        </is>
      </c>
      <c r="F1464" s="7" t="inlineStr">
        <is>
          <t>Duster</t>
        </is>
      </c>
      <c r="G1464" s="7" t="inlineStr">
        <is>
          <t>JISHNU PRIYAN</t>
        </is>
      </c>
      <c r="H1464" s="7" t="inlineStr">
        <is>
          <t>Non-Captive</t>
        </is>
      </c>
      <c r="I1464" s="7" t="inlineStr">
        <is>
          <t>HUSSAIN O E</t>
        </is>
      </c>
      <c r="J1464" s="8" t="n"/>
      <c r="K1464" s="9" t="n">
        <v>184947</v>
      </c>
      <c r="L1464" s="10" t="n">
        <v>300000</v>
      </c>
      <c r="M1464" s="10" t="n">
        <v>8474.58</v>
      </c>
      <c r="N1464" s="11">
        <f>IF(M1464="","",ROUND(M1464*1.18,2))</f>
        <v/>
      </c>
      <c r="O1464" s="12">
        <f>IF(M1464="","",ROUND(N1464-M1464,2))</f>
        <v/>
      </c>
      <c r="P1464" s="13">
        <f>IF(AND(A1464&lt;&gt;"",B1464&lt;&gt;""), A1464&amp;" · "&amp;B1464, "")</f>
        <v/>
      </c>
    </row>
    <row r="1465">
      <c r="A1465" s="6" t="inlineStr">
        <is>
          <t>FY27</t>
        </is>
      </c>
      <c r="B1465" s="6" t="inlineStr">
        <is>
          <t>Apr</t>
        </is>
      </c>
      <c r="C1465" s="6" t="inlineStr">
        <is>
          <t>Kerala</t>
        </is>
      </c>
      <c r="D1465" s="7" t="inlineStr">
        <is>
          <t>KL42L4225</t>
        </is>
      </c>
      <c r="E1465" s="7" t="inlineStr">
        <is>
          <t>HYUNDAI</t>
        </is>
      </c>
      <c r="F1465" s="7" t="inlineStr">
        <is>
          <t>Eon</t>
        </is>
      </c>
      <c r="G1465" s="7" t="inlineStr">
        <is>
          <t>POPULAR MARUTI</t>
        </is>
      </c>
      <c r="H1465" s="7" t="inlineStr">
        <is>
          <t>Non-Captive</t>
        </is>
      </c>
      <c r="I1465" s="7" t="inlineStr">
        <is>
          <t>SHAMEER V H</t>
        </is>
      </c>
      <c r="J1465" s="8" t="n"/>
      <c r="K1465" s="9" t="n">
        <v>92078</v>
      </c>
      <c r="L1465" s="10" t="n">
        <v>120000</v>
      </c>
      <c r="M1465" s="10" t="n">
        <v>8474.58</v>
      </c>
      <c r="N1465" s="11">
        <f>IF(M1465="","",ROUND(M1465*1.18,2))</f>
        <v/>
      </c>
      <c r="O1465" s="12">
        <f>IF(M1465="","",ROUND(N1465-M1465,2))</f>
        <v/>
      </c>
      <c r="P1465" s="13">
        <f>IF(AND(A1465&lt;&gt;"",B1465&lt;&gt;""), A1465&amp;" · "&amp;B1465, "")</f>
        <v/>
      </c>
    </row>
    <row r="1466">
      <c r="A1466" s="6" t="inlineStr">
        <is>
          <t>FY27</t>
        </is>
      </c>
      <c r="B1466" s="6" t="inlineStr">
        <is>
          <t>Apr</t>
        </is>
      </c>
      <c r="C1466" s="6" t="inlineStr">
        <is>
          <t>Kerala</t>
        </is>
      </c>
      <c r="D1466" s="7" t="inlineStr">
        <is>
          <t>KL42M6147</t>
        </is>
      </c>
      <c r="E1466" s="7" t="inlineStr">
        <is>
          <t>MARUTI SUZUKI</t>
        </is>
      </c>
      <c r="F1466" s="7" t="inlineStr">
        <is>
          <t>Swift</t>
        </is>
      </c>
      <c r="G1466" s="7" t="inlineStr">
        <is>
          <t>POPULAR MARUTI</t>
        </is>
      </c>
      <c r="H1466" s="7" t="inlineStr">
        <is>
          <t>Non-Captive</t>
        </is>
      </c>
      <c r="I1466" s="7" t="inlineStr">
        <is>
          <t>FABITH</t>
        </is>
      </c>
      <c r="J1466" s="8" t="n"/>
      <c r="K1466" s="9" t="n">
        <v>60893</v>
      </c>
      <c r="L1466" s="10" t="n">
        <v>325000</v>
      </c>
      <c r="M1466" s="10" t="n">
        <v>8474.58</v>
      </c>
      <c r="N1466" s="11">
        <f>IF(M1466="","",ROUND(M1466*1.18,2))</f>
        <v/>
      </c>
      <c r="O1466" s="12">
        <f>IF(M1466="","",ROUND(N1466-M1466,2))</f>
        <v/>
      </c>
      <c r="P1466" s="13">
        <f>IF(AND(A1466&lt;&gt;"",B1466&lt;&gt;""), A1466&amp;" · "&amp;B1466, "")</f>
        <v/>
      </c>
    </row>
    <row r="1467">
      <c r="A1467" s="6" t="inlineStr">
        <is>
          <t>FY27</t>
        </is>
      </c>
      <c r="B1467" s="6" t="inlineStr">
        <is>
          <t>Apr</t>
        </is>
      </c>
      <c r="C1467" s="6" t="inlineStr">
        <is>
          <t>Kerala</t>
        </is>
      </c>
      <c r="D1467" s="7" t="inlineStr">
        <is>
          <t>KL42N2145</t>
        </is>
      </c>
      <c r="E1467" s="7" t="inlineStr">
        <is>
          <t>HONDA</t>
        </is>
      </c>
      <c r="F1467" s="7" t="inlineStr">
        <is>
          <t>Jazz</t>
        </is>
      </c>
      <c r="G1467" s="7" t="inlineStr">
        <is>
          <t>SANOOP KM</t>
        </is>
      </c>
      <c r="H1467" s="7" t="inlineStr">
        <is>
          <t>Non-Captive</t>
        </is>
      </c>
      <c r="I1467" s="7" t="inlineStr">
        <is>
          <t>UCD SANTHOSH</t>
        </is>
      </c>
      <c r="J1467" s="8" t="n">
        <v>2017</v>
      </c>
      <c r="K1467" s="9" t="n">
        <v>57000</v>
      </c>
      <c r="L1467" s="10" t="n">
        <v>390000</v>
      </c>
      <c r="M1467" s="10" t="n">
        <v>8474.58</v>
      </c>
      <c r="N1467" s="11">
        <f>IF(M1467="","",ROUND(M1467*1.18,2))</f>
        <v/>
      </c>
      <c r="O1467" s="12">
        <f>IF(M1467="","",ROUND(N1467-M1467,2))</f>
        <v/>
      </c>
      <c r="P1467" s="13">
        <f>IF(AND(A1467&lt;&gt;"",B1467&lt;&gt;""), A1467&amp;" · "&amp;B1467, "")</f>
        <v/>
      </c>
    </row>
    <row r="1468">
      <c r="A1468" s="6" t="inlineStr">
        <is>
          <t>FY27</t>
        </is>
      </c>
      <c r="B1468" s="6" t="inlineStr">
        <is>
          <t>Apr</t>
        </is>
      </c>
      <c r="C1468" s="6" t="inlineStr">
        <is>
          <t>Kerala</t>
        </is>
      </c>
      <c r="D1468" s="7" t="inlineStr">
        <is>
          <t>KL43L6805</t>
        </is>
      </c>
      <c r="E1468" s="7" t="inlineStr">
        <is>
          <t>MARUTI SUZUKI</t>
        </is>
      </c>
      <c r="F1468" s="7" t="inlineStr">
        <is>
          <t>Zen</t>
        </is>
      </c>
      <c r="G1468" s="7" t="inlineStr">
        <is>
          <t>MAIJO MARUTI</t>
        </is>
      </c>
      <c r="H1468" s="7" t="inlineStr">
        <is>
          <t>Non-Captive</t>
        </is>
      </c>
      <c r="I1468" s="7" t="inlineStr">
        <is>
          <t>HUSSAIN O E</t>
        </is>
      </c>
      <c r="J1468" s="8" t="n"/>
      <c r="K1468" s="9" t="n">
        <v>107865</v>
      </c>
      <c r="L1468" s="10" t="n">
        <v>20000</v>
      </c>
      <c r="M1468" s="10" t="n">
        <v>8474.58</v>
      </c>
      <c r="N1468" s="11">
        <f>IF(M1468="","",ROUND(M1468*1.18,2))</f>
        <v/>
      </c>
      <c r="O1468" s="12">
        <f>IF(M1468="","",ROUND(N1468-M1468,2))</f>
        <v/>
      </c>
      <c r="P1468" s="13">
        <f>IF(AND(A1468&lt;&gt;"",B1468&lt;&gt;""), A1468&amp;" · "&amp;B1468, "")</f>
        <v/>
      </c>
    </row>
    <row r="1469">
      <c r="A1469" s="6" t="inlineStr">
        <is>
          <t>FY27</t>
        </is>
      </c>
      <c r="B1469" s="6" t="inlineStr">
        <is>
          <t>Apr</t>
        </is>
      </c>
      <c r="C1469" s="6" t="inlineStr">
        <is>
          <t>Kerala</t>
        </is>
      </c>
      <c r="D1469" s="7" t="inlineStr">
        <is>
          <t>KL43M4411</t>
        </is>
      </c>
      <c r="E1469" s="7" t="inlineStr">
        <is>
          <t>MARUTI SUZUKI</t>
        </is>
      </c>
      <c r="F1469" s="7" t="inlineStr">
        <is>
          <t>Baleno</t>
        </is>
      </c>
      <c r="G1469" s="7" t="inlineStr">
        <is>
          <t>POPULAR MARUTI</t>
        </is>
      </c>
      <c r="H1469" s="7" t="inlineStr">
        <is>
          <t>Non-Captive</t>
        </is>
      </c>
      <c r="I1469" s="7" t="inlineStr">
        <is>
          <t>ASHRAF T A</t>
        </is>
      </c>
      <c r="J1469" s="8" t="n"/>
      <c r="K1469" s="9" t="n">
        <v>103252</v>
      </c>
      <c r="L1469" s="10" t="n">
        <v>440000</v>
      </c>
      <c r="M1469" s="10" t="n">
        <v>8474.58</v>
      </c>
      <c r="N1469" s="11">
        <f>IF(M1469="","",ROUND(M1469*1.18,2))</f>
        <v/>
      </c>
      <c r="O1469" s="12">
        <f>IF(M1469="","",ROUND(N1469-M1469,2))</f>
        <v/>
      </c>
      <c r="P1469" s="13">
        <f>IF(AND(A1469&lt;&gt;"",B1469&lt;&gt;""), A1469&amp;" · "&amp;B1469, "")</f>
        <v/>
      </c>
    </row>
    <row r="1470">
      <c r="A1470" s="6" t="inlineStr">
        <is>
          <t>FY27</t>
        </is>
      </c>
      <c r="B1470" s="6" t="inlineStr">
        <is>
          <t>Apr</t>
        </is>
      </c>
      <c r="C1470" s="6" t="inlineStr">
        <is>
          <t>Kerala</t>
        </is>
      </c>
      <c r="D1470" s="7" t="inlineStr">
        <is>
          <t>KL43M5149</t>
        </is>
      </c>
      <c r="E1470" s="7" t="inlineStr">
        <is>
          <t>MARUTI SUZUKI</t>
        </is>
      </c>
      <c r="F1470" s="7" t="inlineStr">
        <is>
          <t>Swift</t>
        </is>
      </c>
      <c r="G1470" s="7" t="inlineStr">
        <is>
          <t>MAIJO MARUTI</t>
        </is>
      </c>
      <c r="H1470" s="7" t="inlineStr">
        <is>
          <t>Non-Captive</t>
        </is>
      </c>
      <c r="I1470" s="7" t="inlineStr">
        <is>
          <t>ABDUL SALAM K K</t>
        </is>
      </c>
      <c r="J1470" s="8" t="n"/>
      <c r="K1470" s="9" t="n">
        <v>33450</v>
      </c>
      <c r="L1470" s="10" t="n">
        <v>410000</v>
      </c>
      <c r="M1470" s="10" t="n">
        <v>8474.58</v>
      </c>
      <c r="N1470" s="11">
        <f>IF(M1470="","",ROUND(M1470*1.18,2))</f>
        <v/>
      </c>
      <c r="O1470" s="12">
        <f>IF(M1470="","",ROUND(N1470-M1470,2))</f>
        <v/>
      </c>
      <c r="P1470" s="13">
        <f>IF(AND(A1470&lt;&gt;"",B1470&lt;&gt;""), A1470&amp;" · "&amp;B1470, "")</f>
        <v/>
      </c>
    </row>
    <row r="1471">
      <c r="A1471" s="6" t="inlineStr">
        <is>
          <t>FY27</t>
        </is>
      </c>
      <c r="B1471" s="6" t="inlineStr">
        <is>
          <t>Apr</t>
        </is>
      </c>
      <c r="C1471" s="6" t="inlineStr">
        <is>
          <t>Kerala</t>
        </is>
      </c>
      <c r="D1471" s="7" t="inlineStr">
        <is>
          <t>KL43N1212</t>
        </is>
      </c>
      <c r="E1471" s="7" t="inlineStr">
        <is>
          <t>KIA</t>
        </is>
      </c>
      <c r="F1471" s="7" t="inlineStr">
        <is>
          <t>Seltos</t>
        </is>
      </c>
      <c r="G1471" s="7" t="inlineStr">
        <is>
          <t>LUXON TATA</t>
        </is>
      </c>
      <c r="H1471" s="7" t="inlineStr">
        <is>
          <t>Non-Captive</t>
        </is>
      </c>
      <c r="I1471" s="7" t="inlineStr">
        <is>
          <t>HAVEN MOTORS</t>
        </is>
      </c>
      <c r="J1471" s="8" t="n"/>
      <c r="K1471" s="9" t="n">
        <v>49000</v>
      </c>
      <c r="L1471" s="10" t="n">
        <v>813000</v>
      </c>
      <c r="M1471" s="10" t="n">
        <v>8474.58</v>
      </c>
      <c r="N1471" s="11">
        <f>IF(M1471="","",ROUND(M1471*1.18,2))</f>
        <v/>
      </c>
      <c r="O1471" s="12">
        <f>IF(M1471="","",ROUND(N1471-M1471,2))</f>
        <v/>
      </c>
      <c r="P1471" s="13">
        <f>IF(AND(A1471&lt;&gt;"",B1471&lt;&gt;""), A1471&amp;" · "&amp;B1471, "")</f>
        <v/>
      </c>
    </row>
    <row r="1472">
      <c r="A1472" s="6" t="inlineStr">
        <is>
          <t>FY27</t>
        </is>
      </c>
      <c r="B1472" s="6" t="inlineStr">
        <is>
          <t>Apr</t>
        </is>
      </c>
      <c r="C1472" s="6" t="inlineStr">
        <is>
          <t>Kerala</t>
        </is>
      </c>
      <c r="D1472" s="7" t="inlineStr">
        <is>
          <t>KL43R5780</t>
        </is>
      </c>
      <c r="E1472" s="7" t="inlineStr">
        <is>
          <t>MARUTI SUZUKI</t>
        </is>
      </c>
      <c r="F1472" s="7" t="inlineStr">
        <is>
          <t>Alto</t>
        </is>
      </c>
      <c r="G1472" s="7" t="inlineStr">
        <is>
          <t>EVM NISSAN</t>
        </is>
      </c>
      <c r="H1472" s="7" t="inlineStr">
        <is>
          <t>Non-Captive</t>
        </is>
      </c>
      <c r="I1472" s="7" t="inlineStr">
        <is>
          <t>VTJ</t>
        </is>
      </c>
      <c r="J1472" s="8" t="n"/>
      <c r="K1472" s="9" t="n">
        <v>5041</v>
      </c>
      <c r="L1472" s="10" t="n">
        <v>330000</v>
      </c>
      <c r="M1472" s="10" t="n">
        <v>8474.58</v>
      </c>
      <c r="N1472" s="11">
        <f>IF(M1472="","",ROUND(M1472*1.18,2))</f>
        <v/>
      </c>
      <c r="O1472" s="12">
        <f>IF(M1472="","",ROUND(N1472-M1472,2))</f>
        <v/>
      </c>
      <c r="P1472" s="13">
        <f>IF(AND(A1472&lt;&gt;"",B1472&lt;&gt;""), A1472&amp;" · "&amp;B1472, "")</f>
        <v/>
      </c>
    </row>
    <row r="1473">
      <c r="A1473" s="6" t="inlineStr">
        <is>
          <t>FY27</t>
        </is>
      </c>
      <c r="B1473" s="6" t="inlineStr">
        <is>
          <t>Apr</t>
        </is>
      </c>
      <c r="C1473" s="6" t="inlineStr">
        <is>
          <t>Kerala</t>
        </is>
      </c>
      <c r="D1473" s="7" t="inlineStr">
        <is>
          <t>KL45L2364</t>
        </is>
      </c>
      <c r="E1473" s="7" t="inlineStr">
        <is>
          <t>SKODA</t>
        </is>
      </c>
      <c r="F1473" s="7" t="inlineStr">
        <is>
          <t>Rapid</t>
        </is>
      </c>
      <c r="G1473" s="7" t="inlineStr">
        <is>
          <t>PHOENIX VOLKSWAGEN</t>
        </is>
      </c>
      <c r="H1473" s="7" t="inlineStr">
        <is>
          <t>Non-Captive</t>
        </is>
      </c>
      <c r="I1473" s="7" t="inlineStr">
        <is>
          <t>MUHAMMED SHAJI</t>
        </is>
      </c>
      <c r="J1473" s="8" t="n"/>
      <c r="K1473" s="9" t="n">
        <v>148941</v>
      </c>
      <c r="L1473" s="10" t="n">
        <v>200000</v>
      </c>
      <c r="M1473" s="10" t="n">
        <v>8474.58</v>
      </c>
      <c r="N1473" s="11">
        <f>IF(M1473="","",ROUND(M1473*1.18,2))</f>
        <v/>
      </c>
      <c r="O1473" s="12">
        <f>IF(M1473="","",ROUND(N1473-M1473,2))</f>
        <v/>
      </c>
      <c r="P1473" s="13">
        <f>IF(AND(A1473&lt;&gt;"",B1473&lt;&gt;""), A1473&amp;" · "&amp;B1473, "")</f>
        <v/>
      </c>
    </row>
    <row r="1474">
      <c r="A1474" s="6" t="inlineStr">
        <is>
          <t>FY27</t>
        </is>
      </c>
      <c r="B1474" s="6" t="inlineStr">
        <is>
          <t>Apr</t>
        </is>
      </c>
      <c r="C1474" s="6" t="inlineStr">
        <is>
          <t>Kerala</t>
        </is>
      </c>
      <c r="D1474" s="7" t="inlineStr">
        <is>
          <t>KL45N0567</t>
        </is>
      </c>
      <c r="E1474" s="7" t="inlineStr">
        <is>
          <t>MARUTI SUZUKI</t>
        </is>
      </c>
      <c r="F1474" s="7" t="inlineStr">
        <is>
          <t>Baleno</t>
        </is>
      </c>
      <c r="G1474" s="7" t="inlineStr">
        <is>
          <t>POPULAR MARUTI</t>
        </is>
      </c>
      <c r="H1474" s="7" t="inlineStr">
        <is>
          <t>Non-Captive</t>
        </is>
      </c>
      <c r="I1474" s="7" t="inlineStr">
        <is>
          <t>Aitos Cars</t>
        </is>
      </c>
      <c r="J1474" s="8" t="n"/>
      <c r="K1474" s="9" t="n">
        <v>111066</v>
      </c>
      <c r="L1474" s="10" t="n">
        <v>390000</v>
      </c>
      <c r="M1474" s="10" t="n">
        <v>8474.58</v>
      </c>
      <c r="N1474" s="11">
        <f>IF(M1474="","",ROUND(M1474*1.18,2))</f>
        <v/>
      </c>
      <c r="O1474" s="12">
        <f>IF(M1474="","",ROUND(N1474-M1474,2))</f>
        <v/>
      </c>
      <c r="P1474" s="13">
        <f>IF(AND(A1474&lt;&gt;"",B1474&lt;&gt;""), A1474&amp;" · "&amp;B1474, "")</f>
        <v/>
      </c>
    </row>
    <row r="1475">
      <c r="A1475" s="6" t="inlineStr">
        <is>
          <t>FY27</t>
        </is>
      </c>
      <c r="B1475" s="6" t="inlineStr">
        <is>
          <t>Apr</t>
        </is>
      </c>
      <c r="C1475" s="6" t="inlineStr">
        <is>
          <t>Kerala</t>
        </is>
      </c>
      <c r="D1475" s="7" t="inlineStr">
        <is>
          <t>KL45W0968</t>
        </is>
      </c>
      <c r="E1475" s="7" t="inlineStr">
        <is>
          <t>MARUTI SUZUKI</t>
        </is>
      </c>
      <c r="F1475" s="7" t="inlineStr">
        <is>
          <t>Alto</t>
        </is>
      </c>
      <c r="G1475" s="7" t="inlineStr">
        <is>
          <t>JOHNS HONDA CARS</t>
        </is>
      </c>
      <c r="H1475" s="7" t="inlineStr">
        <is>
          <t>Non-Captive</t>
        </is>
      </c>
      <c r="I1475" s="7" t="inlineStr">
        <is>
          <t>VTJ</t>
        </is>
      </c>
      <c r="J1475" s="8" t="n"/>
      <c r="K1475" s="9" t="n">
        <v>16800</v>
      </c>
      <c r="L1475" s="10" t="n">
        <v>303000</v>
      </c>
      <c r="M1475" s="10" t="n">
        <v>8474.58</v>
      </c>
      <c r="N1475" s="11">
        <f>IF(M1475="","",ROUND(M1475*1.18,2))</f>
        <v/>
      </c>
      <c r="O1475" s="12">
        <f>IF(M1475="","",ROUND(N1475-M1475,2))</f>
        <v/>
      </c>
      <c r="P1475" s="13">
        <f>IF(AND(A1475&lt;&gt;"",B1475&lt;&gt;""), A1475&amp;" · "&amp;B1475, "")</f>
        <v/>
      </c>
    </row>
    <row r="1476">
      <c r="A1476" s="6" t="inlineStr">
        <is>
          <t>FY27</t>
        </is>
      </c>
      <c r="B1476" s="6" t="inlineStr">
        <is>
          <t>Apr</t>
        </is>
      </c>
      <c r="C1476" s="6" t="inlineStr">
        <is>
          <t>Kerala</t>
        </is>
      </c>
      <c r="D1476" s="7" t="inlineStr">
        <is>
          <t>KL48F8181</t>
        </is>
      </c>
      <c r="E1476" s="7" t="inlineStr">
        <is>
          <t>FORD</t>
        </is>
      </c>
      <c r="F1476" s="7" t="inlineStr">
        <is>
          <t>Aspire</t>
        </is>
      </c>
      <c r="G1476" s="7" t="inlineStr">
        <is>
          <t>PHOENIX VOLKSWAGEN</t>
        </is>
      </c>
      <c r="H1476" s="7" t="inlineStr">
        <is>
          <t>Non-Captive</t>
        </is>
      </c>
      <c r="I1476" s="7" t="inlineStr">
        <is>
          <t>Umesh Kumar T U</t>
        </is>
      </c>
      <c r="J1476" s="8" t="n"/>
      <c r="K1476" s="9" t="n">
        <v>93500</v>
      </c>
      <c r="L1476" s="10" t="n">
        <v>350000</v>
      </c>
      <c r="M1476" s="10" t="n">
        <v>8474.58</v>
      </c>
      <c r="N1476" s="11">
        <f>IF(M1476="","",ROUND(M1476*1.18,2))</f>
        <v/>
      </c>
      <c r="O1476" s="12">
        <f>IF(M1476="","",ROUND(N1476-M1476,2))</f>
        <v/>
      </c>
      <c r="P1476" s="13">
        <f>IF(AND(A1476&lt;&gt;"",B1476&lt;&gt;""), A1476&amp;" · "&amp;B1476, "")</f>
        <v/>
      </c>
    </row>
    <row r="1477">
      <c r="A1477" s="6" t="inlineStr">
        <is>
          <t>FY27</t>
        </is>
      </c>
      <c r="B1477" s="6" t="inlineStr">
        <is>
          <t>Apr</t>
        </is>
      </c>
      <c r="C1477" s="6" t="inlineStr">
        <is>
          <t>Kerala</t>
        </is>
      </c>
      <c r="D1477" s="7" t="inlineStr">
        <is>
          <t>KL49H8453</t>
        </is>
      </c>
      <c r="E1477" s="7" t="inlineStr">
        <is>
          <t>RENAULT</t>
        </is>
      </c>
      <c r="F1477" s="7" t="inlineStr">
        <is>
          <t>Kwid</t>
        </is>
      </c>
      <c r="G1477" s="7" t="inlineStr">
        <is>
          <t>PHOENIX VOLKSWAGEN</t>
        </is>
      </c>
      <c r="H1477" s="7" t="inlineStr">
        <is>
          <t>Non-Captive</t>
        </is>
      </c>
      <c r="I1477" s="7" t="inlineStr">
        <is>
          <t>GREEN LIGHT PRE OWNED CARS</t>
        </is>
      </c>
      <c r="J1477" s="8" t="n"/>
      <c r="K1477" s="9" t="n">
        <v>22500</v>
      </c>
      <c r="L1477" s="10" t="n">
        <v>230000</v>
      </c>
      <c r="M1477" s="10" t="n">
        <v>8474.58</v>
      </c>
      <c r="N1477" s="11">
        <f>IF(M1477="","",ROUND(M1477*1.18,2))</f>
        <v/>
      </c>
      <c r="O1477" s="12">
        <f>IF(M1477="","",ROUND(N1477-M1477,2))</f>
        <v/>
      </c>
      <c r="P1477" s="13">
        <f>IF(AND(A1477&lt;&gt;"",B1477&lt;&gt;""), A1477&amp;" · "&amp;B1477, "")</f>
        <v/>
      </c>
    </row>
    <row r="1478">
      <c r="A1478" s="6" t="inlineStr">
        <is>
          <t>FY27</t>
        </is>
      </c>
      <c r="B1478" s="6" t="inlineStr">
        <is>
          <t>Apr</t>
        </is>
      </c>
      <c r="C1478" s="6" t="inlineStr">
        <is>
          <t>Kerala</t>
        </is>
      </c>
      <c r="D1478" s="7" t="inlineStr">
        <is>
          <t>KL55AG8352</t>
        </is>
      </c>
      <c r="E1478" s="7" t="inlineStr">
        <is>
          <t>MARUTI SUZUKI</t>
        </is>
      </c>
      <c r="F1478" s="7" t="inlineStr">
        <is>
          <t>Ciaz</t>
        </is>
      </c>
      <c r="G1478" s="7" t="inlineStr">
        <is>
          <t>MAHESH</t>
        </is>
      </c>
      <c r="H1478" s="7" t="inlineStr">
        <is>
          <t>Non-Captive</t>
        </is>
      </c>
      <c r="I1478" s="7" t="inlineStr">
        <is>
          <t>SHIVAN MAXX MOTORS</t>
        </is>
      </c>
      <c r="J1478" s="8" t="n">
        <v>2017</v>
      </c>
      <c r="K1478" s="9" t="n">
        <v>100600</v>
      </c>
      <c r="L1478" s="10" t="n">
        <v>350000</v>
      </c>
      <c r="M1478" s="10" t="n">
        <v>8474.58</v>
      </c>
      <c r="N1478" s="11">
        <f>IF(M1478="","",ROUND(M1478*1.18,2))</f>
        <v/>
      </c>
      <c r="O1478" s="12">
        <f>IF(M1478="","",ROUND(N1478-M1478,2))</f>
        <v/>
      </c>
      <c r="P1478" s="13">
        <f>IF(AND(A1478&lt;&gt;"",B1478&lt;&gt;""), A1478&amp;" · "&amp;B1478, "")</f>
        <v/>
      </c>
    </row>
    <row r="1479">
      <c r="A1479" s="6" t="inlineStr">
        <is>
          <t>FY27</t>
        </is>
      </c>
      <c r="B1479" s="6" t="inlineStr">
        <is>
          <t>Apr</t>
        </is>
      </c>
      <c r="C1479" s="6" t="inlineStr">
        <is>
          <t>Kerala</t>
        </is>
      </c>
      <c r="D1479" s="7" t="inlineStr">
        <is>
          <t>KL55P1919</t>
        </is>
      </c>
      <c r="E1479" s="7" t="inlineStr">
        <is>
          <t>NISSAN</t>
        </is>
      </c>
      <c r="F1479" s="7" t="inlineStr">
        <is>
          <t>Sunny</t>
        </is>
      </c>
      <c r="G1479" s="7" t="inlineStr">
        <is>
          <t>SHAHIL NK</t>
        </is>
      </c>
      <c r="H1479" s="7" t="inlineStr">
        <is>
          <t>Non-Captive</t>
        </is>
      </c>
      <c r="I1479" s="7" t="inlineStr">
        <is>
          <t>UCD BKR NASAR</t>
        </is>
      </c>
      <c r="J1479" s="8" t="n"/>
      <c r="K1479" s="9" t="n">
        <v>135000</v>
      </c>
      <c r="L1479" s="10" t="n">
        <v>210000</v>
      </c>
      <c r="M1479" s="10" t="n">
        <v>8474.58</v>
      </c>
      <c r="N1479" s="11">
        <f>IF(M1479="","",ROUND(M1479*1.18,2))</f>
        <v/>
      </c>
      <c r="O1479" s="12">
        <f>IF(M1479="","",ROUND(N1479-M1479,2))</f>
        <v/>
      </c>
      <c r="P1479" s="13">
        <f>IF(AND(A1479&lt;&gt;"",B1479&lt;&gt;""), A1479&amp;" · "&amp;B1479, "")</f>
        <v/>
      </c>
    </row>
    <row r="1480">
      <c r="A1480" s="6" t="inlineStr">
        <is>
          <t>FY27</t>
        </is>
      </c>
      <c r="B1480" s="6" t="inlineStr">
        <is>
          <t>Apr</t>
        </is>
      </c>
      <c r="C1480" s="6" t="inlineStr">
        <is>
          <t>Kerala</t>
        </is>
      </c>
      <c r="D1480" s="7" t="inlineStr">
        <is>
          <t>KL56M0627</t>
        </is>
      </c>
      <c r="E1480" s="7" t="inlineStr">
        <is>
          <t>DATSUN</t>
        </is>
      </c>
      <c r="F1480" s="7" t="inlineStr">
        <is>
          <t>Go</t>
        </is>
      </c>
      <c r="G1480" s="7" t="inlineStr">
        <is>
          <t>NIDEESH MOHAN</t>
        </is>
      </c>
      <c r="H1480" s="7" t="inlineStr">
        <is>
          <t>Non-Captive</t>
        </is>
      </c>
      <c r="I1480" s="7" t="inlineStr">
        <is>
          <t>BIMAL</t>
        </is>
      </c>
      <c r="J1480" s="8" t="n">
        <v>2015</v>
      </c>
      <c r="K1480" s="9" t="n">
        <v>83000</v>
      </c>
      <c r="L1480" s="10" t="n">
        <v>120000</v>
      </c>
      <c r="M1480" s="10" t="n">
        <v>5932.2</v>
      </c>
      <c r="N1480" s="11">
        <f>IF(M1480="","",ROUND(M1480*1.18,2))</f>
        <v/>
      </c>
      <c r="O1480" s="12">
        <f>IF(M1480="","",ROUND(N1480-M1480,2))</f>
        <v/>
      </c>
      <c r="P1480" s="13">
        <f>IF(AND(A1480&lt;&gt;"",B1480&lt;&gt;""), A1480&amp;" · "&amp;B1480, "")</f>
        <v/>
      </c>
    </row>
    <row r="1481">
      <c r="A1481" s="6" t="inlineStr">
        <is>
          <t>FY27</t>
        </is>
      </c>
      <c r="B1481" s="6" t="inlineStr">
        <is>
          <t>Apr</t>
        </is>
      </c>
      <c r="C1481" s="6" t="inlineStr">
        <is>
          <t>Kerala</t>
        </is>
      </c>
      <c r="D1481" s="7" t="inlineStr">
        <is>
          <t>KL57D8282</t>
        </is>
      </c>
      <c r="E1481" s="7" t="inlineStr">
        <is>
          <t>MARUTI SUZUKI</t>
        </is>
      </c>
      <c r="F1481" s="7" t="inlineStr">
        <is>
          <t>Ritz</t>
        </is>
      </c>
      <c r="G1481" s="7" t="inlineStr">
        <is>
          <t>SARITH AUTOBOT</t>
        </is>
      </c>
      <c r="H1481" s="7" t="inlineStr">
        <is>
          <t>Non-Captive</t>
        </is>
      </c>
      <c r="I1481" s="7" t="inlineStr">
        <is>
          <t>ROTANA TATA</t>
        </is>
      </c>
      <c r="J1481" s="8" t="n"/>
      <c r="K1481" s="9" t="n">
        <v>180000</v>
      </c>
      <c r="L1481" s="10" t="n">
        <v>100000</v>
      </c>
      <c r="M1481" s="10" t="n">
        <v>5932.2</v>
      </c>
      <c r="N1481" s="11">
        <f>IF(M1481="","",ROUND(M1481*1.18,2))</f>
        <v/>
      </c>
      <c r="O1481" s="12">
        <f>IF(M1481="","",ROUND(N1481-M1481,2))</f>
        <v/>
      </c>
      <c r="P1481" s="13">
        <f>IF(AND(A1481&lt;&gt;"",B1481&lt;&gt;""), A1481&amp;" · "&amp;B1481, "")</f>
        <v/>
      </c>
    </row>
    <row r="1482">
      <c r="A1482" s="6" t="inlineStr">
        <is>
          <t>FY27</t>
        </is>
      </c>
      <c r="B1482" s="6" t="inlineStr">
        <is>
          <t>Apr</t>
        </is>
      </c>
      <c r="C1482" s="6" t="inlineStr">
        <is>
          <t>Kerala</t>
        </is>
      </c>
      <c r="D1482" s="7" t="inlineStr">
        <is>
          <t>KL58AF3006</t>
        </is>
      </c>
      <c r="E1482" s="7" t="inlineStr">
        <is>
          <t>MARUTI SUZUKI</t>
        </is>
      </c>
      <c r="F1482" s="7" t="inlineStr">
        <is>
          <t>Vitara Brezza</t>
        </is>
      </c>
      <c r="G1482" s="7" t="inlineStr">
        <is>
          <t>NIDEESH MOHAN</t>
        </is>
      </c>
      <c r="H1482" s="7" t="inlineStr">
        <is>
          <t>Non-Captive</t>
        </is>
      </c>
      <c r="I1482" s="7" t="inlineStr">
        <is>
          <t>SAP MAHINDRA</t>
        </is>
      </c>
      <c r="J1482" s="8" t="n">
        <v>2021</v>
      </c>
      <c r="K1482" s="9" t="n">
        <v>50000</v>
      </c>
      <c r="L1482" s="10" t="n">
        <v>280000</v>
      </c>
      <c r="M1482" s="10" t="n">
        <v>5932.2</v>
      </c>
      <c r="N1482" s="11">
        <f>IF(M1482="","",ROUND(M1482*1.18,2))</f>
        <v/>
      </c>
      <c r="O1482" s="12">
        <f>IF(M1482="","",ROUND(N1482-M1482,2))</f>
        <v/>
      </c>
      <c r="P1482" s="13">
        <f>IF(AND(A1482&lt;&gt;"",B1482&lt;&gt;""), A1482&amp;" · "&amp;B1482, "")</f>
        <v/>
      </c>
    </row>
    <row r="1483">
      <c r="A1483" s="6" t="inlineStr">
        <is>
          <t>FY27</t>
        </is>
      </c>
      <c r="B1483" s="6" t="inlineStr">
        <is>
          <t>Apr</t>
        </is>
      </c>
      <c r="C1483" s="6" t="inlineStr">
        <is>
          <t>Kerala</t>
        </is>
      </c>
      <c r="D1483" s="7" t="inlineStr">
        <is>
          <t>KL58B6344</t>
        </is>
      </c>
      <c r="E1483" s="7" t="inlineStr">
        <is>
          <t>MARUTI SUZUKI</t>
        </is>
      </c>
      <c r="F1483" s="7" t="inlineStr">
        <is>
          <t>Wagon R</t>
        </is>
      </c>
      <c r="G1483" s="7" t="inlineStr">
        <is>
          <t>NIDEESH MOHAN</t>
        </is>
      </c>
      <c r="H1483" s="7" t="inlineStr">
        <is>
          <t>Non-Captive</t>
        </is>
      </c>
      <c r="I1483" s="7" t="inlineStr">
        <is>
          <t>INDUS MARUTI</t>
        </is>
      </c>
      <c r="J1483" s="8" t="n"/>
      <c r="K1483" s="9" t="n">
        <v>61000</v>
      </c>
      <c r="L1483" s="10" t="n">
        <v>95000</v>
      </c>
      <c r="M1483" s="10" t="n">
        <v>4237.29</v>
      </c>
      <c r="N1483" s="11">
        <f>IF(M1483="","",ROUND(M1483*1.18,2))</f>
        <v/>
      </c>
      <c r="O1483" s="12">
        <f>IF(M1483="","",ROUND(N1483-M1483,2))</f>
        <v/>
      </c>
      <c r="P1483" s="13">
        <f>IF(AND(A1483&lt;&gt;"",B1483&lt;&gt;""), A1483&amp;" · "&amp;B1483, "")</f>
        <v/>
      </c>
    </row>
    <row r="1484">
      <c r="A1484" s="6" t="inlineStr">
        <is>
          <t>FY27</t>
        </is>
      </c>
      <c r="B1484" s="6" t="inlineStr">
        <is>
          <t>Apr</t>
        </is>
      </c>
      <c r="C1484" s="6" t="inlineStr">
        <is>
          <t>Kerala</t>
        </is>
      </c>
      <c r="D1484" s="7" t="inlineStr">
        <is>
          <t>KL58G5578</t>
        </is>
      </c>
      <c r="E1484" s="7" t="inlineStr">
        <is>
          <t>HYUNDAI</t>
        </is>
      </c>
      <c r="F1484" s="7" t="inlineStr">
        <is>
          <t>Eon</t>
        </is>
      </c>
      <c r="G1484" s="7" t="inlineStr">
        <is>
          <t>ABILASH CHANDRAN</t>
        </is>
      </c>
      <c r="H1484" s="7" t="inlineStr">
        <is>
          <t>Non-Captive</t>
        </is>
      </c>
      <c r="I1484" s="7" t="inlineStr">
        <is>
          <t>KVR TATA</t>
        </is>
      </c>
      <c r="J1484" s="8" t="n"/>
      <c r="K1484" s="9" t="n">
        <v>116000</v>
      </c>
      <c r="L1484" s="10" t="n">
        <v>95000</v>
      </c>
      <c r="M1484" s="10" t="n">
        <v>4237.29</v>
      </c>
      <c r="N1484" s="11">
        <f>IF(M1484="","",ROUND(M1484*1.18,2))</f>
        <v/>
      </c>
      <c r="O1484" s="12">
        <f>IF(M1484="","",ROUND(N1484-M1484,2))</f>
        <v/>
      </c>
      <c r="P1484" s="13">
        <f>IF(AND(A1484&lt;&gt;"",B1484&lt;&gt;""), A1484&amp;" · "&amp;B1484, "")</f>
        <v/>
      </c>
    </row>
    <row r="1485">
      <c r="A1485" s="6" t="inlineStr">
        <is>
          <t>FY27</t>
        </is>
      </c>
      <c r="B1485" s="6" t="inlineStr">
        <is>
          <t>Apr</t>
        </is>
      </c>
      <c r="C1485" s="6" t="inlineStr">
        <is>
          <t>Kerala</t>
        </is>
      </c>
      <c r="D1485" s="7" t="inlineStr">
        <is>
          <t>KL58J8563</t>
        </is>
      </c>
      <c r="E1485" s="7" t="inlineStr">
        <is>
          <t>HYUNDAI</t>
        </is>
      </c>
      <c r="F1485" s="7" t="inlineStr">
        <is>
          <t>Eon</t>
        </is>
      </c>
      <c r="G1485" s="7" t="inlineStr">
        <is>
          <t>KANNUR PLATINUM</t>
        </is>
      </c>
      <c r="H1485" s="7" t="inlineStr">
        <is>
          <t>Non-Captive</t>
        </is>
      </c>
      <c r="I1485" s="7" t="inlineStr">
        <is>
          <t>PRJOSH</t>
        </is>
      </c>
      <c r="J1485" s="8" t="n">
        <v>2013</v>
      </c>
      <c r="K1485" s="9" t="n">
        <v>63000</v>
      </c>
      <c r="L1485" s="10" t="n">
        <v>135000</v>
      </c>
      <c r="M1485" s="10" t="n">
        <v>4237.29</v>
      </c>
      <c r="N1485" s="11">
        <f>IF(M1485="","",ROUND(M1485*1.18,2))</f>
        <v/>
      </c>
      <c r="O1485" s="12">
        <f>IF(M1485="","",ROUND(N1485-M1485,2))</f>
        <v/>
      </c>
      <c r="P1485" s="13">
        <f>IF(AND(A1485&lt;&gt;"",B1485&lt;&gt;""), A1485&amp;" · "&amp;B1485, "")</f>
        <v/>
      </c>
    </row>
    <row r="1486">
      <c r="A1486" s="6" t="inlineStr">
        <is>
          <t>FY27</t>
        </is>
      </c>
      <c r="B1486" s="6" t="inlineStr">
        <is>
          <t>Apr</t>
        </is>
      </c>
      <c r="C1486" s="6" t="inlineStr">
        <is>
          <t>Kerala</t>
        </is>
      </c>
      <c r="D1486" s="7" t="inlineStr">
        <is>
          <t>KL58Q5944</t>
        </is>
      </c>
      <c r="E1486" s="7" t="inlineStr">
        <is>
          <t>MARUTI SUZUKI</t>
        </is>
      </c>
      <c r="F1486" s="7" t="inlineStr">
        <is>
          <t>Swift</t>
        </is>
      </c>
      <c r="G1486" s="7" t="inlineStr">
        <is>
          <t>SARITH AUTOBOT</t>
        </is>
      </c>
      <c r="H1486" s="7" t="inlineStr">
        <is>
          <t>Non-Captive</t>
        </is>
      </c>
      <c r="I1486" s="7" t="inlineStr">
        <is>
          <t>APCO HYUNDAI</t>
        </is>
      </c>
      <c r="J1486" s="8" t="n">
        <v>2015</v>
      </c>
      <c r="K1486" s="9" t="n">
        <v>51000</v>
      </c>
      <c r="L1486" s="10" t="n">
        <v>325000</v>
      </c>
      <c r="M1486" s="10" t="n">
        <v>5932.2</v>
      </c>
      <c r="N1486" s="11">
        <f>IF(M1486="","",ROUND(M1486*1.18,2))</f>
        <v/>
      </c>
      <c r="O1486" s="12">
        <f>IF(M1486="","",ROUND(N1486-M1486,2))</f>
        <v/>
      </c>
      <c r="P1486" s="13">
        <f>IF(AND(A1486&lt;&gt;"",B1486&lt;&gt;""), A1486&amp;" · "&amp;B1486, "")</f>
        <v/>
      </c>
    </row>
    <row r="1487">
      <c r="A1487" s="6" t="inlineStr">
        <is>
          <t>FY27</t>
        </is>
      </c>
      <c r="B1487" s="6" t="inlineStr">
        <is>
          <t>Apr</t>
        </is>
      </c>
      <c r="C1487" s="6" t="inlineStr">
        <is>
          <t>Kerala</t>
        </is>
      </c>
      <c r="D1487" s="7" t="inlineStr">
        <is>
          <t>KL58S4696</t>
        </is>
      </c>
      <c r="E1487" s="7" t="inlineStr">
        <is>
          <t>DATSUN</t>
        </is>
      </c>
      <c r="F1487" s="7" t="inlineStr">
        <is>
          <t>Go</t>
        </is>
      </c>
      <c r="G1487" s="7" t="inlineStr">
        <is>
          <t>SANOOP</t>
        </is>
      </c>
      <c r="H1487" s="7" t="inlineStr">
        <is>
          <t>Non-Captive</t>
        </is>
      </c>
      <c r="I1487" s="7" t="inlineStr">
        <is>
          <t>BIMAL</t>
        </is>
      </c>
      <c r="J1487" s="8" t="n"/>
      <c r="K1487" s="9" t="n">
        <v>66000</v>
      </c>
      <c r="L1487" s="10" t="n">
        <v>140000</v>
      </c>
      <c r="M1487" s="10" t="n">
        <v>6779.66</v>
      </c>
      <c r="N1487" s="11">
        <f>IF(M1487="","",ROUND(M1487*1.18,2))</f>
        <v/>
      </c>
      <c r="O1487" s="12">
        <f>IF(M1487="","",ROUND(N1487-M1487,2))</f>
        <v/>
      </c>
      <c r="P1487" s="13">
        <f>IF(AND(A1487&lt;&gt;"",B1487&lt;&gt;""), A1487&amp;" · "&amp;B1487, "")</f>
        <v/>
      </c>
    </row>
    <row r="1488">
      <c r="A1488" s="6" t="inlineStr">
        <is>
          <t>FY27</t>
        </is>
      </c>
      <c r="B1488" s="6" t="inlineStr">
        <is>
          <t>Apr</t>
        </is>
      </c>
      <c r="C1488" s="6" t="inlineStr">
        <is>
          <t>Kerala</t>
        </is>
      </c>
      <c r="D1488" s="7" t="inlineStr">
        <is>
          <t>KL58X7315</t>
        </is>
      </c>
      <c r="E1488" s="7" t="inlineStr">
        <is>
          <t>MARUTI SUZUKI</t>
        </is>
      </c>
      <c r="F1488" s="7" t="inlineStr">
        <is>
          <t>Ignis</t>
        </is>
      </c>
      <c r="G1488" s="7" t="inlineStr">
        <is>
          <t>PRAJOSH</t>
        </is>
      </c>
      <c r="H1488" s="7" t="inlineStr">
        <is>
          <t>Non-Captive</t>
        </is>
      </c>
      <c r="I1488" s="7" t="inlineStr">
        <is>
          <t>TOYOTA FINANCE</t>
        </is>
      </c>
      <c r="J1488" s="8" t="n">
        <v>2018</v>
      </c>
      <c r="K1488" s="9" t="n">
        <v>55000</v>
      </c>
      <c r="L1488" s="10" t="n">
        <v>390000</v>
      </c>
      <c r="M1488" s="10" t="n">
        <v>4237.29</v>
      </c>
      <c r="N1488" s="11">
        <f>IF(M1488="","",ROUND(M1488*1.18,2))</f>
        <v/>
      </c>
      <c r="O1488" s="12">
        <f>IF(M1488="","",ROUND(N1488-M1488,2))</f>
        <v/>
      </c>
      <c r="P1488" s="13">
        <f>IF(AND(A1488&lt;&gt;"",B1488&lt;&gt;""), A1488&amp;" · "&amp;B1488, "")</f>
        <v/>
      </c>
    </row>
    <row r="1489">
      <c r="A1489" s="6" t="inlineStr">
        <is>
          <t>FY27</t>
        </is>
      </c>
      <c r="B1489" s="6" t="inlineStr">
        <is>
          <t>Apr</t>
        </is>
      </c>
      <c r="C1489" s="6" t="inlineStr">
        <is>
          <t>Kerala</t>
        </is>
      </c>
      <c r="D1489" s="7" t="inlineStr">
        <is>
          <t>KL59D2237</t>
        </is>
      </c>
      <c r="E1489" s="7" t="inlineStr">
        <is>
          <t>HYUNDAI</t>
        </is>
      </c>
      <c r="F1489" s="7" t="inlineStr">
        <is>
          <t>i10</t>
        </is>
      </c>
      <c r="G1489" s="7" t="inlineStr">
        <is>
          <t>SARITH AUTOBOT</t>
        </is>
      </c>
      <c r="H1489" s="7" t="inlineStr">
        <is>
          <t>Non-Captive</t>
        </is>
      </c>
      <c r="I1489" s="7" t="inlineStr">
        <is>
          <t>APCO KANJAGAD</t>
        </is>
      </c>
      <c r="J1489" s="8" t="n"/>
      <c r="K1489" s="9" t="n">
        <v>78000</v>
      </c>
      <c r="L1489" s="10" t="n">
        <v>70000</v>
      </c>
      <c r="M1489" s="10" t="n">
        <v>5932.2</v>
      </c>
      <c r="N1489" s="11">
        <f>IF(M1489="","",ROUND(M1489*1.18,2))</f>
        <v/>
      </c>
      <c r="O1489" s="12">
        <f>IF(M1489="","",ROUND(N1489-M1489,2))</f>
        <v/>
      </c>
      <c r="P1489" s="13">
        <f>IF(AND(A1489&lt;&gt;"",B1489&lt;&gt;""), A1489&amp;" · "&amp;B1489, "")</f>
        <v/>
      </c>
    </row>
    <row r="1490">
      <c r="A1490" s="6" t="inlineStr">
        <is>
          <t>FY27</t>
        </is>
      </c>
      <c r="B1490" s="6" t="inlineStr">
        <is>
          <t>Apr</t>
        </is>
      </c>
      <c r="C1490" s="6" t="inlineStr">
        <is>
          <t>Kerala</t>
        </is>
      </c>
      <c r="D1490" s="7" t="inlineStr">
        <is>
          <t>KL59G6672</t>
        </is>
      </c>
      <c r="E1490" s="7" t="inlineStr">
        <is>
          <t>MARUTI SUZUKI</t>
        </is>
      </c>
      <c r="F1490" s="7" t="inlineStr">
        <is>
          <t>Bolero</t>
        </is>
      </c>
      <c r="G1490" s="7" t="inlineStr">
        <is>
          <t>NIDEESH MOHAN</t>
        </is>
      </c>
      <c r="H1490" s="7" t="inlineStr">
        <is>
          <t>Non-Captive</t>
        </is>
      </c>
      <c r="I1490" s="7" t="inlineStr">
        <is>
          <t>VEER MAHINDRA</t>
        </is>
      </c>
      <c r="J1490" s="8" t="n">
        <v>2013</v>
      </c>
      <c r="K1490" s="9" t="n">
        <v>130000</v>
      </c>
      <c r="L1490" s="10" t="n">
        <v>275000</v>
      </c>
      <c r="M1490" s="10" t="n">
        <v>4237.29</v>
      </c>
      <c r="N1490" s="11">
        <f>IF(M1490="","",ROUND(M1490*1.18,2))</f>
        <v/>
      </c>
      <c r="O1490" s="12">
        <f>IF(M1490="","",ROUND(N1490-M1490,2))</f>
        <v/>
      </c>
      <c r="P1490" s="13">
        <f>IF(AND(A1490&lt;&gt;"",B1490&lt;&gt;""), A1490&amp;" · "&amp;B1490, "")</f>
        <v/>
      </c>
    </row>
    <row r="1491">
      <c r="A1491" s="6" t="inlineStr">
        <is>
          <t>FY27</t>
        </is>
      </c>
      <c r="B1491" s="6" t="inlineStr">
        <is>
          <t>Apr</t>
        </is>
      </c>
      <c r="C1491" s="6" t="inlineStr">
        <is>
          <t>Kerala</t>
        </is>
      </c>
      <c r="D1491" s="7" t="inlineStr">
        <is>
          <t>KL59L2150</t>
        </is>
      </c>
      <c r="E1491" s="7" t="inlineStr">
        <is>
          <t>HYUNDAI</t>
        </is>
      </c>
      <c r="F1491" s="7" t="inlineStr">
        <is>
          <t>Grand i10</t>
        </is>
      </c>
      <c r="G1491" s="7" t="inlineStr">
        <is>
          <t>SIRAJ</t>
        </is>
      </c>
      <c r="H1491" s="7" t="inlineStr">
        <is>
          <t>Non-Captive</t>
        </is>
      </c>
      <c r="I1491" s="7" t="inlineStr">
        <is>
          <t>ERAM MAHINDRA</t>
        </is>
      </c>
      <c r="J1491" s="8" t="n">
        <v>2015</v>
      </c>
      <c r="K1491" s="9" t="n">
        <v>70000</v>
      </c>
      <c r="L1491" s="10" t="n">
        <v>260000</v>
      </c>
      <c r="M1491" s="10" t="n">
        <v>8474.58</v>
      </c>
      <c r="N1491" s="11">
        <f>IF(M1491="","",ROUND(M1491*1.18,2))</f>
        <v/>
      </c>
      <c r="O1491" s="12">
        <f>IF(M1491="","",ROUND(N1491-M1491,2))</f>
        <v/>
      </c>
      <c r="P1491" s="13">
        <f>IF(AND(A1491&lt;&gt;"",B1491&lt;&gt;""), A1491&amp;" · "&amp;B1491, "")</f>
        <v/>
      </c>
    </row>
    <row r="1492">
      <c r="A1492" s="6" t="inlineStr">
        <is>
          <t>FY27</t>
        </is>
      </c>
      <c r="B1492" s="6" t="inlineStr">
        <is>
          <t>Apr</t>
        </is>
      </c>
      <c r="C1492" s="6" t="inlineStr">
        <is>
          <t>Kerala</t>
        </is>
      </c>
      <c r="D1492" s="7" t="inlineStr">
        <is>
          <t>KL59T9455</t>
        </is>
      </c>
      <c r="E1492" s="7" t="inlineStr">
        <is>
          <t>MAHINDRA</t>
        </is>
      </c>
      <c r="F1492" s="7" t="inlineStr">
        <is>
          <t>XUV300</t>
        </is>
      </c>
      <c r="G1492" s="7" t="inlineStr">
        <is>
          <t>SIRAJ</t>
        </is>
      </c>
      <c r="H1492" s="7" t="inlineStr">
        <is>
          <t>Non-Captive</t>
        </is>
      </c>
      <c r="I1492" s="7" t="inlineStr">
        <is>
          <t>ERAM MAHINDRA</t>
        </is>
      </c>
      <c r="J1492" s="8" t="n">
        <v>2019</v>
      </c>
      <c r="K1492" s="9" t="n">
        <v>99000</v>
      </c>
      <c r="L1492" s="10" t="n">
        <v>565000</v>
      </c>
      <c r="M1492" s="10" t="n">
        <v>8474.58</v>
      </c>
      <c r="N1492" s="11">
        <f>IF(M1492="","",ROUND(M1492*1.18,2))</f>
        <v/>
      </c>
      <c r="O1492" s="12">
        <f>IF(M1492="","",ROUND(N1492-M1492,2))</f>
        <v/>
      </c>
      <c r="P1492" s="13">
        <f>IF(AND(A1492&lt;&gt;"",B1492&lt;&gt;""), A1492&amp;" · "&amp;B1492, "")</f>
        <v/>
      </c>
    </row>
    <row r="1493">
      <c r="A1493" s="6" t="inlineStr">
        <is>
          <t>FY27</t>
        </is>
      </c>
      <c r="B1493" s="6" t="inlineStr">
        <is>
          <t>Apr</t>
        </is>
      </c>
      <c r="C1493" s="6" t="inlineStr">
        <is>
          <t>Kerala</t>
        </is>
      </c>
      <c r="D1493" s="7" t="inlineStr">
        <is>
          <t>KL60J5387</t>
        </is>
      </c>
      <c r="E1493" s="7" t="inlineStr">
        <is>
          <t>HYUNDAI</t>
        </is>
      </c>
      <c r="F1493" s="7" t="inlineStr">
        <is>
          <t>Eon</t>
        </is>
      </c>
      <c r="G1493" s="7" t="inlineStr">
        <is>
          <t>VASIL AUTOBOT</t>
        </is>
      </c>
      <c r="H1493" s="7" t="inlineStr">
        <is>
          <t>Non-Captive</t>
        </is>
      </c>
      <c r="I1493" s="7" t="inlineStr">
        <is>
          <t>APCO HYUNDAI</t>
        </is>
      </c>
      <c r="J1493" s="8" t="n">
        <v>2015</v>
      </c>
      <c r="K1493" s="9" t="n">
        <v>98000</v>
      </c>
      <c r="L1493" s="10" t="n">
        <v>75000</v>
      </c>
      <c r="M1493" s="10" t="n">
        <v>5084.75</v>
      </c>
      <c r="N1493" s="11">
        <f>IF(M1493="","",ROUND(M1493*1.18,2))</f>
        <v/>
      </c>
      <c r="O1493" s="12">
        <f>IF(M1493="","",ROUND(N1493-M1493,2))</f>
        <v/>
      </c>
      <c r="P1493" s="13">
        <f>IF(AND(A1493&lt;&gt;"",B1493&lt;&gt;""), A1493&amp;" · "&amp;B1493, "")</f>
        <v/>
      </c>
    </row>
    <row r="1494">
      <c r="A1494" s="6" t="inlineStr">
        <is>
          <t>FY27</t>
        </is>
      </c>
      <c r="B1494" s="6" t="inlineStr">
        <is>
          <t>Apr</t>
        </is>
      </c>
      <c r="C1494" s="6" t="inlineStr">
        <is>
          <t>Kerala</t>
        </is>
      </c>
      <c r="D1494" s="7" t="inlineStr">
        <is>
          <t>KL60L7095</t>
        </is>
      </c>
      <c r="E1494" s="7" t="inlineStr">
        <is>
          <t>RENAULT</t>
        </is>
      </c>
      <c r="F1494" s="7" t="inlineStr">
        <is>
          <t>Kwid</t>
        </is>
      </c>
      <c r="G1494" s="7" t="inlineStr">
        <is>
          <t>PRAJOSH</t>
        </is>
      </c>
      <c r="H1494" s="7" t="inlineStr">
        <is>
          <t>Non-Captive</t>
        </is>
      </c>
      <c r="I1494" s="7" t="inlineStr">
        <is>
          <t>BIMAL</t>
        </is>
      </c>
      <c r="J1494" s="8" t="n">
        <v>2016</v>
      </c>
      <c r="K1494" s="9" t="n">
        <v>73000</v>
      </c>
      <c r="L1494" s="10" t="n">
        <v>137000</v>
      </c>
      <c r="M1494" s="10" t="n">
        <v>4237.29</v>
      </c>
      <c r="N1494" s="11">
        <f>IF(M1494="","",ROUND(M1494*1.18,2))</f>
        <v/>
      </c>
      <c r="O1494" s="12">
        <f>IF(M1494="","",ROUND(N1494-M1494,2))</f>
        <v/>
      </c>
      <c r="P1494" s="13">
        <f>IF(AND(A1494&lt;&gt;"",B1494&lt;&gt;""), A1494&amp;" · "&amp;B1494, "")</f>
        <v/>
      </c>
    </row>
    <row r="1495">
      <c r="A1495" s="6" t="inlineStr">
        <is>
          <t>FY27</t>
        </is>
      </c>
      <c r="B1495" s="6" t="inlineStr">
        <is>
          <t>Apr</t>
        </is>
      </c>
      <c r="C1495" s="6" t="inlineStr">
        <is>
          <t>Kerala</t>
        </is>
      </c>
      <c r="D1495" s="7" t="inlineStr">
        <is>
          <t>KL60P4478</t>
        </is>
      </c>
      <c r="E1495" s="7" t="inlineStr">
        <is>
          <t>TATA</t>
        </is>
      </c>
      <c r="F1495" s="7" t="inlineStr">
        <is>
          <t>Tiago</t>
        </is>
      </c>
      <c r="G1495" s="7" t="inlineStr">
        <is>
          <t>PRAJOSH</t>
        </is>
      </c>
      <c r="H1495" s="7" t="inlineStr">
        <is>
          <t>Non-Captive</t>
        </is>
      </c>
      <c r="I1495" s="7" t="inlineStr">
        <is>
          <t>KVR TATA</t>
        </is>
      </c>
      <c r="J1495" s="8" t="n">
        <v>2018</v>
      </c>
      <c r="K1495" s="9" t="n">
        <v>65000</v>
      </c>
      <c r="L1495" s="10" t="n">
        <v>255000</v>
      </c>
      <c r="M1495" s="10" t="n">
        <v>4237.29</v>
      </c>
      <c r="N1495" s="11">
        <f>IF(M1495="","",ROUND(M1495*1.18,2))</f>
        <v/>
      </c>
      <c r="O1495" s="12">
        <f>IF(M1495="","",ROUND(N1495-M1495,2))</f>
        <v/>
      </c>
      <c r="P1495" s="13">
        <f>IF(AND(A1495&lt;&gt;"",B1495&lt;&gt;""), A1495&amp;" · "&amp;B1495, "")</f>
        <v/>
      </c>
    </row>
    <row r="1496">
      <c r="A1496" s="6" t="inlineStr">
        <is>
          <t>FY27</t>
        </is>
      </c>
      <c r="B1496" s="6" t="inlineStr">
        <is>
          <t>Apr</t>
        </is>
      </c>
      <c r="C1496" s="6" t="inlineStr">
        <is>
          <t>Kerala</t>
        </is>
      </c>
      <c r="D1496" s="7" t="inlineStr">
        <is>
          <t>KL60R8996</t>
        </is>
      </c>
      <c r="E1496" s="7" t="inlineStr">
        <is>
          <t>RENAULT</t>
        </is>
      </c>
      <c r="F1496" s="7" t="inlineStr">
        <is>
          <t>Triber</t>
        </is>
      </c>
      <c r="G1496" s="7" t="inlineStr">
        <is>
          <t>ISMAIL FARHAN</t>
        </is>
      </c>
      <c r="H1496" s="7" t="inlineStr">
        <is>
          <t>Non-Captive</t>
        </is>
      </c>
      <c r="I1496" s="7" t="inlineStr">
        <is>
          <t>SHAJEE CARS</t>
        </is>
      </c>
      <c r="J1496" s="8" t="n"/>
      <c r="K1496" s="9" t="n">
        <v>64000</v>
      </c>
      <c r="L1496" s="10" t="n">
        <v>390000</v>
      </c>
      <c r="M1496" s="10" t="n">
        <v>8474.58</v>
      </c>
      <c r="N1496" s="11">
        <f>IF(M1496="","",ROUND(M1496*1.18,2))</f>
        <v/>
      </c>
      <c r="O1496" s="12">
        <f>IF(M1496="","",ROUND(N1496-M1496,2))</f>
        <v/>
      </c>
      <c r="P1496" s="13">
        <f>IF(AND(A1496&lt;&gt;"",B1496&lt;&gt;""), A1496&amp;" · "&amp;B1496, "")</f>
        <v/>
      </c>
    </row>
    <row r="1497">
      <c r="A1497" s="6" t="inlineStr">
        <is>
          <t>FY27</t>
        </is>
      </c>
      <c r="B1497" s="6" t="inlineStr">
        <is>
          <t>Apr</t>
        </is>
      </c>
      <c r="C1497" s="6" t="inlineStr">
        <is>
          <t>Kerala</t>
        </is>
      </c>
      <c r="D1497" s="7" t="inlineStr">
        <is>
          <t>KL60S4874</t>
        </is>
      </c>
      <c r="E1497" s="7" t="inlineStr">
        <is>
          <t>MARUTI SUZUKI</t>
        </is>
      </c>
      <c r="F1497" s="7" t="inlineStr">
        <is>
          <t>Alto</t>
        </is>
      </c>
      <c r="G1497" s="7" t="inlineStr">
        <is>
          <t>FAHAD TOKYO CARS</t>
        </is>
      </c>
      <c r="H1497" s="7" t="inlineStr">
        <is>
          <t>Non-Captive</t>
        </is>
      </c>
      <c r="I1497" s="7" t="inlineStr">
        <is>
          <t>SHAJEE CARS</t>
        </is>
      </c>
      <c r="J1497" s="8" t="n">
        <v>2021</v>
      </c>
      <c r="K1497" s="9" t="n">
        <v>52000</v>
      </c>
      <c r="L1497" s="10" t="n">
        <v>280000</v>
      </c>
      <c r="M1497" s="10" t="n">
        <v>5932.2</v>
      </c>
      <c r="N1497" s="11">
        <f>IF(M1497="","",ROUND(M1497*1.18,2))</f>
        <v/>
      </c>
      <c r="O1497" s="12">
        <f>IF(M1497="","",ROUND(N1497-M1497,2))</f>
        <v/>
      </c>
      <c r="P1497" s="13">
        <f>IF(AND(A1497&lt;&gt;"",B1497&lt;&gt;""), A1497&amp;" · "&amp;B1497, "")</f>
        <v/>
      </c>
    </row>
    <row r="1498">
      <c r="A1498" s="6" t="inlineStr">
        <is>
          <t>FY27</t>
        </is>
      </c>
      <c r="B1498" s="6" t="inlineStr">
        <is>
          <t>Apr</t>
        </is>
      </c>
      <c r="C1498" s="6" t="inlineStr">
        <is>
          <t>Kerala</t>
        </is>
      </c>
      <c r="D1498" s="7" t="inlineStr">
        <is>
          <t>KL60U3962</t>
        </is>
      </c>
      <c r="E1498" s="7" t="inlineStr">
        <is>
          <t>MARUTI SUZUKI</t>
        </is>
      </c>
      <c r="F1498" s="7" t="inlineStr">
        <is>
          <t>Ignis</t>
        </is>
      </c>
      <c r="G1498" s="7" t="inlineStr">
        <is>
          <t>PRAJOSH</t>
        </is>
      </c>
      <c r="H1498" s="7" t="inlineStr">
        <is>
          <t>Non-Captive</t>
        </is>
      </c>
      <c r="I1498" s="7" t="inlineStr">
        <is>
          <t>APCO HYUNDAI</t>
        </is>
      </c>
      <c r="J1498" s="8" t="n">
        <v>2022</v>
      </c>
      <c r="K1498" s="9" t="n">
        <v>55000</v>
      </c>
      <c r="L1498" s="10" t="n">
        <v>513000</v>
      </c>
      <c r="M1498" s="10" t="n">
        <v>5932.2</v>
      </c>
      <c r="N1498" s="11">
        <f>IF(M1498="","",ROUND(M1498*1.18,2))</f>
        <v/>
      </c>
      <c r="O1498" s="12">
        <f>IF(M1498="","",ROUND(N1498-M1498,2))</f>
        <v/>
      </c>
      <c r="P1498" s="13">
        <f>IF(AND(A1498&lt;&gt;"",B1498&lt;&gt;""), A1498&amp;" · "&amp;B1498, "")</f>
        <v/>
      </c>
    </row>
    <row r="1499">
      <c r="A1499" s="6" t="inlineStr">
        <is>
          <t>FY27</t>
        </is>
      </c>
      <c r="B1499" s="6" t="inlineStr">
        <is>
          <t>Apr</t>
        </is>
      </c>
      <c r="C1499" s="6" t="inlineStr">
        <is>
          <t>Kerala</t>
        </is>
      </c>
      <c r="D1499" s="7" t="inlineStr">
        <is>
          <t>KL64D9669</t>
        </is>
      </c>
      <c r="E1499" s="7" t="inlineStr">
        <is>
          <t>HYUNDAI</t>
        </is>
      </c>
      <c r="F1499" s="7" t="inlineStr">
        <is>
          <t>i20</t>
        </is>
      </c>
      <c r="G1499" s="7" t="inlineStr">
        <is>
          <t>POPULAR HYUNDAI</t>
        </is>
      </c>
      <c r="H1499" s="7" t="inlineStr">
        <is>
          <t>Non-Captive</t>
        </is>
      </c>
      <c r="I1499" s="7" t="inlineStr">
        <is>
          <t>Aitos Cars</t>
        </is>
      </c>
      <c r="J1499" s="8" t="n"/>
      <c r="K1499" s="9" t="n">
        <v>77000</v>
      </c>
      <c r="L1499" s="10" t="n">
        <v>390000</v>
      </c>
      <c r="M1499" s="10" t="n">
        <v>8474.58</v>
      </c>
      <c r="N1499" s="11">
        <f>IF(M1499="","",ROUND(M1499*1.18,2))</f>
        <v/>
      </c>
      <c r="O1499" s="12">
        <f>IF(M1499="","",ROUND(N1499-M1499,2))</f>
        <v/>
      </c>
      <c r="P1499" s="13">
        <f>IF(AND(A1499&lt;&gt;"",B1499&lt;&gt;""), A1499&amp;" · "&amp;B1499, "")</f>
        <v/>
      </c>
    </row>
    <row r="1500">
      <c r="A1500" s="6" t="inlineStr">
        <is>
          <t>FY27</t>
        </is>
      </c>
      <c r="B1500" s="6" t="inlineStr">
        <is>
          <t>Apr</t>
        </is>
      </c>
      <c r="C1500" s="6" t="inlineStr">
        <is>
          <t>Kerala</t>
        </is>
      </c>
      <c r="D1500" s="7" t="inlineStr">
        <is>
          <t>KL67B1800</t>
        </is>
      </c>
      <c r="E1500" s="7" t="inlineStr">
        <is>
          <t>HYUNDAI</t>
        </is>
      </c>
      <c r="F1500" s="7" t="inlineStr">
        <is>
          <t>Verna</t>
        </is>
      </c>
      <c r="G1500" s="7" t="inlineStr">
        <is>
          <t>KESHVIN HYUNDAI</t>
        </is>
      </c>
      <c r="H1500" s="7" t="inlineStr">
        <is>
          <t>Non-Captive</t>
        </is>
      </c>
      <c r="I1500" s="7" t="inlineStr">
        <is>
          <t>HUSSAIN O E</t>
        </is>
      </c>
      <c r="J1500" s="8" t="n"/>
      <c r="K1500" s="9" t="n">
        <v>88281</v>
      </c>
      <c r="L1500" s="10" t="n">
        <v>440000</v>
      </c>
      <c r="M1500" s="10" t="n">
        <v>8474.58</v>
      </c>
      <c r="N1500" s="11">
        <f>IF(M1500="","",ROUND(M1500*1.18,2))</f>
        <v/>
      </c>
      <c r="O1500" s="12">
        <f>IF(M1500="","",ROUND(N1500-M1500,2))</f>
        <v/>
      </c>
      <c r="P1500" s="13">
        <f>IF(AND(A1500&lt;&gt;"",B1500&lt;&gt;""), A1500&amp;" · "&amp;B1500, "")</f>
        <v/>
      </c>
    </row>
    <row r="1501">
      <c r="A1501" s="6" t="inlineStr">
        <is>
          <t>FY27</t>
        </is>
      </c>
      <c r="B1501" s="6" t="inlineStr">
        <is>
          <t>Apr</t>
        </is>
      </c>
      <c r="C1501" s="6" t="inlineStr">
        <is>
          <t>Kerala</t>
        </is>
      </c>
      <c r="D1501" s="7" t="inlineStr">
        <is>
          <t>KL67B4296</t>
        </is>
      </c>
      <c r="E1501" s="7" t="inlineStr">
        <is>
          <t>MARUTI SUZUKI</t>
        </is>
      </c>
      <c r="F1501" s="7" t="inlineStr">
        <is>
          <t>Alto</t>
        </is>
      </c>
      <c r="G1501" s="7" t="inlineStr">
        <is>
          <t>AMRITH V CHANDY</t>
        </is>
      </c>
      <c r="H1501" s="7" t="inlineStr">
        <is>
          <t>Non-Captive</t>
        </is>
      </c>
      <c r="I1501" s="7" t="inlineStr">
        <is>
          <t>SUDHEESH K SATHEESH</t>
        </is>
      </c>
      <c r="J1501" s="8" t="n"/>
      <c r="K1501" s="9" t="n">
        <v>25664</v>
      </c>
      <c r="L1501" s="10" t="n">
        <v>270000</v>
      </c>
      <c r="M1501" s="10" t="n">
        <v>8474.58</v>
      </c>
      <c r="N1501" s="11">
        <f>IF(M1501="","",ROUND(M1501*1.18,2))</f>
        <v/>
      </c>
      <c r="O1501" s="12">
        <f>IF(M1501="","",ROUND(N1501-M1501,2))</f>
        <v/>
      </c>
      <c r="P1501" s="13">
        <f>IF(AND(A1501&lt;&gt;"",B1501&lt;&gt;""), A1501&amp;" · "&amp;B1501, "")</f>
        <v/>
      </c>
    </row>
    <row r="1502">
      <c r="A1502" s="6" t="inlineStr">
        <is>
          <t>FY27</t>
        </is>
      </c>
      <c r="B1502" s="6" t="inlineStr">
        <is>
          <t>Apr</t>
        </is>
      </c>
      <c r="C1502" s="6" t="inlineStr">
        <is>
          <t>Kerala</t>
        </is>
      </c>
      <c r="D1502" s="7" t="inlineStr">
        <is>
          <t>KL69A6226</t>
        </is>
      </c>
      <c r="E1502" s="7" t="inlineStr">
        <is>
          <t>MARUTI SUZUKI</t>
        </is>
      </c>
      <c r="F1502" s="7" t="inlineStr">
        <is>
          <t>Baleno</t>
        </is>
      </c>
      <c r="G1502" s="7" t="inlineStr">
        <is>
          <t>AUTOMOTIVE MAHINDRA</t>
        </is>
      </c>
      <c r="H1502" s="7" t="inlineStr">
        <is>
          <t>Non-Captive</t>
        </is>
      </c>
      <c r="I1502" s="7" t="inlineStr">
        <is>
          <t>Aitos Cars</t>
        </is>
      </c>
      <c r="J1502" s="8" t="n"/>
      <c r="K1502" s="9" t="n">
        <v>138000</v>
      </c>
      <c r="L1502" s="10" t="n">
        <v>390000</v>
      </c>
      <c r="M1502" s="10" t="n">
        <v>8474.58</v>
      </c>
      <c r="N1502" s="11">
        <f>IF(M1502="","",ROUND(M1502*1.18,2))</f>
        <v/>
      </c>
      <c r="O1502" s="12">
        <f>IF(M1502="","",ROUND(N1502-M1502,2))</f>
        <v/>
      </c>
      <c r="P1502" s="13">
        <f>IF(AND(A1502&lt;&gt;"",B1502&lt;&gt;""), A1502&amp;" · "&amp;B1502, "")</f>
        <v/>
      </c>
    </row>
    <row r="1503">
      <c r="A1503" s="6" t="inlineStr">
        <is>
          <t>FY27</t>
        </is>
      </c>
      <c r="B1503" s="6" t="inlineStr">
        <is>
          <t>Apr</t>
        </is>
      </c>
      <c r="C1503" s="6" t="inlineStr">
        <is>
          <t>Kerala</t>
        </is>
      </c>
      <c r="D1503" s="7" t="inlineStr">
        <is>
          <t>KL759366</t>
        </is>
      </c>
      <c r="E1503" s="7" t="inlineStr">
        <is>
          <t>FORD</t>
        </is>
      </c>
      <c r="F1503" s="7" t="inlineStr">
        <is>
          <t>EcoSport</t>
        </is>
      </c>
      <c r="G1503" s="7" t="inlineStr">
        <is>
          <t>JOHNS HONDA CARS</t>
        </is>
      </c>
      <c r="H1503" s="7" t="inlineStr">
        <is>
          <t>Non-Captive</t>
        </is>
      </c>
      <c r="I1503" s="7" t="inlineStr">
        <is>
          <t>HAVEN MOTORS</t>
        </is>
      </c>
      <c r="J1503" s="8" t="n"/>
      <c r="K1503" s="9" t="n">
        <v>30500</v>
      </c>
      <c r="L1503" s="10" t="n">
        <v>645000</v>
      </c>
      <c r="M1503" s="10" t="n">
        <v>8474.58</v>
      </c>
      <c r="N1503" s="11">
        <f>IF(M1503="","",ROUND(M1503*1.18,2))</f>
        <v/>
      </c>
      <c r="O1503" s="12">
        <f>IF(M1503="","",ROUND(N1503-M1503,2))</f>
        <v/>
      </c>
      <c r="P1503" s="13">
        <f>IF(AND(A1503&lt;&gt;"",B1503&lt;&gt;""), A1503&amp;" · "&amp;B1503, "")</f>
        <v/>
      </c>
    </row>
    <row r="1504">
      <c r="A1504" s="6" t="inlineStr">
        <is>
          <t>FY27</t>
        </is>
      </c>
      <c r="B1504" s="6" t="inlineStr">
        <is>
          <t>Apr</t>
        </is>
      </c>
      <c r="C1504" s="6" t="inlineStr">
        <is>
          <t>Kerala</t>
        </is>
      </c>
      <c r="D1504" s="7" t="inlineStr">
        <is>
          <t>KL75E2054</t>
        </is>
      </c>
      <c r="E1504" s="7" t="inlineStr">
        <is>
          <t>MARUTI SUZUKI</t>
        </is>
      </c>
      <c r="F1504" s="7" t="inlineStr">
        <is>
          <t>Jimny</t>
        </is>
      </c>
      <c r="G1504" s="7" t="inlineStr">
        <is>
          <t>POPULAR MARUTI</t>
        </is>
      </c>
      <c r="H1504" s="7" t="inlineStr">
        <is>
          <t>Non-Captive</t>
        </is>
      </c>
      <c r="I1504" s="7" t="inlineStr">
        <is>
          <t>KAPS CARS</t>
        </is>
      </c>
      <c r="J1504" s="8" t="n"/>
      <c r="K1504" s="9" t="n">
        <v>14000</v>
      </c>
      <c r="L1504" s="10" t="n">
        <v>940000</v>
      </c>
      <c r="M1504" s="10" t="n">
        <v>8474.58</v>
      </c>
      <c r="N1504" s="11">
        <f>IF(M1504="","",ROUND(M1504*1.18,2))</f>
        <v/>
      </c>
      <c r="O1504" s="12">
        <f>IF(M1504="","",ROUND(N1504-M1504,2))</f>
        <v/>
      </c>
      <c r="P1504" s="13">
        <f>IF(AND(A1504&lt;&gt;"",B1504&lt;&gt;""), A1504&amp;" · "&amp;B1504, "")</f>
        <v/>
      </c>
    </row>
    <row r="1505">
      <c r="A1505" s="6" t="inlineStr">
        <is>
          <t>FY27</t>
        </is>
      </c>
      <c r="B1505" s="6" t="inlineStr">
        <is>
          <t>Apr</t>
        </is>
      </c>
      <c r="C1505" s="6" t="inlineStr">
        <is>
          <t>Kerala</t>
        </is>
      </c>
      <c r="D1505" s="7" t="inlineStr">
        <is>
          <t>KL77A6017</t>
        </is>
      </c>
      <c r="E1505" s="7" t="inlineStr">
        <is>
          <t>HYUNDAI</t>
        </is>
      </c>
      <c r="F1505" s="7" t="inlineStr">
        <is>
          <t>i10</t>
        </is>
      </c>
      <c r="G1505" s="7" t="inlineStr">
        <is>
          <t>VASIL</t>
        </is>
      </c>
      <c r="H1505" s="7" t="inlineStr">
        <is>
          <t>Non-Captive</t>
        </is>
      </c>
      <c r="I1505" s="7" t="inlineStr">
        <is>
          <t>SANOOP</t>
        </is>
      </c>
      <c r="J1505" s="8" t="n"/>
      <c r="K1505" s="9" t="n">
        <v>84000</v>
      </c>
      <c r="L1505" s="10" t="n">
        <v>390000</v>
      </c>
      <c r="M1505" s="10" t="n">
        <v>8474.58</v>
      </c>
      <c r="N1505" s="11">
        <f>IF(M1505="","",ROUND(M1505*1.18,2))</f>
        <v/>
      </c>
      <c r="O1505" s="12">
        <f>IF(M1505="","",ROUND(N1505-M1505,2))</f>
        <v/>
      </c>
      <c r="P1505" s="13">
        <f>IF(AND(A1505&lt;&gt;"",B1505&lt;&gt;""), A1505&amp;" · "&amp;B1505, "")</f>
        <v/>
      </c>
    </row>
    <row r="1506">
      <c r="A1506" s="6" t="inlineStr">
        <is>
          <t>FY27</t>
        </is>
      </c>
      <c r="B1506" s="6" t="inlineStr">
        <is>
          <t>Apr</t>
        </is>
      </c>
      <c r="C1506" s="6" t="inlineStr">
        <is>
          <t>Kerala</t>
        </is>
      </c>
      <c r="D1506" s="7" t="inlineStr">
        <is>
          <t>KL794517</t>
        </is>
      </c>
      <c r="E1506" s="7" t="inlineStr">
        <is>
          <t>HYUNDAI</t>
        </is>
      </c>
      <c r="F1506" s="7" t="inlineStr">
        <is>
          <t>Santro</t>
        </is>
      </c>
      <c r="G1506" s="7" t="inlineStr">
        <is>
          <t>MARVEL MOTORS</t>
        </is>
      </c>
      <c r="H1506" s="7" t="inlineStr">
        <is>
          <t>Non-Captive</t>
        </is>
      </c>
      <c r="I1506" s="7" t="inlineStr">
        <is>
          <t>SANOOP</t>
        </is>
      </c>
      <c r="J1506" s="8" t="n"/>
      <c r="K1506" s="9" t="n">
        <v>78000</v>
      </c>
      <c r="L1506" s="10" t="n">
        <v>255000</v>
      </c>
      <c r="M1506" s="10" t="n">
        <v>5084.75</v>
      </c>
      <c r="N1506" s="11">
        <f>IF(M1506="","",ROUND(M1506*1.18,2))</f>
        <v/>
      </c>
      <c r="O1506" s="12">
        <f>IF(M1506="","",ROUND(N1506-M1506,2))</f>
        <v/>
      </c>
      <c r="P1506" s="13">
        <f>IF(AND(A1506&lt;&gt;"",B1506&lt;&gt;""), A1506&amp;" · "&amp;B1506, "")</f>
        <v/>
      </c>
    </row>
    <row r="1507">
      <c r="A1507" s="6" t="inlineStr">
        <is>
          <t>FY27</t>
        </is>
      </c>
      <c r="B1507" s="6" t="inlineStr">
        <is>
          <t>Apr</t>
        </is>
      </c>
      <c r="C1507" s="6" t="inlineStr">
        <is>
          <t>TN</t>
        </is>
      </c>
      <c r="D1507" s="7" t="inlineStr">
        <is>
          <t>KA01MN7628</t>
        </is>
      </c>
      <c r="E1507" s="7" t="inlineStr">
        <is>
          <t>HONDA</t>
        </is>
      </c>
      <c r="F1507" s="7" t="inlineStr">
        <is>
          <t>Amaze</t>
        </is>
      </c>
      <c r="G1507" s="7" t="inlineStr">
        <is>
          <t>EXCHANGE ROTN</t>
        </is>
      </c>
      <c r="H1507" s="7" t="inlineStr">
        <is>
          <t>Captive</t>
        </is>
      </c>
      <c r="I1507" s="7" t="inlineStr">
        <is>
          <t>SRI RAJA KANAPATHY CARS</t>
        </is>
      </c>
      <c r="J1507" s="8" t="n">
        <v>2016</v>
      </c>
      <c r="K1507" s="9" t="n">
        <v>108482</v>
      </c>
      <c r="L1507" s="10" t="n">
        <v>290000</v>
      </c>
      <c r="M1507" s="10" t="n">
        <v>8474.58</v>
      </c>
      <c r="N1507" s="11">
        <f>IF(M1507="","",ROUND(M1507*1.18,2))</f>
        <v/>
      </c>
      <c r="O1507" s="12">
        <f>IF(M1507="","",ROUND(N1507-M1507,2))</f>
        <v/>
      </c>
      <c r="P1507" s="13">
        <f>IF(AND(A1507&lt;&gt;"",B1507&lt;&gt;""), A1507&amp;" · "&amp;B1507, "")</f>
        <v/>
      </c>
    </row>
    <row r="1508">
      <c r="A1508" s="6" t="inlineStr">
        <is>
          <t>FY27</t>
        </is>
      </c>
      <c r="B1508" s="6" t="inlineStr">
        <is>
          <t>Apr</t>
        </is>
      </c>
      <c r="C1508" s="6" t="inlineStr">
        <is>
          <t>TN</t>
        </is>
      </c>
      <c r="D1508" s="7" t="inlineStr">
        <is>
          <t>KA19MD2967</t>
        </is>
      </c>
      <c r="E1508" s="7" t="inlineStr">
        <is>
          <t>HONDA</t>
        </is>
      </c>
      <c r="F1508" s="7" t="inlineStr">
        <is>
          <t>Brio</t>
        </is>
      </c>
      <c r="G1508" s="7" t="inlineStr">
        <is>
          <t>EXCHANGE CHENNAI</t>
        </is>
      </c>
      <c r="H1508" s="7" t="inlineStr">
        <is>
          <t>Captive</t>
        </is>
      </c>
      <c r="I1508" s="7" t="inlineStr">
        <is>
          <t>Althaf Syed Cars (Senthil</t>
        </is>
      </c>
      <c r="J1508" s="8" t="n">
        <v>2013</v>
      </c>
      <c r="K1508" s="9" t="n">
        <v>14722</v>
      </c>
      <c r="L1508" s="10" t="n">
        <v>175000</v>
      </c>
      <c r="M1508" s="10" t="n">
        <v>8474.58</v>
      </c>
      <c r="N1508" s="11">
        <f>IF(M1508="","",ROUND(M1508*1.18,2))</f>
        <v/>
      </c>
      <c r="O1508" s="12">
        <f>IF(M1508="","",ROUND(N1508-M1508,2))</f>
        <v/>
      </c>
      <c r="P1508" s="13">
        <f>IF(AND(A1508&lt;&gt;"",B1508&lt;&gt;""), A1508&amp;" · "&amp;B1508, "")</f>
        <v/>
      </c>
    </row>
    <row r="1509">
      <c r="A1509" s="6" t="inlineStr">
        <is>
          <t>FY27</t>
        </is>
      </c>
      <c r="B1509" s="6" t="inlineStr">
        <is>
          <t>Apr</t>
        </is>
      </c>
      <c r="C1509" s="6" t="inlineStr">
        <is>
          <t>TN</t>
        </is>
      </c>
      <c r="D1509" s="7" t="inlineStr">
        <is>
          <t>KL01BP6999</t>
        </is>
      </c>
      <c r="E1509" s="7" t="inlineStr">
        <is>
          <t>MARUTI SUZUKI</t>
        </is>
      </c>
      <c r="F1509" s="7" t="inlineStr">
        <is>
          <t>Swift</t>
        </is>
      </c>
      <c r="G1509" s="7" t="inlineStr">
        <is>
          <t>POPULAR MOTORWORLD PVT LTD</t>
        </is>
      </c>
      <c r="H1509" s="7" t="inlineStr">
        <is>
          <t>Non-Captive</t>
        </is>
      </c>
      <c r="I1509" s="7" t="inlineStr">
        <is>
          <t>Trust On wheels</t>
        </is>
      </c>
      <c r="J1509" s="8" t="n">
        <v>2014</v>
      </c>
      <c r="K1509" s="9" t="n">
        <v>76430</v>
      </c>
      <c r="L1509" s="10" t="n">
        <v>180000</v>
      </c>
      <c r="M1509" s="10" t="n">
        <v>5000</v>
      </c>
      <c r="N1509" s="11">
        <f>IF(M1509="","",ROUND(M1509*1.18,2))</f>
        <v/>
      </c>
      <c r="O1509" s="12">
        <f>IF(M1509="","",ROUND(N1509-M1509,2))</f>
        <v/>
      </c>
      <c r="P1509" s="13">
        <f>IF(AND(A1509&lt;&gt;"",B1509&lt;&gt;""), A1509&amp;" · "&amp;B1509, "")</f>
        <v/>
      </c>
    </row>
    <row r="1510">
      <c r="A1510" s="6" t="inlineStr">
        <is>
          <t>FY27</t>
        </is>
      </c>
      <c r="B1510" s="6" t="inlineStr">
        <is>
          <t>Apr</t>
        </is>
      </c>
      <c r="C1510" s="6" t="inlineStr">
        <is>
          <t>TN</t>
        </is>
      </c>
      <c r="D1510" s="7" t="inlineStr">
        <is>
          <t>KL01BR9904</t>
        </is>
      </c>
      <c r="E1510" s="7" t="inlineStr">
        <is>
          <t>HONDA</t>
        </is>
      </c>
      <c r="F1510" s="7" t="inlineStr">
        <is>
          <t>City</t>
        </is>
      </c>
      <c r="G1510" s="7" t="inlineStr">
        <is>
          <t>NIPPON MOTOR CORPORATION PVT LTD</t>
        </is>
      </c>
      <c r="H1510" s="7" t="inlineStr">
        <is>
          <t>Non-Captive</t>
        </is>
      </c>
      <c r="I1510" s="7" t="inlineStr">
        <is>
          <t>SHAMNAD AH</t>
        </is>
      </c>
      <c r="J1510" s="8" t="n">
        <v>2014</v>
      </c>
      <c r="K1510" s="9" t="n">
        <v>137209</v>
      </c>
      <c r="L1510" s="10" t="n">
        <v>360000</v>
      </c>
      <c r="M1510" s="10" t="n">
        <v>5932.2</v>
      </c>
      <c r="N1510" s="11">
        <f>IF(M1510="","",ROUND(M1510*1.18,2))</f>
        <v/>
      </c>
      <c r="O1510" s="12">
        <f>IF(M1510="","",ROUND(N1510-M1510,2))</f>
        <v/>
      </c>
      <c r="P1510" s="13">
        <f>IF(AND(A1510&lt;&gt;"",B1510&lt;&gt;""), A1510&amp;" · "&amp;B1510, "")</f>
        <v/>
      </c>
    </row>
    <row r="1511">
      <c r="A1511" s="6" t="inlineStr">
        <is>
          <t>FY27</t>
        </is>
      </c>
      <c r="B1511" s="6" t="inlineStr">
        <is>
          <t>Apr</t>
        </is>
      </c>
      <c r="C1511" s="6" t="inlineStr">
        <is>
          <t>TN</t>
        </is>
      </c>
      <c r="D1511" s="7" t="inlineStr">
        <is>
          <t>KL01BX3373</t>
        </is>
      </c>
      <c r="E1511" s="7" t="inlineStr">
        <is>
          <t>MARUTI SUZUKI</t>
        </is>
      </c>
      <c r="F1511" s="7" t="inlineStr">
        <is>
          <t>Wagon R</t>
        </is>
      </c>
      <c r="G1511" s="7" t="inlineStr">
        <is>
          <t>IDEAL MOTORS</t>
        </is>
      </c>
      <c r="H1511" s="7" t="inlineStr">
        <is>
          <t>Non-Captive</t>
        </is>
      </c>
      <c r="I1511" s="7" t="inlineStr">
        <is>
          <t>Popular Trivandrum</t>
        </is>
      </c>
      <c r="J1511" s="8" t="n">
        <v>2016</v>
      </c>
      <c r="K1511" s="9" t="n"/>
      <c r="L1511" s="10" t="n">
        <v>310000</v>
      </c>
      <c r="M1511" s="10" t="n">
        <v>5000</v>
      </c>
      <c r="N1511" s="11">
        <f>IF(M1511="","",ROUND(M1511*1.18,2))</f>
        <v/>
      </c>
      <c r="O1511" s="12">
        <f>IF(M1511="","",ROUND(N1511-M1511,2))</f>
        <v/>
      </c>
      <c r="P1511" s="13">
        <f>IF(AND(A1511&lt;&gt;"",B1511&lt;&gt;""), A1511&amp;" · "&amp;B1511, "")</f>
        <v/>
      </c>
    </row>
    <row r="1512">
      <c r="A1512" s="6" t="inlineStr">
        <is>
          <t>FY27</t>
        </is>
      </c>
      <c r="B1512" s="6" t="inlineStr">
        <is>
          <t>Apr</t>
        </is>
      </c>
      <c r="C1512" s="6" t="inlineStr">
        <is>
          <t>TN</t>
        </is>
      </c>
      <c r="D1512" s="7" t="inlineStr">
        <is>
          <t>KL01CT5645</t>
        </is>
      </c>
      <c r="E1512" s="7" t="inlineStr">
        <is>
          <t>MARUTI SUZUKI</t>
        </is>
      </c>
      <c r="F1512" s="7" t="inlineStr">
        <is>
          <t>S-Presso</t>
        </is>
      </c>
      <c r="G1512" s="7" t="inlineStr">
        <is>
          <t>DERIK AUTOMOBILE</t>
        </is>
      </c>
      <c r="H1512" s="7" t="inlineStr">
        <is>
          <t>Non-Captive</t>
        </is>
      </c>
      <c r="I1512" s="7" t="inlineStr">
        <is>
          <t>Popular Thrissur</t>
        </is>
      </c>
      <c r="J1512" s="8" t="n">
        <v>2021</v>
      </c>
      <c r="K1512" s="9" t="n">
        <v>54562</v>
      </c>
      <c r="L1512" s="10" t="n">
        <v>180000</v>
      </c>
      <c r="M1512" s="10" t="n">
        <v>5000</v>
      </c>
      <c r="N1512" s="11">
        <f>IF(M1512="","",ROUND(M1512*1.18,2))</f>
        <v/>
      </c>
      <c r="O1512" s="12">
        <f>IF(M1512="","",ROUND(N1512-M1512,2))</f>
        <v/>
      </c>
      <c r="P1512" s="13">
        <f>IF(AND(A1512&lt;&gt;"",B1512&lt;&gt;""), A1512&amp;" · "&amp;B1512, "")</f>
        <v/>
      </c>
    </row>
    <row r="1513">
      <c r="A1513" s="6" t="inlineStr">
        <is>
          <t>FY27</t>
        </is>
      </c>
      <c r="B1513" s="6" t="inlineStr">
        <is>
          <t>Apr</t>
        </is>
      </c>
      <c r="C1513" s="6" t="inlineStr">
        <is>
          <t>TN</t>
        </is>
      </c>
      <c r="D1513" s="7" t="inlineStr">
        <is>
          <t>KL02BB2084</t>
        </is>
      </c>
      <c r="E1513" s="7" t="inlineStr">
        <is>
          <t>MARUTI SUZUKI</t>
        </is>
      </c>
      <c r="F1513" s="7" t="inlineStr">
        <is>
          <t>Celerio</t>
        </is>
      </c>
      <c r="G1513" s="7" t="inlineStr">
        <is>
          <t>INDEL MOTOR CORPORATION</t>
        </is>
      </c>
      <c r="H1513" s="7" t="inlineStr">
        <is>
          <t>Non-Captive</t>
        </is>
      </c>
      <c r="I1513" s="7" t="inlineStr">
        <is>
          <t>Popular Thrissur</t>
        </is>
      </c>
      <c r="J1513" s="8" t="n">
        <v>2017</v>
      </c>
      <c r="K1513" s="9" t="n">
        <v>87242</v>
      </c>
      <c r="L1513" s="10" t="n">
        <v>170000</v>
      </c>
      <c r="M1513" s="10" t="n">
        <v>5000</v>
      </c>
      <c r="N1513" s="11">
        <f>IF(M1513="","",ROUND(M1513*1.18,2))</f>
        <v/>
      </c>
      <c r="O1513" s="12">
        <f>IF(M1513="","",ROUND(N1513-M1513,2))</f>
        <v/>
      </c>
      <c r="P1513" s="13">
        <f>IF(AND(A1513&lt;&gt;"",B1513&lt;&gt;""), A1513&amp;" · "&amp;B1513, "")</f>
        <v/>
      </c>
    </row>
    <row r="1514">
      <c r="A1514" s="6" t="inlineStr">
        <is>
          <t>FY27</t>
        </is>
      </c>
      <c r="B1514" s="6" t="inlineStr">
        <is>
          <t>Apr</t>
        </is>
      </c>
      <c r="C1514" s="6" t="inlineStr">
        <is>
          <t>TN</t>
        </is>
      </c>
      <c r="D1514" s="7" t="inlineStr">
        <is>
          <t>KL02BN1442</t>
        </is>
      </c>
      <c r="E1514" s="7" t="inlineStr">
        <is>
          <t>MARUTI SUZUKI</t>
        </is>
      </c>
      <c r="F1514" s="7" t="inlineStr">
        <is>
          <t>Baleno</t>
        </is>
      </c>
      <c r="G1514" s="7" t="inlineStr">
        <is>
          <t>POPULAR MOTORWORLD PVT LTD</t>
        </is>
      </c>
      <c r="H1514" s="7" t="inlineStr">
        <is>
          <t>Non-Captive</t>
        </is>
      </c>
      <c r="I1514" s="7" t="inlineStr">
        <is>
          <t>Popular Thrissur</t>
        </is>
      </c>
      <c r="J1514" s="8" t="n">
        <v>2020</v>
      </c>
      <c r="K1514" s="9" t="n">
        <v>87452</v>
      </c>
      <c r="L1514" s="10" t="n">
        <v>180000</v>
      </c>
      <c r="M1514" s="10" t="n">
        <v>5000</v>
      </c>
      <c r="N1514" s="11">
        <f>IF(M1514="","",ROUND(M1514*1.18,2))</f>
        <v/>
      </c>
      <c r="O1514" s="12">
        <f>IF(M1514="","",ROUND(N1514-M1514,2))</f>
        <v/>
      </c>
      <c r="P1514" s="13">
        <f>IF(AND(A1514&lt;&gt;"",B1514&lt;&gt;""), A1514&amp;" · "&amp;B1514, "")</f>
        <v/>
      </c>
    </row>
    <row r="1515">
      <c r="A1515" s="6" t="inlineStr">
        <is>
          <t>FY27</t>
        </is>
      </c>
      <c r="B1515" s="6" t="inlineStr">
        <is>
          <t>Apr</t>
        </is>
      </c>
      <c r="C1515" s="6" t="inlineStr">
        <is>
          <t>TN</t>
        </is>
      </c>
      <c r="D1515" s="7" t="inlineStr">
        <is>
          <t>KL19C800</t>
        </is>
      </c>
      <c r="E1515" s="7" t="inlineStr">
        <is>
          <t>MARUTI SUZUKI</t>
        </is>
      </c>
      <c r="F1515" s="7" t="inlineStr">
        <is>
          <t>Wagon R</t>
        </is>
      </c>
      <c r="G1515" s="7" t="inlineStr">
        <is>
          <t>NIPPON MOTOR CORPORATION PVT LTD</t>
        </is>
      </c>
      <c r="H1515" s="7" t="inlineStr">
        <is>
          <t>Non-Captive</t>
        </is>
      </c>
      <c r="I1515" s="7" t="inlineStr">
        <is>
          <t>Popular Thrissur</t>
        </is>
      </c>
      <c r="J1515" s="8" t="n">
        <v>2016</v>
      </c>
      <c r="K1515" s="9" t="n">
        <v>53298</v>
      </c>
      <c r="L1515" s="10" t="n">
        <v>180000</v>
      </c>
      <c r="M1515" s="10" t="n">
        <v>5000</v>
      </c>
      <c r="N1515" s="11">
        <f>IF(M1515="","",ROUND(M1515*1.18,2))</f>
        <v/>
      </c>
      <c r="O1515" s="12">
        <f>IF(M1515="","",ROUND(N1515-M1515,2))</f>
        <v/>
      </c>
      <c r="P1515" s="13">
        <f>IF(AND(A1515&lt;&gt;"",B1515&lt;&gt;""), A1515&amp;" · "&amp;B1515, "")</f>
        <v/>
      </c>
    </row>
    <row r="1516">
      <c r="A1516" s="6" t="inlineStr">
        <is>
          <t>FY27</t>
        </is>
      </c>
      <c r="B1516" s="6" t="inlineStr">
        <is>
          <t>Apr</t>
        </is>
      </c>
      <c r="C1516" s="6" t="inlineStr">
        <is>
          <t>TN</t>
        </is>
      </c>
      <c r="D1516" s="7" t="inlineStr">
        <is>
          <t>KL19D6071</t>
        </is>
      </c>
      <c r="E1516" s="7" t="inlineStr">
        <is>
          <t>MARUTI SUZUKI</t>
        </is>
      </c>
      <c r="F1516" s="7" t="inlineStr">
        <is>
          <t>Alto</t>
        </is>
      </c>
      <c r="G1516" s="7" t="inlineStr">
        <is>
          <t>NIPPON MOTOR CORPORATION PVT LTD</t>
        </is>
      </c>
      <c r="H1516" s="7" t="inlineStr">
        <is>
          <t>Non-Captive</t>
        </is>
      </c>
      <c r="I1516" s="7" t="inlineStr">
        <is>
          <t>Popular Thrissur</t>
        </is>
      </c>
      <c r="J1516" s="8" t="n">
        <v>2013</v>
      </c>
      <c r="K1516" s="9" t="n">
        <v>43326</v>
      </c>
      <c r="L1516" s="10" t="n">
        <v>160000</v>
      </c>
      <c r="M1516" s="10" t="n">
        <v>5000</v>
      </c>
      <c r="N1516" s="11">
        <f>IF(M1516="","",ROUND(M1516*1.18,2))</f>
        <v/>
      </c>
      <c r="O1516" s="12">
        <f>IF(M1516="","",ROUND(N1516-M1516,2))</f>
        <v/>
      </c>
      <c r="P1516" s="13">
        <f>IF(AND(A1516&lt;&gt;"",B1516&lt;&gt;""), A1516&amp;" · "&amp;B1516, "")</f>
        <v/>
      </c>
    </row>
    <row r="1517">
      <c r="A1517" s="6" t="inlineStr">
        <is>
          <t>FY27</t>
        </is>
      </c>
      <c r="B1517" s="6" t="inlineStr">
        <is>
          <t>Apr</t>
        </is>
      </c>
      <c r="C1517" s="6" t="inlineStr">
        <is>
          <t>TN</t>
        </is>
      </c>
      <c r="D1517" s="7" t="inlineStr">
        <is>
          <t>KL20F6613</t>
        </is>
      </c>
      <c r="E1517" s="7" t="inlineStr">
        <is>
          <t>MARUTI SUZUKI</t>
        </is>
      </c>
      <c r="F1517" s="7" t="inlineStr">
        <is>
          <t>Wagon R</t>
        </is>
      </c>
      <c r="G1517" s="7" t="inlineStr">
        <is>
          <t>POPULAR HYUNDAI</t>
        </is>
      </c>
      <c r="H1517" s="7" t="inlineStr">
        <is>
          <t>Non-Captive</t>
        </is>
      </c>
      <c r="I1517" s="7" t="inlineStr">
        <is>
          <t>Popular Thrissur</t>
        </is>
      </c>
      <c r="J1517" s="8" t="n">
        <v>2013</v>
      </c>
      <c r="K1517" s="9" t="n">
        <v>137870</v>
      </c>
      <c r="L1517" s="10" t="n">
        <v>180000</v>
      </c>
      <c r="M1517" s="10" t="n">
        <v>5000</v>
      </c>
      <c r="N1517" s="11">
        <f>IF(M1517="","",ROUND(M1517*1.18,2))</f>
        <v/>
      </c>
      <c r="O1517" s="12">
        <f>IF(M1517="","",ROUND(N1517-M1517,2))</f>
        <v/>
      </c>
      <c r="P1517" s="13">
        <f>IF(AND(A1517&lt;&gt;"",B1517&lt;&gt;""), A1517&amp;" · "&amp;B1517, "")</f>
        <v/>
      </c>
    </row>
    <row r="1518">
      <c r="A1518" s="6" t="inlineStr">
        <is>
          <t>FY27</t>
        </is>
      </c>
      <c r="B1518" s="6" t="inlineStr">
        <is>
          <t>Apr</t>
        </is>
      </c>
      <c r="C1518" s="6" t="inlineStr">
        <is>
          <t>TN</t>
        </is>
      </c>
      <c r="D1518" s="7" t="inlineStr">
        <is>
          <t>KL20Q4343</t>
        </is>
      </c>
      <c r="E1518" s="7" t="inlineStr">
        <is>
          <t>MARUTI SUZUKI</t>
        </is>
      </c>
      <c r="F1518" s="7" t="inlineStr">
        <is>
          <t>Ertiga</t>
        </is>
      </c>
      <c r="G1518" s="7" t="inlineStr">
        <is>
          <t>FORTUNE MALAYALAM</t>
        </is>
      </c>
      <c r="H1518" s="7" t="inlineStr">
        <is>
          <t>Non-Captive</t>
        </is>
      </c>
      <c r="I1518" s="7" t="inlineStr">
        <is>
          <t>Popular Alleppy</t>
        </is>
      </c>
      <c r="J1518" s="8" t="n">
        <v>2020</v>
      </c>
      <c r="K1518" s="9" t="n">
        <v>63731</v>
      </c>
      <c r="L1518" s="10" t="n">
        <v>190000</v>
      </c>
      <c r="M1518" s="10" t="n">
        <v>5000</v>
      </c>
      <c r="N1518" s="11">
        <f>IF(M1518="","",ROUND(M1518*1.18,2))</f>
        <v/>
      </c>
      <c r="O1518" s="12">
        <f>IF(M1518="","",ROUND(N1518-M1518,2))</f>
        <v/>
      </c>
      <c r="P1518" s="13">
        <f>IF(AND(A1518&lt;&gt;"",B1518&lt;&gt;""), A1518&amp;" · "&amp;B1518, "")</f>
        <v/>
      </c>
    </row>
    <row r="1519">
      <c r="A1519" s="6" t="inlineStr">
        <is>
          <t>FY27</t>
        </is>
      </c>
      <c r="B1519" s="6" t="inlineStr">
        <is>
          <t>Apr</t>
        </is>
      </c>
      <c r="C1519" s="6" t="inlineStr">
        <is>
          <t>TN</t>
        </is>
      </c>
      <c r="D1519" s="7" t="inlineStr">
        <is>
          <t>KL21V8827</t>
        </is>
      </c>
      <c r="E1519" s="7" t="inlineStr">
        <is>
          <t>MARUTI SUZUKI</t>
        </is>
      </c>
      <c r="F1519" s="7" t="inlineStr">
        <is>
          <t>Ignis</t>
        </is>
      </c>
      <c r="G1519" s="7" t="inlineStr">
        <is>
          <t>EVM AUTOKRAFT INDIA PRIVATE LIMITED</t>
        </is>
      </c>
      <c r="H1519" s="7" t="inlineStr">
        <is>
          <t>Non-Captive</t>
        </is>
      </c>
      <c r="I1519" s="7" t="inlineStr">
        <is>
          <t>Popular Thrissur</t>
        </is>
      </c>
      <c r="J1519" s="8" t="n">
        <v>2021</v>
      </c>
      <c r="K1519" s="9" t="n">
        <v>57845</v>
      </c>
      <c r="L1519" s="10" t="n">
        <v>375000</v>
      </c>
      <c r="M1519" s="10" t="n">
        <v>5000</v>
      </c>
      <c r="N1519" s="11">
        <f>IF(M1519="","",ROUND(M1519*1.18,2))</f>
        <v/>
      </c>
      <c r="O1519" s="12">
        <f>IF(M1519="","",ROUND(N1519-M1519,2))</f>
        <v/>
      </c>
      <c r="P1519" s="13">
        <f>IF(AND(A1519&lt;&gt;"",B1519&lt;&gt;""), A1519&amp;" · "&amp;B1519, "")</f>
        <v/>
      </c>
    </row>
    <row r="1520">
      <c r="A1520" s="6" t="inlineStr">
        <is>
          <t>FY27</t>
        </is>
      </c>
      <c r="B1520" s="6" t="inlineStr">
        <is>
          <t>Apr</t>
        </is>
      </c>
      <c r="C1520" s="6" t="inlineStr">
        <is>
          <t>TN</t>
        </is>
      </c>
      <c r="D1520" s="7" t="inlineStr">
        <is>
          <t>KL22J2798</t>
        </is>
      </c>
      <c r="E1520" s="7" t="inlineStr">
        <is>
          <t>MARUTI SUZUKI</t>
        </is>
      </c>
      <c r="F1520" s="7" t="inlineStr">
        <is>
          <t>Swift</t>
        </is>
      </c>
      <c r="G1520" s="7" t="inlineStr">
        <is>
          <t>INDEL MOTOR CORPORATION</t>
        </is>
      </c>
      <c r="H1520" s="7" t="inlineStr">
        <is>
          <t>Non-Captive</t>
        </is>
      </c>
      <c r="I1520" s="7" t="inlineStr">
        <is>
          <t>Popular Thrissur</t>
        </is>
      </c>
      <c r="J1520" s="8" t="n">
        <v>2016</v>
      </c>
      <c r="K1520" s="9" t="n">
        <v>64390</v>
      </c>
      <c r="L1520" s="10" t="n">
        <v>180000</v>
      </c>
      <c r="M1520" s="10" t="n">
        <v>5000</v>
      </c>
      <c r="N1520" s="11">
        <f>IF(M1520="","",ROUND(M1520*1.18,2))</f>
        <v/>
      </c>
      <c r="O1520" s="12">
        <f>IF(M1520="","",ROUND(N1520-M1520,2))</f>
        <v/>
      </c>
      <c r="P1520" s="13">
        <f>IF(AND(A1520&lt;&gt;"",B1520&lt;&gt;""), A1520&amp;" · "&amp;B1520, "")</f>
        <v/>
      </c>
    </row>
    <row r="1521">
      <c r="A1521" s="6" t="inlineStr">
        <is>
          <t>FY27</t>
        </is>
      </c>
      <c r="B1521" s="6" t="inlineStr">
        <is>
          <t>Apr</t>
        </is>
      </c>
      <c r="C1521" s="6" t="inlineStr">
        <is>
          <t>TN</t>
        </is>
      </c>
      <c r="D1521" s="7" t="inlineStr">
        <is>
          <t>KL22P0763</t>
        </is>
      </c>
      <c r="E1521" s="7" t="inlineStr">
        <is>
          <t>MARUTI SUZUKI</t>
        </is>
      </c>
      <c r="F1521" s="7" t="inlineStr">
        <is>
          <t>Ertiga</t>
        </is>
      </c>
      <c r="G1521" s="7" t="inlineStr">
        <is>
          <t>DERIK MOTORS PRIVATE LIMITED</t>
        </is>
      </c>
      <c r="H1521" s="7" t="inlineStr">
        <is>
          <t>Non-Captive</t>
        </is>
      </c>
      <c r="I1521" s="7" t="inlineStr">
        <is>
          <t>SHAMNAD AH</t>
        </is>
      </c>
      <c r="J1521" s="8" t="n">
        <v>2020</v>
      </c>
      <c r="K1521" s="9" t="n">
        <v>69056</v>
      </c>
      <c r="L1521" s="10" t="n">
        <v>190000</v>
      </c>
      <c r="M1521" s="10" t="n">
        <v>5932.2</v>
      </c>
      <c r="N1521" s="11">
        <f>IF(M1521="","",ROUND(M1521*1.18,2))</f>
        <v/>
      </c>
      <c r="O1521" s="12">
        <f>IF(M1521="","",ROUND(N1521-M1521,2))</f>
        <v/>
      </c>
      <c r="P1521" s="13">
        <f>IF(AND(A1521&lt;&gt;"",B1521&lt;&gt;""), A1521&amp;" · "&amp;B1521, "")</f>
        <v/>
      </c>
    </row>
    <row r="1522">
      <c r="A1522" s="6" t="inlineStr">
        <is>
          <t>FY27</t>
        </is>
      </c>
      <c r="B1522" s="6" t="inlineStr">
        <is>
          <t>Apr</t>
        </is>
      </c>
      <c r="C1522" s="6" t="inlineStr">
        <is>
          <t>TN</t>
        </is>
      </c>
      <c r="D1522" s="7" t="inlineStr">
        <is>
          <t>KL29L3190</t>
        </is>
      </c>
      <c r="E1522" s="7" t="inlineStr">
        <is>
          <t>MARUTI SUZUKI</t>
        </is>
      </c>
      <c r="F1522" s="7" t="inlineStr">
        <is>
          <t>Vitara Brezza</t>
        </is>
      </c>
      <c r="G1522" s="7" t="inlineStr">
        <is>
          <t>GENUINE CARS</t>
        </is>
      </c>
      <c r="H1522" s="7" t="inlineStr">
        <is>
          <t>Non-Captive</t>
        </is>
      </c>
      <c r="I1522" s="7" t="inlineStr">
        <is>
          <t>Popular Trivandrum</t>
        </is>
      </c>
      <c r="J1522" s="8" t="n">
        <v>2016</v>
      </c>
      <c r="K1522" s="9" t="n">
        <v>129456</v>
      </c>
      <c r="L1522" s="10" t="n">
        <v>190000</v>
      </c>
      <c r="M1522" s="10" t="n">
        <v>5000</v>
      </c>
      <c r="N1522" s="11">
        <f>IF(M1522="","",ROUND(M1522*1.18,2))</f>
        <v/>
      </c>
      <c r="O1522" s="12">
        <f>IF(M1522="","",ROUND(N1522-M1522,2))</f>
        <v/>
      </c>
      <c r="P1522" s="13">
        <f>IF(AND(A1522&lt;&gt;"",B1522&lt;&gt;""), A1522&amp;" · "&amp;B1522, "")</f>
        <v/>
      </c>
    </row>
    <row r="1523">
      <c r="A1523" s="6" t="inlineStr">
        <is>
          <t>FY27</t>
        </is>
      </c>
      <c r="B1523" s="6" t="inlineStr">
        <is>
          <t>Apr</t>
        </is>
      </c>
      <c r="C1523" s="6" t="inlineStr">
        <is>
          <t>TN</t>
        </is>
      </c>
      <c r="D1523" s="7" t="inlineStr">
        <is>
          <t>KL73A7315</t>
        </is>
      </c>
      <c r="E1523" s="7" t="inlineStr">
        <is>
          <t>MARUTI SUZUKI</t>
        </is>
      </c>
      <c r="F1523" s="7" t="inlineStr">
        <is>
          <t>Celerio</t>
        </is>
      </c>
      <c r="G1523" s="7" t="inlineStr">
        <is>
          <t>FORTUNE MALAYALAM</t>
        </is>
      </c>
      <c r="H1523" s="7" t="inlineStr">
        <is>
          <t>Non-Captive</t>
        </is>
      </c>
      <c r="I1523" s="7" t="inlineStr">
        <is>
          <t>Popular Alleppy</t>
        </is>
      </c>
      <c r="J1523" s="8" t="n">
        <v>2016</v>
      </c>
      <c r="K1523" s="9" t="n">
        <v>68094</v>
      </c>
      <c r="L1523" s="10" t="n">
        <v>175000</v>
      </c>
      <c r="M1523" s="10" t="n">
        <v>5000</v>
      </c>
      <c r="N1523" s="11">
        <f>IF(M1523="","",ROUND(M1523*1.18,2))</f>
        <v/>
      </c>
      <c r="O1523" s="12">
        <f>IF(M1523="","",ROUND(N1523-M1523,2))</f>
        <v/>
      </c>
      <c r="P1523" s="13">
        <f>IF(AND(A1523&lt;&gt;"",B1523&lt;&gt;""), A1523&amp;" · "&amp;B1523, "")</f>
        <v/>
      </c>
    </row>
    <row r="1524">
      <c r="A1524" s="6" t="inlineStr">
        <is>
          <t>FY27</t>
        </is>
      </c>
      <c r="B1524" s="6" t="inlineStr">
        <is>
          <t>Apr</t>
        </is>
      </c>
      <c r="C1524" s="6" t="inlineStr">
        <is>
          <t>TN</t>
        </is>
      </c>
      <c r="D1524" s="7" t="inlineStr">
        <is>
          <t>PY01AA6923</t>
        </is>
      </c>
      <c r="E1524" s="7" t="inlineStr">
        <is>
          <t>MARUTI SUZUKI</t>
        </is>
      </c>
      <c r="F1524" s="7" t="inlineStr">
        <is>
          <t>Zen</t>
        </is>
      </c>
      <c r="G1524" s="7" t="inlineStr">
        <is>
          <t>EXCHANGE CHENNAI</t>
        </is>
      </c>
      <c r="H1524" s="7" t="inlineStr">
        <is>
          <t>Captive</t>
        </is>
      </c>
      <c r="I1524" s="7" t="inlineStr">
        <is>
          <t>Ashok Cars</t>
        </is>
      </c>
      <c r="J1524" s="8" t="n">
        <v>2005</v>
      </c>
      <c r="K1524" s="9" t="n">
        <v>36174</v>
      </c>
      <c r="L1524" s="10" t="n">
        <v>45000</v>
      </c>
      <c r="M1524" s="10" t="n">
        <v>4237.29</v>
      </c>
      <c r="N1524" s="11">
        <f>IF(M1524="","",ROUND(M1524*1.18,2))</f>
        <v/>
      </c>
      <c r="O1524" s="12">
        <f>IF(M1524="","",ROUND(N1524-M1524,2))</f>
        <v/>
      </c>
      <c r="P1524" s="13">
        <f>IF(AND(A1524&lt;&gt;"",B1524&lt;&gt;""), A1524&amp;" · "&amp;B1524, "")</f>
        <v/>
      </c>
    </row>
    <row r="1525">
      <c r="A1525" s="6" t="inlineStr">
        <is>
          <t>FY27</t>
        </is>
      </c>
      <c r="B1525" s="6" t="inlineStr">
        <is>
          <t>Apr</t>
        </is>
      </c>
      <c r="C1525" s="6" t="inlineStr">
        <is>
          <t>TN</t>
        </is>
      </c>
      <c r="D1525" s="7" t="inlineStr">
        <is>
          <t>TN01AD1717</t>
        </is>
      </c>
      <c r="E1525" s="7" t="inlineStr">
        <is>
          <t>MARUTI SUZUKI</t>
        </is>
      </c>
      <c r="F1525" s="7" t="inlineStr">
        <is>
          <t>Wagon R</t>
        </is>
      </c>
      <c r="G1525" s="7" t="inlineStr">
        <is>
          <t>KHIVRAJ MOTOR</t>
        </is>
      </c>
      <c r="H1525" s="7" t="inlineStr">
        <is>
          <t>Non-Captive</t>
        </is>
      </c>
      <c r="I1525" s="7" t="inlineStr">
        <is>
          <t>Santhosh Cars</t>
        </is>
      </c>
      <c r="J1525" s="8" t="n">
        <v>2007</v>
      </c>
      <c r="K1525" s="9" t="n">
        <v>101606</v>
      </c>
      <c r="L1525" s="10" t="n">
        <v>30000</v>
      </c>
      <c r="M1525" s="10" t="n">
        <v>4237.29</v>
      </c>
      <c r="N1525" s="11">
        <f>IF(M1525="","",ROUND(M1525*1.18,2))</f>
        <v/>
      </c>
      <c r="O1525" s="12">
        <f>IF(M1525="","",ROUND(N1525-M1525,2))</f>
        <v/>
      </c>
      <c r="P1525" s="13">
        <f>IF(AND(A1525&lt;&gt;"",B1525&lt;&gt;""), A1525&amp;" · "&amp;B1525, "")</f>
        <v/>
      </c>
    </row>
    <row r="1526">
      <c r="A1526" s="6" t="inlineStr">
        <is>
          <t>FY27</t>
        </is>
      </c>
      <c r="B1526" s="6" t="inlineStr">
        <is>
          <t>Apr</t>
        </is>
      </c>
      <c r="C1526" s="6" t="inlineStr">
        <is>
          <t>TN</t>
        </is>
      </c>
      <c r="D1526" s="7" t="inlineStr">
        <is>
          <t>TN01AH8341</t>
        </is>
      </c>
      <c r="E1526" s="7" t="inlineStr">
        <is>
          <t>MARUTI SUZUKI</t>
        </is>
      </c>
      <c r="F1526" s="7" t="inlineStr">
        <is>
          <t>Zen</t>
        </is>
      </c>
      <c r="G1526" s="7" t="inlineStr">
        <is>
          <t>EXCHANGE ROTN</t>
        </is>
      </c>
      <c r="H1526" s="7" t="inlineStr">
        <is>
          <t>Captive</t>
        </is>
      </c>
      <c r="I1526" s="7" t="inlineStr">
        <is>
          <t>Ashwin cars</t>
        </is>
      </c>
      <c r="J1526" s="8" t="n">
        <v>2008</v>
      </c>
      <c r="K1526" s="9" t="n">
        <v>104456</v>
      </c>
      <c r="L1526" s="10" t="n">
        <v>80000</v>
      </c>
      <c r="M1526" s="10" t="n">
        <v>4237.29</v>
      </c>
      <c r="N1526" s="11">
        <f>IF(M1526="","",ROUND(M1526*1.18,2))</f>
        <v/>
      </c>
      <c r="O1526" s="12">
        <f>IF(M1526="","",ROUND(N1526-M1526,2))</f>
        <v/>
      </c>
      <c r="P1526" s="13">
        <f>IF(AND(A1526&lt;&gt;"",B1526&lt;&gt;""), A1526&amp;" · "&amp;B1526, "")</f>
        <v/>
      </c>
    </row>
    <row r="1527">
      <c r="A1527" s="6" t="inlineStr">
        <is>
          <t>FY27</t>
        </is>
      </c>
      <c r="B1527" s="6" t="inlineStr">
        <is>
          <t>Apr</t>
        </is>
      </c>
      <c r="C1527" s="6" t="inlineStr">
        <is>
          <t>TN</t>
        </is>
      </c>
      <c r="D1527" s="7" t="inlineStr">
        <is>
          <t>TN01AK8996</t>
        </is>
      </c>
      <c r="E1527" s="7" t="inlineStr">
        <is>
          <t>HYUNDAI</t>
        </is>
      </c>
      <c r="F1527" s="7" t="inlineStr">
        <is>
          <t>i20</t>
        </is>
      </c>
      <c r="G1527" s="7" t="inlineStr">
        <is>
          <t>POPULAR VEHICLES</t>
        </is>
      </c>
      <c r="H1527" s="7" t="inlineStr">
        <is>
          <t>Non-Captive</t>
        </is>
      </c>
      <c r="I1527" s="7" t="inlineStr">
        <is>
          <t>Senthil Cars</t>
        </is>
      </c>
      <c r="J1527" s="8" t="n">
        <v>2010</v>
      </c>
      <c r="K1527" s="9" t="n">
        <v>105101</v>
      </c>
      <c r="L1527" s="10" t="n">
        <v>200000</v>
      </c>
      <c r="M1527" s="10" t="n">
        <v>2542.37</v>
      </c>
      <c r="N1527" s="11">
        <f>IF(M1527="","",ROUND(M1527*1.18,2))</f>
        <v/>
      </c>
      <c r="O1527" s="12">
        <f>IF(M1527="","",ROUND(N1527-M1527,2))</f>
        <v/>
      </c>
      <c r="P1527" s="13">
        <f>IF(AND(A1527&lt;&gt;"",B1527&lt;&gt;""), A1527&amp;" · "&amp;B1527, "")</f>
        <v/>
      </c>
    </row>
    <row r="1528">
      <c r="A1528" s="6" t="inlineStr">
        <is>
          <t>FY27</t>
        </is>
      </c>
      <c r="B1528" s="6" t="inlineStr">
        <is>
          <t>Apr</t>
        </is>
      </c>
      <c r="C1528" s="6" t="inlineStr">
        <is>
          <t>TN</t>
        </is>
      </c>
      <c r="D1528" s="7" t="inlineStr">
        <is>
          <t>TN01AK9356</t>
        </is>
      </c>
      <c r="E1528" s="7" t="inlineStr">
        <is>
          <t>MARUTI SUZUKI</t>
        </is>
      </c>
      <c r="F1528" s="7" t="inlineStr">
        <is>
          <t>Ritz</t>
        </is>
      </c>
      <c r="G1528" s="7" t="inlineStr">
        <is>
          <t>VISHNU CARS PRIVATE LIMITED</t>
        </is>
      </c>
      <c r="H1528" s="7" t="inlineStr">
        <is>
          <t>Non-Captive</t>
        </is>
      </c>
      <c r="I1528" s="7" t="inlineStr">
        <is>
          <t>Shree Shan Motor</t>
        </is>
      </c>
      <c r="J1528" s="8" t="n">
        <v>2010</v>
      </c>
      <c r="K1528" s="9" t="n">
        <v>120791</v>
      </c>
      <c r="L1528" s="10" t="n">
        <v>150000</v>
      </c>
      <c r="M1528" s="10" t="n">
        <v>2542.37</v>
      </c>
      <c r="N1528" s="11">
        <f>IF(M1528="","",ROUND(M1528*1.18,2))</f>
        <v/>
      </c>
      <c r="O1528" s="12">
        <f>IF(M1528="","",ROUND(N1528-M1528,2))</f>
        <v/>
      </c>
      <c r="P1528" s="13">
        <f>IF(AND(A1528&lt;&gt;"",B1528&lt;&gt;""), A1528&amp;" · "&amp;B1528, "")</f>
        <v/>
      </c>
    </row>
    <row r="1529">
      <c r="A1529" s="6" t="inlineStr">
        <is>
          <t>FY27</t>
        </is>
      </c>
      <c r="B1529" s="6" t="inlineStr">
        <is>
          <t>Apr</t>
        </is>
      </c>
      <c r="C1529" s="6" t="inlineStr">
        <is>
          <t>TN</t>
        </is>
      </c>
      <c r="D1529" s="7" t="inlineStr">
        <is>
          <t>TN01AL5888</t>
        </is>
      </c>
      <c r="E1529" s="7" t="inlineStr">
        <is>
          <t>CHEVROLET</t>
        </is>
      </c>
      <c r="F1529" s="7" t="inlineStr">
        <is>
          <t>Spark</t>
        </is>
      </c>
      <c r="G1529" s="7" t="inlineStr">
        <is>
          <t>POPULAR VEHICLES</t>
        </is>
      </c>
      <c r="H1529" s="7" t="inlineStr">
        <is>
          <t>Non-Captive</t>
        </is>
      </c>
      <c r="I1529" s="7" t="inlineStr">
        <is>
          <t>Shree Shan Motor</t>
        </is>
      </c>
      <c r="J1529" s="8" t="n">
        <v>2010</v>
      </c>
      <c r="K1529" s="9" t="n">
        <v>90338</v>
      </c>
      <c r="L1529" s="10" t="n">
        <v>120000</v>
      </c>
      <c r="M1529" s="10" t="n">
        <v>2542.37</v>
      </c>
      <c r="N1529" s="11">
        <f>IF(M1529="","",ROUND(M1529*1.18,2))</f>
        <v/>
      </c>
      <c r="O1529" s="12">
        <f>IF(M1529="","",ROUND(N1529-M1529,2))</f>
        <v/>
      </c>
      <c r="P1529" s="13">
        <f>IF(AND(A1529&lt;&gt;"",B1529&lt;&gt;""), A1529&amp;" · "&amp;B1529, "")</f>
        <v/>
      </c>
    </row>
    <row r="1530">
      <c r="A1530" s="6" t="inlineStr">
        <is>
          <t>FY27</t>
        </is>
      </c>
      <c r="B1530" s="6" t="inlineStr">
        <is>
          <t>Apr</t>
        </is>
      </c>
      <c r="C1530" s="6" t="inlineStr">
        <is>
          <t>TN</t>
        </is>
      </c>
      <c r="D1530" s="7" t="inlineStr">
        <is>
          <t>TN01AR2556</t>
        </is>
      </c>
      <c r="E1530" s="7" t="inlineStr">
        <is>
          <t>VOLKSWAGEN</t>
        </is>
      </c>
      <c r="F1530" s="7" t="inlineStr">
        <is>
          <t>Vento</t>
        </is>
      </c>
      <c r="G1530" s="7" t="inlineStr">
        <is>
          <t>POPULAR VEHICLES</t>
        </is>
      </c>
      <c r="H1530" s="7" t="inlineStr">
        <is>
          <t>Non-Captive</t>
        </is>
      </c>
      <c r="I1530" s="7" t="inlineStr">
        <is>
          <t>Shree Shan Motor</t>
        </is>
      </c>
      <c r="J1530" s="8" t="n">
        <v>2012</v>
      </c>
      <c r="K1530" s="9" t="n">
        <v>128607</v>
      </c>
      <c r="L1530" s="10" t="n">
        <v>170000</v>
      </c>
      <c r="M1530" s="10" t="n">
        <v>2542.37</v>
      </c>
      <c r="N1530" s="11">
        <f>IF(M1530="","",ROUND(M1530*1.18,2))</f>
        <v/>
      </c>
      <c r="O1530" s="12">
        <f>IF(M1530="","",ROUND(N1530-M1530,2))</f>
        <v/>
      </c>
      <c r="P1530" s="13">
        <f>IF(AND(A1530&lt;&gt;"",B1530&lt;&gt;""), A1530&amp;" · "&amp;B1530, "")</f>
        <v/>
      </c>
    </row>
    <row r="1531">
      <c r="A1531" s="6" t="inlineStr">
        <is>
          <t>FY27</t>
        </is>
      </c>
      <c r="B1531" s="6" t="inlineStr">
        <is>
          <t>Apr</t>
        </is>
      </c>
      <c r="C1531" s="6" t="inlineStr">
        <is>
          <t>TN</t>
        </is>
      </c>
      <c r="D1531" s="7" t="inlineStr">
        <is>
          <t>TN01AR2660</t>
        </is>
      </c>
      <c r="E1531" s="7" t="inlineStr">
        <is>
          <t>RENAULT</t>
        </is>
      </c>
      <c r="F1531" s="7" t="inlineStr">
        <is>
          <t>Pulse</t>
        </is>
      </c>
      <c r="G1531" s="7" t="inlineStr">
        <is>
          <t>VISHNU CARS PRIVATE LIMITED</t>
        </is>
      </c>
      <c r="H1531" s="7" t="inlineStr">
        <is>
          <t>Non-Captive</t>
        </is>
      </c>
      <c r="I1531" s="7" t="inlineStr">
        <is>
          <t>Shree Shan Motor</t>
        </is>
      </c>
      <c r="J1531" s="8" t="n">
        <v>2012</v>
      </c>
      <c r="K1531" s="9" t="n">
        <v>122630</v>
      </c>
      <c r="L1531" s="10" t="n">
        <v>200000</v>
      </c>
      <c r="M1531" s="10" t="n">
        <v>3389.83</v>
      </c>
      <c r="N1531" s="11">
        <f>IF(M1531="","",ROUND(M1531*1.18,2))</f>
        <v/>
      </c>
      <c r="O1531" s="12">
        <f>IF(M1531="","",ROUND(N1531-M1531,2))</f>
        <v/>
      </c>
      <c r="P1531" s="13">
        <f>IF(AND(A1531&lt;&gt;"",B1531&lt;&gt;""), A1531&amp;" · "&amp;B1531, "")</f>
        <v/>
      </c>
    </row>
    <row r="1532">
      <c r="A1532" s="6" t="inlineStr">
        <is>
          <t>FY27</t>
        </is>
      </c>
      <c r="B1532" s="6" t="inlineStr">
        <is>
          <t>Apr</t>
        </is>
      </c>
      <c r="C1532" s="6" t="inlineStr">
        <is>
          <t>TN</t>
        </is>
      </c>
      <c r="D1532" s="7" t="inlineStr">
        <is>
          <t>TN01AS0585</t>
        </is>
      </c>
      <c r="E1532" s="7" t="inlineStr">
        <is>
          <t>HYUNDAI</t>
        </is>
      </c>
      <c r="F1532" s="7" t="inlineStr">
        <is>
          <t>i10</t>
        </is>
      </c>
      <c r="G1532" s="7" t="inlineStr">
        <is>
          <t>ABT LIMITED</t>
        </is>
      </c>
      <c r="H1532" s="7" t="inlineStr">
        <is>
          <t>Non-Captive</t>
        </is>
      </c>
      <c r="I1532" s="7" t="inlineStr">
        <is>
          <t>Shree Shan Motor</t>
        </is>
      </c>
      <c r="J1532" s="8" t="n">
        <v>2011</v>
      </c>
      <c r="K1532" s="9" t="n">
        <v>69824</v>
      </c>
      <c r="L1532" s="10" t="n">
        <v>190000</v>
      </c>
      <c r="M1532" s="10" t="n">
        <v>2542.37</v>
      </c>
      <c r="N1532" s="11">
        <f>IF(M1532="","",ROUND(M1532*1.18,2))</f>
        <v/>
      </c>
      <c r="O1532" s="12">
        <f>IF(M1532="","",ROUND(N1532-M1532,2))</f>
        <v/>
      </c>
      <c r="P1532" s="13">
        <f>IF(AND(A1532&lt;&gt;"",B1532&lt;&gt;""), A1532&amp;" · "&amp;B1532, "")</f>
        <v/>
      </c>
    </row>
    <row r="1533">
      <c r="A1533" s="6" t="inlineStr">
        <is>
          <t>FY27</t>
        </is>
      </c>
      <c r="B1533" s="6" t="inlineStr">
        <is>
          <t>Apr</t>
        </is>
      </c>
      <c r="C1533" s="6" t="inlineStr">
        <is>
          <t>TN</t>
        </is>
      </c>
      <c r="D1533" s="7" t="inlineStr">
        <is>
          <t>TN01AS5763</t>
        </is>
      </c>
      <c r="E1533" s="7" t="inlineStr">
        <is>
          <t>FORD</t>
        </is>
      </c>
      <c r="F1533" s="7" t="inlineStr">
        <is>
          <t>Figo</t>
        </is>
      </c>
      <c r="G1533" s="7" t="inlineStr">
        <is>
          <t>WHEELS INDIA LIMITED</t>
        </is>
      </c>
      <c r="H1533" s="7" t="inlineStr">
        <is>
          <t>Non-Captive</t>
        </is>
      </c>
      <c r="I1533" s="7" t="inlineStr">
        <is>
          <t>Ramesh Cars</t>
        </is>
      </c>
      <c r="J1533" s="8" t="n">
        <v>2012</v>
      </c>
      <c r="K1533" s="9" t="n">
        <v>65670</v>
      </c>
      <c r="L1533" s="10" t="n">
        <v>60000</v>
      </c>
      <c r="M1533" s="10" t="n">
        <v>5084.75</v>
      </c>
      <c r="N1533" s="11">
        <f>IF(M1533="","",ROUND(M1533*1.18,2))</f>
        <v/>
      </c>
      <c r="O1533" s="12">
        <f>IF(M1533="","",ROUND(N1533-M1533,2))</f>
        <v/>
      </c>
      <c r="P1533" s="13">
        <f>IF(AND(A1533&lt;&gt;"",B1533&lt;&gt;""), A1533&amp;" · "&amp;B1533, "")</f>
        <v/>
      </c>
    </row>
    <row r="1534">
      <c r="A1534" s="6" t="inlineStr">
        <is>
          <t>FY27</t>
        </is>
      </c>
      <c r="B1534" s="6" t="inlineStr">
        <is>
          <t>Apr</t>
        </is>
      </c>
      <c r="C1534" s="6" t="inlineStr">
        <is>
          <t>TN</t>
        </is>
      </c>
      <c r="D1534" s="7" t="inlineStr">
        <is>
          <t>TN01AT4390</t>
        </is>
      </c>
      <c r="E1534" s="7" t="inlineStr">
        <is>
          <t>HONDA</t>
        </is>
      </c>
      <c r="F1534" s="7" t="inlineStr">
        <is>
          <t>Brio</t>
        </is>
      </c>
      <c r="G1534" s="7" t="inlineStr">
        <is>
          <t>VISHNU CARS PRIVATE LIMITED</t>
        </is>
      </c>
      <c r="H1534" s="7" t="inlineStr">
        <is>
          <t>Non-Captive</t>
        </is>
      </c>
      <c r="I1534" s="7" t="inlineStr">
        <is>
          <t>Shree Shan Motor</t>
        </is>
      </c>
      <c r="J1534" s="8" t="n">
        <v>2013</v>
      </c>
      <c r="K1534" s="9" t="n">
        <v>95242</v>
      </c>
      <c r="L1534" s="10" t="n">
        <v>160000</v>
      </c>
      <c r="M1534" s="10" t="n">
        <v>2542.37</v>
      </c>
      <c r="N1534" s="11">
        <f>IF(M1534="","",ROUND(M1534*1.18,2))</f>
        <v/>
      </c>
      <c r="O1534" s="12">
        <f>IF(M1534="","",ROUND(N1534-M1534,2))</f>
        <v/>
      </c>
      <c r="P1534" s="13">
        <f>IF(AND(A1534&lt;&gt;"",B1534&lt;&gt;""), A1534&amp;" · "&amp;B1534, "")</f>
        <v/>
      </c>
    </row>
    <row r="1535">
      <c r="A1535" s="6" t="inlineStr">
        <is>
          <t>FY27</t>
        </is>
      </c>
      <c r="B1535" s="6" t="inlineStr">
        <is>
          <t>Apr</t>
        </is>
      </c>
      <c r="C1535" s="6" t="inlineStr">
        <is>
          <t>TN</t>
        </is>
      </c>
      <c r="D1535" s="7" t="inlineStr">
        <is>
          <t>TN01BA8415</t>
        </is>
      </c>
      <c r="E1535" s="7" t="inlineStr">
        <is>
          <t>MARUTI SUZUKI</t>
        </is>
      </c>
      <c r="F1535" s="7" t="inlineStr">
        <is>
          <t>Ciaz</t>
        </is>
      </c>
      <c r="G1535" s="7" t="inlineStr">
        <is>
          <t>CARS INDIA</t>
        </is>
      </c>
      <c r="H1535" s="7" t="inlineStr">
        <is>
          <t>Non-Captive</t>
        </is>
      </c>
      <c r="I1535" s="7" t="inlineStr">
        <is>
          <t>Santhosh Cars</t>
        </is>
      </c>
      <c r="J1535" s="8" t="n">
        <v>2016</v>
      </c>
      <c r="K1535" s="9" t="n">
        <v>19307</v>
      </c>
      <c r="L1535" s="10" t="n">
        <v>380000</v>
      </c>
      <c r="M1535" s="10" t="n">
        <v>6355.93</v>
      </c>
      <c r="N1535" s="11">
        <f>IF(M1535="","",ROUND(M1535*1.18,2))</f>
        <v/>
      </c>
      <c r="O1535" s="12">
        <f>IF(M1535="","",ROUND(N1535-M1535,2))</f>
        <v/>
      </c>
      <c r="P1535" s="13">
        <f>IF(AND(A1535&lt;&gt;"",B1535&lt;&gt;""), A1535&amp;" · "&amp;B1535, "")</f>
        <v/>
      </c>
    </row>
    <row r="1536">
      <c r="A1536" s="6" t="inlineStr">
        <is>
          <t>FY27</t>
        </is>
      </c>
      <c r="B1536" s="6" t="inlineStr">
        <is>
          <t>Apr</t>
        </is>
      </c>
      <c r="C1536" s="6" t="inlineStr">
        <is>
          <t>TN</t>
        </is>
      </c>
      <c r="D1536" s="7" t="inlineStr">
        <is>
          <t>TN01BE1116</t>
        </is>
      </c>
      <c r="E1536" s="7" t="inlineStr">
        <is>
          <t>MARUTI SUZUKI</t>
        </is>
      </c>
      <c r="F1536" s="7" t="inlineStr">
        <is>
          <t>Alto</t>
        </is>
      </c>
      <c r="G1536" s="7" t="inlineStr">
        <is>
          <t>CARS INDIA</t>
        </is>
      </c>
      <c r="H1536" s="7" t="inlineStr">
        <is>
          <t>Non-Captive</t>
        </is>
      </c>
      <c r="I1536" s="7" t="inlineStr">
        <is>
          <t>Kamal Cars</t>
        </is>
      </c>
      <c r="J1536" s="8" t="n">
        <v>2018</v>
      </c>
      <c r="K1536" s="9" t="n">
        <v>50790</v>
      </c>
      <c r="L1536" s="10" t="n">
        <v>200000</v>
      </c>
      <c r="M1536" s="10" t="n">
        <v>5084.75</v>
      </c>
      <c r="N1536" s="11">
        <f>IF(M1536="","",ROUND(M1536*1.18,2))</f>
        <v/>
      </c>
      <c r="O1536" s="12">
        <f>IF(M1536="","",ROUND(N1536-M1536,2))</f>
        <v/>
      </c>
      <c r="P1536" s="13">
        <f>IF(AND(A1536&lt;&gt;"",B1536&lt;&gt;""), A1536&amp;" · "&amp;B1536, "")</f>
        <v/>
      </c>
    </row>
    <row r="1537">
      <c r="A1537" s="6" t="inlineStr">
        <is>
          <t>FY27</t>
        </is>
      </c>
      <c r="B1537" s="6" t="inlineStr">
        <is>
          <t>Apr</t>
        </is>
      </c>
      <c r="C1537" s="6" t="inlineStr">
        <is>
          <t>TN</t>
        </is>
      </c>
      <c r="D1537" s="7" t="inlineStr">
        <is>
          <t>TN01BE2417</t>
        </is>
      </c>
      <c r="E1537" s="7" t="inlineStr">
        <is>
          <t>HONDA</t>
        </is>
      </c>
      <c r="F1537" s="7" t="inlineStr">
        <is>
          <t>WR-V</t>
        </is>
      </c>
      <c r="G1537" s="7" t="inlineStr">
        <is>
          <t>EXCHANGE CHENNAI</t>
        </is>
      </c>
      <c r="H1537" s="7" t="inlineStr">
        <is>
          <t>Captive</t>
        </is>
      </c>
      <c r="I1537" s="7" t="inlineStr">
        <is>
          <t>Varadhrajan cars</t>
        </is>
      </c>
      <c r="J1537" s="8" t="n">
        <v>2018</v>
      </c>
      <c r="K1537" s="9" t="n">
        <v>15020</v>
      </c>
      <c r="L1537" s="10" t="n">
        <v>475000</v>
      </c>
      <c r="M1537" s="10" t="n">
        <v>12711.86</v>
      </c>
      <c r="N1537" s="11">
        <f>IF(M1537="","",ROUND(M1537*1.18,2))</f>
        <v/>
      </c>
      <c r="O1537" s="12">
        <f>IF(M1537="","",ROUND(N1537-M1537,2))</f>
        <v/>
      </c>
      <c r="P1537" s="13">
        <f>IF(AND(A1537&lt;&gt;"",B1537&lt;&gt;""), A1537&amp;" · "&amp;B1537, "")</f>
        <v/>
      </c>
    </row>
    <row r="1538">
      <c r="A1538" s="6" t="inlineStr">
        <is>
          <t>FY27</t>
        </is>
      </c>
      <c r="B1538" s="6" t="inlineStr">
        <is>
          <t>Apr</t>
        </is>
      </c>
      <c r="C1538" s="6" t="inlineStr">
        <is>
          <t>TN</t>
        </is>
      </c>
      <c r="D1538" s="7" t="inlineStr">
        <is>
          <t>TN01BE2476</t>
        </is>
      </c>
      <c r="E1538" s="7" t="inlineStr">
        <is>
          <t>MARUTI SUZUKI</t>
        </is>
      </c>
      <c r="F1538" s="7" t="inlineStr">
        <is>
          <t>Dzire</t>
        </is>
      </c>
      <c r="G1538" s="7" t="inlineStr">
        <is>
          <t>EXCHANGE CHENNAI</t>
        </is>
      </c>
      <c r="H1538" s="7" t="inlineStr">
        <is>
          <t>Captive</t>
        </is>
      </c>
      <c r="I1538" s="7" t="inlineStr">
        <is>
          <t>Santhosh Cars</t>
        </is>
      </c>
      <c r="J1538" s="8" t="n">
        <v>2018</v>
      </c>
      <c r="K1538" s="9" t="n">
        <v>83007</v>
      </c>
      <c r="L1538" s="10" t="n">
        <v>420000</v>
      </c>
      <c r="M1538" s="10" t="n">
        <v>8474.58</v>
      </c>
      <c r="N1538" s="11">
        <f>IF(M1538="","",ROUND(M1538*1.18,2))</f>
        <v/>
      </c>
      <c r="O1538" s="12">
        <f>IF(M1538="","",ROUND(N1538-M1538,2))</f>
        <v/>
      </c>
      <c r="P1538" s="13">
        <f>IF(AND(A1538&lt;&gt;"",B1538&lt;&gt;""), A1538&amp;" · "&amp;B1538, "")</f>
        <v/>
      </c>
    </row>
    <row r="1539">
      <c r="A1539" s="6" t="inlineStr">
        <is>
          <t>FY27</t>
        </is>
      </c>
      <c r="B1539" s="6" t="inlineStr">
        <is>
          <t>Apr</t>
        </is>
      </c>
      <c r="C1539" s="6" t="inlineStr">
        <is>
          <t>TN</t>
        </is>
      </c>
      <c r="D1539" s="7" t="inlineStr">
        <is>
          <t>TN01V5216</t>
        </is>
      </c>
      <c r="E1539" s="7" t="inlineStr">
        <is>
          <t>MARUTI SUZUKI</t>
        </is>
      </c>
      <c r="F1539" s="7" t="inlineStr">
        <is>
          <t>800</t>
        </is>
      </c>
      <c r="G1539" s="7" t="inlineStr">
        <is>
          <t>KHIVRAJ MOTOR</t>
        </is>
      </c>
      <c r="H1539" s="7" t="inlineStr">
        <is>
          <t>Non-Captive</t>
        </is>
      </c>
      <c r="I1539" s="7" t="inlineStr">
        <is>
          <t>AAA Cars</t>
        </is>
      </c>
      <c r="J1539" s="8" t="n">
        <v>2003</v>
      </c>
      <c r="K1539" s="9" t="n">
        <v>83655</v>
      </c>
      <c r="L1539" s="10" t="n">
        <v>40000</v>
      </c>
      <c r="M1539" s="10" t="n">
        <v>4237.29</v>
      </c>
      <c r="N1539" s="11">
        <f>IF(M1539="","",ROUND(M1539*1.18,2))</f>
        <v/>
      </c>
      <c r="O1539" s="12">
        <f>IF(M1539="","",ROUND(N1539-M1539,2))</f>
        <v/>
      </c>
      <c r="P1539" s="13">
        <f>IF(AND(A1539&lt;&gt;"",B1539&lt;&gt;""), A1539&amp;" · "&amp;B1539, "")</f>
        <v/>
      </c>
    </row>
    <row r="1540">
      <c r="A1540" s="6" t="inlineStr">
        <is>
          <t>FY27</t>
        </is>
      </c>
      <c r="B1540" s="6" t="inlineStr">
        <is>
          <t>Apr</t>
        </is>
      </c>
      <c r="C1540" s="6" t="inlineStr">
        <is>
          <t>TN</t>
        </is>
      </c>
      <c r="D1540" s="7" t="inlineStr">
        <is>
          <t>TN01V5216</t>
        </is>
      </c>
      <c r="E1540" s="7" t="inlineStr">
        <is>
          <t>MARUTI SUZUKI</t>
        </is>
      </c>
      <c r="F1540" s="7" t="inlineStr">
        <is>
          <t>800</t>
        </is>
      </c>
      <c r="G1540" s="7" t="inlineStr">
        <is>
          <t>KHIVRAJ MOTOR</t>
        </is>
      </c>
      <c r="H1540" s="7" t="inlineStr">
        <is>
          <t>Non-Captive</t>
        </is>
      </c>
      <c r="I1540" s="7" t="inlineStr">
        <is>
          <t>AAA Cars</t>
        </is>
      </c>
      <c r="J1540" s="8" t="n">
        <v>2003</v>
      </c>
      <c r="K1540" s="9" t="n">
        <v>29025</v>
      </c>
      <c r="L1540" s="10" t="n">
        <v>42000</v>
      </c>
      <c r="M1540" s="10" t="n">
        <v>4237.29</v>
      </c>
      <c r="N1540" s="11">
        <f>IF(M1540="","",ROUND(M1540*1.18,2))</f>
        <v/>
      </c>
      <c r="O1540" s="12">
        <f>IF(M1540="","",ROUND(N1540-M1540,2))</f>
        <v/>
      </c>
      <c r="P1540" s="13">
        <f>IF(AND(A1540&lt;&gt;"",B1540&lt;&gt;""), A1540&amp;" · "&amp;B1540, "")</f>
        <v/>
      </c>
    </row>
    <row r="1541">
      <c r="A1541" s="6" t="inlineStr">
        <is>
          <t>FY27</t>
        </is>
      </c>
      <c r="B1541" s="6" t="inlineStr">
        <is>
          <t>Apr</t>
        </is>
      </c>
      <c r="C1541" s="6" t="inlineStr">
        <is>
          <t>TN</t>
        </is>
      </c>
      <c r="D1541" s="7" t="inlineStr">
        <is>
          <t>TN01Z6684</t>
        </is>
      </c>
      <c r="E1541" s="7" t="inlineStr">
        <is>
          <t>HYUNDAI</t>
        </is>
      </c>
      <c r="F1541" s="7" t="inlineStr">
        <is>
          <t>Santro</t>
        </is>
      </c>
      <c r="G1541" s="7" t="inlineStr">
        <is>
          <t>ABT LIMITED</t>
        </is>
      </c>
      <c r="H1541" s="7" t="inlineStr">
        <is>
          <t>Non-Captive</t>
        </is>
      </c>
      <c r="I1541" s="7" t="inlineStr">
        <is>
          <t>Shree Shan Motor</t>
        </is>
      </c>
      <c r="J1541" s="8" t="n">
        <v>2005</v>
      </c>
      <c r="K1541" s="9" t="n">
        <v>82163</v>
      </c>
      <c r="L1541" s="10" t="n">
        <v>70000</v>
      </c>
      <c r="M1541" s="10" t="n">
        <v>2542.37</v>
      </c>
      <c r="N1541" s="11">
        <f>IF(M1541="","",ROUND(M1541*1.18,2))</f>
        <v/>
      </c>
      <c r="O1541" s="12">
        <f>IF(M1541="","",ROUND(N1541-M1541,2))</f>
        <v/>
      </c>
      <c r="P1541" s="13">
        <f>IF(AND(A1541&lt;&gt;"",B1541&lt;&gt;""), A1541&amp;" · "&amp;B1541, "")</f>
        <v/>
      </c>
    </row>
    <row r="1542">
      <c r="A1542" s="6" t="inlineStr">
        <is>
          <t>FY27</t>
        </is>
      </c>
      <c r="B1542" s="6" t="inlineStr">
        <is>
          <t>Apr</t>
        </is>
      </c>
      <c r="C1542" s="6" t="inlineStr">
        <is>
          <t>TN</t>
        </is>
      </c>
      <c r="D1542" s="7" t="inlineStr">
        <is>
          <t>TN02AJ5060</t>
        </is>
      </c>
      <c r="E1542" s="7" t="inlineStr">
        <is>
          <t>TATA</t>
        </is>
      </c>
      <c r="F1542" s="7" t="inlineStr">
        <is>
          <t>Indica</t>
        </is>
      </c>
      <c r="G1542" s="7" t="inlineStr">
        <is>
          <t>ABT LIMITED</t>
        </is>
      </c>
      <c r="H1542" s="7" t="inlineStr">
        <is>
          <t>Non-Captive</t>
        </is>
      </c>
      <c r="I1542" s="7" t="inlineStr">
        <is>
          <t>Shree Shan Motor</t>
        </is>
      </c>
      <c r="J1542" s="8" t="n">
        <v>2009</v>
      </c>
      <c r="K1542" s="9" t="n">
        <v>95848</v>
      </c>
      <c r="L1542" s="10" t="n">
        <v>50000</v>
      </c>
      <c r="M1542" s="10" t="n">
        <v>2542.37</v>
      </c>
      <c r="N1542" s="11">
        <f>IF(M1542="","",ROUND(M1542*1.18,2))</f>
        <v/>
      </c>
      <c r="O1542" s="12">
        <f>IF(M1542="","",ROUND(N1542-M1542,2))</f>
        <v/>
      </c>
      <c r="P1542" s="13">
        <f>IF(AND(A1542&lt;&gt;"",B1542&lt;&gt;""), A1542&amp;" · "&amp;B1542, "")</f>
        <v/>
      </c>
    </row>
    <row r="1543">
      <c r="A1543" s="6" t="inlineStr">
        <is>
          <t>FY27</t>
        </is>
      </c>
      <c r="B1543" s="6" t="inlineStr">
        <is>
          <t>Apr</t>
        </is>
      </c>
      <c r="C1543" s="6" t="inlineStr">
        <is>
          <t>TN</t>
        </is>
      </c>
      <c r="D1543" s="7" t="inlineStr">
        <is>
          <t>TN02AL6933</t>
        </is>
      </c>
      <c r="E1543" s="7" t="inlineStr">
        <is>
          <t>HYUNDAI</t>
        </is>
      </c>
      <c r="F1543" s="7" t="inlineStr">
        <is>
          <t>i10</t>
        </is>
      </c>
      <c r="G1543" s="7" t="inlineStr">
        <is>
          <t>POPULAR VEHICLES</t>
        </is>
      </c>
      <c r="H1543" s="7" t="inlineStr">
        <is>
          <t>Non-Captive</t>
        </is>
      </c>
      <c r="I1543" s="7" t="inlineStr">
        <is>
          <t>Santhosh Cars</t>
        </is>
      </c>
      <c r="J1543" s="8" t="n">
        <v>2010</v>
      </c>
      <c r="K1543" s="9" t="n">
        <v>66025</v>
      </c>
      <c r="L1543" s="10" t="n">
        <v>145000</v>
      </c>
      <c r="M1543" s="10" t="n">
        <v>2542.37</v>
      </c>
      <c r="N1543" s="11">
        <f>IF(M1543="","",ROUND(M1543*1.18,2))</f>
        <v/>
      </c>
      <c r="O1543" s="12">
        <f>IF(M1543="","",ROUND(N1543-M1543,2))</f>
        <v/>
      </c>
      <c r="P1543" s="13">
        <f>IF(AND(A1543&lt;&gt;"",B1543&lt;&gt;""), A1543&amp;" · "&amp;B1543, "")</f>
        <v/>
      </c>
    </row>
    <row r="1544">
      <c r="A1544" s="6" t="inlineStr">
        <is>
          <t>FY27</t>
        </is>
      </c>
      <c r="B1544" s="6" t="inlineStr">
        <is>
          <t>Apr</t>
        </is>
      </c>
      <c r="C1544" s="6" t="inlineStr">
        <is>
          <t>TN</t>
        </is>
      </c>
      <c r="D1544" s="7" t="inlineStr">
        <is>
          <t>TN02AM9453</t>
        </is>
      </c>
      <c r="E1544" s="7" t="inlineStr">
        <is>
          <t>HYUNDAI</t>
        </is>
      </c>
      <c r="F1544" s="7" t="inlineStr">
        <is>
          <t>i10</t>
        </is>
      </c>
      <c r="G1544" s="7" t="inlineStr">
        <is>
          <t>POPULAR VEHICLES</t>
        </is>
      </c>
      <c r="H1544" s="7" t="inlineStr">
        <is>
          <t>Non-Captive</t>
        </is>
      </c>
      <c r="I1544" s="7" t="inlineStr">
        <is>
          <t>Santhosh Cars</t>
        </is>
      </c>
      <c r="J1544" s="8" t="n">
        <v>2010</v>
      </c>
      <c r="K1544" s="9" t="n">
        <v>67390</v>
      </c>
      <c r="L1544" s="10" t="n">
        <v>140000</v>
      </c>
      <c r="M1544" s="10" t="n">
        <v>2542.37</v>
      </c>
      <c r="N1544" s="11">
        <f>IF(M1544="","",ROUND(M1544*1.18,2))</f>
        <v/>
      </c>
      <c r="O1544" s="12">
        <f>IF(M1544="","",ROUND(N1544-M1544,2))</f>
        <v/>
      </c>
      <c r="P1544" s="13">
        <f>IF(AND(A1544&lt;&gt;"",B1544&lt;&gt;""), A1544&amp;" · "&amp;B1544, "")</f>
        <v/>
      </c>
    </row>
    <row r="1545">
      <c r="A1545" s="6" t="inlineStr">
        <is>
          <t>FY27</t>
        </is>
      </c>
      <c r="B1545" s="6" t="inlineStr">
        <is>
          <t>Apr</t>
        </is>
      </c>
      <c r="C1545" s="6" t="inlineStr">
        <is>
          <t>TN</t>
        </is>
      </c>
      <c r="D1545" s="7" t="inlineStr">
        <is>
          <t>TN02AM9560</t>
        </is>
      </c>
      <c r="E1545" s="7" t="inlineStr">
        <is>
          <t>MARUTI SUZUKI</t>
        </is>
      </c>
      <c r="F1545" s="7" t="inlineStr">
        <is>
          <t>Alto</t>
        </is>
      </c>
      <c r="G1545" s="7" t="inlineStr">
        <is>
          <t>ABT LIMITED</t>
        </is>
      </c>
      <c r="H1545" s="7" t="inlineStr">
        <is>
          <t>Non-Captive</t>
        </is>
      </c>
      <c r="I1545" s="7" t="inlineStr">
        <is>
          <t>Santhosh Cars</t>
        </is>
      </c>
      <c r="J1545" s="8" t="n">
        <v>2010</v>
      </c>
      <c r="K1545" s="9" t="n">
        <v>104033</v>
      </c>
      <c r="L1545" s="10" t="n">
        <v>100000</v>
      </c>
      <c r="M1545" s="10" t="n">
        <v>2542.37</v>
      </c>
      <c r="N1545" s="11">
        <f>IF(M1545="","",ROUND(M1545*1.18,2))</f>
        <v/>
      </c>
      <c r="O1545" s="12">
        <f>IF(M1545="","",ROUND(N1545-M1545,2))</f>
        <v/>
      </c>
      <c r="P1545" s="13">
        <f>IF(AND(A1545&lt;&gt;"",B1545&lt;&gt;""), A1545&amp;" · "&amp;B1545, "")</f>
        <v/>
      </c>
    </row>
    <row r="1546">
      <c r="A1546" s="6" t="inlineStr">
        <is>
          <t>FY27</t>
        </is>
      </c>
      <c r="B1546" s="6" t="inlineStr">
        <is>
          <t>Apr</t>
        </is>
      </c>
      <c r="C1546" s="6" t="inlineStr">
        <is>
          <t>TN</t>
        </is>
      </c>
      <c r="D1546" s="7" t="inlineStr">
        <is>
          <t>TN02AR4407</t>
        </is>
      </c>
      <c r="E1546" s="7" t="inlineStr">
        <is>
          <t>MARUTI SUZUKI</t>
        </is>
      </c>
      <c r="F1546" s="7" t="inlineStr">
        <is>
          <t>Wagon R</t>
        </is>
      </c>
      <c r="G1546" s="7" t="inlineStr">
        <is>
          <t>ABT LIMITED</t>
        </is>
      </c>
      <c r="H1546" s="7" t="inlineStr">
        <is>
          <t>Non-Captive</t>
        </is>
      </c>
      <c r="I1546" s="7" t="inlineStr">
        <is>
          <t>Santhosh Cars</t>
        </is>
      </c>
      <c r="J1546" s="8" t="n">
        <v>2011</v>
      </c>
      <c r="K1546" s="9" t="n">
        <v>56229</v>
      </c>
      <c r="L1546" s="10" t="n">
        <v>150000</v>
      </c>
      <c r="M1546" s="10" t="n">
        <v>2542.37</v>
      </c>
      <c r="N1546" s="11">
        <f>IF(M1546="","",ROUND(M1546*1.18,2))</f>
        <v/>
      </c>
      <c r="O1546" s="12">
        <f>IF(M1546="","",ROUND(N1546-M1546,2))</f>
        <v/>
      </c>
      <c r="P1546" s="13">
        <f>IF(AND(A1546&lt;&gt;"",B1546&lt;&gt;""), A1546&amp;" · "&amp;B1546, "")</f>
        <v/>
      </c>
    </row>
    <row r="1547">
      <c r="A1547" s="6" t="inlineStr">
        <is>
          <t>FY27</t>
        </is>
      </c>
      <c r="B1547" s="6" t="inlineStr">
        <is>
          <t>Apr</t>
        </is>
      </c>
      <c r="C1547" s="6" t="inlineStr">
        <is>
          <t>TN</t>
        </is>
      </c>
      <c r="D1547" s="7" t="inlineStr">
        <is>
          <t>TN02AX4167</t>
        </is>
      </c>
      <c r="E1547" s="7" t="inlineStr">
        <is>
          <t>MARUTI SUZUKI</t>
        </is>
      </c>
      <c r="F1547" s="7" t="inlineStr">
        <is>
          <t>Alto</t>
        </is>
      </c>
      <c r="G1547" s="7" t="inlineStr">
        <is>
          <t>POPULAR VEHICLES</t>
        </is>
      </c>
      <c r="H1547" s="7" t="inlineStr">
        <is>
          <t>Non-Captive</t>
        </is>
      </c>
      <c r="I1547" s="7" t="inlineStr">
        <is>
          <t>Santhosh Cars</t>
        </is>
      </c>
      <c r="J1547" s="8" t="n">
        <v>2013</v>
      </c>
      <c r="K1547" s="9" t="n">
        <v>32620</v>
      </c>
      <c r="L1547" s="10" t="n">
        <v>150000</v>
      </c>
      <c r="M1547" s="10" t="n">
        <v>2542.37</v>
      </c>
      <c r="N1547" s="11">
        <f>IF(M1547="","",ROUND(M1547*1.18,2))</f>
        <v/>
      </c>
      <c r="O1547" s="12">
        <f>IF(M1547="","",ROUND(N1547-M1547,2))</f>
        <v/>
      </c>
      <c r="P1547" s="13">
        <f>IF(AND(A1547&lt;&gt;"",B1547&lt;&gt;""), A1547&amp;" · "&amp;B1547, "")</f>
        <v/>
      </c>
    </row>
    <row r="1548">
      <c r="A1548" s="6" t="inlineStr">
        <is>
          <t>FY27</t>
        </is>
      </c>
      <c r="B1548" s="6" t="inlineStr">
        <is>
          <t>Apr</t>
        </is>
      </c>
      <c r="C1548" s="6" t="inlineStr">
        <is>
          <t>TN</t>
        </is>
      </c>
      <c r="D1548" s="7" t="inlineStr">
        <is>
          <t>TN02AX6246</t>
        </is>
      </c>
      <c r="E1548" s="7" t="inlineStr">
        <is>
          <t>HYUNDAI</t>
        </is>
      </c>
      <c r="F1548" s="7" t="inlineStr">
        <is>
          <t>i20</t>
        </is>
      </c>
      <c r="G1548" s="7" t="inlineStr">
        <is>
          <t>EXCHANGE CHENNAI</t>
        </is>
      </c>
      <c r="H1548" s="7" t="inlineStr">
        <is>
          <t>Captive</t>
        </is>
      </c>
      <c r="I1548" s="7" t="inlineStr">
        <is>
          <t>RAM Manohar</t>
        </is>
      </c>
      <c r="J1548" s="8" t="n">
        <v>2013</v>
      </c>
      <c r="K1548" s="9" t="n">
        <v>42897</v>
      </c>
      <c r="L1548" s="10" t="n">
        <v>210000</v>
      </c>
      <c r="M1548" s="10" t="n">
        <v>8474.58</v>
      </c>
      <c r="N1548" s="11">
        <f>IF(M1548="","",ROUND(M1548*1.18,2))</f>
        <v/>
      </c>
      <c r="O1548" s="12">
        <f>IF(M1548="","",ROUND(N1548-M1548,2))</f>
        <v/>
      </c>
      <c r="P1548" s="13">
        <f>IF(AND(A1548&lt;&gt;"",B1548&lt;&gt;""), A1548&amp;" · "&amp;B1548, "")</f>
        <v/>
      </c>
    </row>
    <row r="1549">
      <c r="A1549" s="6" t="inlineStr">
        <is>
          <t>FY27</t>
        </is>
      </c>
      <c r="B1549" s="6" t="inlineStr">
        <is>
          <t>Apr</t>
        </is>
      </c>
      <c r="C1549" s="6" t="inlineStr">
        <is>
          <t>TN</t>
        </is>
      </c>
      <c r="D1549" s="7" t="inlineStr">
        <is>
          <t>TN02AY5053</t>
        </is>
      </c>
      <c r="E1549" s="7" t="inlineStr">
        <is>
          <t>MARUTI SUZUKI</t>
        </is>
      </c>
      <c r="F1549" s="7" t="inlineStr">
        <is>
          <t>Alto</t>
        </is>
      </c>
      <c r="G1549" s="7" t="inlineStr">
        <is>
          <t>POPULAR VEHICLES</t>
        </is>
      </c>
      <c r="H1549" s="7" t="inlineStr">
        <is>
          <t>Non-Captive</t>
        </is>
      </c>
      <c r="I1549" s="7" t="inlineStr">
        <is>
          <t>Santhosh Cars</t>
        </is>
      </c>
      <c r="J1549" s="8" t="n">
        <v>2013</v>
      </c>
      <c r="K1549" s="9" t="n">
        <v>67616</v>
      </c>
      <c r="L1549" s="10" t="n">
        <v>150000</v>
      </c>
      <c r="M1549" s="10" t="n">
        <v>2542.37</v>
      </c>
      <c r="N1549" s="11">
        <f>IF(M1549="","",ROUND(M1549*1.18,2))</f>
        <v/>
      </c>
      <c r="O1549" s="12">
        <f>IF(M1549="","",ROUND(N1549-M1549,2))</f>
        <v/>
      </c>
      <c r="P1549" s="13">
        <f>IF(AND(A1549&lt;&gt;"",B1549&lt;&gt;""), A1549&amp;" · "&amp;B1549, "")</f>
        <v/>
      </c>
    </row>
    <row r="1550">
      <c r="A1550" s="6" t="inlineStr">
        <is>
          <t>FY27</t>
        </is>
      </c>
      <c r="B1550" s="6" t="inlineStr">
        <is>
          <t>Apr</t>
        </is>
      </c>
      <c r="C1550" s="6" t="inlineStr">
        <is>
          <t>TN</t>
        </is>
      </c>
      <c r="D1550" s="7" t="inlineStr">
        <is>
          <t>TN02AY6124</t>
        </is>
      </c>
      <c r="E1550" s="7" t="inlineStr">
        <is>
          <t>MARUTI SUZUKI</t>
        </is>
      </c>
      <c r="F1550" s="7" t="inlineStr">
        <is>
          <t>Wagon R</t>
        </is>
      </c>
      <c r="G1550" s="7" t="inlineStr">
        <is>
          <t>CARS INDIA</t>
        </is>
      </c>
      <c r="H1550" s="7" t="inlineStr">
        <is>
          <t>Non-Captive</t>
        </is>
      </c>
      <c r="I1550" s="7" t="inlineStr">
        <is>
          <t>Kamal Cars</t>
        </is>
      </c>
      <c r="J1550" s="8" t="n">
        <v>2013</v>
      </c>
      <c r="K1550" s="9" t="n">
        <v>65240</v>
      </c>
      <c r="L1550" s="10" t="n">
        <v>78000</v>
      </c>
      <c r="M1550" s="10" t="n">
        <v>4237.29</v>
      </c>
      <c r="N1550" s="11">
        <f>IF(M1550="","",ROUND(M1550*1.18,2))</f>
        <v/>
      </c>
      <c r="O1550" s="12">
        <f>IF(M1550="","",ROUND(N1550-M1550,2))</f>
        <v/>
      </c>
      <c r="P1550" s="13">
        <f>IF(AND(A1550&lt;&gt;"",B1550&lt;&gt;""), A1550&amp;" · "&amp;B1550, "")</f>
        <v/>
      </c>
    </row>
    <row r="1551">
      <c r="A1551" s="6" t="inlineStr">
        <is>
          <t>FY27</t>
        </is>
      </c>
      <c r="B1551" s="6" t="inlineStr">
        <is>
          <t>Apr</t>
        </is>
      </c>
      <c r="C1551" s="6" t="inlineStr">
        <is>
          <t>TN</t>
        </is>
      </c>
      <c r="D1551" s="7" t="inlineStr">
        <is>
          <t>TN02AY6678</t>
        </is>
      </c>
      <c r="E1551" s="7" t="inlineStr">
        <is>
          <t>HONDA</t>
        </is>
      </c>
      <c r="F1551" s="7" t="inlineStr">
        <is>
          <t>Brio</t>
        </is>
      </c>
      <c r="G1551" s="7" t="inlineStr">
        <is>
          <t>EXCHANGE CHENNAI</t>
        </is>
      </c>
      <c r="H1551" s="7" t="inlineStr">
        <is>
          <t>Captive</t>
        </is>
      </c>
      <c r="I1551" s="7" t="inlineStr">
        <is>
          <t>Nirmal Cars</t>
        </is>
      </c>
      <c r="J1551" s="8" t="n">
        <v>2013</v>
      </c>
      <c r="K1551" s="9" t="n">
        <v>93284</v>
      </c>
      <c r="L1551" s="10" t="n">
        <v>225000</v>
      </c>
      <c r="M1551" s="10" t="n">
        <v>8474.58</v>
      </c>
      <c r="N1551" s="11">
        <f>IF(M1551="","",ROUND(M1551*1.18,2))</f>
        <v/>
      </c>
      <c r="O1551" s="12">
        <f>IF(M1551="","",ROUND(N1551-M1551,2))</f>
        <v/>
      </c>
      <c r="P1551" s="13">
        <f>IF(AND(A1551&lt;&gt;"",B1551&lt;&gt;""), A1551&amp;" · "&amp;B1551, "")</f>
        <v/>
      </c>
    </row>
    <row r="1552">
      <c r="A1552" s="6" t="inlineStr">
        <is>
          <t>FY27</t>
        </is>
      </c>
      <c r="B1552" s="6" t="inlineStr">
        <is>
          <t>Apr</t>
        </is>
      </c>
      <c r="C1552" s="6" t="inlineStr">
        <is>
          <t>TN</t>
        </is>
      </c>
      <c r="D1552" s="7" t="inlineStr">
        <is>
          <t>TN02BB9913</t>
        </is>
      </c>
      <c r="E1552" s="7" t="inlineStr">
        <is>
          <t>SKODA</t>
        </is>
      </c>
      <c r="F1552" s="7" t="inlineStr">
        <is>
          <t>Rapid</t>
        </is>
      </c>
      <c r="G1552" s="7" t="inlineStr">
        <is>
          <t>ABT LIMITED</t>
        </is>
      </c>
      <c r="H1552" s="7" t="inlineStr">
        <is>
          <t>Non-Captive</t>
        </is>
      </c>
      <c r="I1552" s="7" t="inlineStr">
        <is>
          <t>Santhosh Cars</t>
        </is>
      </c>
      <c r="J1552" s="8" t="n">
        <v>2015</v>
      </c>
      <c r="K1552" s="9" t="n">
        <v>178045</v>
      </c>
      <c r="L1552" s="10" t="n">
        <v>200000</v>
      </c>
      <c r="M1552" s="10" t="n">
        <v>2542.37</v>
      </c>
      <c r="N1552" s="11">
        <f>IF(M1552="","",ROUND(M1552*1.18,2))</f>
        <v/>
      </c>
      <c r="O1552" s="12">
        <f>IF(M1552="","",ROUND(N1552-M1552,2))</f>
        <v/>
      </c>
      <c r="P1552" s="13">
        <f>IF(AND(A1552&lt;&gt;"",B1552&lt;&gt;""), A1552&amp;" · "&amp;B1552, "")</f>
        <v/>
      </c>
    </row>
    <row r="1553">
      <c r="A1553" s="6" t="inlineStr">
        <is>
          <t>FY27</t>
        </is>
      </c>
      <c r="B1553" s="6" t="inlineStr">
        <is>
          <t>Apr</t>
        </is>
      </c>
      <c r="C1553" s="6" t="inlineStr">
        <is>
          <t>TN</t>
        </is>
      </c>
      <c r="D1553" s="7" t="inlineStr">
        <is>
          <t>TN02BM0870</t>
        </is>
      </c>
      <c r="E1553" s="7" t="inlineStr">
        <is>
          <t>MARUTI SUZUKI</t>
        </is>
      </c>
      <c r="F1553" s="7" t="inlineStr">
        <is>
          <t>Alto</t>
        </is>
      </c>
      <c r="G1553" s="7" t="inlineStr">
        <is>
          <t>POPULAR VEHICLES</t>
        </is>
      </c>
      <c r="H1553" s="7" t="inlineStr">
        <is>
          <t>Non-Captive</t>
        </is>
      </c>
      <c r="I1553" s="7" t="inlineStr">
        <is>
          <t>Thiya Cars</t>
        </is>
      </c>
      <c r="J1553" s="8" t="n">
        <v>2018</v>
      </c>
      <c r="K1553" s="9" t="n">
        <v>24754</v>
      </c>
      <c r="L1553" s="10" t="n">
        <v>210000</v>
      </c>
      <c r="M1553" s="10" t="n">
        <v>3389.83</v>
      </c>
      <c r="N1553" s="11">
        <f>IF(M1553="","",ROUND(M1553*1.18,2))</f>
        <v/>
      </c>
      <c r="O1553" s="12">
        <f>IF(M1553="","",ROUND(N1553-M1553,2))</f>
        <v/>
      </c>
      <c r="P1553" s="13">
        <f>IF(AND(A1553&lt;&gt;"",B1553&lt;&gt;""), A1553&amp;" · "&amp;B1553, "")</f>
        <v/>
      </c>
    </row>
    <row r="1554">
      <c r="A1554" s="6" t="inlineStr">
        <is>
          <t>FY27</t>
        </is>
      </c>
      <c r="B1554" s="6" t="inlineStr">
        <is>
          <t>Apr</t>
        </is>
      </c>
      <c r="C1554" s="6" t="inlineStr">
        <is>
          <t>TN</t>
        </is>
      </c>
      <c r="D1554" s="7" t="inlineStr">
        <is>
          <t>TN02BR3522</t>
        </is>
      </c>
      <c r="E1554" s="7" t="inlineStr">
        <is>
          <t>MARUTI SUZUKI</t>
        </is>
      </c>
      <c r="F1554" s="7" t="inlineStr">
        <is>
          <t>Swift</t>
        </is>
      </c>
      <c r="G1554" s="7" t="inlineStr">
        <is>
          <t>KHIVRAJ MOTOR</t>
        </is>
      </c>
      <c r="H1554" s="7" t="inlineStr">
        <is>
          <t>Non-Captive</t>
        </is>
      </c>
      <c r="I1554" s="7" t="inlineStr">
        <is>
          <t>Santhosh Cars</t>
        </is>
      </c>
      <c r="J1554" s="8" t="n">
        <v>2019</v>
      </c>
      <c r="K1554" s="9" t="n">
        <v>73359</v>
      </c>
      <c r="L1554" s="10" t="n">
        <v>450000</v>
      </c>
      <c r="M1554" s="10" t="n">
        <v>7627.12</v>
      </c>
      <c r="N1554" s="11">
        <f>IF(M1554="","",ROUND(M1554*1.18,2))</f>
        <v/>
      </c>
      <c r="O1554" s="12">
        <f>IF(M1554="","",ROUND(N1554-M1554,2))</f>
        <v/>
      </c>
      <c r="P1554" s="13">
        <f>IF(AND(A1554&lt;&gt;"",B1554&lt;&gt;""), A1554&amp;" · "&amp;B1554, "")</f>
        <v/>
      </c>
    </row>
    <row r="1555">
      <c r="A1555" s="6" t="inlineStr">
        <is>
          <t>FY27</t>
        </is>
      </c>
      <c r="B1555" s="6" t="inlineStr">
        <is>
          <t>Apr</t>
        </is>
      </c>
      <c r="C1555" s="6" t="inlineStr">
        <is>
          <t>TN</t>
        </is>
      </c>
      <c r="D1555" s="7" t="inlineStr">
        <is>
          <t>TN02BS9654</t>
        </is>
      </c>
      <c r="E1555" s="7" t="inlineStr">
        <is>
          <t>MARUTI SUZUKI</t>
        </is>
      </c>
      <c r="F1555" s="7" t="inlineStr">
        <is>
          <t>Ertiga</t>
        </is>
      </c>
      <c r="G1555" s="7" t="inlineStr">
        <is>
          <t>KHIVRAJ MOTOR</t>
        </is>
      </c>
      <c r="H1555" s="7" t="inlineStr">
        <is>
          <t>Non-Captive</t>
        </is>
      </c>
      <c r="I1555" s="7" t="inlineStr">
        <is>
          <t>Kamal Cars</t>
        </is>
      </c>
      <c r="J1555" s="8" t="n">
        <v>2020</v>
      </c>
      <c r="K1555" s="9" t="n">
        <v>51432</v>
      </c>
      <c r="L1555" s="10" t="n">
        <v>715000</v>
      </c>
      <c r="M1555" s="10" t="n">
        <v>12711.86</v>
      </c>
      <c r="N1555" s="11">
        <f>IF(M1555="","",ROUND(M1555*1.18,2))</f>
        <v/>
      </c>
      <c r="O1555" s="12">
        <f>IF(M1555="","",ROUND(N1555-M1555,2))</f>
        <v/>
      </c>
      <c r="P1555" s="13">
        <f>IF(AND(A1555&lt;&gt;"",B1555&lt;&gt;""), A1555&amp;" · "&amp;B1555, "")</f>
        <v/>
      </c>
    </row>
    <row r="1556">
      <c r="A1556" s="6" t="inlineStr">
        <is>
          <t>FY27</t>
        </is>
      </c>
      <c r="B1556" s="6" t="inlineStr">
        <is>
          <t>Apr</t>
        </is>
      </c>
      <c r="C1556" s="6" t="inlineStr">
        <is>
          <t>TN</t>
        </is>
      </c>
      <c r="D1556" s="7" t="inlineStr">
        <is>
          <t>TN02BT1521</t>
        </is>
      </c>
      <c r="E1556" s="7" t="inlineStr">
        <is>
          <t>HYUNDAI</t>
        </is>
      </c>
      <c r="F1556" s="7" t="inlineStr">
        <is>
          <t>i20</t>
        </is>
      </c>
      <c r="G1556" s="7" t="inlineStr">
        <is>
          <t>EXCHANGE CHENNAI</t>
        </is>
      </c>
      <c r="H1556" s="7" t="inlineStr">
        <is>
          <t>Captive</t>
        </is>
      </c>
      <c r="I1556" s="7" t="inlineStr">
        <is>
          <t>Grid 33</t>
        </is>
      </c>
      <c r="J1556" s="8" t="n">
        <v>2020</v>
      </c>
      <c r="K1556" s="9" t="n">
        <v>13535</v>
      </c>
      <c r="L1556" s="10" t="n">
        <v>530000</v>
      </c>
      <c r="M1556" s="10" t="n">
        <v>8474.58</v>
      </c>
      <c r="N1556" s="11">
        <f>IF(M1556="","",ROUND(M1556*1.18,2))</f>
        <v/>
      </c>
      <c r="O1556" s="12">
        <f>IF(M1556="","",ROUND(N1556-M1556,2))</f>
        <v/>
      </c>
      <c r="P1556" s="13">
        <f>IF(AND(A1556&lt;&gt;"",B1556&lt;&gt;""), A1556&amp;" · "&amp;B1556, "")</f>
        <v/>
      </c>
    </row>
    <row r="1557">
      <c r="A1557" s="6" t="inlineStr">
        <is>
          <t>FY27</t>
        </is>
      </c>
      <c r="B1557" s="6" t="inlineStr">
        <is>
          <t>Apr</t>
        </is>
      </c>
      <c r="C1557" s="6" t="inlineStr">
        <is>
          <t>TN</t>
        </is>
      </c>
      <c r="D1557" s="7" t="inlineStr">
        <is>
          <t>TN02V1183</t>
        </is>
      </c>
      <c r="E1557" s="7" t="inlineStr">
        <is>
          <t>MARUTI SUZUKI</t>
        </is>
      </c>
      <c r="F1557" s="7" t="inlineStr">
        <is>
          <t>Wagon R</t>
        </is>
      </c>
      <c r="G1557" s="7" t="inlineStr">
        <is>
          <t>POPULAR VEHICLES</t>
        </is>
      </c>
      <c r="H1557" s="7" t="inlineStr">
        <is>
          <t>Non-Captive</t>
        </is>
      </c>
      <c r="I1557" s="7" t="inlineStr">
        <is>
          <t>Santhosh Cars</t>
        </is>
      </c>
      <c r="J1557" s="8" t="n">
        <v>2005</v>
      </c>
      <c r="K1557" s="9" t="n">
        <v>73607</v>
      </c>
      <c r="L1557" s="10" t="n">
        <v>60000</v>
      </c>
      <c r="M1557" s="10" t="n">
        <v>2542.37</v>
      </c>
      <c r="N1557" s="11">
        <f>IF(M1557="","",ROUND(M1557*1.18,2))</f>
        <v/>
      </c>
      <c r="O1557" s="12">
        <f>IF(M1557="","",ROUND(N1557-M1557,2))</f>
        <v/>
      </c>
      <c r="P1557" s="13">
        <f>IF(AND(A1557&lt;&gt;"",B1557&lt;&gt;""), A1557&amp;" · "&amp;B1557, "")</f>
        <v/>
      </c>
    </row>
    <row r="1558">
      <c r="A1558" s="6" t="inlineStr">
        <is>
          <t>FY27</t>
        </is>
      </c>
      <c r="B1558" s="6" t="inlineStr">
        <is>
          <t>Apr</t>
        </is>
      </c>
      <c r="C1558" s="6" t="inlineStr">
        <is>
          <t>TN</t>
        </is>
      </c>
      <c r="D1558" s="7" t="inlineStr">
        <is>
          <t>TN03B4912</t>
        </is>
      </c>
      <c r="E1558" s="7" t="inlineStr">
        <is>
          <t>MARUTI SUZUKI</t>
        </is>
      </c>
      <c r="F1558" s="7" t="inlineStr">
        <is>
          <t>Alto</t>
        </is>
      </c>
      <c r="G1558" s="7" t="inlineStr">
        <is>
          <t>ABT LIMITED</t>
        </is>
      </c>
      <c r="H1558" s="7" t="inlineStr">
        <is>
          <t>Non-Captive</t>
        </is>
      </c>
      <c r="I1558" s="7" t="inlineStr">
        <is>
          <t>Santhosh Cars</t>
        </is>
      </c>
      <c r="J1558" s="8" t="n">
        <v>2009</v>
      </c>
      <c r="K1558" s="9" t="n">
        <v>65478</v>
      </c>
      <c r="L1558" s="10" t="n">
        <v>90000</v>
      </c>
      <c r="M1558" s="10" t="n">
        <v>2542.37</v>
      </c>
      <c r="N1558" s="11">
        <f>IF(M1558="","",ROUND(M1558*1.18,2))</f>
        <v/>
      </c>
      <c r="O1558" s="12">
        <f>IF(M1558="","",ROUND(N1558-M1558,2))</f>
        <v/>
      </c>
      <c r="P1558" s="13">
        <f>IF(AND(A1558&lt;&gt;"",B1558&lt;&gt;""), A1558&amp;" · "&amp;B1558, "")</f>
        <v/>
      </c>
    </row>
    <row r="1559">
      <c r="A1559" s="6" t="inlineStr">
        <is>
          <t>FY27</t>
        </is>
      </c>
      <c r="B1559" s="6" t="inlineStr">
        <is>
          <t>Apr</t>
        </is>
      </c>
      <c r="C1559" s="6" t="inlineStr">
        <is>
          <t>TN</t>
        </is>
      </c>
      <c r="D1559" s="7" t="inlineStr">
        <is>
          <t>TN04AK5796</t>
        </is>
      </c>
      <c r="E1559" s="7" t="inlineStr">
        <is>
          <t>MARUTI SUZUKI</t>
        </is>
      </c>
      <c r="F1559" s="7" t="inlineStr">
        <is>
          <t>Wagon R</t>
        </is>
      </c>
      <c r="G1559" s="7" t="inlineStr">
        <is>
          <t>ABT LIMITED</t>
        </is>
      </c>
      <c r="H1559" s="7" t="inlineStr">
        <is>
          <t>Non-Captive</t>
        </is>
      </c>
      <c r="I1559" s="7" t="inlineStr">
        <is>
          <t>Ashok Cars</t>
        </is>
      </c>
      <c r="J1559" s="8" t="n">
        <v>2012</v>
      </c>
      <c r="K1559" s="9" t="n">
        <v>43011</v>
      </c>
      <c r="L1559" s="10" t="n">
        <v>210000</v>
      </c>
      <c r="M1559" s="10" t="n">
        <v>3389.83</v>
      </c>
      <c r="N1559" s="11">
        <f>IF(M1559="","",ROUND(M1559*1.18,2))</f>
        <v/>
      </c>
      <c r="O1559" s="12">
        <f>IF(M1559="","",ROUND(N1559-M1559,2))</f>
        <v/>
      </c>
      <c r="P1559" s="13">
        <f>IF(AND(A1559&lt;&gt;"",B1559&lt;&gt;""), A1559&amp;" · "&amp;B1559, "")</f>
        <v/>
      </c>
    </row>
    <row r="1560">
      <c r="A1560" s="6" t="inlineStr">
        <is>
          <t>FY27</t>
        </is>
      </c>
      <c r="B1560" s="6" t="inlineStr">
        <is>
          <t>Apr</t>
        </is>
      </c>
      <c r="C1560" s="6" t="inlineStr">
        <is>
          <t>TN</t>
        </is>
      </c>
      <c r="D1560" s="7" t="inlineStr">
        <is>
          <t>TN04AL7849</t>
        </is>
      </c>
      <c r="E1560" s="7" t="inlineStr">
        <is>
          <t>MARUTI SUZUKI</t>
        </is>
      </c>
      <c r="F1560" s="7" t="inlineStr">
        <is>
          <t>Alto</t>
        </is>
      </c>
      <c r="G1560" s="7" t="inlineStr">
        <is>
          <t>POPULAR VEHICLES</t>
        </is>
      </c>
      <c r="H1560" s="7" t="inlineStr">
        <is>
          <t>Non-Captive</t>
        </is>
      </c>
      <c r="I1560" s="7" t="inlineStr">
        <is>
          <t>Santhosh Cars</t>
        </is>
      </c>
      <c r="J1560" s="8" t="n">
        <v>2013</v>
      </c>
      <c r="K1560" s="9" t="n">
        <v>34955</v>
      </c>
      <c r="L1560" s="10" t="n">
        <v>135000</v>
      </c>
      <c r="M1560" s="10" t="n">
        <v>2542.37</v>
      </c>
      <c r="N1560" s="11">
        <f>IF(M1560="","",ROUND(M1560*1.18,2))</f>
        <v/>
      </c>
      <c r="O1560" s="12">
        <f>IF(M1560="","",ROUND(N1560-M1560,2))</f>
        <v/>
      </c>
      <c r="P1560" s="13">
        <f>IF(AND(A1560&lt;&gt;"",B1560&lt;&gt;""), A1560&amp;" · "&amp;B1560, "")</f>
        <v/>
      </c>
    </row>
    <row r="1561">
      <c r="A1561" s="6" t="inlineStr">
        <is>
          <t>FY27</t>
        </is>
      </c>
      <c r="B1561" s="6" t="inlineStr">
        <is>
          <t>Apr</t>
        </is>
      </c>
      <c r="C1561" s="6" t="inlineStr">
        <is>
          <t>TN</t>
        </is>
      </c>
      <c r="D1561" s="7" t="inlineStr">
        <is>
          <t>TN04AM1668</t>
        </is>
      </c>
      <c r="E1561" s="7" t="inlineStr">
        <is>
          <t>FIAT</t>
        </is>
      </c>
      <c r="F1561" s="7" t="inlineStr">
        <is>
          <t>Punto</t>
        </is>
      </c>
      <c r="G1561" s="7" t="inlineStr">
        <is>
          <t>VISHNU CARS PRIVATE LIMITED</t>
        </is>
      </c>
      <c r="H1561" s="7" t="inlineStr">
        <is>
          <t>Non-Captive</t>
        </is>
      </c>
      <c r="I1561" s="7" t="inlineStr">
        <is>
          <t>Santhosh Cars</t>
        </is>
      </c>
      <c r="J1561" s="8" t="n">
        <v>2013</v>
      </c>
      <c r="K1561" s="9" t="n">
        <v>152381</v>
      </c>
      <c r="L1561" s="10" t="n">
        <v>150000</v>
      </c>
      <c r="M1561" s="10" t="n">
        <v>2542.37</v>
      </c>
      <c r="N1561" s="11">
        <f>IF(M1561="","",ROUND(M1561*1.18,2))</f>
        <v/>
      </c>
      <c r="O1561" s="12">
        <f>IF(M1561="","",ROUND(N1561-M1561,2))</f>
        <v/>
      </c>
      <c r="P1561" s="13">
        <f>IF(AND(A1561&lt;&gt;"",B1561&lt;&gt;""), A1561&amp;" · "&amp;B1561, "")</f>
        <v/>
      </c>
    </row>
    <row r="1562">
      <c r="A1562" s="6" t="inlineStr">
        <is>
          <t>FY27</t>
        </is>
      </c>
      <c r="B1562" s="6" t="inlineStr">
        <is>
          <t>Apr</t>
        </is>
      </c>
      <c r="C1562" s="6" t="inlineStr">
        <is>
          <t>TN</t>
        </is>
      </c>
      <c r="D1562" s="7" t="inlineStr">
        <is>
          <t>TN05AA5712</t>
        </is>
      </c>
      <c r="E1562" s="7" t="inlineStr">
        <is>
          <t>CHEVROLET</t>
        </is>
      </c>
      <c r="F1562" s="7" t="inlineStr">
        <is>
          <t>Spark</t>
        </is>
      </c>
      <c r="G1562" s="7" t="inlineStr">
        <is>
          <t>VISHNU CARS PRIVATE LIMITED</t>
        </is>
      </c>
      <c r="H1562" s="7" t="inlineStr">
        <is>
          <t>Non-Captive</t>
        </is>
      </c>
      <c r="I1562" s="7" t="inlineStr">
        <is>
          <t>Santhosh Cars</t>
        </is>
      </c>
      <c r="J1562" s="8" t="n">
        <v>2009</v>
      </c>
      <c r="K1562" s="9" t="n">
        <v>130716</v>
      </c>
      <c r="L1562" s="10" t="n">
        <v>40000</v>
      </c>
      <c r="M1562" s="10" t="n">
        <v>2542.37</v>
      </c>
      <c r="N1562" s="11">
        <f>IF(M1562="","",ROUND(M1562*1.18,2))</f>
        <v/>
      </c>
      <c r="O1562" s="12">
        <f>IF(M1562="","",ROUND(N1562-M1562,2))</f>
        <v/>
      </c>
      <c r="P1562" s="13">
        <f>IF(AND(A1562&lt;&gt;"",B1562&lt;&gt;""), A1562&amp;" · "&amp;B1562, "")</f>
        <v/>
      </c>
    </row>
    <row r="1563">
      <c r="A1563" s="6" t="inlineStr">
        <is>
          <t>FY27</t>
        </is>
      </c>
      <c r="B1563" s="6" t="inlineStr">
        <is>
          <t>Apr</t>
        </is>
      </c>
      <c r="C1563" s="6" t="inlineStr">
        <is>
          <t>TN</t>
        </is>
      </c>
      <c r="D1563" s="7" t="inlineStr">
        <is>
          <t>TN05AC2849</t>
        </is>
      </c>
      <c r="E1563" s="7" t="inlineStr">
        <is>
          <t>MARUTI SUZUKI</t>
        </is>
      </c>
      <c r="F1563" s="7" t="inlineStr">
        <is>
          <t>Wagon R</t>
        </is>
      </c>
      <c r="G1563" s="7" t="inlineStr">
        <is>
          <t>POPULAR VEHICLES</t>
        </is>
      </c>
      <c r="H1563" s="7" t="inlineStr">
        <is>
          <t>Non-Captive</t>
        </is>
      </c>
      <c r="I1563" s="7" t="inlineStr">
        <is>
          <t>Santhosh Cars</t>
        </is>
      </c>
      <c r="J1563" s="8" t="n">
        <v>2009</v>
      </c>
      <c r="K1563" s="9" t="n">
        <v>55018</v>
      </c>
      <c r="L1563" s="10" t="n">
        <v>110000</v>
      </c>
      <c r="M1563" s="10" t="n">
        <v>2542.37</v>
      </c>
      <c r="N1563" s="11">
        <f>IF(M1563="","",ROUND(M1563*1.18,2))</f>
        <v/>
      </c>
      <c r="O1563" s="12">
        <f>IF(M1563="","",ROUND(N1563-M1563,2))</f>
        <v/>
      </c>
      <c r="P1563" s="13">
        <f>IF(AND(A1563&lt;&gt;"",B1563&lt;&gt;""), A1563&amp;" · "&amp;B1563, "")</f>
        <v/>
      </c>
    </row>
    <row r="1564">
      <c r="A1564" s="6" t="inlineStr">
        <is>
          <t>FY27</t>
        </is>
      </c>
      <c r="B1564" s="6" t="inlineStr">
        <is>
          <t>Apr</t>
        </is>
      </c>
      <c r="C1564" s="6" t="inlineStr">
        <is>
          <t>TN</t>
        </is>
      </c>
      <c r="D1564" s="7" t="inlineStr">
        <is>
          <t>TN05AD6610</t>
        </is>
      </c>
      <c r="E1564" s="7" t="inlineStr">
        <is>
          <t>HYUNDAI</t>
        </is>
      </c>
      <c r="F1564" s="7" t="inlineStr">
        <is>
          <t>i20</t>
        </is>
      </c>
      <c r="G1564" s="7" t="inlineStr">
        <is>
          <t>POPULAR VEHICLES</t>
        </is>
      </c>
      <c r="H1564" s="7" t="inlineStr">
        <is>
          <t>Non-Captive</t>
        </is>
      </c>
      <c r="I1564" s="7" t="inlineStr">
        <is>
          <t>Santhosh Cars</t>
        </is>
      </c>
      <c r="J1564" s="8" t="n">
        <v>2010</v>
      </c>
      <c r="K1564" s="9" t="n">
        <v>99512</v>
      </c>
      <c r="L1564" s="10" t="n">
        <v>200000</v>
      </c>
      <c r="M1564" s="10" t="n">
        <v>2542.37</v>
      </c>
      <c r="N1564" s="11">
        <f>IF(M1564="","",ROUND(M1564*1.18,2))</f>
        <v/>
      </c>
      <c r="O1564" s="12">
        <f>IF(M1564="","",ROUND(N1564-M1564,2))</f>
        <v/>
      </c>
      <c r="P1564" s="13">
        <f>IF(AND(A1564&lt;&gt;"",B1564&lt;&gt;""), A1564&amp;" · "&amp;B1564, "")</f>
        <v/>
      </c>
    </row>
    <row r="1565">
      <c r="A1565" s="6" t="inlineStr">
        <is>
          <t>FY27</t>
        </is>
      </c>
      <c r="B1565" s="6" t="inlineStr">
        <is>
          <t>Apr</t>
        </is>
      </c>
      <c r="C1565" s="6" t="inlineStr">
        <is>
          <t>TN</t>
        </is>
      </c>
      <c r="D1565" s="7" t="inlineStr">
        <is>
          <t>TN05AE3483</t>
        </is>
      </c>
      <c r="E1565" s="7" t="inlineStr">
        <is>
          <t>MARUTI SUZUKI</t>
        </is>
      </c>
      <c r="F1565" s="7" t="inlineStr">
        <is>
          <t>Wagon R</t>
        </is>
      </c>
      <c r="G1565" s="7" t="inlineStr">
        <is>
          <t>EXCHANGE CHENNAI</t>
        </is>
      </c>
      <c r="H1565" s="7" t="inlineStr">
        <is>
          <t>Captive</t>
        </is>
      </c>
      <c r="I1565" s="7" t="inlineStr">
        <is>
          <t>Pine Autos</t>
        </is>
      </c>
      <c r="J1565" s="8" t="n">
        <v>2010</v>
      </c>
      <c r="K1565" s="9" t="n">
        <v>78675</v>
      </c>
      <c r="L1565" s="10" t="n">
        <v>200000</v>
      </c>
      <c r="M1565" s="10" t="n">
        <v>4237.29</v>
      </c>
      <c r="N1565" s="11">
        <f>IF(M1565="","",ROUND(M1565*1.18,2))</f>
        <v/>
      </c>
      <c r="O1565" s="12">
        <f>IF(M1565="","",ROUND(N1565-M1565,2))</f>
        <v/>
      </c>
      <c r="P1565" s="13">
        <f>IF(AND(A1565&lt;&gt;"",B1565&lt;&gt;""), A1565&amp;" · "&amp;B1565, "")</f>
        <v/>
      </c>
    </row>
    <row r="1566">
      <c r="A1566" s="6" t="inlineStr">
        <is>
          <t>FY27</t>
        </is>
      </c>
      <c r="B1566" s="6" t="inlineStr">
        <is>
          <t>Apr</t>
        </is>
      </c>
      <c r="C1566" s="6" t="inlineStr">
        <is>
          <t>TN</t>
        </is>
      </c>
      <c r="D1566" s="7" t="inlineStr">
        <is>
          <t>TN05AF4762</t>
        </is>
      </c>
      <c r="E1566" s="7" t="inlineStr">
        <is>
          <t>HYUNDAI</t>
        </is>
      </c>
      <c r="F1566" s="7" t="inlineStr">
        <is>
          <t>i20</t>
        </is>
      </c>
      <c r="G1566" s="7" t="inlineStr">
        <is>
          <t>POPULAR VEHICLES</t>
        </is>
      </c>
      <c r="H1566" s="7" t="inlineStr">
        <is>
          <t>Non-Captive</t>
        </is>
      </c>
      <c r="I1566" s="7" t="inlineStr">
        <is>
          <t>Santhosh Cars</t>
        </is>
      </c>
      <c r="J1566" s="8" t="n">
        <v>2010</v>
      </c>
      <c r="K1566" s="9" t="n">
        <v>99434</v>
      </c>
      <c r="L1566" s="10" t="n">
        <v>100000</v>
      </c>
      <c r="M1566" s="10" t="n">
        <v>2542.37</v>
      </c>
      <c r="N1566" s="11">
        <f>IF(M1566="","",ROUND(M1566*1.18,2))</f>
        <v/>
      </c>
      <c r="O1566" s="12">
        <f>IF(M1566="","",ROUND(N1566-M1566,2))</f>
        <v/>
      </c>
      <c r="P1566" s="13">
        <f>IF(AND(A1566&lt;&gt;"",B1566&lt;&gt;""), A1566&amp;" · "&amp;B1566, "")</f>
        <v/>
      </c>
    </row>
    <row r="1567">
      <c r="A1567" s="6" t="inlineStr">
        <is>
          <t>FY27</t>
        </is>
      </c>
      <c r="B1567" s="6" t="inlineStr">
        <is>
          <t>Apr</t>
        </is>
      </c>
      <c r="C1567" s="6" t="inlineStr">
        <is>
          <t>TN</t>
        </is>
      </c>
      <c r="D1567" s="7" t="inlineStr">
        <is>
          <t>TN05AJ3436</t>
        </is>
      </c>
      <c r="E1567" s="7" t="inlineStr">
        <is>
          <t>MARUTI SUZUKI</t>
        </is>
      </c>
      <c r="F1567" s="7" t="inlineStr">
        <is>
          <t>Dzire</t>
        </is>
      </c>
      <c r="G1567" s="7" t="inlineStr">
        <is>
          <t>KHIVRAJ MOTOR</t>
        </is>
      </c>
      <c r="H1567" s="7" t="inlineStr">
        <is>
          <t>Non-Captive</t>
        </is>
      </c>
      <c r="I1567" s="7" t="inlineStr">
        <is>
          <t>S2 Cars</t>
        </is>
      </c>
      <c r="J1567" s="8" t="n">
        <v>2011</v>
      </c>
      <c r="K1567" s="9" t="n">
        <v>98393</v>
      </c>
      <c r="L1567" s="10" t="n">
        <v>165000</v>
      </c>
      <c r="M1567" s="10" t="n">
        <v>5084.75</v>
      </c>
      <c r="N1567" s="11">
        <f>IF(M1567="","",ROUND(M1567*1.18,2))</f>
        <v/>
      </c>
      <c r="O1567" s="12">
        <f>IF(M1567="","",ROUND(N1567-M1567,2))</f>
        <v/>
      </c>
      <c r="P1567" s="13">
        <f>IF(AND(A1567&lt;&gt;"",B1567&lt;&gt;""), A1567&amp;" · "&amp;B1567, "")</f>
        <v/>
      </c>
    </row>
    <row r="1568">
      <c r="A1568" s="6" t="inlineStr">
        <is>
          <t>FY27</t>
        </is>
      </c>
      <c r="B1568" s="6" t="inlineStr">
        <is>
          <t>Apr</t>
        </is>
      </c>
      <c r="C1568" s="6" t="inlineStr">
        <is>
          <t>TN</t>
        </is>
      </c>
      <c r="D1568" s="7" t="inlineStr">
        <is>
          <t>TN05AK6792</t>
        </is>
      </c>
      <c r="E1568" s="7" t="inlineStr">
        <is>
          <t>MARUTI SUZUKI</t>
        </is>
      </c>
      <c r="F1568" s="7" t="inlineStr">
        <is>
          <t>Ritz</t>
        </is>
      </c>
      <c r="G1568" s="7" t="inlineStr">
        <is>
          <t>ABT LIMITED</t>
        </is>
      </c>
      <c r="H1568" s="7" t="inlineStr">
        <is>
          <t>Non-Captive</t>
        </is>
      </c>
      <c r="I1568" s="7" t="inlineStr">
        <is>
          <t>Santhosh Cars</t>
        </is>
      </c>
      <c r="J1568" s="8" t="n">
        <v>2011</v>
      </c>
      <c r="K1568" s="9" t="n">
        <v>210033</v>
      </c>
      <c r="L1568" s="10" t="n">
        <v>140000</v>
      </c>
      <c r="M1568" s="10" t="n">
        <v>2542.37</v>
      </c>
      <c r="N1568" s="11">
        <f>IF(M1568="","",ROUND(M1568*1.18,2))</f>
        <v/>
      </c>
      <c r="O1568" s="12">
        <f>IF(M1568="","",ROUND(N1568-M1568,2))</f>
        <v/>
      </c>
      <c r="P1568" s="13">
        <f>IF(AND(A1568&lt;&gt;"",B1568&lt;&gt;""), A1568&amp;" · "&amp;B1568, "")</f>
        <v/>
      </c>
    </row>
    <row r="1569">
      <c r="A1569" s="6" t="inlineStr">
        <is>
          <t>FY27</t>
        </is>
      </c>
      <c r="B1569" s="6" t="inlineStr">
        <is>
          <t>Apr</t>
        </is>
      </c>
      <c r="C1569" s="6" t="inlineStr">
        <is>
          <t>TN</t>
        </is>
      </c>
      <c r="D1569" s="7" t="inlineStr">
        <is>
          <t>TN05AQ7807</t>
        </is>
      </c>
      <c r="E1569" s="7" t="inlineStr">
        <is>
          <t>MARUTI SUZUKI</t>
        </is>
      </c>
      <c r="F1569" s="7" t="inlineStr">
        <is>
          <t>Alto K10</t>
        </is>
      </c>
      <c r="G1569" s="7" t="inlineStr">
        <is>
          <t>POPULAR VEHICLES</t>
        </is>
      </c>
      <c r="H1569" s="7" t="inlineStr">
        <is>
          <t>Non-Captive</t>
        </is>
      </c>
      <c r="I1569" s="7" t="inlineStr">
        <is>
          <t>Santhosh Cars</t>
        </is>
      </c>
      <c r="J1569" s="8" t="n">
        <v>2012</v>
      </c>
      <c r="K1569" s="9" t="n">
        <v>70348</v>
      </c>
      <c r="L1569" s="10" t="n">
        <v>130000</v>
      </c>
      <c r="M1569" s="10" t="n">
        <v>2542.37</v>
      </c>
      <c r="N1569" s="11">
        <f>IF(M1569="","",ROUND(M1569*1.18,2))</f>
        <v/>
      </c>
      <c r="O1569" s="12">
        <f>IF(M1569="","",ROUND(N1569-M1569,2))</f>
        <v/>
      </c>
      <c r="P1569" s="13">
        <f>IF(AND(A1569&lt;&gt;"",B1569&lt;&gt;""), A1569&amp;" · "&amp;B1569, "")</f>
        <v/>
      </c>
    </row>
    <row r="1570">
      <c r="A1570" s="6" t="inlineStr">
        <is>
          <t>FY27</t>
        </is>
      </c>
      <c r="B1570" s="6" t="inlineStr">
        <is>
          <t>Apr</t>
        </is>
      </c>
      <c r="C1570" s="6" t="inlineStr">
        <is>
          <t>TN</t>
        </is>
      </c>
      <c r="D1570" s="7" t="inlineStr">
        <is>
          <t>TN05AR6959</t>
        </is>
      </c>
      <c r="E1570" s="7" t="inlineStr">
        <is>
          <t>MARUTI SUZUKI</t>
        </is>
      </c>
      <c r="F1570" s="7" t="inlineStr">
        <is>
          <t>Alto</t>
        </is>
      </c>
      <c r="G1570" s="7" t="inlineStr">
        <is>
          <t>VISHNU CARS PRIVATE LIMITED</t>
        </is>
      </c>
      <c r="H1570" s="7" t="inlineStr">
        <is>
          <t>Non-Captive</t>
        </is>
      </c>
      <c r="I1570" s="7" t="inlineStr">
        <is>
          <t>Santhosh Cars</t>
        </is>
      </c>
      <c r="J1570" s="8" t="n">
        <v>2012</v>
      </c>
      <c r="K1570" s="9" t="n">
        <v>73296</v>
      </c>
      <c r="L1570" s="10" t="n">
        <v>130000</v>
      </c>
      <c r="M1570" s="10" t="n">
        <v>2542.37</v>
      </c>
      <c r="N1570" s="11">
        <f>IF(M1570="","",ROUND(M1570*1.18,2))</f>
        <v/>
      </c>
      <c r="O1570" s="12">
        <f>IF(M1570="","",ROUND(N1570-M1570,2))</f>
        <v/>
      </c>
      <c r="P1570" s="13">
        <f>IF(AND(A1570&lt;&gt;"",B1570&lt;&gt;""), A1570&amp;" · "&amp;B1570, "")</f>
        <v/>
      </c>
    </row>
    <row r="1571">
      <c r="A1571" s="6" t="inlineStr">
        <is>
          <t>FY27</t>
        </is>
      </c>
      <c r="B1571" s="6" t="inlineStr">
        <is>
          <t>Apr</t>
        </is>
      </c>
      <c r="C1571" s="6" t="inlineStr">
        <is>
          <t>TN</t>
        </is>
      </c>
      <c r="D1571" s="7" t="inlineStr">
        <is>
          <t>TN05AR8439</t>
        </is>
      </c>
      <c r="E1571" s="7" t="inlineStr">
        <is>
          <t>HYUNDAI</t>
        </is>
      </c>
      <c r="F1571" s="7" t="inlineStr">
        <is>
          <t>i10</t>
        </is>
      </c>
      <c r="G1571" s="7" t="inlineStr">
        <is>
          <t>CARS INDIA</t>
        </is>
      </c>
      <c r="H1571" s="7" t="inlineStr">
        <is>
          <t>Non-Captive</t>
        </is>
      </c>
      <c r="I1571" s="7" t="inlineStr">
        <is>
          <t>Murthy Cars</t>
        </is>
      </c>
      <c r="J1571" s="8" t="n">
        <v>2013</v>
      </c>
      <c r="K1571" s="9" t="n">
        <v>71430</v>
      </c>
      <c r="L1571" s="10" t="n">
        <v>95000</v>
      </c>
      <c r="M1571" s="10" t="n">
        <v>4237.29</v>
      </c>
      <c r="N1571" s="11">
        <f>IF(M1571="","",ROUND(M1571*1.18,2))</f>
        <v/>
      </c>
      <c r="O1571" s="12">
        <f>IF(M1571="","",ROUND(N1571-M1571,2))</f>
        <v/>
      </c>
      <c r="P1571" s="13">
        <f>IF(AND(A1571&lt;&gt;"",B1571&lt;&gt;""), A1571&amp;" · "&amp;B1571, "")</f>
        <v/>
      </c>
    </row>
    <row r="1572">
      <c r="A1572" s="6" t="inlineStr">
        <is>
          <t>FY27</t>
        </is>
      </c>
      <c r="B1572" s="6" t="inlineStr">
        <is>
          <t>Apr</t>
        </is>
      </c>
      <c r="C1572" s="6" t="inlineStr">
        <is>
          <t>TN</t>
        </is>
      </c>
      <c r="D1572" s="7" t="inlineStr">
        <is>
          <t>TN06AB5257</t>
        </is>
      </c>
      <c r="E1572" s="7" t="inlineStr">
        <is>
          <t>MARUTI SUZUKI</t>
        </is>
      </c>
      <c r="F1572" s="7" t="inlineStr">
        <is>
          <t>Dzire</t>
        </is>
      </c>
      <c r="G1572" s="7" t="inlineStr">
        <is>
          <t>EXCHANGE CHENNAI</t>
        </is>
      </c>
      <c r="H1572" s="7" t="inlineStr">
        <is>
          <t>Captive</t>
        </is>
      </c>
      <c r="I1572" s="7" t="inlineStr">
        <is>
          <t>SK Mani</t>
        </is>
      </c>
      <c r="J1572" s="8" t="n">
        <v>2022</v>
      </c>
      <c r="K1572" s="9" t="n">
        <v>92391</v>
      </c>
      <c r="L1572" s="10" t="n">
        <v>575000</v>
      </c>
      <c r="M1572" s="10" t="n">
        <v>12711.86</v>
      </c>
      <c r="N1572" s="11">
        <f>IF(M1572="","",ROUND(M1572*1.18,2))</f>
        <v/>
      </c>
      <c r="O1572" s="12">
        <f>IF(M1572="","",ROUND(N1572-M1572,2))</f>
        <v/>
      </c>
      <c r="P1572" s="13">
        <f>IF(AND(A1572&lt;&gt;"",B1572&lt;&gt;""), A1572&amp;" · "&amp;B1572, "")</f>
        <v/>
      </c>
    </row>
    <row r="1573">
      <c r="A1573" s="6" t="inlineStr">
        <is>
          <t>FY27</t>
        </is>
      </c>
      <c r="B1573" s="6" t="inlineStr">
        <is>
          <t>Apr</t>
        </is>
      </c>
      <c r="C1573" s="6" t="inlineStr">
        <is>
          <t>TN</t>
        </is>
      </c>
      <c r="D1573" s="7" t="inlineStr">
        <is>
          <t>TN06D3754</t>
        </is>
      </c>
      <c r="E1573" s="7" t="inlineStr">
        <is>
          <t>MARUTI SUZUKI</t>
        </is>
      </c>
      <c r="F1573" s="7" t="inlineStr">
        <is>
          <t>Wagon R</t>
        </is>
      </c>
      <c r="G1573" s="7" t="inlineStr">
        <is>
          <t>CARS INDIA</t>
        </is>
      </c>
      <c r="H1573" s="7" t="inlineStr">
        <is>
          <t>Non-Captive</t>
        </is>
      </c>
      <c r="I1573" s="7" t="inlineStr">
        <is>
          <t>Kamal Cars</t>
        </is>
      </c>
      <c r="J1573" s="8" t="n">
        <v>2011</v>
      </c>
      <c r="K1573" s="9" t="n">
        <v>56750</v>
      </c>
      <c r="L1573" s="10" t="n">
        <v>90000</v>
      </c>
      <c r="M1573" s="10" t="n">
        <v>4237.29</v>
      </c>
      <c r="N1573" s="11">
        <f>IF(M1573="","",ROUND(M1573*1.18,2))</f>
        <v/>
      </c>
      <c r="O1573" s="12">
        <f>IF(M1573="","",ROUND(N1573-M1573,2))</f>
        <v/>
      </c>
      <c r="P1573" s="13">
        <f>IF(AND(A1573&lt;&gt;"",B1573&lt;&gt;""), A1573&amp;" · "&amp;B1573, "")</f>
        <v/>
      </c>
    </row>
    <row r="1574">
      <c r="A1574" s="6" t="inlineStr">
        <is>
          <t>FY27</t>
        </is>
      </c>
      <c r="B1574" s="6" t="inlineStr">
        <is>
          <t>Apr</t>
        </is>
      </c>
      <c r="C1574" s="6" t="inlineStr">
        <is>
          <t>TN</t>
        </is>
      </c>
      <c r="D1574" s="7" t="inlineStr">
        <is>
          <t>TN06D7066</t>
        </is>
      </c>
      <c r="E1574" s="7" t="inlineStr">
        <is>
          <t>MARUTI SUZUKI</t>
        </is>
      </c>
      <c r="F1574" s="7" t="inlineStr">
        <is>
          <t>Ritz</t>
        </is>
      </c>
      <c r="G1574" s="7" t="inlineStr">
        <is>
          <t>ABT LIMITED</t>
        </is>
      </c>
      <c r="H1574" s="7" t="inlineStr">
        <is>
          <t>Non-Captive</t>
        </is>
      </c>
      <c r="I1574" s="7" t="inlineStr">
        <is>
          <t>Santhosh Cars</t>
        </is>
      </c>
      <c r="J1574" s="8" t="n">
        <v>2011</v>
      </c>
      <c r="K1574" s="9" t="n">
        <v>99999</v>
      </c>
      <c r="L1574" s="10" t="n">
        <v>170000</v>
      </c>
      <c r="M1574" s="10" t="n">
        <v>2542.37</v>
      </c>
      <c r="N1574" s="11">
        <f>IF(M1574="","",ROUND(M1574*1.18,2))</f>
        <v/>
      </c>
      <c r="O1574" s="12">
        <f>IF(M1574="","",ROUND(N1574-M1574,2))</f>
        <v/>
      </c>
      <c r="P1574" s="13">
        <f>IF(AND(A1574&lt;&gt;"",B1574&lt;&gt;""), A1574&amp;" · "&amp;B1574, "")</f>
        <v/>
      </c>
    </row>
    <row r="1575">
      <c r="A1575" s="6" t="inlineStr">
        <is>
          <t>FY27</t>
        </is>
      </c>
      <c r="B1575" s="6" t="inlineStr">
        <is>
          <t>Apr</t>
        </is>
      </c>
      <c r="C1575" s="6" t="inlineStr">
        <is>
          <t>TN</t>
        </is>
      </c>
      <c r="D1575" s="7" t="inlineStr">
        <is>
          <t>TN06E0508</t>
        </is>
      </c>
      <c r="E1575" s="7" t="inlineStr">
        <is>
          <t>VOLKSWAGEN</t>
        </is>
      </c>
      <c r="F1575" s="7" t="inlineStr">
        <is>
          <t>Vento</t>
        </is>
      </c>
      <c r="G1575" s="7" t="inlineStr">
        <is>
          <t>POPULAR VEHICLES</t>
        </is>
      </c>
      <c r="H1575" s="7" t="inlineStr">
        <is>
          <t>Non-Captive</t>
        </is>
      </c>
      <c r="I1575" s="7" t="inlineStr">
        <is>
          <t>Santhosh Cars</t>
        </is>
      </c>
      <c r="J1575" s="8" t="n">
        <v>2011</v>
      </c>
      <c r="K1575" s="9" t="n">
        <v>93131</v>
      </c>
      <c r="L1575" s="10" t="n">
        <v>150000</v>
      </c>
      <c r="M1575" s="10" t="n">
        <v>2542.37</v>
      </c>
      <c r="N1575" s="11">
        <f>IF(M1575="","",ROUND(M1575*1.18,2))</f>
        <v/>
      </c>
      <c r="O1575" s="12">
        <f>IF(M1575="","",ROUND(N1575-M1575,2))</f>
        <v/>
      </c>
      <c r="P1575" s="13">
        <f>IF(AND(A1575&lt;&gt;"",B1575&lt;&gt;""), A1575&amp;" · "&amp;B1575, "")</f>
        <v/>
      </c>
    </row>
    <row r="1576">
      <c r="A1576" s="6" t="inlineStr">
        <is>
          <t>FY27</t>
        </is>
      </c>
      <c r="B1576" s="6" t="inlineStr">
        <is>
          <t>Apr</t>
        </is>
      </c>
      <c r="C1576" s="6" t="inlineStr">
        <is>
          <t>TN</t>
        </is>
      </c>
      <c r="D1576" s="7" t="inlineStr">
        <is>
          <t>TN06E3035</t>
        </is>
      </c>
      <c r="E1576" s="7" t="inlineStr">
        <is>
          <t>MARUTI SUZUKI</t>
        </is>
      </c>
      <c r="F1576" s="7" t="inlineStr">
        <is>
          <t>Ritz</t>
        </is>
      </c>
      <c r="G1576" s="7" t="inlineStr">
        <is>
          <t>POPULAR VEHICLES</t>
        </is>
      </c>
      <c r="H1576" s="7" t="inlineStr">
        <is>
          <t>Non-Captive</t>
        </is>
      </c>
      <c r="I1576" s="7" t="inlineStr">
        <is>
          <t>Santhosh Cars</t>
        </is>
      </c>
      <c r="J1576" s="8" t="n">
        <v>2011</v>
      </c>
      <c r="K1576" s="9" t="n">
        <v>5609</v>
      </c>
      <c r="L1576" s="10" t="n">
        <v>160000</v>
      </c>
      <c r="M1576" s="10" t="n">
        <v>2542.37</v>
      </c>
      <c r="N1576" s="11">
        <f>IF(M1576="","",ROUND(M1576*1.18,2))</f>
        <v/>
      </c>
      <c r="O1576" s="12">
        <f>IF(M1576="","",ROUND(N1576-M1576,2))</f>
        <v/>
      </c>
      <c r="P1576" s="13">
        <f>IF(AND(A1576&lt;&gt;"",B1576&lt;&gt;""), A1576&amp;" · "&amp;B1576, "")</f>
        <v/>
      </c>
    </row>
    <row r="1577">
      <c r="A1577" s="6" t="inlineStr">
        <is>
          <t>FY27</t>
        </is>
      </c>
      <c r="B1577" s="6" t="inlineStr">
        <is>
          <t>Apr</t>
        </is>
      </c>
      <c r="C1577" s="6" t="inlineStr">
        <is>
          <t>TN</t>
        </is>
      </c>
      <c r="D1577" s="7" t="inlineStr">
        <is>
          <t>TN06K1804</t>
        </is>
      </c>
      <c r="E1577" s="7" t="inlineStr">
        <is>
          <t>HYUNDAI</t>
        </is>
      </c>
      <c r="F1577" s="7" t="inlineStr">
        <is>
          <t>i10</t>
        </is>
      </c>
      <c r="G1577" s="7" t="inlineStr">
        <is>
          <t>EXCHANGE CHENNAI</t>
        </is>
      </c>
      <c r="H1577" s="7" t="inlineStr">
        <is>
          <t>Captive</t>
        </is>
      </c>
      <c r="I1577" s="7" t="inlineStr">
        <is>
          <t>Santhosh Cars</t>
        </is>
      </c>
      <c r="J1577" s="8" t="n">
        <v>2013</v>
      </c>
      <c r="K1577" s="9" t="n">
        <v>42198</v>
      </c>
      <c r="L1577" s="10" t="n">
        <v>180000</v>
      </c>
      <c r="M1577" s="10" t="n">
        <v>8474.58</v>
      </c>
      <c r="N1577" s="11">
        <f>IF(M1577="","",ROUND(M1577*1.18,2))</f>
        <v/>
      </c>
      <c r="O1577" s="12">
        <f>IF(M1577="","",ROUND(N1577-M1577,2))</f>
        <v/>
      </c>
      <c r="P1577" s="13">
        <f>IF(AND(A1577&lt;&gt;"",B1577&lt;&gt;""), A1577&amp;" · "&amp;B1577, "")</f>
        <v/>
      </c>
    </row>
    <row r="1578">
      <c r="A1578" s="6" t="inlineStr">
        <is>
          <t>FY27</t>
        </is>
      </c>
      <c r="B1578" s="6" t="inlineStr">
        <is>
          <t>Apr</t>
        </is>
      </c>
      <c r="C1578" s="6" t="inlineStr">
        <is>
          <t>TN</t>
        </is>
      </c>
      <c r="D1578" s="7" t="inlineStr">
        <is>
          <t>TN06M2517</t>
        </is>
      </c>
      <c r="E1578" s="7" t="inlineStr">
        <is>
          <t>MARUTI SUZUKI</t>
        </is>
      </c>
      <c r="F1578" s="7" t="inlineStr">
        <is>
          <t>Alto</t>
        </is>
      </c>
      <c r="G1578" s="7" t="inlineStr">
        <is>
          <t>VISHNU CARS PRIVATE LIMITED</t>
        </is>
      </c>
      <c r="H1578" s="7" t="inlineStr">
        <is>
          <t>Non-Captive</t>
        </is>
      </c>
      <c r="I1578" s="7" t="inlineStr">
        <is>
          <t>Santhosh Cars</t>
        </is>
      </c>
      <c r="J1578" s="8" t="n">
        <v>2014</v>
      </c>
      <c r="K1578" s="9" t="n">
        <v>56999</v>
      </c>
      <c r="L1578" s="10" t="n">
        <v>165000</v>
      </c>
      <c r="M1578" s="10" t="n">
        <v>2542.37</v>
      </c>
      <c r="N1578" s="11">
        <f>IF(M1578="","",ROUND(M1578*1.18,2))</f>
        <v/>
      </c>
      <c r="O1578" s="12">
        <f>IF(M1578="","",ROUND(N1578-M1578,2))</f>
        <v/>
      </c>
      <c r="P1578" s="13">
        <f>IF(AND(A1578&lt;&gt;"",B1578&lt;&gt;""), A1578&amp;" · "&amp;B1578, "")</f>
        <v/>
      </c>
    </row>
    <row r="1579">
      <c r="A1579" s="6" t="inlineStr">
        <is>
          <t>FY27</t>
        </is>
      </c>
      <c r="B1579" s="6" t="inlineStr">
        <is>
          <t>Apr</t>
        </is>
      </c>
      <c r="C1579" s="6" t="inlineStr">
        <is>
          <t>TN</t>
        </is>
      </c>
      <c r="D1579" s="7" t="inlineStr">
        <is>
          <t>TN06W4500</t>
        </is>
      </c>
      <c r="E1579" s="7" t="inlineStr">
        <is>
          <t>HONDA</t>
        </is>
      </c>
      <c r="F1579" s="7" t="inlineStr">
        <is>
          <t>City</t>
        </is>
      </c>
      <c r="G1579" s="7" t="inlineStr">
        <is>
          <t>EXCHANGE CHENNAI</t>
        </is>
      </c>
      <c r="H1579" s="7" t="inlineStr">
        <is>
          <t>Captive</t>
        </is>
      </c>
      <c r="I1579" s="7" t="inlineStr">
        <is>
          <t>True Cars (Kamal Honda</t>
        </is>
      </c>
      <c r="J1579" s="8" t="n">
        <v>2018</v>
      </c>
      <c r="K1579" s="9" t="n">
        <v>61346</v>
      </c>
      <c r="L1579" s="10" t="n">
        <v>650000</v>
      </c>
      <c r="M1579" s="10" t="n">
        <v>8474.58</v>
      </c>
      <c r="N1579" s="11">
        <f>IF(M1579="","",ROUND(M1579*1.18,2))</f>
        <v/>
      </c>
      <c r="O1579" s="12">
        <f>IF(M1579="","",ROUND(N1579-M1579,2))</f>
        <v/>
      </c>
      <c r="P1579" s="13">
        <f>IF(AND(A1579&lt;&gt;"",B1579&lt;&gt;""), A1579&amp;" · "&amp;B1579, "")</f>
        <v/>
      </c>
    </row>
    <row r="1580">
      <c r="A1580" s="6" t="inlineStr">
        <is>
          <t>FY27</t>
        </is>
      </c>
      <c r="B1580" s="6" t="inlineStr">
        <is>
          <t>Apr</t>
        </is>
      </c>
      <c r="C1580" s="6" t="inlineStr">
        <is>
          <t>TN</t>
        </is>
      </c>
      <c r="D1580" s="7" t="inlineStr">
        <is>
          <t>TN06X9121</t>
        </is>
      </c>
      <c r="E1580" s="7" t="inlineStr">
        <is>
          <t>HYUNDAI</t>
        </is>
      </c>
      <c r="F1580" s="7" t="inlineStr">
        <is>
          <t>Creta</t>
        </is>
      </c>
      <c r="G1580" s="7" t="inlineStr">
        <is>
          <t>EXCHANGE CHENNAI</t>
        </is>
      </c>
      <c r="H1580" s="7" t="inlineStr">
        <is>
          <t>Captive</t>
        </is>
      </c>
      <c r="I1580" s="7" t="inlineStr">
        <is>
          <t>Santhosh Cars</t>
        </is>
      </c>
      <c r="J1580" s="8" t="n">
        <v>2019</v>
      </c>
      <c r="K1580" s="9" t="n">
        <v>52476</v>
      </c>
      <c r="L1580" s="10" t="n">
        <v>700000</v>
      </c>
      <c r="M1580" s="10" t="n">
        <v>8474.58</v>
      </c>
      <c r="N1580" s="11">
        <f>IF(M1580="","",ROUND(M1580*1.18,2))</f>
        <v/>
      </c>
      <c r="O1580" s="12">
        <f>IF(M1580="","",ROUND(N1580-M1580,2))</f>
        <v/>
      </c>
      <c r="P1580" s="13">
        <f>IF(AND(A1580&lt;&gt;"",B1580&lt;&gt;""), A1580&amp;" · "&amp;B1580, "")</f>
        <v/>
      </c>
    </row>
    <row r="1581">
      <c r="A1581" s="6" t="inlineStr">
        <is>
          <t>FY27</t>
        </is>
      </c>
      <c r="B1581" s="6" t="inlineStr">
        <is>
          <t>Apr</t>
        </is>
      </c>
      <c r="C1581" s="6" t="inlineStr">
        <is>
          <t>TN</t>
        </is>
      </c>
      <c r="D1581" s="7" t="inlineStr">
        <is>
          <t>TN07AS2543</t>
        </is>
      </c>
      <c r="E1581" s="7" t="inlineStr">
        <is>
          <t>MARUTI SUZUKI</t>
        </is>
      </c>
      <c r="F1581" s="7" t="inlineStr">
        <is>
          <t>Wagon R</t>
        </is>
      </c>
      <c r="G1581" s="7" t="inlineStr">
        <is>
          <t>KHIVRAJ MOTOR</t>
        </is>
      </c>
      <c r="H1581" s="7" t="inlineStr">
        <is>
          <t>Non-Captive</t>
        </is>
      </c>
      <c r="I1581" s="7" t="inlineStr">
        <is>
          <t>Santhosh Cars</t>
        </is>
      </c>
      <c r="J1581" s="8" t="n">
        <v>2007</v>
      </c>
      <c r="K1581" s="9" t="n">
        <v>92652</v>
      </c>
      <c r="L1581" s="10" t="n">
        <v>40000</v>
      </c>
      <c r="M1581" s="10" t="n">
        <v>4237.29</v>
      </c>
      <c r="N1581" s="11">
        <f>IF(M1581="","",ROUND(M1581*1.18,2))</f>
        <v/>
      </c>
      <c r="O1581" s="12">
        <f>IF(M1581="","",ROUND(N1581-M1581,2))</f>
        <v/>
      </c>
      <c r="P1581" s="13">
        <f>IF(AND(A1581&lt;&gt;"",B1581&lt;&gt;""), A1581&amp;" · "&amp;B1581, "")</f>
        <v/>
      </c>
    </row>
    <row r="1582">
      <c r="A1582" s="6" t="inlineStr">
        <is>
          <t>FY27</t>
        </is>
      </c>
      <c r="B1582" s="6" t="inlineStr">
        <is>
          <t>Apr</t>
        </is>
      </c>
      <c r="C1582" s="6" t="inlineStr">
        <is>
          <t>TN</t>
        </is>
      </c>
      <c r="D1582" s="7" t="inlineStr">
        <is>
          <t>TN07AW2850</t>
        </is>
      </c>
      <c r="E1582" s="7" t="inlineStr">
        <is>
          <t>MARUTI SUZUKI</t>
        </is>
      </c>
      <c r="F1582" s="7" t="inlineStr">
        <is>
          <t>Alto</t>
        </is>
      </c>
      <c r="G1582" s="7" t="inlineStr">
        <is>
          <t>KHIVRAJ MOTOR</t>
        </is>
      </c>
      <c r="H1582" s="7" t="inlineStr">
        <is>
          <t>Non-Captive</t>
        </is>
      </c>
      <c r="I1582" s="7" t="inlineStr">
        <is>
          <t>Santhosh Cars</t>
        </is>
      </c>
      <c r="J1582" s="8" t="n">
        <v>2005</v>
      </c>
      <c r="K1582" s="9" t="n">
        <v>103502</v>
      </c>
      <c r="L1582" s="10" t="n">
        <v>30000</v>
      </c>
      <c r="M1582" s="10" t="n">
        <v>4237.29</v>
      </c>
      <c r="N1582" s="11">
        <f>IF(M1582="","",ROUND(M1582*1.18,2))</f>
        <v/>
      </c>
      <c r="O1582" s="12">
        <f>IF(M1582="","",ROUND(N1582-M1582,2))</f>
        <v/>
      </c>
      <c r="P1582" s="13">
        <f>IF(AND(A1582&lt;&gt;"",B1582&lt;&gt;""), A1582&amp;" · "&amp;B1582, "")</f>
        <v/>
      </c>
    </row>
    <row r="1583">
      <c r="A1583" s="6" t="inlineStr">
        <is>
          <t>FY27</t>
        </is>
      </c>
      <c r="B1583" s="6" t="inlineStr">
        <is>
          <t>Apr</t>
        </is>
      </c>
      <c r="C1583" s="6" t="inlineStr">
        <is>
          <t>TN</t>
        </is>
      </c>
      <c r="D1583" s="7" t="inlineStr">
        <is>
          <t>TN07AW3361</t>
        </is>
      </c>
      <c r="E1583" s="7" t="inlineStr">
        <is>
          <t>MARUTI SUZUKI</t>
        </is>
      </c>
      <c r="F1583" s="7" t="inlineStr">
        <is>
          <t>Esteem</t>
        </is>
      </c>
      <c r="G1583" s="7" t="inlineStr">
        <is>
          <t>EXCHANGE ROTN</t>
        </is>
      </c>
      <c r="H1583" s="7" t="inlineStr">
        <is>
          <t>Captive</t>
        </is>
      </c>
      <c r="I1583" s="7" t="inlineStr">
        <is>
          <t>MR Motors</t>
        </is>
      </c>
      <c r="J1583" s="8" t="n">
        <v>2005</v>
      </c>
      <c r="K1583" s="9" t="n">
        <v>76118</v>
      </c>
      <c r="L1583" s="10" t="n">
        <v>25000</v>
      </c>
      <c r="M1583" s="10" t="n">
        <v>4237.29</v>
      </c>
      <c r="N1583" s="11">
        <f>IF(M1583="","",ROUND(M1583*1.18,2))</f>
        <v/>
      </c>
      <c r="O1583" s="12">
        <f>IF(M1583="","",ROUND(N1583-M1583,2))</f>
        <v/>
      </c>
      <c r="P1583" s="13">
        <f>IF(AND(A1583&lt;&gt;"",B1583&lt;&gt;""), A1583&amp;" · "&amp;B1583, "")</f>
        <v/>
      </c>
    </row>
    <row r="1584">
      <c r="A1584" s="6" t="inlineStr">
        <is>
          <t>FY27</t>
        </is>
      </c>
      <c r="B1584" s="6" t="inlineStr">
        <is>
          <t>Apr</t>
        </is>
      </c>
      <c r="C1584" s="6" t="inlineStr">
        <is>
          <t>TN</t>
        </is>
      </c>
      <c r="D1584" s="7" t="inlineStr">
        <is>
          <t>TN07AW9736</t>
        </is>
      </c>
      <c r="E1584" s="7" t="inlineStr">
        <is>
          <t>HYUNDAI</t>
        </is>
      </c>
      <c r="F1584" s="7" t="inlineStr">
        <is>
          <t>Getz</t>
        </is>
      </c>
      <c r="G1584" s="7" t="inlineStr">
        <is>
          <t>POPULAR VEHICLES</t>
        </is>
      </c>
      <c r="H1584" s="7" t="inlineStr">
        <is>
          <t>Non-Captive</t>
        </is>
      </c>
      <c r="I1584" s="7" t="inlineStr">
        <is>
          <t>Santhosh Cars</t>
        </is>
      </c>
      <c r="J1584" s="8" t="n">
        <v>2005</v>
      </c>
      <c r="K1584" s="9" t="n">
        <v>84058</v>
      </c>
      <c r="L1584" s="10" t="n">
        <v>50000</v>
      </c>
      <c r="M1584" s="10" t="n">
        <v>2542.37</v>
      </c>
      <c r="N1584" s="11">
        <f>IF(M1584="","",ROUND(M1584*1.18,2))</f>
        <v/>
      </c>
      <c r="O1584" s="12">
        <f>IF(M1584="","",ROUND(N1584-M1584,2))</f>
        <v/>
      </c>
      <c r="P1584" s="13">
        <f>IF(AND(A1584&lt;&gt;"",B1584&lt;&gt;""), A1584&amp;" · "&amp;B1584, "")</f>
        <v/>
      </c>
    </row>
    <row r="1585">
      <c r="A1585" s="6" t="inlineStr">
        <is>
          <t>FY27</t>
        </is>
      </c>
      <c r="B1585" s="6" t="inlineStr">
        <is>
          <t>Apr</t>
        </is>
      </c>
      <c r="C1585" s="6" t="inlineStr">
        <is>
          <t>TN</t>
        </is>
      </c>
      <c r="D1585" s="7" t="inlineStr">
        <is>
          <t>TN07BH1535</t>
        </is>
      </c>
      <c r="E1585" s="7" t="inlineStr">
        <is>
          <t>MARUTI SUZUKI</t>
        </is>
      </c>
      <c r="F1585" s="7" t="inlineStr">
        <is>
          <t>Wagon R</t>
        </is>
      </c>
      <c r="G1585" s="7" t="inlineStr">
        <is>
          <t>ABT LIMITED</t>
        </is>
      </c>
      <c r="H1585" s="7" t="inlineStr">
        <is>
          <t>Non-Captive</t>
        </is>
      </c>
      <c r="I1585" s="7" t="inlineStr">
        <is>
          <t>Santhosh Cars</t>
        </is>
      </c>
      <c r="J1585" s="8" t="n">
        <v>2010</v>
      </c>
      <c r="K1585" s="9" t="n">
        <v>130612</v>
      </c>
      <c r="L1585" s="10" t="n">
        <v>140000</v>
      </c>
      <c r="M1585" s="10" t="n">
        <v>2542.37</v>
      </c>
      <c r="N1585" s="11">
        <f>IF(M1585="","",ROUND(M1585*1.18,2))</f>
        <v/>
      </c>
      <c r="O1585" s="12">
        <f>IF(M1585="","",ROUND(N1585-M1585,2))</f>
        <v/>
      </c>
      <c r="P1585" s="13">
        <f>IF(AND(A1585&lt;&gt;"",B1585&lt;&gt;""), A1585&amp;" · "&amp;B1585, "")</f>
        <v/>
      </c>
    </row>
    <row r="1586">
      <c r="A1586" s="6" t="inlineStr">
        <is>
          <t>FY27</t>
        </is>
      </c>
      <c r="B1586" s="6" t="inlineStr">
        <is>
          <t>Apr</t>
        </is>
      </c>
      <c r="C1586" s="6" t="inlineStr">
        <is>
          <t>TN</t>
        </is>
      </c>
      <c r="D1586" s="7" t="inlineStr">
        <is>
          <t>TN07BH5829</t>
        </is>
      </c>
      <c r="E1586" s="7" t="inlineStr">
        <is>
          <t>MARUTI SUZUKI</t>
        </is>
      </c>
      <c r="F1586" s="7" t="inlineStr">
        <is>
          <t>Ritz</t>
        </is>
      </c>
      <c r="G1586" s="7" t="inlineStr">
        <is>
          <t>POPULAR VEHICLES</t>
        </is>
      </c>
      <c r="H1586" s="7" t="inlineStr">
        <is>
          <t>Non-Captive</t>
        </is>
      </c>
      <c r="I1586" s="7" t="inlineStr">
        <is>
          <t>Santhosh Cars</t>
        </is>
      </c>
      <c r="J1586" s="8" t="n">
        <v>2010</v>
      </c>
      <c r="K1586" s="9" t="n">
        <v>37909</v>
      </c>
      <c r="L1586" s="10" t="n">
        <v>150000</v>
      </c>
      <c r="M1586" s="10" t="n">
        <v>2542.37</v>
      </c>
      <c r="N1586" s="11">
        <f>IF(M1586="","",ROUND(M1586*1.18,2))</f>
        <v/>
      </c>
      <c r="O1586" s="12">
        <f>IF(M1586="","",ROUND(N1586-M1586,2))</f>
        <v/>
      </c>
      <c r="P1586" s="13">
        <f>IF(AND(A1586&lt;&gt;"",B1586&lt;&gt;""), A1586&amp;" · "&amp;B1586, "")</f>
        <v/>
      </c>
    </row>
    <row r="1587">
      <c r="A1587" s="6" t="inlineStr">
        <is>
          <t>FY27</t>
        </is>
      </c>
      <c r="B1587" s="6" t="inlineStr">
        <is>
          <t>Apr</t>
        </is>
      </c>
      <c r="C1587" s="6" t="inlineStr">
        <is>
          <t>TN</t>
        </is>
      </c>
      <c r="D1587" s="7" t="inlineStr">
        <is>
          <t>TN07BJ5413</t>
        </is>
      </c>
      <c r="E1587" s="7" t="inlineStr">
        <is>
          <t>MARUTI SUZUKI</t>
        </is>
      </c>
      <c r="F1587" s="7" t="inlineStr">
        <is>
          <t>Swift</t>
        </is>
      </c>
      <c r="G1587" s="7" t="inlineStr">
        <is>
          <t>ABT LIMITED</t>
        </is>
      </c>
      <c r="H1587" s="7" t="inlineStr">
        <is>
          <t>Non-Captive</t>
        </is>
      </c>
      <c r="I1587" s="7" t="inlineStr">
        <is>
          <t>Santhosh Cars</t>
        </is>
      </c>
      <c r="J1587" s="8" t="n">
        <v>2010</v>
      </c>
      <c r="K1587" s="9" t="n">
        <v>18765</v>
      </c>
      <c r="L1587" s="10" t="n">
        <v>175000</v>
      </c>
      <c r="M1587" s="10" t="n">
        <v>2542.37</v>
      </c>
      <c r="N1587" s="11">
        <f>IF(M1587="","",ROUND(M1587*1.18,2))</f>
        <v/>
      </c>
      <c r="O1587" s="12">
        <f>IF(M1587="","",ROUND(N1587-M1587,2))</f>
        <v/>
      </c>
      <c r="P1587" s="13">
        <f>IF(AND(A1587&lt;&gt;"",B1587&lt;&gt;""), A1587&amp;" · "&amp;B1587, "")</f>
        <v/>
      </c>
    </row>
    <row r="1588">
      <c r="A1588" s="6" t="inlineStr">
        <is>
          <t>FY27</t>
        </is>
      </c>
      <c r="B1588" s="6" t="inlineStr">
        <is>
          <t>Apr</t>
        </is>
      </c>
      <c r="C1588" s="6" t="inlineStr">
        <is>
          <t>TN</t>
        </is>
      </c>
      <c r="D1588" s="7" t="inlineStr">
        <is>
          <t>TN07BK0554</t>
        </is>
      </c>
      <c r="E1588" s="7" t="inlineStr">
        <is>
          <t>CHEVROLET</t>
        </is>
      </c>
      <c r="F1588" s="7" t="inlineStr">
        <is>
          <t>Spark</t>
        </is>
      </c>
      <c r="G1588" s="7" t="inlineStr">
        <is>
          <t>POPULAR VEHICLES</t>
        </is>
      </c>
      <c r="H1588" s="7" t="inlineStr">
        <is>
          <t>Non-Captive</t>
        </is>
      </c>
      <c r="I1588" s="7" t="inlineStr">
        <is>
          <t>Santhosh Cars</t>
        </is>
      </c>
      <c r="J1588" s="8" t="n">
        <v>2010</v>
      </c>
      <c r="K1588" s="9" t="n">
        <v>100440</v>
      </c>
      <c r="L1588" s="10" t="n">
        <v>35000</v>
      </c>
      <c r="M1588" s="10" t="n">
        <v>2542.37</v>
      </c>
      <c r="N1588" s="11">
        <f>IF(M1588="","",ROUND(M1588*1.18,2))</f>
        <v/>
      </c>
      <c r="O1588" s="12">
        <f>IF(M1588="","",ROUND(N1588-M1588,2))</f>
        <v/>
      </c>
      <c r="P1588" s="13">
        <f>IF(AND(A1588&lt;&gt;"",B1588&lt;&gt;""), A1588&amp;" · "&amp;B1588, "")</f>
        <v/>
      </c>
    </row>
    <row r="1589">
      <c r="A1589" s="6" t="inlineStr">
        <is>
          <t>FY27</t>
        </is>
      </c>
      <c r="B1589" s="6" t="inlineStr">
        <is>
          <t>Apr</t>
        </is>
      </c>
      <c r="C1589" s="6" t="inlineStr">
        <is>
          <t>TN</t>
        </is>
      </c>
      <c r="D1589" s="7" t="inlineStr">
        <is>
          <t>TN07BL6003</t>
        </is>
      </c>
      <c r="E1589" s="7" t="inlineStr">
        <is>
          <t>VOLKSWAGEN</t>
        </is>
      </c>
      <c r="F1589" s="7" t="inlineStr">
        <is>
          <t>Polo</t>
        </is>
      </c>
      <c r="G1589" s="7" t="inlineStr">
        <is>
          <t>EXCHANGE CHENNAI</t>
        </is>
      </c>
      <c r="H1589" s="7" t="inlineStr">
        <is>
          <t>Captive</t>
        </is>
      </c>
      <c r="I1589" s="7" t="inlineStr">
        <is>
          <t>Santhosh Cars</t>
        </is>
      </c>
      <c r="J1589" s="8" t="n">
        <v>2011</v>
      </c>
      <c r="K1589" s="9" t="n">
        <v>55629</v>
      </c>
      <c r="L1589" s="10" t="n">
        <v>200000</v>
      </c>
      <c r="M1589" s="10" t="n">
        <v>8474.58</v>
      </c>
      <c r="N1589" s="11">
        <f>IF(M1589="","",ROUND(M1589*1.18,2))</f>
        <v/>
      </c>
      <c r="O1589" s="12">
        <f>IF(M1589="","",ROUND(N1589-M1589,2))</f>
        <v/>
      </c>
      <c r="P1589" s="13">
        <f>IF(AND(A1589&lt;&gt;"",B1589&lt;&gt;""), A1589&amp;" · "&amp;B1589, "")</f>
        <v/>
      </c>
    </row>
    <row r="1590">
      <c r="A1590" s="6" t="inlineStr">
        <is>
          <t>FY27</t>
        </is>
      </c>
      <c r="B1590" s="6" t="inlineStr">
        <is>
          <t>Apr</t>
        </is>
      </c>
      <c r="C1590" s="6" t="inlineStr">
        <is>
          <t>TN</t>
        </is>
      </c>
      <c r="D1590" s="7" t="inlineStr">
        <is>
          <t>TN07BM2127</t>
        </is>
      </c>
      <c r="E1590" s="7" t="inlineStr">
        <is>
          <t>VOLKSWAGEN</t>
        </is>
      </c>
      <c r="F1590" s="7" t="inlineStr">
        <is>
          <t>Polo</t>
        </is>
      </c>
      <c r="G1590" s="7" t="inlineStr">
        <is>
          <t>ABT LIMITED</t>
        </is>
      </c>
      <c r="H1590" s="7" t="inlineStr">
        <is>
          <t>Non-Captive</t>
        </is>
      </c>
      <c r="I1590" s="7" t="inlineStr">
        <is>
          <t>Santhosh Cars</t>
        </is>
      </c>
      <c r="J1590" s="8" t="n">
        <v>2011</v>
      </c>
      <c r="K1590" s="9" t="n">
        <v>121230</v>
      </c>
      <c r="L1590" s="10" t="n">
        <v>180000</v>
      </c>
      <c r="M1590" s="10" t="n">
        <v>2542.37</v>
      </c>
      <c r="N1590" s="11">
        <f>IF(M1590="","",ROUND(M1590*1.18,2))</f>
        <v/>
      </c>
      <c r="O1590" s="12">
        <f>IF(M1590="","",ROUND(N1590-M1590,2))</f>
        <v/>
      </c>
      <c r="P1590" s="13">
        <f>IF(AND(A1590&lt;&gt;"",B1590&lt;&gt;""), A1590&amp;" · "&amp;B1590, "")</f>
        <v/>
      </c>
    </row>
    <row r="1591">
      <c r="A1591" s="6" t="inlineStr">
        <is>
          <t>FY27</t>
        </is>
      </c>
      <c r="B1591" s="6" t="inlineStr">
        <is>
          <t>Apr</t>
        </is>
      </c>
      <c r="C1591" s="6" t="inlineStr">
        <is>
          <t>TN</t>
        </is>
      </c>
      <c r="D1591" s="7" t="inlineStr">
        <is>
          <t>TN07BP2007</t>
        </is>
      </c>
      <c r="E1591" s="7" t="inlineStr">
        <is>
          <t>MARUTI SUZUKI</t>
        </is>
      </c>
      <c r="F1591" s="7" t="inlineStr">
        <is>
          <t>Ritz</t>
        </is>
      </c>
      <c r="G1591" s="7" t="inlineStr">
        <is>
          <t>ABT LIMITED</t>
        </is>
      </c>
      <c r="H1591" s="7" t="inlineStr">
        <is>
          <t>Non-Captive</t>
        </is>
      </c>
      <c r="I1591" s="7" t="inlineStr">
        <is>
          <t>Santhosh Cars</t>
        </is>
      </c>
      <c r="J1591" s="8" t="n">
        <v>2011</v>
      </c>
      <c r="K1591" s="9" t="n">
        <v>76417</v>
      </c>
      <c r="L1591" s="10" t="n">
        <v>160000</v>
      </c>
      <c r="M1591" s="10" t="n">
        <v>2542.37</v>
      </c>
      <c r="N1591" s="11">
        <f>IF(M1591="","",ROUND(M1591*1.18,2))</f>
        <v/>
      </c>
      <c r="O1591" s="12">
        <f>IF(M1591="","",ROUND(N1591-M1591,2))</f>
        <v/>
      </c>
      <c r="P1591" s="13">
        <f>IF(AND(A1591&lt;&gt;"",B1591&lt;&gt;""), A1591&amp;" · "&amp;B1591, "")</f>
        <v/>
      </c>
    </row>
    <row r="1592">
      <c r="A1592" s="6" t="inlineStr">
        <is>
          <t>FY27</t>
        </is>
      </c>
      <c r="B1592" s="6" t="inlineStr">
        <is>
          <t>Apr</t>
        </is>
      </c>
      <c r="C1592" s="6" t="inlineStr">
        <is>
          <t>TN</t>
        </is>
      </c>
      <c r="D1592" s="7" t="inlineStr">
        <is>
          <t>TN07BR2549</t>
        </is>
      </c>
      <c r="E1592" s="7" t="inlineStr">
        <is>
          <t>TATA</t>
        </is>
      </c>
      <c r="F1592" s="7" t="inlineStr">
        <is>
          <t>Indica</t>
        </is>
      </c>
      <c r="G1592" s="7" t="inlineStr">
        <is>
          <t>EXCHANGE CHENNAI</t>
        </is>
      </c>
      <c r="H1592" s="7" t="inlineStr">
        <is>
          <t>Captive</t>
        </is>
      </c>
      <c r="I1592" s="7" t="inlineStr">
        <is>
          <t>Varadhrajan cars</t>
        </is>
      </c>
      <c r="J1592" s="8" t="n">
        <v>2012</v>
      </c>
      <c r="K1592" s="9" t="n">
        <v>63211</v>
      </c>
      <c r="L1592" s="10" t="n">
        <v>125000</v>
      </c>
      <c r="M1592" s="10" t="n">
        <v>4237.29</v>
      </c>
      <c r="N1592" s="11">
        <f>IF(M1592="","",ROUND(M1592*1.18,2))</f>
        <v/>
      </c>
      <c r="O1592" s="12">
        <f>IF(M1592="","",ROUND(N1592-M1592,2))</f>
        <v/>
      </c>
      <c r="P1592" s="13">
        <f>IF(AND(A1592&lt;&gt;"",B1592&lt;&gt;""), A1592&amp;" · "&amp;B1592, "")</f>
        <v/>
      </c>
    </row>
    <row r="1593">
      <c r="A1593" s="6" t="inlineStr">
        <is>
          <t>FY27</t>
        </is>
      </c>
      <c r="B1593" s="6" t="inlineStr">
        <is>
          <t>Apr</t>
        </is>
      </c>
      <c r="C1593" s="6" t="inlineStr">
        <is>
          <t>TN</t>
        </is>
      </c>
      <c r="D1593" s="7" t="inlineStr">
        <is>
          <t>TN07BU3334</t>
        </is>
      </c>
      <c r="E1593" s="7" t="inlineStr">
        <is>
          <t>MARUTI SUZUKI</t>
        </is>
      </c>
      <c r="F1593" s="7" t="inlineStr">
        <is>
          <t>Alto</t>
        </is>
      </c>
      <c r="G1593" s="7" t="inlineStr">
        <is>
          <t>ABT LIMITED</t>
        </is>
      </c>
      <c r="H1593" s="7" t="inlineStr">
        <is>
          <t>Non-Captive</t>
        </is>
      </c>
      <c r="I1593" s="7" t="inlineStr">
        <is>
          <t>Santhosh Cars</t>
        </is>
      </c>
      <c r="J1593" s="8" t="n">
        <v>2013</v>
      </c>
      <c r="K1593" s="9" t="n">
        <v>27991</v>
      </c>
      <c r="L1593" s="10" t="n">
        <v>165000</v>
      </c>
      <c r="M1593" s="10" t="n">
        <v>2542.37</v>
      </c>
      <c r="N1593" s="11">
        <f>IF(M1593="","",ROUND(M1593*1.18,2))</f>
        <v/>
      </c>
      <c r="O1593" s="12">
        <f>IF(M1593="","",ROUND(N1593-M1593,2))</f>
        <v/>
      </c>
      <c r="P1593" s="13">
        <f>IF(AND(A1593&lt;&gt;"",B1593&lt;&gt;""), A1593&amp;" · "&amp;B1593, "")</f>
        <v/>
      </c>
    </row>
    <row r="1594">
      <c r="A1594" s="6" t="inlineStr">
        <is>
          <t>FY27</t>
        </is>
      </c>
      <c r="B1594" s="6" t="inlineStr">
        <is>
          <t>Apr</t>
        </is>
      </c>
      <c r="C1594" s="6" t="inlineStr">
        <is>
          <t>TN</t>
        </is>
      </c>
      <c r="D1594" s="7" t="inlineStr">
        <is>
          <t>TN07CE1381</t>
        </is>
      </c>
      <c r="E1594" s="7" t="inlineStr">
        <is>
          <t>HONDA</t>
        </is>
      </c>
      <c r="F1594" s="7" t="inlineStr">
        <is>
          <t>City</t>
        </is>
      </c>
      <c r="G1594" s="7" t="inlineStr">
        <is>
          <t>EXCHANGE CHENNAI</t>
        </is>
      </c>
      <c r="H1594" s="7" t="inlineStr">
        <is>
          <t>Captive</t>
        </is>
      </c>
      <c r="I1594" s="7" t="inlineStr">
        <is>
          <t>Santhosh Cars</t>
        </is>
      </c>
      <c r="J1594" s="8" t="n">
        <v>2016</v>
      </c>
      <c r="K1594" s="9" t="n">
        <v>88580</v>
      </c>
      <c r="L1594" s="10" t="n">
        <v>480000</v>
      </c>
      <c r="M1594" s="10" t="n">
        <v>8474.58</v>
      </c>
      <c r="N1594" s="11">
        <f>IF(M1594="","",ROUND(M1594*1.18,2))</f>
        <v/>
      </c>
      <c r="O1594" s="12">
        <f>IF(M1594="","",ROUND(N1594-M1594,2))</f>
        <v/>
      </c>
      <c r="P1594" s="13">
        <f>IF(AND(A1594&lt;&gt;"",B1594&lt;&gt;""), A1594&amp;" · "&amp;B1594, "")</f>
        <v/>
      </c>
    </row>
    <row r="1595">
      <c r="A1595" s="6" t="inlineStr">
        <is>
          <t>FY27</t>
        </is>
      </c>
      <c r="B1595" s="6" t="inlineStr">
        <is>
          <t>Apr</t>
        </is>
      </c>
      <c r="C1595" s="6" t="inlineStr">
        <is>
          <t>TN</t>
        </is>
      </c>
      <c r="D1595" s="7" t="inlineStr">
        <is>
          <t>TN07CF9733</t>
        </is>
      </c>
      <c r="E1595" s="7" t="inlineStr">
        <is>
          <t>HONDA</t>
        </is>
      </c>
      <c r="F1595" s="7" t="inlineStr">
        <is>
          <t>City</t>
        </is>
      </c>
      <c r="G1595" s="7" t="inlineStr">
        <is>
          <t>EXCHANGE CHENNAI</t>
        </is>
      </c>
      <c r="H1595" s="7" t="inlineStr">
        <is>
          <t>Captive</t>
        </is>
      </c>
      <c r="I1595" s="7" t="inlineStr">
        <is>
          <t>Varadhrajan cars</t>
        </is>
      </c>
      <c r="J1595" s="8" t="n">
        <v>2016</v>
      </c>
      <c r="K1595" s="9" t="n">
        <v>122895</v>
      </c>
      <c r="L1595" s="10" t="n">
        <v>430000</v>
      </c>
      <c r="M1595" s="10" t="n">
        <v>8474.58</v>
      </c>
      <c r="N1595" s="11">
        <f>IF(M1595="","",ROUND(M1595*1.18,2))</f>
        <v/>
      </c>
      <c r="O1595" s="12">
        <f>IF(M1595="","",ROUND(N1595-M1595,2))</f>
        <v/>
      </c>
      <c r="P1595" s="13">
        <f>IF(AND(A1595&lt;&gt;"",B1595&lt;&gt;""), A1595&amp;" · "&amp;B1595, "")</f>
        <v/>
      </c>
    </row>
    <row r="1596">
      <c r="A1596" s="6" t="inlineStr">
        <is>
          <t>FY27</t>
        </is>
      </c>
      <c r="B1596" s="6" t="inlineStr">
        <is>
          <t>Apr</t>
        </is>
      </c>
      <c r="C1596" s="6" t="inlineStr">
        <is>
          <t>TN</t>
        </is>
      </c>
      <c r="D1596" s="7" t="inlineStr">
        <is>
          <t>TN07CJ8462</t>
        </is>
      </c>
      <c r="E1596" s="7" t="inlineStr">
        <is>
          <t>MARUTI SUZUKI</t>
        </is>
      </c>
      <c r="F1596" s="7" t="inlineStr">
        <is>
          <t>Celerio</t>
        </is>
      </c>
      <c r="G1596" s="7" t="inlineStr">
        <is>
          <t>AIE CARS PRIVATE LIMITED</t>
        </is>
      </c>
      <c r="H1596" s="7" t="inlineStr">
        <is>
          <t>Non-Captive</t>
        </is>
      </c>
      <c r="I1596" s="7" t="inlineStr">
        <is>
          <t>Kamal Cars</t>
        </is>
      </c>
      <c r="J1596" s="8" t="n">
        <v>2017</v>
      </c>
      <c r="K1596" s="9" t="n">
        <v>24940</v>
      </c>
      <c r="L1596" s="10" t="n">
        <v>193000</v>
      </c>
      <c r="M1596" s="10" t="n">
        <v>5084.75</v>
      </c>
      <c r="N1596" s="11">
        <f>IF(M1596="","",ROUND(M1596*1.18,2))</f>
        <v/>
      </c>
      <c r="O1596" s="12">
        <f>IF(M1596="","",ROUND(N1596-M1596,2))</f>
        <v/>
      </c>
      <c r="P1596" s="13">
        <f>IF(AND(A1596&lt;&gt;"",B1596&lt;&gt;""), A1596&amp;" · "&amp;B1596, "")</f>
        <v/>
      </c>
    </row>
    <row r="1597">
      <c r="A1597" s="6" t="inlineStr">
        <is>
          <t>FY27</t>
        </is>
      </c>
      <c r="B1597" s="6" t="inlineStr">
        <is>
          <t>Apr</t>
        </is>
      </c>
      <c r="C1597" s="6" t="inlineStr">
        <is>
          <t>TN</t>
        </is>
      </c>
      <c r="D1597" s="7" t="inlineStr">
        <is>
          <t>TN07CJ9902</t>
        </is>
      </c>
      <c r="E1597" s="7" t="inlineStr">
        <is>
          <t>HYUNDAI</t>
        </is>
      </c>
      <c r="F1597" s="7" t="inlineStr">
        <is>
          <t>Verna</t>
        </is>
      </c>
      <c r="G1597" s="7" t="inlineStr">
        <is>
          <t>CARS INDIA</t>
        </is>
      </c>
      <c r="H1597" s="7" t="inlineStr">
        <is>
          <t>Non-Captive</t>
        </is>
      </c>
      <c r="I1597" s="7" t="inlineStr">
        <is>
          <t>Santhosh Cars</t>
        </is>
      </c>
      <c r="J1597" s="8" t="n">
        <v>2017</v>
      </c>
      <c r="K1597" s="9" t="n">
        <v>27139</v>
      </c>
      <c r="L1597" s="10" t="n">
        <v>390000</v>
      </c>
      <c r="M1597" s="10" t="n">
        <v>6355.93</v>
      </c>
      <c r="N1597" s="11">
        <f>IF(M1597="","",ROUND(M1597*1.18,2))</f>
        <v/>
      </c>
      <c r="O1597" s="12">
        <f>IF(M1597="","",ROUND(N1597-M1597,2))</f>
        <v/>
      </c>
      <c r="P1597" s="13">
        <f>IF(AND(A1597&lt;&gt;"",B1597&lt;&gt;""), A1597&amp;" · "&amp;B1597, "")</f>
        <v/>
      </c>
    </row>
    <row r="1598">
      <c r="A1598" s="6" t="inlineStr">
        <is>
          <t>FY27</t>
        </is>
      </c>
      <c r="B1598" s="6" t="inlineStr">
        <is>
          <t>Apr</t>
        </is>
      </c>
      <c r="C1598" s="6" t="inlineStr">
        <is>
          <t>TN</t>
        </is>
      </c>
      <c r="D1598" s="7" t="inlineStr">
        <is>
          <t>TN07CP6271</t>
        </is>
      </c>
      <c r="E1598" s="7" t="inlineStr">
        <is>
          <t>HONDA</t>
        </is>
      </c>
      <c r="F1598" s="7" t="inlineStr">
        <is>
          <t>Jazz</t>
        </is>
      </c>
      <c r="G1598" s="7" t="inlineStr">
        <is>
          <t>EXCHANGE CHENNAI</t>
        </is>
      </c>
      <c r="H1598" s="7" t="inlineStr">
        <is>
          <t>Captive</t>
        </is>
      </c>
      <c r="I1598" s="7" t="inlineStr">
        <is>
          <t>Nirmal Cars</t>
        </is>
      </c>
      <c r="J1598" s="8" t="n">
        <v>2018</v>
      </c>
      <c r="K1598" s="9" t="n">
        <v>39473</v>
      </c>
      <c r="L1598" s="10" t="n">
        <v>430000</v>
      </c>
      <c r="M1598" s="10" t="n">
        <v>8474.58</v>
      </c>
      <c r="N1598" s="11">
        <f>IF(M1598="","",ROUND(M1598*1.18,2))</f>
        <v/>
      </c>
      <c r="O1598" s="12">
        <f>IF(M1598="","",ROUND(N1598-M1598,2))</f>
        <v/>
      </c>
      <c r="P1598" s="13">
        <f>IF(AND(A1598&lt;&gt;"",B1598&lt;&gt;""), A1598&amp;" · "&amp;B1598, "")</f>
        <v/>
      </c>
    </row>
    <row r="1599">
      <c r="A1599" s="6" t="inlineStr">
        <is>
          <t>FY27</t>
        </is>
      </c>
      <c r="B1599" s="6" t="inlineStr">
        <is>
          <t>Apr</t>
        </is>
      </c>
      <c r="C1599" s="6" t="inlineStr">
        <is>
          <t>TN</t>
        </is>
      </c>
      <c r="D1599" s="7" t="inlineStr">
        <is>
          <t>TN07CP7421</t>
        </is>
      </c>
      <c r="E1599" s="7" t="inlineStr">
        <is>
          <t>HONDA</t>
        </is>
      </c>
      <c r="F1599" s="7" t="inlineStr">
        <is>
          <t>Amaze</t>
        </is>
      </c>
      <c r="G1599" s="7" t="inlineStr">
        <is>
          <t>EXCHANGE CHENNAI</t>
        </is>
      </c>
      <c r="H1599" s="7" t="inlineStr">
        <is>
          <t>Captive</t>
        </is>
      </c>
      <c r="I1599" s="7" t="inlineStr">
        <is>
          <t>Santhosh Cars</t>
        </is>
      </c>
      <c r="J1599" s="8" t="n">
        <v>2018</v>
      </c>
      <c r="K1599" s="9" t="n">
        <v>97456</v>
      </c>
      <c r="L1599" s="10" t="n">
        <v>375000</v>
      </c>
      <c r="M1599" s="10" t="n">
        <v>8474.58</v>
      </c>
      <c r="N1599" s="11">
        <f>IF(M1599="","",ROUND(M1599*1.18,2))</f>
        <v/>
      </c>
      <c r="O1599" s="12">
        <f>IF(M1599="","",ROUND(N1599-M1599,2))</f>
        <v/>
      </c>
      <c r="P1599" s="13">
        <f>IF(AND(A1599&lt;&gt;"",B1599&lt;&gt;""), A1599&amp;" · "&amp;B1599, "")</f>
        <v/>
      </c>
    </row>
    <row r="1600">
      <c r="A1600" s="6" t="inlineStr">
        <is>
          <t>FY27</t>
        </is>
      </c>
      <c r="B1600" s="6" t="inlineStr">
        <is>
          <t>Apr</t>
        </is>
      </c>
      <c r="C1600" s="6" t="inlineStr">
        <is>
          <t>TN</t>
        </is>
      </c>
      <c r="D1600" s="7" t="inlineStr">
        <is>
          <t>TN07CQ3075</t>
        </is>
      </c>
      <c r="E1600" s="7" t="inlineStr">
        <is>
          <t>HYUNDAI</t>
        </is>
      </c>
      <c r="F1600" s="7" t="inlineStr">
        <is>
          <t>Creta</t>
        </is>
      </c>
      <c r="G1600" s="7" t="inlineStr">
        <is>
          <t>EXCHANGE CHENNAI</t>
        </is>
      </c>
      <c r="H1600" s="7" t="inlineStr">
        <is>
          <t>Captive</t>
        </is>
      </c>
      <c r="I1600" s="7" t="inlineStr">
        <is>
          <t>Vijaya Cars</t>
        </is>
      </c>
      <c r="J1600" s="8" t="n">
        <v>2018</v>
      </c>
      <c r="K1600" s="9" t="n">
        <v>191734</v>
      </c>
      <c r="L1600" s="10" t="n">
        <v>550000</v>
      </c>
      <c r="M1600" s="10" t="n">
        <v>8474.58</v>
      </c>
      <c r="N1600" s="11">
        <f>IF(M1600="","",ROUND(M1600*1.18,2))</f>
        <v/>
      </c>
      <c r="O1600" s="12">
        <f>IF(M1600="","",ROUND(N1600-M1600,2))</f>
        <v/>
      </c>
      <c r="P1600" s="13">
        <f>IF(AND(A1600&lt;&gt;"",B1600&lt;&gt;""), A1600&amp;" · "&amp;B1600, "")</f>
        <v/>
      </c>
    </row>
    <row r="1601">
      <c r="A1601" s="6" t="inlineStr">
        <is>
          <t>FY27</t>
        </is>
      </c>
      <c r="B1601" s="6" t="inlineStr">
        <is>
          <t>Apr</t>
        </is>
      </c>
      <c r="C1601" s="6" t="inlineStr">
        <is>
          <t>TN</t>
        </is>
      </c>
      <c r="D1601" s="7" t="inlineStr">
        <is>
          <t>TN07CQ7377</t>
        </is>
      </c>
      <c r="E1601" s="7" t="inlineStr">
        <is>
          <t>MARUTI SUZUKI</t>
        </is>
      </c>
      <c r="F1601" s="7" t="inlineStr">
        <is>
          <t>Dzire</t>
        </is>
      </c>
      <c r="G1601" s="7" t="inlineStr">
        <is>
          <t>KHIVRAJ MOTOR</t>
        </is>
      </c>
      <c r="H1601" s="7" t="inlineStr">
        <is>
          <t>Non-Captive</t>
        </is>
      </c>
      <c r="I1601" s="7" t="inlineStr">
        <is>
          <t>Kamal Cars</t>
        </is>
      </c>
      <c r="J1601" s="8" t="n">
        <v>2018</v>
      </c>
      <c r="K1601" s="9" t="n">
        <v>24122</v>
      </c>
      <c r="L1601" s="10" t="n">
        <v>460000</v>
      </c>
      <c r="M1601" s="10" t="n">
        <v>8474.58</v>
      </c>
      <c r="N1601" s="11">
        <f>IF(M1601="","",ROUND(M1601*1.18,2))</f>
        <v/>
      </c>
      <c r="O1601" s="12">
        <f>IF(M1601="","",ROUND(N1601-M1601,2))</f>
        <v/>
      </c>
      <c r="P1601" s="13">
        <f>IF(AND(A1601&lt;&gt;"",B1601&lt;&gt;""), A1601&amp;" · "&amp;B1601, "")</f>
        <v/>
      </c>
    </row>
    <row r="1602">
      <c r="A1602" s="6" t="inlineStr">
        <is>
          <t>FY27</t>
        </is>
      </c>
      <c r="B1602" s="6" t="inlineStr">
        <is>
          <t>Apr</t>
        </is>
      </c>
      <c r="C1602" s="6" t="inlineStr">
        <is>
          <t>TN</t>
        </is>
      </c>
      <c r="D1602" s="7" t="inlineStr">
        <is>
          <t>TN07CR2516</t>
        </is>
      </c>
      <c r="E1602" s="7" t="inlineStr">
        <is>
          <t>HONDA</t>
        </is>
      </c>
      <c r="F1602" s="7" t="inlineStr">
        <is>
          <t>Jazz</t>
        </is>
      </c>
      <c r="G1602" s="7" t="inlineStr">
        <is>
          <t>EXCHANGE CHENNAI</t>
        </is>
      </c>
      <c r="H1602" s="7" t="inlineStr">
        <is>
          <t>Captive</t>
        </is>
      </c>
      <c r="I1602" s="7" t="inlineStr">
        <is>
          <t>Nirmal Cars</t>
        </is>
      </c>
      <c r="J1602" s="8" t="n">
        <v>2018</v>
      </c>
      <c r="K1602" s="9" t="n">
        <v>23649</v>
      </c>
      <c r="L1602" s="10" t="n">
        <v>500000</v>
      </c>
      <c r="M1602" s="10" t="n">
        <v>6101.69</v>
      </c>
      <c r="N1602" s="11">
        <f>IF(M1602="","",ROUND(M1602*1.18,2))</f>
        <v/>
      </c>
      <c r="O1602" s="12">
        <f>IF(M1602="","",ROUND(N1602-M1602,2))</f>
        <v/>
      </c>
      <c r="P1602" s="13">
        <f>IF(AND(A1602&lt;&gt;"",B1602&lt;&gt;""), A1602&amp;" · "&amp;B1602, "")</f>
        <v/>
      </c>
    </row>
    <row r="1603">
      <c r="A1603" s="6" t="inlineStr">
        <is>
          <t>FY27</t>
        </is>
      </c>
      <c r="B1603" s="6" t="inlineStr">
        <is>
          <t>Apr</t>
        </is>
      </c>
      <c r="C1603" s="6" t="inlineStr">
        <is>
          <t>TN</t>
        </is>
      </c>
      <c r="D1603" s="7" t="inlineStr">
        <is>
          <t>TN07CS5805</t>
        </is>
      </c>
      <c r="E1603" s="7" t="inlineStr">
        <is>
          <t>TATA</t>
        </is>
      </c>
      <c r="F1603" s="7" t="inlineStr">
        <is>
          <t>Tiago</t>
        </is>
      </c>
      <c r="G1603" s="7" t="inlineStr">
        <is>
          <t>EXCHANGE ROTN</t>
        </is>
      </c>
      <c r="H1603" s="7" t="inlineStr">
        <is>
          <t>Captive</t>
        </is>
      </c>
      <c r="I1603" s="7" t="inlineStr">
        <is>
          <t>PURUSOTHAMAN J CARS</t>
        </is>
      </c>
      <c r="J1603" s="8" t="n">
        <v>2019</v>
      </c>
      <c r="K1603" s="9" t="n">
        <v>101339</v>
      </c>
      <c r="L1603" s="10" t="n">
        <v>275000</v>
      </c>
      <c r="M1603" s="10" t="n">
        <v>4237.29</v>
      </c>
      <c r="N1603" s="11">
        <f>IF(M1603="","",ROUND(M1603*1.18,2))</f>
        <v/>
      </c>
      <c r="O1603" s="12">
        <f>IF(M1603="","",ROUND(N1603-M1603,2))</f>
        <v/>
      </c>
      <c r="P1603" s="13">
        <f>IF(AND(A1603&lt;&gt;"",B1603&lt;&gt;""), A1603&amp;" · "&amp;B1603, "")</f>
        <v/>
      </c>
    </row>
    <row r="1604">
      <c r="A1604" s="6" t="inlineStr">
        <is>
          <t>FY27</t>
        </is>
      </c>
      <c r="B1604" s="6" t="inlineStr">
        <is>
          <t>Apr</t>
        </is>
      </c>
      <c r="C1604" s="6" t="inlineStr">
        <is>
          <t>TN</t>
        </is>
      </c>
      <c r="D1604" s="7" t="inlineStr">
        <is>
          <t>TN07CT0547</t>
        </is>
      </c>
      <c r="E1604" s="7" t="inlineStr">
        <is>
          <t>MAHINDRA</t>
        </is>
      </c>
      <c r="F1604" s="7" t="inlineStr">
        <is>
          <t>XUV500</t>
        </is>
      </c>
      <c r="G1604" s="7" t="inlineStr">
        <is>
          <t>EXCHANGE CHENNAI</t>
        </is>
      </c>
      <c r="H1604" s="7" t="inlineStr">
        <is>
          <t>Captive</t>
        </is>
      </c>
      <c r="I1604" s="7" t="inlineStr">
        <is>
          <t>Thiya Cars</t>
        </is>
      </c>
      <c r="J1604" s="8" t="n">
        <v>2019</v>
      </c>
      <c r="K1604" s="9" t="n">
        <v>79642</v>
      </c>
      <c r="L1604" s="10" t="n">
        <v>975000</v>
      </c>
      <c r="M1604" s="10" t="n">
        <v>12711.86</v>
      </c>
      <c r="N1604" s="11">
        <f>IF(M1604="","",ROUND(M1604*1.18,2))</f>
        <v/>
      </c>
      <c r="O1604" s="12">
        <f>IF(M1604="","",ROUND(N1604-M1604,2))</f>
        <v/>
      </c>
      <c r="P1604" s="13">
        <f>IF(AND(A1604&lt;&gt;"",B1604&lt;&gt;""), A1604&amp;" · "&amp;B1604, "")</f>
        <v/>
      </c>
    </row>
    <row r="1605">
      <c r="A1605" s="6" t="inlineStr">
        <is>
          <t>FY27</t>
        </is>
      </c>
      <c r="B1605" s="6" t="inlineStr">
        <is>
          <t>Apr</t>
        </is>
      </c>
      <c r="C1605" s="6" t="inlineStr">
        <is>
          <t>TN</t>
        </is>
      </c>
      <c r="D1605" s="7" t="inlineStr">
        <is>
          <t>TN07CU0901</t>
        </is>
      </c>
      <c r="E1605" s="7" t="inlineStr">
        <is>
          <t>FIAT</t>
        </is>
      </c>
      <c r="F1605" s="7" t="inlineStr">
        <is>
          <t>Avventura</t>
        </is>
      </c>
      <c r="G1605" s="7" t="inlineStr">
        <is>
          <t>VISHNU CARS PRIVATE LIMITED</t>
        </is>
      </c>
      <c r="H1605" s="7" t="inlineStr">
        <is>
          <t>Non-Captive</t>
        </is>
      </c>
      <c r="I1605" s="7" t="inlineStr">
        <is>
          <t>Santhosh Cars</t>
        </is>
      </c>
      <c r="J1605" s="8" t="n">
        <v>2014</v>
      </c>
      <c r="K1605" s="9" t="n">
        <v>94475</v>
      </c>
      <c r="L1605" s="10" t="n">
        <v>130000</v>
      </c>
      <c r="M1605" s="10" t="n">
        <v>2542.37</v>
      </c>
      <c r="N1605" s="11">
        <f>IF(M1605="","",ROUND(M1605*1.18,2))</f>
        <v/>
      </c>
      <c r="O1605" s="12">
        <f>IF(M1605="","",ROUND(N1605-M1605,2))</f>
        <v/>
      </c>
      <c r="P1605" s="13">
        <f>IF(AND(A1605&lt;&gt;"",B1605&lt;&gt;""), A1605&amp;" · "&amp;B1605, "")</f>
        <v/>
      </c>
    </row>
    <row r="1606">
      <c r="A1606" s="6" t="inlineStr">
        <is>
          <t>FY27</t>
        </is>
      </c>
      <c r="B1606" s="6" t="inlineStr">
        <is>
          <t>Apr</t>
        </is>
      </c>
      <c r="C1606" s="6" t="inlineStr">
        <is>
          <t>TN</t>
        </is>
      </c>
      <c r="D1606" s="7" t="inlineStr">
        <is>
          <t>TN07CV2873</t>
        </is>
      </c>
      <c r="E1606" s="7" t="inlineStr">
        <is>
          <t>HONDA</t>
        </is>
      </c>
      <c r="F1606" s="7" t="inlineStr">
        <is>
          <t>City</t>
        </is>
      </c>
      <c r="G1606" s="7" t="inlineStr">
        <is>
          <t>EXCHANGE CHENNAI</t>
        </is>
      </c>
      <c r="H1606" s="7" t="inlineStr">
        <is>
          <t>Captive</t>
        </is>
      </c>
      <c r="I1606" s="7" t="inlineStr">
        <is>
          <t>Lanson Toyota</t>
        </is>
      </c>
      <c r="J1606" s="8" t="n">
        <v>2020</v>
      </c>
      <c r="K1606" s="9" t="n">
        <v>47777</v>
      </c>
      <c r="L1606" s="10" t="n">
        <v>750000</v>
      </c>
      <c r="M1606" s="10" t="n">
        <v>8474.58</v>
      </c>
      <c r="N1606" s="11">
        <f>IF(M1606="","",ROUND(M1606*1.18,2))</f>
        <v/>
      </c>
      <c r="O1606" s="12">
        <f>IF(M1606="","",ROUND(N1606-M1606,2))</f>
        <v/>
      </c>
      <c r="P1606" s="13">
        <f>IF(AND(A1606&lt;&gt;"",B1606&lt;&gt;""), A1606&amp;" · "&amp;B1606, "")</f>
        <v/>
      </c>
    </row>
    <row r="1607">
      <c r="A1607" s="6" t="inlineStr">
        <is>
          <t>FY27</t>
        </is>
      </c>
      <c r="B1607" s="6" t="inlineStr">
        <is>
          <t>Apr</t>
        </is>
      </c>
      <c r="C1607" s="6" t="inlineStr">
        <is>
          <t>TN</t>
        </is>
      </c>
      <c r="D1607" s="7" t="inlineStr">
        <is>
          <t>TN07DD3317</t>
        </is>
      </c>
      <c r="E1607" s="7" t="inlineStr">
        <is>
          <t>HYUNDAI</t>
        </is>
      </c>
      <c r="F1607" s="7" t="inlineStr">
        <is>
          <t>i20</t>
        </is>
      </c>
      <c r="G1607" s="7" t="inlineStr">
        <is>
          <t>POPULAR VEHICLES</t>
        </is>
      </c>
      <c r="H1607" s="7" t="inlineStr">
        <is>
          <t>Non-Captive</t>
        </is>
      </c>
      <c r="I1607" s="7" t="inlineStr">
        <is>
          <t>Santhosh Cars</t>
        </is>
      </c>
      <c r="J1607" s="8" t="n">
        <v>2009</v>
      </c>
      <c r="K1607" s="9" t="n">
        <v>107964</v>
      </c>
      <c r="L1607" s="10" t="n">
        <v>200000</v>
      </c>
      <c r="M1607" s="10" t="n">
        <v>2542.37</v>
      </c>
      <c r="N1607" s="11">
        <f>IF(M1607="","",ROUND(M1607*1.18,2))</f>
        <v/>
      </c>
      <c r="O1607" s="12">
        <f>IF(M1607="","",ROUND(N1607-M1607,2))</f>
        <v/>
      </c>
      <c r="P1607" s="13">
        <f>IF(AND(A1607&lt;&gt;"",B1607&lt;&gt;""), A1607&amp;" · "&amp;B1607, "")</f>
        <v/>
      </c>
    </row>
    <row r="1608">
      <c r="A1608" s="6" t="inlineStr">
        <is>
          <t>FY27</t>
        </is>
      </c>
      <c r="B1608" s="6" t="inlineStr">
        <is>
          <t>Apr</t>
        </is>
      </c>
      <c r="C1608" s="6" t="inlineStr">
        <is>
          <t>TN</t>
        </is>
      </c>
      <c r="D1608" s="7" t="inlineStr">
        <is>
          <t>TN09AP9946</t>
        </is>
      </c>
      <c r="E1608" s="7" t="inlineStr">
        <is>
          <t>MARUTI SUZUKI</t>
        </is>
      </c>
      <c r="F1608" s="7" t="inlineStr">
        <is>
          <t>Swift</t>
        </is>
      </c>
      <c r="G1608" s="7" t="inlineStr">
        <is>
          <t>EXCHANGE ROTN</t>
        </is>
      </c>
      <c r="H1608" s="7" t="inlineStr">
        <is>
          <t>Captive</t>
        </is>
      </c>
      <c r="I1608" s="7" t="inlineStr">
        <is>
          <t>Dheera Cars</t>
        </is>
      </c>
      <c r="J1608" s="8" t="n">
        <v>2006</v>
      </c>
      <c r="K1608" s="9" t="n">
        <v>119735</v>
      </c>
      <c r="L1608" s="10" t="n">
        <v>58000</v>
      </c>
      <c r="M1608" s="10" t="n">
        <v>4237.29</v>
      </c>
      <c r="N1608" s="11">
        <f>IF(M1608="","",ROUND(M1608*1.18,2))</f>
        <v/>
      </c>
      <c r="O1608" s="12">
        <f>IF(M1608="","",ROUND(N1608-M1608,2))</f>
        <v/>
      </c>
      <c r="P1608" s="13">
        <f>IF(AND(A1608&lt;&gt;"",B1608&lt;&gt;""), A1608&amp;" · "&amp;B1608, "")</f>
        <v/>
      </c>
    </row>
    <row r="1609">
      <c r="A1609" s="6" t="inlineStr">
        <is>
          <t>FY27</t>
        </is>
      </c>
      <c r="B1609" s="6" t="inlineStr">
        <is>
          <t>Apr</t>
        </is>
      </c>
      <c r="C1609" s="6" t="inlineStr">
        <is>
          <t>TN</t>
        </is>
      </c>
      <c r="D1609" s="7" t="inlineStr">
        <is>
          <t>TN09AX3240</t>
        </is>
      </c>
      <c r="E1609" s="7" t="inlineStr">
        <is>
          <t>FORD</t>
        </is>
      </c>
      <c r="F1609" s="7" t="inlineStr">
        <is>
          <t>Fiesta</t>
        </is>
      </c>
      <c r="G1609" s="7" t="inlineStr">
        <is>
          <t>EXCHANGE ROTN</t>
        </is>
      </c>
      <c r="H1609" s="7" t="inlineStr">
        <is>
          <t>Captive</t>
        </is>
      </c>
      <c r="I1609" s="7" t="inlineStr">
        <is>
          <t>Rajaganapathy Cars</t>
        </is>
      </c>
      <c r="J1609" s="8" t="n">
        <v>2008</v>
      </c>
      <c r="K1609" s="9" t="n">
        <v>96243</v>
      </c>
      <c r="L1609" s="10" t="n">
        <v>60000</v>
      </c>
      <c r="M1609" s="10" t="n">
        <v>5084.75</v>
      </c>
      <c r="N1609" s="11">
        <f>IF(M1609="","",ROUND(M1609*1.18,2))</f>
        <v/>
      </c>
      <c r="O1609" s="12">
        <f>IF(M1609="","",ROUND(N1609-M1609,2))</f>
        <v/>
      </c>
      <c r="P1609" s="13">
        <f>IF(AND(A1609&lt;&gt;"",B1609&lt;&gt;""), A1609&amp;" · "&amp;B1609, "")</f>
        <v/>
      </c>
    </row>
    <row r="1610">
      <c r="A1610" s="6" t="inlineStr">
        <is>
          <t>FY27</t>
        </is>
      </c>
      <c r="B1610" s="6" t="inlineStr">
        <is>
          <t>Apr</t>
        </is>
      </c>
      <c r="C1610" s="6" t="inlineStr">
        <is>
          <t>TN</t>
        </is>
      </c>
      <c r="D1610" s="7" t="inlineStr">
        <is>
          <t>TN09BB3809</t>
        </is>
      </c>
      <c r="E1610" s="7" t="inlineStr">
        <is>
          <t>HYUNDAI</t>
        </is>
      </c>
      <c r="F1610" s="7" t="inlineStr">
        <is>
          <t>Accent</t>
        </is>
      </c>
      <c r="G1610" s="7" t="inlineStr">
        <is>
          <t>EXCHANGE ROTN</t>
        </is>
      </c>
      <c r="H1610" s="7" t="inlineStr">
        <is>
          <t>Captive</t>
        </is>
      </c>
      <c r="I1610" s="7" t="inlineStr">
        <is>
          <t>Sivashankar Cars</t>
        </is>
      </c>
      <c r="J1610" s="8" t="n">
        <v>2009</v>
      </c>
      <c r="K1610" s="9" t="n">
        <v>86597</v>
      </c>
      <c r="L1610" s="10" t="n">
        <v>50000</v>
      </c>
      <c r="M1610" s="10" t="n">
        <v>4237.29</v>
      </c>
      <c r="N1610" s="11">
        <f>IF(M1610="","",ROUND(M1610*1.18,2))</f>
        <v/>
      </c>
      <c r="O1610" s="12">
        <f>IF(M1610="","",ROUND(N1610-M1610,2))</f>
        <v/>
      </c>
      <c r="P1610" s="13">
        <f>IF(AND(A1610&lt;&gt;"",B1610&lt;&gt;""), A1610&amp;" · "&amp;B1610, "")</f>
        <v/>
      </c>
    </row>
    <row r="1611">
      <c r="A1611" s="6" t="inlineStr">
        <is>
          <t>FY27</t>
        </is>
      </c>
      <c r="B1611" s="6" t="inlineStr">
        <is>
          <t>Apr</t>
        </is>
      </c>
      <c r="C1611" s="6" t="inlineStr">
        <is>
          <t>TN</t>
        </is>
      </c>
      <c r="D1611" s="7" t="inlineStr">
        <is>
          <t>TN09BD6087</t>
        </is>
      </c>
      <c r="E1611" s="7" t="inlineStr">
        <is>
          <t>HYUNDAI</t>
        </is>
      </c>
      <c r="F1611" s="7" t="inlineStr">
        <is>
          <t>i10</t>
        </is>
      </c>
      <c r="G1611" s="7" t="inlineStr">
        <is>
          <t>POPULAR VEHICLES</t>
        </is>
      </c>
      <c r="H1611" s="7" t="inlineStr">
        <is>
          <t>Non-Captive</t>
        </is>
      </c>
      <c r="I1611" s="7" t="inlineStr">
        <is>
          <t>Santhosh Cars</t>
        </is>
      </c>
      <c r="J1611" s="8" t="n">
        <v>2010</v>
      </c>
      <c r="K1611" s="9" t="n">
        <v>66082</v>
      </c>
      <c r="L1611" s="10" t="n">
        <v>150000</v>
      </c>
      <c r="M1611" s="10" t="n">
        <v>2542.37</v>
      </c>
      <c r="N1611" s="11">
        <f>IF(M1611="","",ROUND(M1611*1.18,2))</f>
        <v/>
      </c>
      <c r="O1611" s="12">
        <f>IF(M1611="","",ROUND(N1611-M1611,2))</f>
        <v/>
      </c>
      <c r="P1611" s="13">
        <f>IF(AND(A1611&lt;&gt;"",B1611&lt;&gt;""), A1611&amp;" · "&amp;B1611, "")</f>
        <v/>
      </c>
    </row>
    <row r="1612">
      <c r="A1612" s="6" t="inlineStr">
        <is>
          <t>FY27</t>
        </is>
      </c>
      <c r="B1612" s="6" t="inlineStr">
        <is>
          <t>Apr</t>
        </is>
      </c>
      <c r="C1612" s="6" t="inlineStr">
        <is>
          <t>TN</t>
        </is>
      </c>
      <c r="D1612" s="7" t="inlineStr">
        <is>
          <t>TN09BE2157</t>
        </is>
      </c>
      <c r="E1612" s="7" t="inlineStr">
        <is>
          <t>HYUNDAI</t>
        </is>
      </c>
      <c r="F1612" s="7" t="inlineStr">
        <is>
          <t>i20</t>
        </is>
      </c>
      <c r="G1612" s="7" t="inlineStr">
        <is>
          <t>POPULAR VEHICLES</t>
        </is>
      </c>
      <c r="H1612" s="7" t="inlineStr">
        <is>
          <t>Non-Captive</t>
        </is>
      </c>
      <c r="I1612" s="7" t="inlineStr">
        <is>
          <t>KB Motor</t>
        </is>
      </c>
      <c r="J1612" s="8" t="n">
        <v>2010</v>
      </c>
      <c r="K1612" s="9" t="n">
        <v>16260</v>
      </c>
      <c r="L1612" s="10" t="n">
        <v>200000</v>
      </c>
      <c r="M1612" s="10" t="n">
        <v>3389.83</v>
      </c>
      <c r="N1612" s="11">
        <f>IF(M1612="","",ROUND(M1612*1.18,2))</f>
        <v/>
      </c>
      <c r="O1612" s="12">
        <f>IF(M1612="","",ROUND(N1612-M1612,2))</f>
        <v/>
      </c>
      <c r="P1612" s="13">
        <f>IF(AND(A1612&lt;&gt;"",B1612&lt;&gt;""), A1612&amp;" · "&amp;B1612, "")</f>
        <v/>
      </c>
    </row>
    <row r="1613">
      <c r="A1613" s="6" t="inlineStr">
        <is>
          <t>FY27</t>
        </is>
      </c>
      <c r="B1613" s="6" t="inlineStr">
        <is>
          <t>Apr</t>
        </is>
      </c>
      <c r="C1613" s="6" t="inlineStr">
        <is>
          <t>TN</t>
        </is>
      </c>
      <c r="D1613" s="7" t="inlineStr">
        <is>
          <t>TN09BH3813</t>
        </is>
      </c>
      <c r="E1613" s="7" t="inlineStr">
        <is>
          <t>MARUTI SUZUKI</t>
        </is>
      </c>
      <c r="F1613" s="7" t="inlineStr">
        <is>
          <t>A-Star</t>
        </is>
      </c>
      <c r="G1613" s="7" t="inlineStr">
        <is>
          <t>POPULAR VEHICLES</t>
        </is>
      </c>
      <c r="H1613" s="7" t="inlineStr">
        <is>
          <t>Non-Captive</t>
        </is>
      </c>
      <c r="I1613" s="7" t="inlineStr">
        <is>
          <t>Santhosh Cars</t>
        </is>
      </c>
      <c r="J1613" s="8" t="n">
        <v>2011</v>
      </c>
      <c r="K1613" s="9" t="n">
        <v>71762</v>
      </c>
      <c r="L1613" s="10" t="n">
        <v>110000</v>
      </c>
      <c r="M1613" s="10" t="n">
        <v>2542.37</v>
      </c>
      <c r="N1613" s="11">
        <f>IF(M1613="","",ROUND(M1613*1.18,2))</f>
        <v/>
      </c>
      <c r="O1613" s="12">
        <f>IF(M1613="","",ROUND(N1613-M1613,2))</f>
        <v/>
      </c>
      <c r="P1613" s="13">
        <f>IF(AND(A1613&lt;&gt;"",B1613&lt;&gt;""), A1613&amp;" · "&amp;B1613, "")</f>
        <v/>
      </c>
    </row>
    <row r="1614">
      <c r="A1614" s="6" t="inlineStr">
        <is>
          <t>FY27</t>
        </is>
      </c>
      <c r="B1614" s="6" t="inlineStr">
        <is>
          <t>Apr</t>
        </is>
      </c>
      <c r="C1614" s="6" t="inlineStr">
        <is>
          <t>TN</t>
        </is>
      </c>
      <c r="D1614" s="7" t="inlineStr">
        <is>
          <t>TN09BK5864</t>
        </is>
      </c>
      <c r="E1614" s="7" t="inlineStr">
        <is>
          <t>FORD</t>
        </is>
      </c>
      <c r="F1614" s="7" t="inlineStr">
        <is>
          <t>Figo</t>
        </is>
      </c>
      <c r="G1614" s="7" t="inlineStr">
        <is>
          <t>VISHNU CARS PRIVATE LIMITED</t>
        </is>
      </c>
      <c r="H1614" s="7" t="inlineStr">
        <is>
          <t>Non-Captive</t>
        </is>
      </c>
      <c r="I1614" s="7" t="inlineStr">
        <is>
          <t>Santhosh Cars</t>
        </is>
      </c>
      <c r="J1614" s="8" t="n">
        <v>2011</v>
      </c>
      <c r="K1614" s="9" t="n">
        <v>63804</v>
      </c>
      <c r="L1614" s="10" t="n">
        <v>140000</v>
      </c>
      <c r="M1614" s="10" t="n">
        <v>2542.37</v>
      </c>
      <c r="N1614" s="11">
        <f>IF(M1614="","",ROUND(M1614*1.18,2))</f>
        <v/>
      </c>
      <c r="O1614" s="12">
        <f>IF(M1614="","",ROUND(N1614-M1614,2))</f>
        <v/>
      </c>
      <c r="P1614" s="13">
        <f>IF(AND(A1614&lt;&gt;"",B1614&lt;&gt;""), A1614&amp;" · "&amp;B1614, "")</f>
        <v/>
      </c>
    </row>
    <row r="1615">
      <c r="A1615" s="6" t="inlineStr">
        <is>
          <t>FY27</t>
        </is>
      </c>
      <c r="B1615" s="6" t="inlineStr">
        <is>
          <t>Apr</t>
        </is>
      </c>
      <c r="C1615" s="6" t="inlineStr">
        <is>
          <t>TN</t>
        </is>
      </c>
      <c r="D1615" s="7" t="inlineStr">
        <is>
          <t>TN09BL4509</t>
        </is>
      </c>
      <c r="E1615" s="7" t="inlineStr">
        <is>
          <t>HONDA</t>
        </is>
      </c>
      <c r="F1615" s="7" t="inlineStr">
        <is>
          <t>City</t>
        </is>
      </c>
      <c r="G1615" s="7" t="inlineStr">
        <is>
          <t>EXCHANGE CHENNAI</t>
        </is>
      </c>
      <c r="H1615" s="7" t="inlineStr">
        <is>
          <t>Captive</t>
        </is>
      </c>
      <c r="I1615" s="7" t="inlineStr">
        <is>
          <t>Nirmal Cars</t>
        </is>
      </c>
      <c r="J1615" s="8" t="n">
        <v>2011</v>
      </c>
      <c r="K1615" s="9" t="n">
        <v>77249</v>
      </c>
      <c r="L1615" s="10" t="n">
        <v>210000</v>
      </c>
      <c r="M1615" s="10" t="n">
        <v>8474.58</v>
      </c>
      <c r="N1615" s="11">
        <f>IF(M1615="","",ROUND(M1615*1.18,2))</f>
        <v/>
      </c>
      <c r="O1615" s="12">
        <f>IF(M1615="","",ROUND(N1615-M1615,2))</f>
        <v/>
      </c>
      <c r="P1615" s="13">
        <f>IF(AND(A1615&lt;&gt;"",B1615&lt;&gt;""), A1615&amp;" · "&amp;B1615, "")</f>
        <v/>
      </c>
    </row>
    <row r="1616">
      <c r="A1616" s="6" t="inlineStr">
        <is>
          <t>FY27</t>
        </is>
      </c>
      <c r="B1616" s="6" t="inlineStr">
        <is>
          <t>Apr</t>
        </is>
      </c>
      <c r="C1616" s="6" t="inlineStr">
        <is>
          <t>TN</t>
        </is>
      </c>
      <c r="D1616" s="7" t="inlineStr">
        <is>
          <t>TN09BM0018</t>
        </is>
      </c>
      <c r="E1616" s="7" t="inlineStr">
        <is>
          <t>MARUTI SUZUKI</t>
        </is>
      </c>
      <c r="F1616" s="7" t="inlineStr">
        <is>
          <t>Ritz</t>
        </is>
      </c>
      <c r="G1616" s="7" t="inlineStr">
        <is>
          <t>POPULAR VEHICLES</t>
        </is>
      </c>
      <c r="H1616" s="7" t="inlineStr">
        <is>
          <t>Non-Captive</t>
        </is>
      </c>
      <c r="I1616" s="7" t="inlineStr">
        <is>
          <t>Nirmal Cars</t>
        </is>
      </c>
      <c r="J1616" s="8" t="n">
        <v>2011</v>
      </c>
      <c r="K1616" s="9" t="n">
        <v>8554</v>
      </c>
      <c r="L1616" s="10" t="n">
        <v>180000</v>
      </c>
      <c r="M1616" s="10" t="n">
        <v>2542.37</v>
      </c>
      <c r="N1616" s="11">
        <f>IF(M1616="","",ROUND(M1616*1.18,2))</f>
        <v/>
      </c>
      <c r="O1616" s="12">
        <f>IF(M1616="","",ROUND(N1616-M1616,2))</f>
        <v/>
      </c>
      <c r="P1616" s="13">
        <f>IF(AND(A1616&lt;&gt;"",B1616&lt;&gt;""), A1616&amp;" · "&amp;B1616, "")</f>
        <v/>
      </c>
    </row>
    <row r="1617">
      <c r="A1617" s="6" t="inlineStr">
        <is>
          <t>FY27</t>
        </is>
      </c>
      <c r="B1617" s="6" t="inlineStr">
        <is>
          <t>Apr</t>
        </is>
      </c>
      <c r="C1617" s="6" t="inlineStr">
        <is>
          <t>TN</t>
        </is>
      </c>
      <c r="D1617" s="7" t="inlineStr">
        <is>
          <t>TN09BM2503</t>
        </is>
      </c>
      <c r="E1617" s="7" t="inlineStr">
        <is>
          <t>FORD</t>
        </is>
      </c>
      <c r="F1617" s="7" t="inlineStr">
        <is>
          <t>Fiesta Classic</t>
        </is>
      </c>
      <c r="G1617" s="7" t="inlineStr">
        <is>
          <t>VISHNU CARS PRIVATE LIMITED</t>
        </is>
      </c>
      <c r="H1617" s="7" t="inlineStr">
        <is>
          <t>Non-Captive</t>
        </is>
      </c>
      <c r="I1617" s="7" t="inlineStr">
        <is>
          <t>Nirmal Cars</t>
        </is>
      </c>
      <c r="J1617" s="8" t="n">
        <v>2011</v>
      </c>
      <c r="K1617" s="9" t="n">
        <v>105851</v>
      </c>
      <c r="L1617" s="10" t="n">
        <v>150000</v>
      </c>
      <c r="M1617" s="10" t="n">
        <v>2542.37</v>
      </c>
      <c r="N1617" s="11">
        <f>IF(M1617="","",ROUND(M1617*1.18,2))</f>
        <v/>
      </c>
      <c r="O1617" s="12">
        <f>IF(M1617="","",ROUND(N1617-M1617,2))</f>
        <v/>
      </c>
      <c r="P1617" s="13">
        <f>IF(AND(A1617&lt;&gt;"",B1617&lt;&gt;""), A1617&amp;" · "&amp;B1617, "")</f>
        <v/>
      </c>
    </row>
    <row r="1618">
      <c r="A1618" s="6" t="inlineStr">
        <is>
          <t>FY27</t>
        </is>
      </c>
      <c r="B1618" s="6" t="inlineStr">
        <is>
          <t>Apr</t>
        </is>
      </c>
      <c r="C1618" s="6" t="inlineStr">
        <is>
          <t>TN</t>
        </is>
      </c>
      <c r="D1618" s="7" t="inlineStr">
        <is>
          <t>TN09BM3593</t>
        </is>
      </c>
      <c r="E1618" s="7" t="inlineStr">
        <is>
          <t>MARUTI SUZUKI</t>
        </is>
      </c>
      <c r="F1618" s="7" t="inlineStr">
        <is>
          <t>Alto K10</t>
        </is>
      </c>
      <c r="G1618" s="7" t="inlineStr">
        <is>
          <t>KHIVRAJ MOTOR</t>
        </is>
      </c>
      <c r="H1618" s="7" t="inlineStr">
        <is>
          <t>Non-Captive</t>
        </is>
      </c>
      <c r="I1618" s="7" t="inlineStr">
        <is>
          <t>Maruthi Industries</t>
        </is>
      </c>
      <c r="J1618" s="8" t="n">
        <v>2012</v>
      </c>
      <c r="K1618" s="9" t="n">
        <v>19726</v>
      </c>
      <c r="L1618" s="10" t="n">
        <v>179000</v>
      </c>
      <c r="M1618" s="10" t="n">
        <v>5084.75</v>
      </c>
      <c r="N1618" s="11">
        <f>IF(M1618="","",ROUND(M1618*1.18,2))</f>
        <v/>
      </c>
      <c r="O1618" s="12">
        <f>IF(M1618="","",ROUND(N1618-M1618,2))</f>
        <v/>
      </c>
      <c r="P1618" s="13">
        <f>IF(AND(A1618&lt;&gt;"",B1618&lt;&gt;""), A1618&amp;" · "&amp;B1618, "")</f>
        <v/>
      </c>
    </row>
    <row r="1619">
      <c r="A1619" s="6" t="inlineStr">
        <is>
          <t>FY27</t>
        </is>
      </c>
      <c r="B1619" s="6" t="inlineStr">
        <is>
          <t>Apr</t>
        </is>
      </c>
      <c r="C1619" s="6" t="inlineStr">
        <is>
          <t>TN</t>
        </is>
      </c>
      <c r="D1619" s="7" t="inlineStr">
        <is>
          <t>TN09BP1119</t>
        </is>
      </c>
      <c r="E1619" s="7" t="inlineStr">
        <is>
          <t>MARUTI SUZUKI</t>
        </is>
      </c>
      <c r="F1619" s="7" t="inlineStr">
        <is>
          <t>A-Star</t>
        </is>
      </c>
      <c r="G1619" s="7" t="inlineStr">
        <is>
          <t>VISHNU CARS PRIVATE LIMITED</t>
        </is>
      </c>
      <c r="H1619" s="7" t="inlineStr">
        <is>
          <t>Non-Captive</t>
        </is>
      </c>
      <c r="I1619" s="7" t="inlineStr">
        <is>
          <t>Nirmal Cars</t>
        </is>
      </c>
      <c r="J1619" s="8" t="n">
        <v>2011</v>
      </c>
      <c r="K1619" s="9" t="n">
        <v>56711</v>
      </c>
      <c r="L1619" s="10" t="n">
        <v>160000</v>
      </c>
      <c r="M1619" s="10" t="n">
        <v>2542.37</v>
      </c>
      <c r="N1619" s="11">
        <f>IF(M1619="","",ROUND(M1619*1.18,2))</f>
        <v/>
      </c>
      <c r="O1619" s="12">
        <f>IF(M1619="","",ROUND(N1619-M1619,2))</f>
        <v/>
      </c>
      <c r="P1619" s="13">
        <f>IF(AND(A1619&lt;&gt;"",B1619&lt;&gt;""), A1619&amp;" · "&amp;B1619, "")</f>
        <v/>
      </c>
    </row>
    <row r="1620">
      <c r="A1620" s="6" t="inlineStr">
        <is>
          <t>FY27</t>
        </is>
      </c>
      <c r="B1620" s="6" t="inlineStr">
        <is>
          <t>Apr</t>
        </is>
      </c>
      <c r="C1620" s="6" t="inlineStr">
        <is>
          <t>TN</t>
        </is>
      </c>
      <c r="D1620" s="7" t="inlineStr">
        <is>
          <t>TN09BV1752</t>
        </is>
      </c>
      <c r="E1620" s="7" t="inlineStr">
        <is>
          <t>FORD</t>
        </is>
      </c>
      <c r="F1620" s="7" t="inlineStr">
        <is>
          <t>Fiesta Classic</t>
        </is>
      </c>
      <c r="G1620" s="7" t="inlineStr">
        <is>
          <t>KHIVRAJ MOTOR</t>
        </is>
      </c>
      <c r="H1620" s="7" t="inlineStr">
        <is>
          <t>Non-Captive</t>
        </is>
      </c>
      <c r="I1620" s="7" t="inlineStr">
        <is>
          <t>car Hub</t>
        </is>
      </c>
      <c r="J1620" s="8" t="n">
        <v>2013</v>
      </c>
      <c r="K1620" s="9" t="n">
        <v>120145</v>
      </c>
      <c r="L1620" s="10" t="n">
        <v>120000</v>
      </c>
      <c r="M1620" s="10" t="n">
        <v>5084.75</v>
      </c>
      <c r="N1620" s="11">
        <f>IF(M1620="","",ROUND(M1620*1.18,2))</f>
        <v/>
      </c>
      <c r="O1620" s="12">
        <f>IF(M1620="","",ROUND(N1620-M1620,2))</f>
        <v/>
      </c>
      <c r="P1620" s="13">
        <f>IF(AND(A1620&lt;&gt;"",B1620&lt;&gt;""), A1620&amp;" · "&amp;B1620, "")</f>
        <v/>
      </c>
    </row>
    <row r="1621">
      <c r="A1621" s="6" t="inlineStr">
        <is>
          <t>FY27</t>
        </is>
      </c>
      <c r="B1621" s="6" t="inlineStr">
        <is>
          <t>Apr</t>
        </is>
      </c>
      <c r="C1621" s="6" t="inlineStr">
        <is>
          <t>TN</t>
        </is>
      </c>
      <c r="D1621" s="7" t="inlineStr">
        <is>
          <t>TN09BX9048</t>
        </is>
      </c>
      <c r="E1621" s="7" t="inlineStr">
        <is>
          <t>HYUNDAI</t>
        </is>
      </c>
      <c r="F1621" s="7" t="inlineStr">
        <is>
          <t>Eon</t>
        </is>
      </c>
      <c r="G1621" s="7" t="inlineStr">
        <is>
          <t>POPULAR VEHICLES</t>
        </is>
      </c>
      <c r="H1621" s="7" t="inlineStr">
        <is>
          <t>Non-Captive</t>
        </is>
      </c>
      <c r="I1621" s="7" t="inlineStr">
        <is>
          <t>Nirmal Cars</t>
        </is>
      </c>
      <c r="J1621" s="8" t="n">
        <v>2014</v>
      </c>
      <c r="K1621" s="9" t="n">
        <v>46006</v>
      </c>
      <c r="L1621" s="10" t="n">
        <v>189000</v>
      </c>
      <c r="M1621" s="10" t="n">
        <v>2542.37</v>
      </c>
      <c r="N1621" s="11">
        <f>IF(M1621="","",ROUND(M1621*1.18,2))</f>
        <v/>
      </c>
      <c r="O1621" s="12">
        <f>IF(M1621="","",ROUND(N1621-M1621,2))</f>
        <v/>
      </c>
      <c r="P1621" s="13">
        <f>IF(AND(A1621&lt;&gt;"",B1621&lt;&gt;""), A1621&amp;" · "&amp;B1621, "")</f>
        <v/>
      </c>
    </row>
    <row r="1622">
      <c r="A1622" s="6" t="inlineStr">
        <is>
          <t>FY27</t>
        </is>
      </c>
      <c r="B1622" s="6" t="inlineStr">
        <is>
          <t>Apr</t>
        </is>
      </c>
      <c r="C1622" s="6" t="inlineStr">
        <is>
          <t>TN</t>
        </is>
      </c>
      <c r="D1622" s="7" t="inlineStr">
        <is>
          <t>TN09BY0480</t>
        </is>
      </c>
      <c r="E1622" s="7" t="inlineStr">
        <is>
          <t>FIAT</t>
        </is>
      </c>
      <c r="F1622" s="7" t="inlineStr">
        <is>
          <t>Punto</t>
        </is>
      </c>
      <c r="G1622" s="7" t="inlineStr">
        <is>
          <t>ABT LIMITED</t>
        </is>
      </c>
      <c r="H1622" s="7" t="inlineStr">
        <is>
          <t>Non-Captive</t>
        </is>
      </c>
      <c r="I1622" s="7" t="inlineStr">
        <is>
          <t>Nirmal Cars</t>
        </is>
      </c>
      <c r="J1622" s="8" t="n">
        <v>2014</v>
      </c>
      <c r="K1622" s="9" t="n">
        <v>15885</v>
      </c>
      <c r="L1622" s="10" t="n">
        <v>150000</v>
      </c>
      <c r="M1622" s="10" t="n">
        <v>2542.37</v>
      </c>
      <c r="N1622" s="11">
        <f>IF(M1622="","",ROUND(M1622*1.18,2))</f>
        <v/>
      </c>
      <c r="O1622" s="12">
        <f>IF(M1622="","",ROUND(N1622-M1622,2))</f>
        <v/>
      </c>
      <c r="P1622" s="13">
        <f>IF(AND(A1622&lt;&gt;"",B1622&lt;&gt;""), A1622&amp;" · "&amp;B1622, "")</f>
        <v/>
      </c>
    </row>
    <row r="1623">
      <c r="A1623" s="6" t="inlineStr">
        <is>
          <t>FY27</t>
        </is>
      </c>
      <c r="B1623" s="6" t="inlineStr">
        <is>
          <t>Apr</t>
        </is>
      </c>
      <c r="C1623" s="6" t="inlineStr">
        <is>
          <t>TN</t>
        </is>
      </c>
      <c r="D1623" s="7" t="inlineStr">
        <is>
          <t>TN09CA0742</t>
        </is>
      </c>
      <c r="E1623" s="7" t="inlineStr">
        <is>
          <t>HYUNDAI</t>
        </is>
      </c>
      <c r="F1623" s="7" t="inlineStr">
        <is>
          <t>Grand i10</t>
        </is>
      </c>
      <c r="G1623" s="7" t="inlineStr">
        <is>
          <t>VISHNU CARS PRIVATE LIMITED</t>
        </is>
      </c>
      <c r="H1623" s="7" t="inlineStr">
        <is>
          <t>Non-Captive</t>
        </is>
      </c>
      <c r="I1623" s="7" t="inlineStr">
        <is>
          <t>Ashok Cars</t>
        </is>
      </c>
      <c r="J1623" s="8" t="n">
        <v>2015</v>
      </c>
      <c r="K1623" s="9" t="n">
        <v>37344</v>
      </c>
      <c r="L1623" s="10" t="n">
        <v>200000</v>
      </c>
      <c r="M1623" s="10" t="n">
        <v>2542.37</v>
      </c>
      <c r="N1623" s="11">
        <f>IF(M1623="","",ROUND(M1623*1.18,2))</f>
        <v/>
      </c>
      <c r="O1623" s="12">
        <f>IF(M1623="","",ROUND(N1623-M1623,2))</f>
        <v/>
      </c>
      <c r="P1623" s="13">
        <f>IF(AND(A1623&lt;&gt;"",B1623&lt;&gt;""), A1623&amp;" · "&amp;B1623, "")</f>
        <v/>
      </c>
    </row>
    <row r="1624">
      <c r="A1624" s="6" t="inlineStr">
        <is>
          <t>FY27</t>
        </is>
      </c>
      <c r="B1624" s="6" t="inlineStr">
        <is>
          <t>Apr</t>
        </is>
      </c>
      <c r="C1624" s="6" t="inlineStr">
        <is>
          <t>TN</t>
        </is>
      </c>
      <c r="D1624" s="7" t="inlineStr">
        <is>
          <t>TN09CA1687</t>
        </is>
      </c>
      <c r="E1624" s="7" t="inlineStr">
        <is>
          <t>MARUTI SUZUKI</t>
        </is>
      </c>
      <c r="F1624" s="7" t="inlineStr">
        <is>
          <t>Alto</t>
        </is>
      </c>
      <c r="G1624" s="7" t="inlineStr">
        <is>
          <t>POPULAR VEHICLES</t>
        </is>
      </c>
      <c r="H1624" s="7" t="inlineStr">
        <is>
          <t>Non-Captive</t>
        </is>
      </c>
      <c r="I1624" s="7" t="inlineStr">
        <is>
          <t>Ashok Cars</t>
        </is>
      </c>
      <c r="J1624" s="8" t="n">
        <v>2015</v>
      </c>
      <c r="K1624" s="9" t="n">
        <v>50522</v>
      </c>
      <c r="L1624" s="10" t="n">
        <v>150000</v>
      </c>
      <c r="M1624" s="10" t="n">
        <v>2542.37</v>
      </c>
      <c r="N1624" s="11">
        <f>IF(M1624="","",ROUND(M1624*1.18,2))</f>
        <v/>
      </c>
      <c r="O1624" s="12">
        <f>IF(M1624="","",ROUND(N1624-M1624,2))</f>
        <v/>
      </c>
      <c r="P1624" s="13">
        <f>IF(AND(A1624&lt;&gt;"",B1624&lt;&gt;""), A1624&amp;" · "&amp;B1624, "")</f>
        <v/>
      </c>
    </row>
    <row r="1625">
      <c r="A1625" s="6" t="inlineStr">
        <is>
          <t>FY27</t>
        </is>
      </c>
      <c r="B1625" s="6" t="inlineStr">
        <is>
          <t>Apr</t>
        </is>
      </c>
      <c r="C1625" s="6" t="inlineStr">
        <is>
          <t>TN</t>
        </is>
      </c>
      <c r="D1625" s="7" t="inlineStr">
        <is>
          <t>TN09CA3602</t>
        </is>
      </c>
      <c r="E1625" s="7" t="inlineStr">
        <is>
          <t>HYUNDAI</t>
        </is>
      </c>
      <c r="F1625" s="7" t="inlineStr">
        <is>
          <t>Grand i10</t>
        </is>
      </c>
      <c r="G1625" s="7" t="inlineStr">
        <is>
          <t>EXCHANGE CHENNAI</t>
        </is>
      </c>
      <c r="H1625" s="7" t="inlineStr">
        <is>
          <t>Captive</t>
        </is>
      </c>
      <c r="I1625" s="7" t="inlineStr">
        <is>
          <t>Varadhrajan cars</t>
        </is>
      </c>
      <c r="J1625" s="8" t="n">
        <v>2015</v>
      </c>
      <c r="K1625" s="9" t="n">
        <v>98724</v>
      </c>
      <c r="L1625" s="10" t="n">
        <v>340000</v>
      </c>
      <c r="M1625" s="10" t="n">
        <v>4237.29</v>
      </c>
      <c r="N1625" s="11">
        <f>IF(M1625="","",ROUND(M1625*1.18,2))</f>
        <v/>
      </c>
      <c r="O1625" s="12">
        <f>IF(M1625="","",ROUND(N1625-M1625,2))</f>
        <v/>
      </c>
      <c r="P1625" s="13">
        <f>IF(AND(A1625&lt;&gt;"",B1625&lt;&gt;""), A1625&amp;" · "&amp;B1625, "")</f>
        <v/>
      </c>
    </row>
    <row r="1626">
      <c r="A1626" s="6" t="inlineStr">
        <is>
          <t>FY27</t>
        </is>
      </c>
      <c r="B1626" s="6" t="inlineStr">
        <is>
          <t>Apr</t>
        </is>
      </c>
      <c r="C1626" s="6" t="inlineStr">
        <is>
          <t>TN</t>
        </is>
      </c>
      <c r="D1626" s="7" t="inlineStr">
        <is>
          <t>TN09CD2831</t>
        </is>
      </c>
      <c r="E1626" s="7" t="inlineStr">
        <is>
          <t>HONDA</t>
        </is>
      </c>
      <c r="F1626" s="7" t="inlineStr">
        <is>
          <t>City</t>
        </is>
      </c>
      <c r="G1626" s="7" t="inlineStr">
        <is>
          <t>EXCHANGE CHENNAI</t>
        </is>
      </c>
      <c r="H1626" s="7" t="inlineStr">
        <is>
          <t>Captive</t>
        </is>
      </c>
      <c r="I1626" s="7" t="inlineStr">
        <is>
          <t>Santhosh Cars</t>
        </is>
      </c>
      <c r="J1626" s="8" t="n">
        <v>2016</v>
      </c>
      <c r="K1626" s="9" t="n">
        <v>63503</v>
      </c>
      <c r="L1626" s="10" t="n">
        <v>325000</v>
      </c>
      <c r="M1626" s="10" t="n">
        <v>8474.58</v>
      </c>
      <c r="N1626" s="11">
        <f>IF(M1626="","",ROUND(M1626*1.18,2))</f>
        <v/>
      </c>
      <c r="O1626" s="12">
        <f>IF(M1626="","",ROUND(N1626-M1626,2))</f>
        <v/>
      </c>
      <c r="P1626" s="13">
        <f>IF(AND(A1626&lt;&gt;"",B1626&lt;&gt;""), A1626&amp;" · "&amp;B1626, "")</f>
        <v/>
      </c>
    </row>
    <row r="1627">
      <c r="A1627" s="6" t="inlineStr">
        <is>
          <t>FY27</t>
        </is>
      </c>
      <c r="B1627" s="6" t="inlineStr">
        <is>
          <t>Apr</t>
        </is>
      </c>
      <c r="C1627" s="6" t="inlineStr">
        <is>
          <t>TN</t>
        </is>
      </c>
      <c r="D1627" s="7" t="inlineStr">
        <is>
          <t>TN09CE4405</t>
        </is>
      </c>
      <c r="E1627" s="7" t="inlineStr">
        <is>
          <t>RENAULT</t>
        </is>
      </c>
      <c r="F1627" s="7" t="inlineStr">
        <is>
          <t>Lodgy</t>
        </is>
      </c>
      <c r="G1627" s="7" t="inlineStr">
        <is>
          <t>CARS INDIA</t>
        </is>
      </c>
      <c r="H1627" s="7" t="inlineStr">
        <is>
          <t>Non-Captive</t>
        </is>
      </c>
      <c r="I1627" s="7" t="inlineStr">
        <is>
          <t>Santhosh Cars</t>
        </is>
      </c>
      <c r="J1627" s="8" t="n">
        <v>2016</v>
      </c>
      <c r="K1627" s="9" t="n">
        <v>136445</v>
      </c>
      <c r="L1627" s="10" t="n">
        <v>350000</v>
      </c>
      <c r="M1627" s="10" t="n">
        <v>6355.93</v>
      </c>
      <c r="N1627" s="11">
        <f>IF(M1627="","",ROUND(M1627*1.18,2))</f>
        <v/>
      </c>
      <c r="O1627" s="12">
        <f>IF(M1627="","",ROUND(N1627-M1627,2))</f>
        <v/>
      </c>
      <c r="P1627" s="13">
        <f>IF(AND(A1627&lt;&gt;"",B1627&lt;&gt;""), A1627&amp;" · "&amp;B1627, "")</f>
        <v/>
      </c>
    </row>
    <row r="1628">
      <c r="A1628" s="6" t="inlineStr">
        <is>
          <t>FY27</t>
        </is>
      </c>
      <c r="B1628" s="6" t="inlineStr">
        <is>
          <t>Apr</t>
        </is>
      </c>
      <c r="C1628" s="6" t="inlineStr">
        <is>
          <t>TN</t>
        </is>
      </c>
      <c r="D1628" s="7" t="inlineStr">
        <is>
          <t>TN09CF2018</t>
        </is>
      </c>
      <c r="E1628" s="7" t="inlineStr">
        <is>
          <t>MARUTI SUZUKI</t>
        </is>
      </c>
      <c r="F1628" s="7" t="inlineStr">
        <is>
          <t>Dzire</t>
        </is>
      </c>
      <c r="G1628" s="7" t="inlineStr">
        <is>
          <t>KHIVRAJ MOTOR</t>
        </is>
      </c>
      <c r="H1628" s="7" t="inlineStr">
        <is>
          <t>Non-Captive</t>
        </is>
      </c>
      <c r="I1628" s="7" t="inlineStr">
        <is>
          <t>Cars24</t>
        </is>
      </c>
      <c r="J1628" s="8" t="n">
        <v>2016</v>
      </c>
      <c r="K1628" s="9" t="n">
        <v>105492</v>
      </c>
      <c r="L1628" s="10" t="n">
        <v>329000</v>
      </c>
      <c r="M1628" s="10" t="n">
        <v>8474.58</v>
      </c>
      <c r="N1628" s="11">
        <f>IF(M1628="","",ROUND(M1628*1.18,2))</f>
        <v/>
      </c>
      <c r="O1628" s="12">
        <f>IF(M1628="","",ROUND(N1628-M1628,2))</f>
        <v/>
      </c>
      <c r="P1628" s="13">
        <f>IF(AND(A1628&lt;&gt;"",B1628&lt;&gt;""), A1628&amp;" · "&amp;B1628, "")</f>
        <v/>
      </c>
    </row>
    <row r="1629">
      <c r="A1629" s="6" t="inlineStr">
        <is>
          <t>FY27</t>
        </is>
      </c>
      <c r="B1629" s="6" t="inlineStr">
        <is>
          <t>Apr</t>
        </is>
      </c>
      <c r="C1629" s="6" t="inlineStr">
        <is>
          <t>TN</t>
        </is>
      </c>
      <c r="D1629" s="7" t="inlineStr">
        <is>
          <t>TN09CK8375</t>
        </is>
      </c>
      <c r="E1629" s="7" t="inlineStr">
        <is>
          <t>MARUTI SUZUKI</t>
        </is>
      </c>
      <c r="F1629" s="7" t="inlineStr">
        <is>
          <t>Dzire</t>
        </is>
      </c>
      <c r="G1629" s="7" t="inlineStr">
        <is>
          <t>EXCHANGE CHENNAI</t>
        </is>
      </c>
      <c r="H1629" s="7" t="inlineStr">
        <is>
          <t>Captive</t>
        </is>
      </c>
      <c r="I1629" s="7" t="inlineStr">
        <is>
          <t>Shree Shan Motor</t>
        </is>
      </c>
      <c r="J1629" s="8" t="n">
        <v>2017</v>
      </c>
      <c r="K1629" s="9" t="n">
        <v>66436</v>
      </c>
      <c r="L1629" s="10" t="n">
        <v>450000</v>
      </c>
      <c r="M1629" s="10" t="n">
        <v>8474.58</v>
      </c>
      <c r="N1629" s="11">
        <f>IF(M1629="","",ROUND(M1629*1.18,2))</f>
        <v/>
      </c>
      <c r="O1629" s="12">
        <f>IF(M1629="","",ROUND(N1629-M1629,2))</f>
        <v/>
      </c>
      <c r="P1629" s="13">
        <f>IF(AND(A1629&lt;&gt;"",B1629&lt;&gt;""), A1629&amp;" · "&amp;B1629, "")</f>
        <v/>
      </c>
    </row>
    <row r="1630">
      <c r="A1630" s="6" t="inlineStr">
        <is>
          <t>FY27</t>
        </is>
      </c>
      <c r="B1630" s="6" t="inlineStr">
        <is>
          <t>Apr</t>
        </is>
      </c>
      <c r="C1630" s="6" t="inlineStr">
        <is>
          <t>TN</t>
        </is>
      </c>
      <c r="D1630" s="7" t="inlineStr">
        <is>
          <t>TN09DE4332</t>
        </is>
      </c>
      <c r="E1630" s="7" t="inlineStr">
        <is>
          <t>HONDA</t>
        </is>
      </c>
      <c r="F1630" s="7" t="inlineStr">
        <is>
          <t>Elevate</t>
        </is>
      </c>
      <c r="G1630" s="7" t="inlineStr">
        <is>
          <t>EXCHANGE CHENNAI</t>
        </is>
      </c>
      <c r="H1630" s="7" t="inlineStr">
        <is>
          <t>Captive</t>
        </is>
      </c>
      <c r="I1630" s="7" t="inlineStr">
        <is>
          <t>Nirmal Cars</t>
        </is>
      </c>
      <c r="J1630" s="8" t="n">
        <v>2023</v>
      </c>
      <c r="K1630" s="9" t="n">
        <v>4846</v>
      </c>
      <c r="L1630" s="10" t="n">
        <v>1050000</v>
      </c>
      <c r="M1630" s="10" t="n">
        <v>16949.15</v>
      </c>
      <c r="N1630" s="11">
        <f>IF(M1630="","",ROUND(M1630*1.18,2))</f>
        <v/>
      </c>
      <c r="O1630" s="12">
        <f>IF(M1630="","",ROUND(N1630-M1630,2))</f>
        <v/>
      </c>
      <c r="P1630" s="13">
        <f>IF(AND(A1630&lt;&gt;"",B1630&lt;&gt;""), A1630&amp;" · "&amp;B1630, "")</f>
        <v/>
      </c>
    </row>
    <row r="1631">
      <c r="A1631" s="6" t="inlineStr">
        <is>
          <t>FY27</t>
        </is>
      </c>
      <c r="B1631" s="6" t="inlineStr">
        <is>
          <t>Apr</t>
        </is>
      </c>
      <c r="C1631" s="6" t="inlineStr">
        <is>
          <t>TN</t>
        </is>
      </c>
      <c r="D1631" s="7" t="inlineStr">
        <is>
          <t>TN10AA2073</t>
        </is>
      </c>
      <c r="E1631" s="7" t="inlineStr">
        <is>
          <t>HYUNDAI</t>
        </is>
      </c>
      <c r="F1631" s="7" t="inlineStr">
        <is>
          <t>i10</t>
        </is>
      </c>
      <c r="G1631" s="7" t="inlineStr">
        <is>
          <t>POPULAR VEHICLES</t>
        </is>
      </c>
      <c r="H1631" s="7" t="inlineStr">
        <is>
          <t>Non-Captive</t>
        </is>
      </c>
      <c r="I1631" s="7" t="inlineStr">
        <is>
          <t>Thiya Cars</t>
        </is>
      </c>
      <c r="J1631" s="8" t="n">
        <v>2010</v>
      </c>
      <c r="K1631" s="9" t="n">
        <v>50262</v>
      </c>
      <c r="L1631" s="10" t="n">
        <v>120000</v>
      </c>
      <c r="M1631" s="10" t="n">
        <v>2542.37</v>
      </c>
      <c r="N1631" s="11">
        <f>IF(M1631="","",ROUND(M1631*1.18,2))</f>
        <v/>
      </c>
      <c r="O1631" s="12">
        <f>IF(M1631="","",ROUND(N1631-M1631,2))</f>
        <v/>
      </c>
      <c r="P1631" s="13">
        <f>IF(AND(A1631&lt;&gt;"",B1631&lt;&gt;""), A1631&amp;" · "&amp;B1631, "")</f>
        <v/>
      </c>
    </row>
    <row r="1632">
      <c r="A1632" s="6" t="inlineStr">
        <is>
          <t>FY27</t>
        </is>
      </c>
      <c r="B1632" s="6" t="inlineStr">
        <is>
          <t>Apr</t>
        </is>
      </c>
      <c r="C1632" s="6" t="inlineStr">
        <is>
          <t>TN</t>
        </is>
      </c>
      <c r="D1632" s="7" t="inlineStr">
        <is>
          <t>TN10AA7345</t>
        </is>
      </c>
      <c r="E1632" s="7" t="inlineStr">
        <is>
          <t>MARUTI SUZUKI</t>
        </is>
      </c>
      <c r="F1632" s="7" t="inlineStr">
        <is>
          <t>Wagon R</t>
        </is>
      </c>
      <c r="G1632" s="7" t="inlineStr">
        <is>
          <t>VISHNU CARS PRIVATE LIMITED</t>
        </is>
      </c>
      <c r="H1632" s="7" t="inlineStr">
        <is>
          <t>Non-Captive</t>
        </is>
      </c>
      <c r="I1632" s="7" t="inlineStr">
        <is>
          <t>Thiya Cars</t>
        </is>
      </c>
      <c r="J1632" s="8" t="n">
        <v>2010</v>
      </c>
      <c r="K1632" s="9" t="n">
        <v>99999</v>
      </c>
      <c r="L1632" s="10" t="n">
        <v>160000</v>
      </c>
      <c r="M1632" s="10" t="n">
        <v>2542.37</v>
      </c>
      <c r="N1632" s="11">
        <f>IF(M1632="","",ROUND(M1632*1.18,2))</f>
        <v/>
      </c>
      <c r="O1632" s="12">
        <f>IF(M1632="","",ROUND(N1632-M1632,2))</f>
        <v/>
      </c>
      <c r="P1632" s="13">
        <f>IF(AND(A1632&lt;&gt;"",B1632&lt;&gt;""), A1632&amp;" · "&amp;B1632, "")</f>
        <v/>
      </c>
    </row>
    <row r="1633">
      <c r="A1633" s="6" t="inlineStr">
        <is>
          <t>FY27</t>
        </is>
      </c>
      <c r="B1633" s="6" t="inlineStr">
        <is>
          <t>Apr</t>
        </is>
      </c>
      <c r="C1633" s="6" t="inlineStr">
        <is>
          <t>TN</t>
        </is>
      </c>
      <c r="D1633" s="7" t="inlineStr">
        <is>
          <t>TN10AD3344</t>
        </is>
      </c>
      <c r="E1633" s="7" t="inlineStr">
        <is>
          <t>NISSAN</t>
        </is>
      </c>
      <c r="F1633" s="7" t="inlineStr">
        <is>
          <t>Micra</t>
        </is>
      </c>
      <c r="G1633" s="7" t="inlineStr">
        <is>
          <t>EXCHANGE ROTN</t>
        </is>
      </c>
      <c r="H1633" s="7" t="inlineStr">
        <is>
          <t>Captive</t>
        </is>
      </c>
      <c r="I1633" s="7" t="inlineStr">
        <is>
          <t>KSM Auto Consulting</t>
        </is>
      </c>
      <c r="J1633" s="8" t="n">
        <v>2011</v>
      </c>
      <c r="K1633" s="9" t="n">
        <v>22346</v>
      </c>
      <c r="L1633" s="10" t="n">
        <v>95000</v>
      </c>
      <c r="M1633" s="10" t="n">
        <v>8474.58</v>
      </c>
      <c r="N1633" s="11">
        <f>IF(M1633="","",ROUND(M1633*1.18,2))</f>
        <v/>
      </c>
      <c r="O1633" s="12">
        <f>IF(M1633="","",ROUND(N1633-M1633,2))</f>
        <v/>
      </c>
      <c r="P1633" s="13">
        <f>IF(AND(A1633&lt;&gt;"",B1633&lt;&gt;""), A1633&amp;" · "&amp;B1633, "")</f>
        <v/>
      </c>
    </row>
    <row r="1634">
      <c r="A1634" s="6" t="inlineStr">
        <is>
          <t>FY27</t>
        </is>
      </c>
      <c r="B1634" s="6" t="inlineStr">
        <is>
          <t>Apr</t>
        </is>
      </c>
      <c r="C1634" s="6" t="inlineStr">
        <is>
          <t>TN</t>
        </is>
      </c>
      <c r="D1634" s="7" t="inlineStr">
        <is>
          <t>TN10AD5897</t>
        </is>
      </c>
      <c r="E1634" s="7" t="inlineStr">
        <is>
          <t>HYUNDAI</t>
        </is>
      </c>
      <c r="F1634" s="7" t="inlineStr">
        <is>
          <t>i10</t>
        </is>
      </c>
      <c r="G1634" s="7" t="inlineStr">
        <is>
          <t>EXCHANGE ROTN</t>
        </is>
      </c>
      <c r="H1634" s="7" t="inlineStr">
        <is>
          <t>Captive</t>
        </is>
      </c>
      <c r="I1634" s="7" t="inlineStr">
        <is>
          <t>Value Cars</t>
        </is>
      </c>
      <c r="J1634" s="8" t="n">
        <v>2011</v>
      </c>
      <c r="K1634" s="9" t="n">
        <v>33595</v>
      </c>
      <c r="L1634" s="10" t="n">
        <v>115000</v>
      </c>
      <c r="M1634" s="10" t="n">
        <v>4237.29</v>
      </c>
      <c r="N1634" s="11">
        <f>IF(M1634="","",ROUND(M1634*1.18,2))</f>
        <v/>
      </c>
      <c r="O1634" s="12">
        <f>IF(M1634="","",ROUND(N1634-M1634,2))</f>
        <v/>
      </c>
      <c r="P1634" s="13">
        <f>IF(AND(A1634&lt;&gt;"",B1634&lt;&gt;""), A1634&amp;" · "&amp;B1634, "")</f>
        <v/>
      </c>
    </row>
    <row r="1635">
      <c r="A1635" s="6" t="inlineStr">
        <is>
          <t>FY27</t>
        </is>
      </c>
      <c r="B1635" s="6" t="inlineStr">
        <is>
          <t>Apr</t>
        </is>
      </c>
      <c r="C1635" s="6" t="inlineStr">
        <is>
          <t>TN</t>
        </is>
      </c>
      <c r="D1635" s="7" t="inlineStr">
        <is>
          <t>TN10AE7697</t>
        </is>
      </c>
      <c r="E1635" s="7" t="inlineStr">
        <is>
          <t>MARUTI SUZUKI</t>
        </is>
      </c>
      <c r="F1635" s="7" t="inlineStr">
        <is>
          <t>Wagon R</t>
        </is>
      </c>
      <c r="G1635" s="7" t="inlineStr">
        <is>
          <t>ABT LIMITED</t>
        </is>
      </c>
      <c r="H1635" s="7" t="inlineStr">
        <is>
          <t>Non-Captive</t>
        </is>
      </c>
      <c r="I1635" s="7" t="inlineStr">
        <is>
          <t>Thiya Cars</t>
        </is>
      </c>
      <c r="J1635" s="8" t="n">
        <v>2011</v>
      </c>
      <c r="K1635" s="9" t="n">
        <v>53508</v>
      </c>
      <c r="L1635" s="10" t="n">
        <v>145000</v>
      </c>
      <c r="M1635" s="10" t="n">
        <v>2542.37</v>
      </c>
      <c r="N1635" s="11">
        <f>IF(M1635="","",ROUND(M1635*1.18,2))</f>
        <v/>
      </c>
      <c r="O1635" s="12">
        <f>IF(M1635="","",ROUND(N1635-M1635,2))</f>
        <v/>
      </c>
      <c r="P1635" s="13">
        <f>IF(AND(A1635&lt;&gt;"",B1635&lt;&gt;""), A1635&amp;" · "&amp;B1635, "")</f>
        <v/>
      </c>
    </row>
    <row r="1636">
      <c r="A1636" s="6" t="inlineStr">
        <is>
          <t>FY27</t>
        </is>
      </c>
      <c r="B1636" s="6" t="inlineStr">
        <is>
          <t>Apr</t>
        </is>
      </c>
      <c r="C1636" s="6" t="inlineStr">
        <is>
          <t>TN</t>
        </is>
      </c>
      <c r="D1636" s="7" t="inlineStr">
        <is>
          <t>TN10AH1599</t>
        </is>
      </c>
      <c r="E1636" s="7" t="inlineStr">
        <is>
          <t>MARUTI SUZUKI</t>
        </is>
      </c>
      <c r="F1636" s="7" t="inlineStr">
        <is>
          <t>Wagon R</t>
        </is>
      </c>
      <c r="G1636" s="7" t="inlineStr">
        <is>
          <t>VISHNU CARS PRIVATE LIMITED</t>
        </is>
      </c>
      <c r="H1636" s="7" t="inlineStr">
        <is>
          <t>Non-Captive</t>
        </is>
      </c>
      <c r="I1636" s="7" t="inlineStr">
        <is>
          <t>Thiya Cars</t>
        </is>
      </c>
      <c r="J1636" s="8" t="n">
        <v>2012</v>
      </c>
      <c r="K1636" s="9" t="n">
        <v>77775</v>
      </c>
      <c r="L1636" s="10" t="n">
        <v>200000</v>
      </c>
      <c r="M1636" s="10" t="n">
        <v>2542.37</v>
      </c>
      <c r="N1636" s="11">
        <f>IF(M1636="","",ROUND(M1636*1.18,2))</f>
        <v/>
      </c>
      <c r="O1636" s="12">
        <f>IF(M1636="","",ROUND(N1636-M1636,2))</f>
        <v/>
      </c>
      <c r="P1636" s="13">
        <f>IF(AND(A1636&lt;&gt;"",B1636&lt;&gt;""), A1636&amp;" · "&amp;B1636, "")</f>
        <v/>
      </c>
    </row>
    <row r="1637">
      <c r="A1637" s="6" t="inlineStr">
        <is>
          <t>FY27</t>
        </is>
      </c>
      <c r="B1637" s="6" t="inlineStr">
        <is>
          <t>Apr</t>
        </is>
      </c>
      <c r="C1637" s="6" t="inlineStr">
        <is>
          <t>TN</t>
        </is>
      </c>
      <c r="D1637" s="7" t="inlineStr">
        <is>
          <t>TN10AJ3127</t>
        </is>
      </c>
      <c r="E1637" s="7" t="inlineStr">
        <is>
          <t>HYUNDAI</t>
        </is>
      </c>
      <c r="F1637" s="7" t="inlineStr">
        <is>
          <t>i10</t>
        </is>
      </c>
      <c r="G1637" s="7" t="inlineStr">
        <is>
          <t>POPULAR VEHICLES</t>
        </is>
      </c>
      <c r="H1637" s="7" t="inlineStr">
        <is>
          <t>Non-Captive</t>
        </is>
      </c>
      <c r="I1637" s="7" t="inlineStr">
        <is>
          <t>Thiya Cars</t>
        </is>
      </c>
      <c r="J1637" s="8" t="n">
        <v>2012</v>
      </c>
      <c r="K1637" s="9" t="n">
        <v>57567</v>
      </c>
      <c r="L1637" s="10" t="n">
        <v>200000</v>
      </c>
      <c r="M1637" s="10" t="n">
        <v>2542.37</v>
      </c>
      <c r="N1637" s="11">
        <f>IF(M1637="","",ROUND(M1637*1.18,2))</f>
        <v/>
      </c>
      <c r="O1637" s="12">
        <f>IF(M1637="","",ROUND(N1637-M1637,2))</f>
        <v/>
      </c>
      <c r="P1637" s="13">
        <f>IF(AND(A1637&lt;&gt;"",B1637&lt;&gt;""), A1637&amp;" · "&amp;B1637, "")</f>
        <v/>
      </c>
    </row>
    <row r="1638">
      <c r="A1638" s="6" t="inlineStr">
        <is>
          <t>FY27</t>
        </is>
      </c>
      <c r="B1638" s="6" t="inlineStr">
        <is>
          <t>Apr</t>
        </is>
      </c>
      <c r="C1638" s="6" t="inlineStr">
        <is>
          <t>TN</t>
        </is>
      </c>
      <c r="D1638" s="7" t="inlineStr">
        <is>
          <t>TN10AK3099</t>
        </is>
      </c>
      <c r="E1638" s="7" t="inlineStr">
        <is>
          <t>MARUTI SUZUKI</t>
        </is>
      </c>
      <c r="F1638" s="7" t="inlineStr">
        <is>
          <t>Ertiga</t>
        </is>
      </c>
      <c r="G1638" s="7" t="inlineStr">
        <is>
          <t>CARS INDIA</t>
        </is>
      </c>
      <c r="H1638" s="7" t="inlineStr">
        <is>
          <t>Non-Captive</t>
        </is>
      </c>
      <c r="I1638" s="7" t="inlineStr">
        <is>
          <t>Santhosh Cars</t>
        </is>
      </c>
      <c r="J1638" s="8" t="n">
        <v>2012</v>
      </c>
      <c r="K1638" s="9" t="n">
        <v>97542</v>
      </c>
      <c r="L1638" s="10" t="n">
        <v>198000</v>
      </c>
      <c r="M1638" s="10" t="n">
        <v>5084.75</v>
      </c>
      <c r="N1638" s="11">
        <f>IF(M1638="","",ROUND(M1638*1.18,2))</f>
        <v/>
      </c>
      <c r="O1638" s="12">
        <f>IF(M1638="","",ROUND(N1638-M1638,2))</f>
        <v/>
      </c>
      <c r="P1638" s="13">
        <f>IF(AND(A1638&lt;&gt;"",B1638&lt;&gt;""), A1638&amp;" · "&amp;B1638, "")</f>
        <v/>
      </c>
    </row>
    <row r="1639">
      <c r="A1639" s="6" t="inlineStr">
        <is>
          <t>FY27</t>
        </is>
      </c>
      <c r="B1639" s="6" t="inlineStr">
        <is>
          <t>Apr</t>
        </is>
      </c>
      <c r="C1639" s="6" t="inlineStr">
        <is>
          <t>TN</t>
        </is>
      </c>
      <c r="D1639" s="7" t="inlineStr">
        <is>
          <t>TN10AP9480</t>
        </is>
      </c>
      <c r="E1639" s="7" t="inlineStr">
        <is>
          <t>HYUNDAI</t>
        </is>
      </c>
      <c r="F1639" s="7" t="inlineStr">
        <is>
          <t>i10</t>
        </is>
      </c>
      <c r="G1639" s="7" t="inlineStr">
        <is>
          <t>AIE CARS PRIVATE LIMITED</t>
        </is>
      </c>
      <c r="H1639" s="7" t="inlineStr">
        <is>
          <t>Non-Captive</t>
        </is>
      </c>
      <c r="I1639" s="7" t="inlineStr">
        <is>
          <t>Santhosh Cars</t>
        </is>
      </c>
      <c r="J1639" s="8" t="n">
        <v>2014</v>
      </c>
      <c r="K1639" s="9" t="n">
        <v>20589</v>
      </c>
      <c r="L1639" s="10" t="n">
        <v>200000</v>
      </c>
      <c r="M1639" s="10" t="n">
        <v>5084.75</v>
      </c>
      <c r="N1639" s="11">
        <f>IF(M1639="","",ROUND(M1639*1.18,2))</f>
        <v/>
      </c>
      <c r="O1639" s="12">
        <f>IF(M1639="","",ROUND(N1639-M1639,2))</f>
        <v/>
      </c>
      <c r="P1639" s="13">
        <f>IF(AND(A1639&lt;&gt;"",B1639&lt;&gt;""), A1639&amp;" · "&amp;B1639, "")</f>
        <v/>
      </c>
    </row>
    <row r="1640">
      <c r="A1640" s="6" t="inlineStr">
        <is>
          <t>FY27</t>
        </is>
      </c>
      <c r="B1640" s="6" t="inlineStr">
        <is>
          <t>Apr</t>
        </is>
      </c>
      <c r="C1640" s="6" t="inlineStr">
        <is>
          <t>TN</t>
        </is>
      </c>
      <c r="D1640" s="7" t="inlineStr">
        <is>
          <t>TN10AT3600</t>
        </is>
      </c>
      <c r="E1640" s="7" t="inlineStr">
        <is>
          <t>MARUTI SUZUKI</t>
        </is>
      </c>
      <c r="F1640" s="7" t="inlineStr">
        <is>
          <t>Dzire</t>
        </is>
      </c>
      <c r="G1640" s="7" t="inlineStr">
        <is>
          <t>CAR HUB</t>
        </is>
      </c>
      <c r="H1640" s="7" t="inlineStr">
        <is>
          <t>Non-Captive</t>
        </is>
      </c>
      <c r="I1640" s="7" t="inlineStr">
        <is>
          <t>Cars24</t>
        </is>
      </c>
      <c r="J1640" s="8" t="n"/>
      <c r="K1640" s="9" t="n"/>
      <c r="L1640" s="10" t="n">
        <v>372500</v>
      </c>
      <c r="M1640" s="10" t="n">
        <v>6355.93</v>
      </c>
      <c r="N1640" s="11">
        <f>IF(M1640="","",ROUND(M1640*1.18,2))</f>
        <v/>
      </c>
      <c r="O1640" s="12">
        <f>IF(M1640="","",ROUND(N1640-M1640,2))</f>
        <v/>
      </c>
      <c r="P1640" s="13">
        <f>IF(AND(A1640&lt;&gt;"",B1640&lt;&gt;""), A1640&amp;" · "&amp;B1640, "")</f>
        <v/>
      </c>
    </row>
    <row r="1641">
      <c r="A1641" s="6" t="inlineStr">
        <is>
          <t>FY27</t>
        </is>
      </c>
      <c r="B1641" s="6" t="inlineStr">
        <is>
          <t>Apr</t>
        </is>
      </c>
      <c r="C1641" s="6" t="inlineStr">
        <is>
          <t>TN</t>
        </is>
      </c>
      <c r="D1641" s="7" t="inlineStr">
        <is>
          <t>TN10BA4056</t>
        </is>
      </c>
      <c r="E1641" s="7" t="inlineStr">
        <is>
          <t>MARUTI SUZUKI</t>
        </is>
      </c>
      <c r="F1641" s="7" t="inlineStr">
        <is>
          <t>Dzire</t>
        </is>
      </c>
      <c r="G1641" s="7" t="inlineStr">
        <is>
          <t>CARS INDIA</t>
        </is>
      </c>
      <c r="H1641" s="7" t="inlineStr">
        <is>
          <t>Non-Captive</t>
        </is>
      </c>
      <c r="I1641" s="7" t="inlineStr">
        <is>
          <t>Santhosh Cars</t>
        </is>
      </c>
      <c r="J1641" s="8" t="n">
        <v>2017</v>
      </c>
      <c r="K1641" s="9" t="n">
        <v>54558</v>
      </c>
      <c r="L1641" s="10" t="n">
        <v>385000</v>
      </c>
      <c r="M1641" s="10" t="n">
        <v>6355.93</v>
      </c>
      <c r="N1641" s="11">
        <f>IF(M1641="","",ROUND(M1641*1.18,2))</f>
        <v/>
      </c>
      <c r="O1641" s="12">
        <f>IF(M1641="","",ROUND(N1641-M1641,2))</f>
        <v/>
      </c>
      <c r="P1641" s="13">
        <f>IF(AND(A1641&lt;&gt;"",B1641&lt;&gt;""), A1641&amp;" · "&amp;B1641, "")</f>
        <v/>
      </c>
    </row>
    <row r="1642">
      <c r="A1642" s="6" t="inlineStr">
        <is>
          <t>FY27</t>
        </is>
      </c>
      <c r="B1642" s="6" t="inlineStr">
        <is>
          <t>Apr</t>
        </is>
      </c>
      <c r="C1642" s="6" t="inlineStr">
        <is>
          <t>TN</t>
        </is>
      </c>
      <c r="D1642" s="7" t="inlineStr">
        <is>
          <t>TN10P1468</t>
        </is>
      </c>
      <c r="E1642" s="7" t="inlineStr">
        <is>
          <t>MARUTI SUZUKI</t>
        </is>
      </c>
      <c r="F1642" s="7" t="inlineStr">
        <is>
          <t>Zen</t>
        </is>
      </c>
      <c r="G1642" s="7" t="inlineStr">
        <is>
          <t>KHIVRAJ MOTOR</t>
        </is>
      </c>
      <c r="H1642" s="7" t="inlineStr">
        <is>
          <t>Non-Captive</t>
        </is>
      </c>
      <c r="I1642" s="7" t="inlineStr">
        <is>
          <t>Santhosh Cars</t>
        </is>
      </c>
      <c r="J1642" s="8" t="n">
        <v>2006</v>
      </c>
      <c r="K1642" s="9" t="n">
        <v>48465</v>
      </c>
      <c r="L1642" s="10" t="n">
        <v>40000</v>
      </c>
      <c r="M1642" s="10" t="n">
        <v>4237.29</v>
      </c>
      <c r="N1642" s="11">
        <f>IF(M1642="","",ROUND(M1642*1.18,2))</f>
        <v/>
      </c>
      <c r="O1642" s="12">
        <f>IF(M1642="","",ROUND(N1642-M1642,2))</f>
        <v/>
      </c>
      <c r="P1642" s="13">
        <f>IF(AND(A1642&lt;&gt;"",B1642&lt;&gt;""), A1642&amp;" · "&amp;B1642, "")</f>
        <v/>
      </c>
    </row>
    <row r="1643">
      <c r="A1643" s="6" t="inlineStr">
        <is>
          <t>FY27</t>
        </is>
      </c>
      <c r="B1643" s="6" t="inlineStr">
        <is>
          <t>Apr</t>
        </is>
      </c>
      <c r="C1643" s="6" t="inlineStr">
        <is>
          <t>TN</t>
        </is>
      </c>
      <c r="D1643" s="7" t="inlineStr">
        <is>
          <t>TN10Y0357</t>
        </is>
      </c>
      <c r="E1643" s="7" t="inlineStr">
        <is>
          <t>MARUTI SUZUKI</t>
        </is>
      </c>
      <c r="F1643" s="7" t="inlineStr">
        <is>
          <t>A-Star</t>
        </is>
      </c>
      <c r="G1643" s="7" t="inlineStr">
        <is>
          <t>VISHNU CARS PRIVATE LIMITED</t>
        </is>
      </c>
      <c r="H1643" s="7" t="inlineStr">
        <is>
          <t>Non-Captive</t>
        </is>
      </c>
      <c r="I1643" s="7" t="inlineStr">
        <is>
          <t>Thiya Cars</t>
        </is>
      </c>
      <c r="J1643" s="8" t="n">
        <v>2009</v>
      </c>
      <c r="K1643" s="9" t="n">
        <v>99999</v>
      </c>
      <c r="L1643" s="10" t="n">
        <v>125000</v>
      </c>
      <c r="M1643" s="10" t="n">
        <v>2542.37</v>
      </c>
      <c r="N1643" s="11">
        <f>IF(M1643="","",ROUND(M1643*1.18,2))</f>
        <v/>
      </c>
      <c r="O1643" s="12">
        <f>IF(M1643="","",ROUND(N1643-M1643,2))</f>
        <v/>
      </c>
      <c r="P1643" s="13">
        <f>IF(AND(A1643&lt;&gt;"",B1643&lt;&gt;""), A1643&amp;" · "&amp;B1643, "")</f>
        <v/>
      </c>
    </row>
    <row r="1644">
      <c r="A1644" s="6" t="inlineStr">
        <is>
          <t>FY27</t>
        </is>
      </c>
      <c r="B1644" s="6" t="inlineStr">
        <is>
          <t>Apr</t>
        </is>
      </c>
      <c r="C1644" s="6" t="inlineStr">
        <is>
          <t>TN</t>
        </is>
      </c>
      <c r="D1644" s="7" t="inlineStr">
        <is>
          <t>TN10Y2433</t>
        </is>
      </c>
      <c r="E1644" s="7" t="inlineStr">
        <is>
          <t>MARUTI SUZUKI</t>
        </is>
      </c>
      <c r="F1644" s="7" t="inlineStr">
        <is>
          <t>Swift</t>
        </is>
      </c>
      <c r="G1644" s="7" t="inlineStr">
        <is>
          <t>EXCHANGE CHENNAI</t>
        </is>
      </c>
      <c r="H1644" s="7" t="inlineStr">
        <is>
          <t>Captive</t>
        </is>
      </c>
      <c r="I1644" s="7" t="inlineStr">
        <is>
          <t>Nirmal Cars</t>
        </is>
      </c>
      <c r="J1644" s="8" t="n">
        <v>2009</v>
      </c>
      <c r="K1644" s="9" t="n">
        <v>30728</v>
      </c>
      <c r="L1644" s="10" t="n">
        <v>200000</v>
      </c>
      <c r="M1644" s="10" t="n">
        <v>8474.58</v>
      </c>
      <c r="N1644" s="11">
        <f>IF(M1644="","",ROUND(M1644*1.18,2))</f>
        <v/>
      </c>
      <c r="O1644" s="12">
        <f>IF(M1644="","",ROUND(N1644-M1644,2))</f>
        <v/>
      </c>
      <c r="P1644" s="13">
        <f>IF(AND(A1644&lt;&gt;"",B1644&lt;&gt;""), A1644&amp;" · "&amp;B1644, "")</f>
        <v/>
      </c>
    </row>
    <row r="1645">
      <c r="A1645" s="6" t="inlineStr">
        <is>
          <t>FY27</t>
        </is>
      </c>
      <c r="B1645" s="6" t="inlineStr">
        <is>
          <t>Apr</t>
        </is>
      </c>
      <c r="C1645" s="6" t="inlineStr">
        <is>
          <t>TN</t>
        </is>
      </c>
      <c r="D1645" s="7" t="inlineStr">
        <is>
          <t>TN10Y5947</t>
        </is>
      </c>
      <c r="E1645" s="7" t="inlineStr">
        <is>
          <t>MARUTI SUZUKI</t>
        </is>
      </c>
      <c r="F1645" s="7" t="inlineStr">
        <is>
          <t>Ritz</t>
        </is>
      </c>
      <c r="G1645" s="7" t="inlineStr">
        <is>
          <t>VISHNU CARS PRIVATE LIMITED</t>
        </is>
      </c>
      <c r="H1645" s="7" t="inlineStr">
        <is>
          <t>Non-Captive</t>
        </is>
      </c>
      <c r="I1645" s="7" t="inlineStr">
        <is>
          <t>Thiya Cars</t>
        </is>
      </c>
      <c r="J1645" s="8" t="n">
        <v>2010</v>
      </c>
      <c r="K1645" s="9" t="n">
        <v>38616</v>
      </c>
      <c r="L1645" s="10" t="n">
        <v>125000</v>
      </c>
      <c r="M1645" s="10" t="n">
        <v>2542.37</v>
      </c>
      <c r="N1645" s="11">
        <f>IF(M1645="","",ROUND(M1645*1.18,2))</f>
        <v/>
      </c>
      <c r="O1645" s="12">
        <f>IF(M1645="","",ROUND(N1645-M1645,2))</f>
        <v/>
      </c>
      <c r="P1645" s="13">
        <f>IF(AND(A1645&lt;&gt;"",B1645&lt;&gt;""), A1645&amp;" · "&amp;B1645, "")</f>
        <v/>
      </c>
    </row>
    <row r="1646">
      <c r="A1646" s="6" t="inlineStr">
        <is>
          <t>FY27</t>
        </is>
      </c>
      <c r="B1646" s="6" t="inlineStr">
        <is>
          <t>Apr</t>
        </is>
      </c>
      <c r="C1646" s="6" t="inlineStr">
        <is>
          <t>TN</t>
        </is>
      </c>
      <c r="D1646" s="7" t="inlineStr">
        <is>
          <t>TN10Z2679</t>
        </is>
      </c>
      <c r="E1646" s="7" t="inlineStr">
        <is>
          <t>FORD</t>
        </is>
      </c>
      <c r="F1646" s="7" t="inlineStr">
        <is>
          <t>Fiesta Classic</t>
        </is>
      </c>
      <c r="G1646" s="7" t="inlineStr">
        <is>
          <t>VISHNU CARS PRIVATE LIMITED</t>
        </is>
      </c>
      <c r="H1646" s="7" t="inlineStr">
        <is>
          <t>Non-Captive</t>
        </is>
      </c>
      <c r="I1646" s="7" t="inlineStr">
        <is>
          <t>Vijaya Cars</t>
        </is>
      </c>
      <c r="J1646" s="8" t="n">
        <v>2010</v>
      </c>
      <c r="K1646" s="9" t="n">
        <v>113949</v>
      </c>
      <c r="L1646" s="10" t="n">
        <v>55000</v>
      </c>
      <c r="M1646" s="10" t="n">
        <v>2542.37</v>
      </c>
      <c r="N1646" s="11">
        <f>IF(M1646="","",ROUND(M1646*1.18,2))</f>
        <v/>
      </c>
      <c r="O1646" s="12">
        <f>IF(M1646="","",ROUND(N1646-M1646,2))</f>
        <v/>
      </c>
      <c r="P1646" s="13">
        <f>IF(AND(A1646&lt;&gt;"",B1646&lt;&gt;""), A1646&amp;" · "&amp;B1646, "")</f>
        <v/>
      </c>
    </row>
    <row r="1647">
      <c r="A1647" s="6" t="inlineStr">
        <is>
          <t>FY27</t>
        </is>
      </c>
      <c r="B1647" s="6" t="inlineStr">
        <is>
          <t>Apr</t>
        </is>
      </c>
      <c r="C1647" s="6" t="inlineStr">
        <is>
          <t>TN</t>
        </is>
      </c>
      <c r="D1647" s="7" t="inlineStr">
        <is>
          <t>TN116681</t>
        </is>
      </c>
      <c r="E1647" s="7" t="inlineStr">
        <is>
          <t>FORD</t>
        </is>
      </c>
      <c r="F1647" s="7" t="inlineStr">
        <is>
          <t>Figo</t>
        </is>
      </c>
      <c r="G1647" s="7" t="inlineStr">
        <is>
          <t>ABT LIMITED</t>
        </is>
      </c>
      <c r="H1647" s="7" t="inlineStr">
        <is>
          <t>Non-Captive</t>
        </is>
      </c>
      <c r="I1647" s="7" t="inlineStr">
        <is>
          <t>Vijaya Cars</t>
        </is>
      </c>
      <c r="J1647" s="8" t="n">
        <v>2012</v>
      </c>
      <c r="K1647" s="9" t="n">
        <v>119119</v>
      </c>
      <c r="L1647" s="10" t="n">
        <v>120000</v>
      </c>
      <c r="M1647" s="10" t="n">
        <v>2542.37</v>
      </c>
      <c r="N1647" s="11">
        <f>IF(M1647="","",ROUND(M1647*1.18,2))</f>
        <v/>
      </c>
      <c r="O1647" s="12">
        <f>IF(M1647="","",ROUND(N1647-M1647,2))</f>
        <v/>
      </c>
      <c r="P1647" s="13">
        <f>IF(AND(A1647&lt;&gt;"",B1647&lt;&gt;""), A1647&amp;" · "&amp;B1647, "")</f>
        <v/>
      </c>
    </row>
    <row r="1648">
      <c r="A1648" s="6" t="inlineStr">
        <is>
          <t>FY27</t>
        </is>
      </c>
      <c r="B1648" s="6" t="inlineStr">
        <is>
          <t>Apr</t>
        </is>
      </c>
      <c r="C1648" s="6" t="inlineStr">
        <is>
          <t>TN</t>
        </is>
      </c>
      <c r="D1648" s="7" t="inlineStr">
        <is>
          <t>TN11A9761</t>
        </is>
      </c>
      <c r="E1648" s="7" t="inlineStr">
        <is>
          <t>MARUTI SUZUKI</t>
        </is>
      </c>
      <c r="F1648" s="7" t="inlineStr">
        <is>
          <t>Alto</t>
        </is>
      </c>
      <c r="G1648" s="7" t="inlineStr">
        <is>
          <t>KHIVRAJ MOTOR</t>
        </is>
      </c>
      <c r="H1648" s="7" t="inlineStr">
        <is>
          <t>Non-Captive</t>
        </is>
      </c>
      <c r="I1648" s="7" t="inlineStr">
        <is>
          <t>Ramalingam Cars</t>
        </is>
      </c>
      <c r="J1648" s="8" t="n">
        <v>2012</v>
      </c>
      <c r="K1648" s="9" t="n">
        <v>19819</v>
      </c>
      <c r="L1648" s="10" t="n">
        <v>150000</v>
      </c>
      <c r="M1648" s="10" t="n">
        <v>5084.75</v>
      </c>
      <c r="N1648" s="11">
        <f>IF(M1648="","",ROUND(M1648*1.18,2))</f>
        <v/>
      </c>
      <c r="O1648" s="12">
        <f>IF(M1648="","",ROUND(N1648-M1648,2))</f>
        <v/>
      </c>
      <c r="P1648" s="13">
        <f>IF(AND(A1648&lt;&gt;"",B1648&lt;&gt;""), A1648&amp;" · "&amp;B1648, "")</f>
        <v/>
      </c>
    </row>
    <row r="1649">
      <c r="A1649" s="6" t="inlineStr">
        <is>
          <t>FY27</t>
        </is>
      </c>
      <c r="B1649" s="6" t="inlineStr">
        <is>
          <t>Apr</t>
        </is>
      </c>
      <c r="C1649" s="6" t="inlineStr">
        <is>
          <t>TN</t>
        </is>
      </c>
      <c r="D1649" s="7" t="inlineStr">
        <is>
          <t>TN11AE1236</t>
        </is>
      </c>
      <c r="E1649" s="7" t="inlineStr">
        <is>
          <t>MARUTI SUZUKI</t>
        </is>
      </c>
      <c r="F1649" s="7" t="inlineStr">
        <is>
          <t>Alto</t>
        </is>
      </c>
      <c r="G1649" s="7" t="inlineStr">
        <is>
          <t>VISHNU CARS PRIVATE LIMITED</t>
        </is>
      </c>
      <c r="H1649" s="7" t="inlineStr">
        <is>
          <t>Non-Captive</t>
        </is>
      </c>
      <c r="I1649" s="7" t="inlineStr">
        <is>
          <t>KB Motor</t>
        </is>
      </c>
      <c r="J1649" s="8" t="n">
        <v>2018</v>
      </c>
      <c r="K1649" s="9" t="n">
        <v>53810</v>
      </c>
      <c r="L1649" s="10" t="n">
        <v>200000</v>
      </c>
      <c r="M1649" s="10" t="n">
        <v>3389.83</v>
      </c>
      <c r="N1649" s="11">
        <f>IF(M1649="","",ROUND(M1649*1.18,2))</f>
        <v/>
      </c>
      <c r="O1649" s="12">
        <f>IF(M1649="","",ROUND(N1649-M1649,2))</f>
        <v/>
      </c>
      <c r="P1649" s="13">
        <f>IF(AND(A1649&lt;&gt;"",B1649&lt;&gt;""), A1649&amp;" · "&amp;B1649, "")</f>
        <v/>
      </c>
    </row>
    <row r="1650">
      <c r="A1650" s="6" t="inlineStr">
        <is>
          <t>FY27</t>
        </is>
      </c>
      <c r="B1650" s="6" t="inlineStr">
        <is>
          <t>Apr</t>
        </is>
      </c>
      <c r="C1650" s="6" t="inlineStr">
        <is>
          <t>TN</t>
        </is>
      </c>
      <c r="D1650" s="7" t="inlineStr">
        <is>
          <t>TN11AM2004</t>
        </is>
      </c>
      <c r="E1650" s="7" t="inlineStr">
        <is>
          <t>MARUTI SUZUKI</t>
        </is>
      </c>
      <c r="F1650" s="7" t="inlineStr">
        <is>
          <t>Wagon R</t>
        </is>
      </c>
      <c r="G1650" s="7" t="inlineStr">
        <is>
          <t>VISHNU CARS PRIVATE LIMITED</t>
        </is>
      </c>
      <c r="H1650" s="7" t="inlineStr">
        <is>
          <t>Non-Captive</t>
        </is>
      </c>
      <c r="I1650" s="7" t="inlineStr">
        <is>
          <t>Kamal Cars</t>
        </is>
      </c>
      <c r="J1650" s="8" t="n">
        <v>2019</v>
      </c>
      <c r="K1650" s="9" t="n">
        <v>158541</v>
      </c>
      <c r="L1650" s="10" t="n">
        <v>194000</v>
      </c>
      <c r="M1650" s="10" t="n">
        <v>5084.75</v>
      </c>
      <c r="N1650" s="11">
        <f>IF(M1650="","",ROUND(M1650*1.18,2))</f>
        <v/>
      </c>
      <c r="O1650" s="12">
        <f>IF(M1650="","",ROUND(N1650-M1650,2))</f>
        <v/>
      </c>
      <c r="P1650" s="13">
        <f>IF(AND(A1650&lt;&gt;"",B1650&lt;&gt;""), A1650&amp;" · "&amp;B1650, "")</f>
        <v/>
      </c>
    </row>
    <row r="1651">
      <c r="A1651" s="6" t="inlineStr">
        <is>
          <t>FY27</t>
        </is>
      </c>
      <c r="B1651" s="6" t="inlineStr">
        <is>
          <t>Apr</t>
        </is>
      </c>
      <c r="C1651" s="6" t="inlineStr">
        <is>
          <t>TN</t>
        </is>
      </c>
      <c r="D1651" s="7" t="inlineStr">
        <is>
          <t>TN11D4848</t>
        </is>
      </c>
      <c r="E1651" s="7" t="inlineStr">
        <is>
          <t>VOLKSWAGEN</t>
        </is>
      </c>
      <c r="F1651" s="7" t="inlineStr">
        <is>
          <t>Vento</t>
        </is>
      </c>
      <c r="G1651" s="7" t="inlineStr">
        <is>
          <t>POPULAR VEHICLES</t>
        </is>
      </c>
      <c r="H1651" s="7" t="inlineStr">
        <is>
          <t>Non-Captive</t>
        </is>
      </c>
      <c r="I1651" s="7" t="inlineStr">
        <is>
          <t>TSM</t>
        </is>
      </c>
      <c r="J1651" s="8" t="n">
        <v>2013</v>
      </c>
      <c r="K1651" s="9" t="n">
        <v>74809</v>
      </c>
      <c r="L1651" s="10" t="n">
        <v>202000</v>
      </c>
      <c r="M1651" s="10" t="n">
        <v>3389.83</v>
      </c>
      <c r="N1651" s="11">
        <f>IF(M1651="","",ROUND(M1651*1.18,2))</f>
        <v/>
      </c>
      <c r="O1651" s="12">
        <f>IF(M1651="","",ROUND(N1651-M1651,2))</f>
        <v/>
      </c>
      <c r="P1651" s="13">
        <f>IF(AND(A1651&lt;&gt;"",B1651&lt;&gt;""), A1651&amp;" · "&amp;B1651, "")</f>
        <v/>
      </c>
    </row>
    <row r="1652">
      <c r="A1652" s="6" t="inlineStr">
        <is>
          <t>FY27</t>
        </is>
      </c>
      <c r="B1652" s="6" t="inlineStr">
        <is>
          <t>Apr</t>
        </is>
      </c>
      <c r="C1652" s="6" t="inlineStr">
        <is>
          <t>TN</t>
        </is>
      </c>
      <c r="D1652" s="7" t="inlineStr">
        <is>
          <t>TN11E8175</t>
        </is>
      </c>
      <c r="E1652" s="7" t="inlineStr">
        <is>
          <t>HYUNDAI</t>
        </is>
      </c>
      <c r="F1652" s="7" t="inlineStr">
        <is>
          <t>Eon</t>
        </is>
      </c>
      <c r="G1652" s="7" t="inlineStr">
        <is>
          <t>VISHNU CARS PRIVATE LIMITED</t>
        </is>
      </c>
      <c r="H1652" s="7" t="inlineStr">
        <is>
          <t>Non-Captive</t>
        </is>
      </c>
      <c r="I1652" s="7" t="inlineStr">
        <is>
          <t>Santhosh Cars</t>
        </is>
      </c>
      <c r="J1652" s="8" t="n">
        <v>2013</v>
      </c>
      <c r="K1652" s="9" t="n">
        <v>41466</v>
      </c>
      <c r="L1652" s="10" t="n">
        <v>210000</v>
      </c>
      <c r="M1652" s="10" t="n">
        <v>4237.29</v>
      </c>
      <c r="N1652" s="11">
        <f>IF(M1652="","",ROUND(M1652*1.18,2))</f>
        <v/>
      </c>
      <c r="O1652" s="12">
        <f>IF(M1652="","",ROUND(N1652-M1652,2))</f>
        <v/>
      </c>
      <c r="P1652" s="13">
        <f>IF(AND(A1652&lt;&gt;"",B1652&lt;&gt;""), A1652&amp;" · "&amp;B1652, "")</f>
        <v/>
      </c>
    </row>
    <row r="1653">
      <c r="A1653" s="6" t="inlineStr">
        <is>
          <t>FY27</t>
        </is>
      </c>
      <c r="B1653" s="6" t="inlineStr">
        <is>
          <t>Apr</t>
        </is>
      </c>
      <c r="C1653" s="6" t="inlineStr">
        <is>
          <t>TN</t>
        </is>
      </c>
      <c r="D1653" s="7" t="inlineStr">
        <is>
          <t>TN11U2242</t>
        </is>
      </c>
      <c r="E1653" s="7" t="inlineStr">
        <is>
          <t>NISSAN</t>
        </is>
      </c>
      <c r="F1653" s="7" t="inlineStr">
        <is>
          <t>Micra</t>
        </is>
      </c>
      <c r="G1653" s="7" t="inlineStr">
        <is>
          <t>POPULAR VEHICLES</t>
        </is>
      </c>
      <c r="H1653" s="7" t="inlineStr">
        <is>
          <t>Non-Captive</t>
        </is>
      </c>
      <c r="I1653" s="7" t="inlineStr">
        <is>
          <t>Vijaya Cars</t>
        </is>
      </c>
      <c r="J1653" s="8" t="n">
        <v>2016</v>
      </c>
      <c r="K1653" s="9" t="n">
        <v>66351</v>
      </c>
      <c r="L1653" s="10" t="n">
        <v>200000</v>
      </c>
      <c r="M1653" s="10" t="n">
        <v>2542.37</v>
      </c>
      <c r="N1653" s="11">
        <f>IF(M1653="","",ROUND(M1653*1.18,2))</f>
        <v/>
      </c>
      <c r="O1653" s="12">
        <f>IF(M1653="","",ROUND(N1653-M1653,2))</f>
        <v/>
      </c>
      <c r="P1653" s="13">
        <f>IF(AND(A1653&lt;&gt;"",B1653&lt;&gt;""), A1653&amp;" · "&amp;B1653, "")</f>
        <v/>
      </c>
    </row>
    <row r="1654">
      <c r="A1654" s="6" t="inlineStr">
        <is>
          <t>FY27</t>
        </is>
      </c>
      <c r="B1654" s="6" t="inlineStr">
        <is>
          <t>Apr</t>
        </is>
      </c>
      <c r="C1654" s="6" t="inlineStr">
        <is>
          <t>TN</t>
        </is>
      </c>
      <c r="D1654" s="7" t="inlineStr">
        <is>
          <t>TN11Y9858</t>
        </is>
      </c>
      <c r="E1654" s="7" t="inlineStr">
        <is>
          <t>HONDA</t>
        </is>
      </c>
      <c r="F1654" s="7" t="inlineStr">
        <is>
          <t>Brio</t>
        </is>
      </c>
      <c r="G1654" s="7" t="inlineStr">
        <is>
          <t>ABT LIMITED</t>
        </is>
      </c>
      <c r="H1654" s="7" t="inlineStr">
        <is>
          <t>Non-Captive</t>
        </is>
      </c>
      <c r="I1654" s="7" t="inlineStr">
        <is>
          <t>Vijaya Cars</t>
        </is>
      </c>
      <c r="J1654" s="8" t="n">
        <v>2013</v>
      </c>
      <c r="K1654" s="9" t="n">
        <v>48440</v>
      </c>
      <c r="L1654" s="10" t="n">
        <v>190000</v>
      </c>
      <c r="M1654" s="10" t="n">
        <v>2542.37</v>
      </c>
      <c r="N1654" s="11">
        <f>IF(M1654="","",ROUND(M1654*1.18,2))</f>
        <v/>
      </c>
      <c r="O1654" s="12">
        <f>IF(M1654="","",ROUND(N1654-M1654,2))</f>
        <v/>
      </c>
      <c r="P1654" s="13">
        <f>IF(AND(A1654&lt;&gt;"",B1654&lt;&gt;""), A1654&amp;" · "&amp;B1654, "")</f>
        <v/>
      </c>
    </row>
    <row r="1655">
      <c r="A1655" s="6" t="inlineStr">
        <is>
          <t>FY27</t>
        </is>
      </c>
      <c r="B1655" s="6" t="inlineStr">
        <is>
          <t>Apr</t>
        </is>
      </c>
      <c r="C1655" s="6" t="inlineStr">
        <is>
          <t>TN</t>
        </is>
      </c>
      <c r="D1655" s="7" t="inlineStr">
        <is>
          <t>TN11Z7647</t>
        </is>
      </c>
      <c r="E1655" s="7" t="inlineStr">
        <is>
          <t>FORD</t>
        </is>
      </c>
      <c r="F1655" s="7" t="inlineStr">
        <is>
          <t>Figo</t>
        </is>
      </c>
      <c r="G1655" s="7" t="inlineStr">
        <is>
          <t>VISHNU CARS PRIVATE LIMITED</t>
        </is>
      </c>
      <c r="H1655" s="7" t="inlineStr">
        <is>
          <t>Non-Captive</t>
        </is>
      </c>
      <c r="I1655" s="7" t="inlineStr">
        <is>
          <t>Vijaya Cars</t>
        </is>
      </c>
      <c r="J1655" s="8" t="n">
        <v>2012</v>
      </c>
      <c r="K1655" s="9" t="n">
        <v>89160</v>
      </c>
      <c r="L1655" s="10" t="n">
        <v>110000</v>
      </c>
      <c r="M1655" s="10" t="n">
        <v>2542.37</v>
      </c>
      <c r="N1655" s="11">
        <f>IF(M1655="","",ROUND(M1655*1.18,2))</f>
        <v/>
      </c>
      <c r="O1655" s="12">
        <f>IF(M1655="","",ROUND(N1655-M1655,2))</f>
        <v/>
      </c>
      <c r="P1655" s="13">
        <f>IF(AND(A1655&lt;&gt;"",B1655&lt;&gt;""), A1655&amp;" · "&amp;B1655, "")</f>
        <v/>
      </c>
    </row>
    <row r="1656">
      <c r="A1656" s="6" t="inlineStr">
        <is>
          <t>FY27</t>
        </is>
      </c>
      <c r="B1656" s="6" t="inlineStr">
        <is>
          <t>Apr</t>
        </is>
      </c>
      <c r="C1656" s="6" t="inlineStr">
        <is>
          <t>TN</t>
        </is>
      </c>
      <c r="D1656" s="7" t="inlineStr">
        <is>
          <t>TN12K8026</t>
        </is>
      </c>
      <c r="E1656" s="7" t="inlineStr">
        <is>
          <t>MARUTI SUZUKI</t>
        </is>
      </c>
      <c r="F1656" s="7" t="inlineStr">
        <is>
          <t>Alto</t>
        </is>
      </c>
      <c r="G1656" s="7" t="inlineStr">
        <is>
          <t>POPULAR VEHICLES</t>
        </is>
      </c>
      <c r="H1656" s="7" t="inlineStr">
        <is>
          <t>Non-Captive</t>
        </is>
      </c>
      <c r="I1656" s="7" t="inlineStr">
        <is>
          <t>Vijaya Cars</t>
        </is>
      </c>
      <c r="J1656" s="8" t="n">
        <v>2015</v>
      </c>
      <c r="K1656" s="9" t="n">
        <v>40030</v>
      </c>
      <c r="L1656" s="10" t="n">
        <v>175000</v>
      </c>
      <c r="M1656" s="10" t="n">
        <v>2542.37</v>
      </c>
      <c r="N1656" s="11">
        <f>IF(M1656="","",ROUND(M1656*1.18,2))</f>
        <v/>
      </c>
      <c r="O1656" s="12">
        <f>IF(M1656="","",ROUND(N1656-M1656,2))</f>
        <v/>
      </c>
      <c r="P1656" s="13">
        <f>IF(AND(A1656&lt;&gt;"",B1656&lt;&gt;""), A1656&amp;" · "&amp;B1656, "")</f>
        <v/>
      </c>
    </row>
    <row r="1657">
      <c r="A1657" s="6" t="inlineStr">
        <is>
          <t>FY27</t>
        </is>
      </c>
      <c r="B1657" s="6" t="inlineStr">
        <is>
          <t>Apr</t>
        </is>
      </c>
      <c r="C1657" s="6" t="inlineStr">
        <is>
          <t>TN</t>
        </is>
      </c>
      <c r="D1657" s="7" t="inlineStr">
        <is>
          <t>TN12M0039</t>
        </is>
      </c>
      <c r="E1657" s="7" t="inlineStr">
        <is>
          <t>TATA</t>
        </is>
      </c>
      <c r="F1657" s="7" t="inlineStr">
        <is>
          <t>Indica</t>
        </is>
      </c>
      <c r="G1657" s="7" t="inlineStr">
        <is>
          <t>VISHNU CARS PRIVATE LIMITED</t>
        </is>
      </c>
      <c r="H1657" s="7" t="inlineStr">
        <is>
          <t>Non-Captive</t>
        </is>
      </c>
      <c r="I1657" s="7" t="inlineStr">
        <is>
          <t>Vijaya Cars</t>
        </is>
      </c>
      <c r="J1657" s="8" t="n">
        <v>2016</v>
      </c>
      <c r="K1657" s="9" t="n">
        <v>99999</v>
      </c>
      <c r="L1657" s="10" t="n">
        <v>100000</v>
      </c>
      <c r="M1657" s="10" t="n">
        <v>2542.37</v>
      </c>
      <c r="N1657" s="11">
        <f>IF(M1657="","",ROUND(M1657*1.18,2))</f>
        <v/>
      </c>
      <c r="O1657" s="12">
        <f>IF(M1657="","",ROUND(N1657-M1657,2))</f>
        <v/>
      </c>
      <c r="P1657" s="13">
        <f>IF(AND(A1657&lt;&gt;"",B1657&lt;&gt;""), A1657&amp;" · "&amp;B1657, "")</f>
        <v/>
      </c>
    </row>
    <row r="1658">
      <c r="A1658" s="6" t="inlineStr">
        <is>
          <t>FY27</t>
        </is>
      </c>
      <c r="B1658" s="6" t="inlineStr">
        <is>
          <t>Apr</t>
        </is>
      </c>
      <c r="C1658" s="6" t="inlineStr">
        <is>
          <t>TN</t>
        </is>
      </c>
      <c r="D1658" s="7" t="inlineStr">
        <is>
          <t>TN12Q6786</t>
        </is>
      </c>
      <c r="E1658" s="7" t="inlineStr">
        <is>
          <t>HYUNDAI</t>
        </is>
      </c>
      <c r="F1658" s="7" t="inlineStr">
        <is>
          <t>Grand i10</t>
        </is>
      </c>
      <c r="G1658" s="7" t="inlineStr">
        <is>
          <t>EXCHANGE CHENNAI</t>
        </is>
      </c>
      <c r="H1658" s="7" t="inlineStr">
        <is>
          <t>Captive</t>
        </is>
      </c>
      <c r="I1658" s="7" t="inlineStr">
        <is>
          <t>car Hub</t>
        </is>
      </c>
      <c r="J1658" s="8" t="n">
        <v>2016</v>
      </c>
      <c r="K1658" s="9" t="n">
        <v>112587</v>
      </c>
      <c r="L1658" s="10" t="n">
        <v>330000</v>
      </c>
      <c r="M1658" s="10" t="n">
        <v>6355.93</v>
      </c>
      <c r="N1658" s="11">
        <f>IF(M1658="","",ROUND(M1658*1.18,2))</f>
        <v/>
      </c>
      <c r="O1658" s="12">
        <f>IF(M1658="","",ROUND(N1658-M1658,2))</f>
        <v/>
      </c>
      <c r="P1658" s="13">
        <f>IF(AND(A1658&lt;&gt;"",B1658&lt;&gt;""), A1658&amp;" · "&amp;B1658, "")</f>
        <v/>
      </c>
    </row>
    <row r="1659">
      <c r="A1659" s="6" t="inlineStr">
        <is>
          <t>FY27</t>
        </is>
      </c>
      <c r="B1659" s="6" t="inlineStr">
        <is>
          <t>Apr</t>
        </is>
      </c>
      <c r="C1659" s="6" t="inlineStr">
        <is>
          <t>TN</t>
        </is>
      </c>
      <c r="D1659" s="7" t="inlineStr">
        <is>
          <t>TN133084</t>
        </is>
      </c>
      <c r="E1659" s="7" t="inlineStr">
        <is>
          <t>MARUTI SUZUKI</t>
        </is>
      </c>
      <c r="F1659" s="7" t="inlineStr">
        <is>
          <t>Dzire</t>
        </is>
      </c>
      <c r="G1659" s="7" t="inlineStr">
        <is>
          <t>EXCHANGE ROTN</t>
        </is>
      </c>
      <c r="H1659" s="7" t="inlineStr">
        <is>
          <t>Captive</t>
        </is>
      </c>
      <c r="I1659" s="7" t="inlineStr">
        <is>
          <t>Value Cars</t>
        </is>
      </c>
      <c r="J1659" s="8" t="n">
        <v>2014</v>
      </c>
      <c r="K1659" s="9" t="n">
        <v>151579</v>
      </c>
      <c r="L1659" s="10" t="n">
        <v>300000</v>
      </c>
      <c r="M1659" s="10" t="n">
        <v>4237.29</v>
      </c>
      <c r="N1659" s="11">
        <f>IF(M1659="","",ROUND(M1659*1.18,2))</f>
        <v/>
      </c>
      <c r="O1659" s="12">
        <f>IF(M1659="","",ROUND(N1659-M1659,2))</f>
        <v/>
      </c>
      <c r="P1659" s="13">
        <f>IF(AND(A1659&lt;&gt;"",B1659&lt;&gt;""), A1659&amp;" · "&amp;B1659, "")</f>
        <v/>
      </c>
    </row>
    <row r="1660">
      <c r="A1660" s="6" t="inlineStr">
        <is>
          <t>FY27</t>
        </is>
      </c>
      <c r="B1660" s="6" t="inlineStr">
        <is>
          <t>Apr</t>
        </is>
      </c>
      <c r="C1660" s="6" t="inlineStr">
        <is>
          <t>TN</t>
        </is>
      </c>
      <c r="D1660" s="7" t="inlineStr">
        <is>
          <t>TN13C6606</t>
        </is>
      </c>
      <c r="E1660" s="7" t="inlineStr">
        <is>
          <t>MARUTI SUZUKI</t>
        </is>
      </c>
      <c r="F1660" s="7" t="inlineStr">
        <is>
          <t>Wagon R</t>
        </is>
      </c>
      <c r="G1660" s="7" t="inlineStr">
        <is>
          <t>EXCHANGE CHENNAI</t>
        </is>
      </c>
      <c r="H1660" s="7" t="inlineStr">
        <is>
          <t>Captive</t>
        </is>
      </c>
      <c r="I1660" s="7" t="inlineStr">
        <is>
          <t>Santhosh Cars</t>
        </is>
      </c>
      <c r="J1660" s="8" t="n">
        <v>2015</v>
      </c>
      <c r="K1660" s="9" t="n">
        <v>19740</v>
      </c>
      <c r="L1660" s="10" t="n">
        <v>200000</v>
      </c>
      <c r="M1660" s="10" t="n">
        <v>8474.58</v>
      </c>
      <c r="N1660" s="11">
        <f>IF(M1660="","",ROUND(M1660*1.18,2))</f>
        <v/>
      </c>
      <c r="O1660" s="12">
        <f>IF(M1660="","",ROUND(N1660-M1660,2))</f>
        <v/>
      </c>
      <c r="P1660" s="13">
        <f>IF(AND(A1660&lt;&gt;"",B1660&lt;&gt;""), A1660&amp;" · "&amp;B1660, "")</f>
        <v/>
      </c>
    </row>
    <row r="1661">
      <c r="A1661" s="6" t="inlineStr">
        <is>
          <t>FY27</t>
        </is>
      </c>
      <c r="B1661" s="6" t="inlineStr">
        <is>
          <t>Apr</t>
        </is>
      </c>
      <c r="C1661" s="6" t="inlineStr">
        <is>
          <t>TN</t>
        </is>
      </c>
      <c r="D1661" s="7" t="inlineStr">
        <is>
          <t>TN13F9734</t>
        </is>
      </c>
      <c r="E1661" s="7" t="inlineStr">
        <is>
          <t>DATSUN</t>
        </is>
      </c>
      <c r="F1661" s="7" t="inlineStr">
        <is>
          <t>Redi-GO</t>
        </is>
      </c>
      <c r="G1661" s="7" t="inlineStr">
        <is>
          <t>POPULAR VEHICLES</t>
        </is>
      </c>
      <c r="H1661" s="7" t="inlineStr">
        <is>
          <t>Non-Captive</t>
        </is>
      </c>
      <c r="I1661" s="7" t="inlineStr">
        <is>
          <t>Vijaya Cars</t>
        </is>
      </c>
      <c r="J1661" s="8" t="n">
        <v>2016</v>
      </c>
      <c r="K1661" s="9" t="n">
        <v>46412</v>
      </c>
      <c r="L1661" s="10" t="n">
        <v>160000</v>
      </c>
      <c r="M1661" s="10" t="n">
        <v>2542.37</v>
      </c>
      <c r="N1661" s="11">
        <f>IF(M1661="","",ROUND(M1661*1.18,2))</f>
        <v/>
      </c>
      <c r="O1661" s="12">
        <f>IF(M1661="","",ROUND(N1661-M1661,2))</f>
        <v/>
      </c>
      <c r="P1661" s="13">
        <f>IF(AND(A1661&lt;&gt;"",B1661&lt;&gt;""), A1661&amp;" · "&amp;B1661, "")</f>
        <v/>
      </c>
    </row>
    <row r="1662">
      <c r="A1662" s="6" t="inlineStr">
        <is>
          <t>FY27</t>
        </is>
      </c>
      <c r="B1662" s="6" t="inlineStr">
        <is>
          <t>Apr</t>
        </is>
      </c>
      <c r="C1662" s="6" t="inlineStr">
        <is>
          <t>TN</t>
        </is>
      </c>
      <c r="D1662" s="7" t="inlineStr">
        <is>
          <t>TN13W3935</t>
        </is>
      </c>
      <c r="E1662" s="7" t="inlineStr">
        <is>
          <t>MARUTI SUZUKI</t>
        </is>
      </c>
      <c r="F1662" s="7" t="inlineStr">
        <is>
          <t>Wagon R</t>
        </is>
      </c>
      <c r="G1662" s="7" t="inlineStr">
        <is>
          <t>AVIS INDIA</t>
        </is>
      </c>
      <c r="H1662" s="7" t="inlineStr">
        <is>
          <t>Non-Captive</t>
        </is>
      </c>
      <c r="I1662" s="7" t="inlineStr">
        <is>
          <t>KB Motor</t>
        </is>
      </c>
      <c r="J1662" s="8" t="n">
        <v>2021</v>
      </c>
      <c r="K1662" s="9" t="n">
        <v>51478</v>
      </c>
      <c r="L1662" s="10" t="n">
        <v>440000</v>
      </c>
      <c r="M1662" s="10" t="n">
        <v>8474.58</v>
      </c>
      <c r="N1662" s="11">
        <f>IF(M1662="","",ROUND(M1662*1.18,2))</f>
        <v/>
      </c>
      <c r="O1662" s="12">
        <f>IF(M1662="","",ROUND(N1662-M1662,2))</f>
        <v/>
      </c>
      <c r="P1662" s="13">
        <f>IF(AND(A1662&lt;&gt;"",B1662&lt;&gt;""), A1662&amp;" · "&amp;B1662, "")</f>
        <v/>
      </c>
    </row>
    <row r="1663">
      <c r="A1663" s="6" t="inlineStr">
        <is>
          <t>FY27</t>
        </is>
      </c>
      <c r="B1663" s="6" t="inlineStr">
        <is>
          <t>Apr</t>
        </is>
      </c>
      <c r="C1663" s="6" t="inlineStr">
        <is>
          <t>TN</t>
        </is>
      </c>
      <c r="D1663" s="7" t="inlineStr">
        <is>
          <t>TN144459</t>
        </is>
      </c>
      <c r="E1663" s="7" t="inlineStr">
        <is>
          <t>FORD</t>
        </is>
      </c>
      <c r="F1663" s="7" t="inlineStr">
        <is>
          <t>Figo</t>
        </is>
      </c>
      <c r="G1663" s="7" t="inlineStr">
        <is>
          <t>KHIVRAJ MOTOR</t>
        </is>
      </c>
      <c r="H1663" s="7" t="inlineStr">
        <is>
          <t>Non-Captive</t>
        </is>
      </c>
      <c r="I1663" s="7" t="inlineStr">
        <is>
          <t>AAA Cars</t>
        </is>
      </c>
      <c r="J1663" s="8" t="n">
        <v>2014</v>
      </c>
      <c r="K1663" s="9" t="n">
        <v>23280</v>
      </c>
      <c r="L1663" s="10" t="n">
        <v>164000</v>
      </c>
      <c r="M1663" s="10" t="n">
        <v>5084.75</v>
      </c>
      <c r="N1663" s="11">
        <f>IF(M1663="","",ROUND(M1663*1.18,2))</f>
        <v/>
      </c>
      <c r="O1663" s="12">
        <f>IF(M1663="","",ROUND(N1663-M1663,2))</f>
        <v/>
      </c>
      <c r="P1663" s="13">
        <f>IF(AND(A1663&lt;&gt;"",B1663&lt;&gt;""), A1663&amp;" · "&amp;B1663, "")</f>
        <v/>
      </c>
    </row>
    <row r="1664">
      <c r="A1664" s="6" t="inlineStr">
        <is>
          <t>FY27</t>
        </is>
      </c>
      <c r="B1664" s="6" t="inlineStr">
        <is>
          <t>Apr</t>
        </is>
      </c>
      <c r="C1664" s="6" t="inlineStr">
        <is>
          <t>TN</t>
        </is>
      </c>
      <c r="D1664" s="7" t="inlineStr">
        <is>
          <t>TN14F0029</t>
        </is>
      </c>
      <c r="E1664" s="7" t="inlineStr">
        <is>
          <t>MARUTI SUZUKI</t>
        </is>
      </c>
      <c r="F1664" s="7" t="inlineStr">
        <is>
          <t>Alto</t>
        </is>
      </c>
      <c r="G1664" s="7" t="inlineStr">
        <is>
          <t>ABT LIMITED</t>
        </is>
      </c>
      <c r="H1664" s="7" t="inlineStr">
        <is>
          <t>Non-Captive</t>
        </is>
      </c>
      <c r="I1664" s="7" t="inlineStr">
        <is>
          <t>Vijaya Cars</t>
        </is>
      </c>
      <c r="J1664" s="8" t="n">
        <v>2016</v>
      </c>
      <c r="K1664" s="9" t="n">
        <v>58148</v>
      </c>
      <c r="L1664" s="10" t="n">
        <v>150000</v>
      </c>
      <c r="M1664" s="10" t="n">
        <v>2542.37</v>
      </c>
      <c r="N1664" s="11">
        <f>IF(M1664="","",ROUND(M1664*1.18,2))</f>
        <v/>
      </c>
      <c r="O1664" s="12">
        <f>IF(M1664="","",ROUND(N1664-M1664,2))</f>
        <v/>
      </c>
      <c r="P1664" s="13">
        <f>IF(AND(A1664&lt;&gt;"",B1664&lt;&gt;""), A1664&amp;" · "&amp;B1664, "")</f>
        <v/>
      </c>
    </row>
    <row r="1665">
      <c r="A1665" s="6" t="inlineStr">
        <is>
          <t>FY27</t>
        </is>
      </c>
      <c r="B1665" s="6" t="inlineStr">
        <is>
          <t>Apr</t>
        </is>
      </c>
      <c r="C1665" s="6" t="inlineStr">
        <is>
          <t>TN</t>
        </is>
      </c>
      <c r="D1665" s="7" t="inlineStr">
        <is>
          <t>TN14F9004</t>
        </is>
      </c>
      <c r="E1665" s="7" t="inlineStr">
        <is>
          <t>MARUTI SUZUKI</t>
        </is>
      </c>
      <c r="F1665" s="7" t="inlineStr">
        <is>
          <t>Alto</t>
        </is>
      </c>
      <c r="G1665" s="7" t="inlineStr">
        <is>
          <t>VISHNU CARS PRIVATE LIMITED</t>
        </is>
      </c>
      <c r="H1665" s="7" t="inlineStr">
        <is>
          <t>Non-Captive</t>
        </is>
      </c>
      <c r="I1665" s="7" t="inlineStr">
        <is>
          <t>Vijaya Cars</t>
        </is>
      </c>
      <c r="J1665" s="8" t="n">
        <v>2016</v>
      </c>
      <c r="K1665" s="9" t="n">
        <v>94521</v>
      </c>
      <c r="L1665" s="10" t="n">
        <v>160000</v>
      </c>
      <c r="M1665" s="10" t="n">
        <v>2542.37</v>
      </c>
      <c r="N1665" s="11">
        <f>IF(M1665="","",ROUND(M1665*1.18,2))</f>
        <v/>
      </c>
      <c r="O1665" s="12">
        <f>IF(M1665="","",ROUND(N1665-M1665,2))</f>
        <v/>
      </c>
      <c r="P1665" s="13">
        <f>IF(AND(A1665&lt;&gt;"",B1665&lt;&gt;""), A1665&amp;" · "&amp;B1665, "")</f>
        <v/>
      </c>
    </row>
    <row r="1666">
      <c r="A1666" s="6" t="inlineStr">
        <is>
          <t>FY27</t>
        </is>
      </c>
      <c r="B1666" s="6" t="inlineStr">
        <is>
          <t>Apr</t>
        </is>
      </c>
      <c r="C1666" s="6" t="inlineStr">
        <is>
          <t>TN</t>
        </is>
      </c>
      <c r="D1666" s="7" t="inlineStr">
        <is>
          <t>TN14P3164</t>
        </is>
      </c>
      <c r="E1666" s="7" t="inlineStr">
        <is>
          <t>MARUTI SUZUKI</t>
        </is>
      </c>
      <c r="F1666" s="7" t="inlineStr">
        <is>
          <t>Dzire</t>
        </is>
      </c>
      <c r="G1666" s="7" t="inlineStr">
        <is>
          <t>KHIVRAJ MOTOR</t>
        </is>
      </c>
      <c r="H1666" s="7" t="inlineStr">
        <is>
          <t>Non-Captive</t>
        </is>
      </c>
      <c r="I1666" s="7" t="inlineStr">
        <is>
          <t>Ismail Cars</t>
        </is>
      </c>
      <c r="J1666" s="8" t="n">
        <v>2018</v>
      </c>
      <c r="K1666" s="9" t="n">
        <v>139828</v>
      </c>
      <c r="L1666" s="10" t="n">
        <v>452000</v>
      </c>
      <c r="M1666" s="10" t="n">
        <v>7627.12</v>
      </c>
      <c r="N1666" s="11">
        <f>IF(M1666="","",ROUND(M1666*1.18,2))</f>
        <v/>
      </c>
      <c r="O1666" s="12">
        <f>IF(M1666="","",ROUND(N1666-M1666,2))</f>
        <v/>
      </c>
      <c r="P1666" s="13">
        <f>IF(AND(A1666&lt;&gt;"",B1666&lt;&gt;""), A1666&amp;" · "&amp;B1666, "")</f>
        <v/>
      </c>
    </row>
    <row r="1667">
      <c r="A1667" s="6" t="inlineStr">
        <is>
          <t>FY27</t>
        </is>
      </c>
      <c r="B1667" s="6" t="inlineStr">
        <is>
          <t>Apr</t>
        </is>
      </c>
      <c r="C1667" s="6" t="inlineStr">
        <is>
          <t>TN</t>
        </is>
      </c>
      <c r="D1667" s="7" t="inlineStr">
        <is>
          <t>TN18AJ5270</t>
        </is>
      </c>
      <c r="E1667" s="7" t="inlineStr">
        <is>
          <t>MARUTI SUZUKI</t>
        </is>
      </c>
      <c r="F1667" s="7" t="inlineStr">
        <is>
          <t>Swift</t>
        </is>
      </c>
      <c r="G1667" s="7" t="inlineStr">
        <is>
          <t>CARS INDIA</t>
        </is>
      </c>
      <c r="H1667" s="7" t="inlineStr">
        <is>
          <t>Non-Captive</t>
        </is>
      </c>
      <c r="I1667" s="7" t="inlineStr">
        <is>
          <t>Santhosh Cars</t>
        </is>
      </c>
      <c r="J1667" s="8" t="n">
        <v>2016</v>
      </c>
      <c r="K1667" s="9" t="n">
        <v>39158</v>
      </c>
      <c r="L1667" s="10" t="n">
        <v>325000</v>
      </c>
      <c r="M1667" s="10" t="n">
        <v>6355.93</v>
      </c>
      <c r="N1667" s="11">
        <f>IF(M1667="","",ROUND(M1667*1.18,2))</f>
        <v/>
      </c>
      <c r="O1667" s="12">
        <f>IF(M1667="","",ROUND(N1667-M1667,2))</f>
        <v/>
      </c>
      <c r="P1667" s="13">
        <f>IF(AND(A1667&lt;&gt;"",B1667&lt;&gt;""), A1667&amp;" · "&amp;B1667, "")</f>
        <v/>
      </c>
    </row>
    <row r="1668">
      <c r="A1668" s="6" t="inlineStr">
        <is>
          <t>FY27</t>
        </is>
      </c>
      <c r="B1668" s="6" t="inlineStr">
        <is>
          <t>Apr</t>
        </is>
      </c>
      <c r="C1668" s="6" t="inlineStr">
        <is>
          <t>TN</t>
        </is>
      </c>
      <c r="D1668" s="7" t="inlineStr">
        <is>
          <t>TN18D8443</t>
        </is>
      </c>
      <c r="E1668" s="7" t="inlineStr">
        <is>
          <t>MARUTI SUZUKI</t>
        </is>
      </c>
      <c r="F1668" s="7" t="inlineStr">
        <is>
          <t>Wagon R</t>
        </is>
      </c>
      <c r="G1668" s="7" t="inlineStr">
        <is>
          <t>POPULAR VEHICLES</t>
        </is>
      </c>
      <c r="H1668" s="7" t="inlineStr">
        <is>
          <t>Non-Captive</t>
        </is>
      </c>
      <c r="I1668" s="7" t="inlineStr">
        <is>
          <t>KB Motor</t>
        </is>
      </c>
      <c r="J1668" s="8" t="n">
        <v>2010</v>
      </c>
      <c r="K1668" s="9" t="n">
        <v>123459</v>
      </c>
      <c r="L1668" s="10" t="n">
        <v>140000</v>
      </c>
      <c r="M1668" s="10" t="n">
        <v>2542.37</v>
      </c>
      <c r="N1668" s="11">
        <f>IF(M1668="","",ROUND(M1668*1.18,2))</f>
        <v/>
      </c>
      <c r="O1668" s="12">
        <f>IF(M1668="","",ROUND(N1668-M1668,2))</f>
        <v/>
      </c>
      <c r="P1668" s="13">
        <f>IF(AND(A1668&lt;&gt;"",B1668&lt;&gt;""), A1668&amp;" · "&amp;B1668, "")</f>
        <v/>
      </c>
    </row>
    <row r="1669">
      <c r="A1669" s="6" t="inlineStr">
        <is>
          <t>FY27</t>
        </is>
      </c>
      <c r="B1669" s="6" t="inlineStr">
        <is>
          <t>Apr</t>
        </is>
      </c>
      <c r="C1669" s="6" t="inlineStr">
        <is>
          <t>TN</t>
        </is>
      </c>
      <c r="D1669" s="7" t="inlineStr">
        <is>
          <t>TN18V9087</t>
        </is>
      </c>
      <c r="E1669" s="7" t="inlineStr">
        <is>
          <t>MARUTI SUZUKI</t>
        </is>
      </c>
      <c r="F1669" s="7" t="inlineStr">
        <is>
          <t>Ritz</t>
        </is>
      </c>
      <c r="G1669" s="7" t="inlineStr">
        <is>
          <t>ABT LIMITED</t>
        </is>
      </c>
      <c r="H1669" s="7" t="inlineStr">
        <is>
          <t>Non-Captive</t>
        </is>
      </c>
      <c r="I1669" s="7" t="inlineStr">
        <is>
          <t>KB Motor</t>
        </is>
      </c>
      <c r="J1669" s="8" t="n">
        <v>2013</v>
      </c>
      <c r="K1669" s="9" t="n">
        <v>9899</v>
      </c>
      <c r="L1669" s="10" t="n">
        <v>180000</v>
      </c>
      <c r="M1669" s="10" t="n">
        <v>2542.37</v>
      </c>
      <c r="N1669" s="11">
        <f>IF(M1669="","",ROUND(M1669*1.18,2))</f>
        <v/>
      </c>
      <c r="O1669" s="12">
        <f>IF(M1669="","",ROUND(N1669-M1669,2))</f>
        <v/>
      </c>
      <c r="P1669" s="13">
        <f>IF(AND(A1669&lt;&gt;"",B1669&lt;&gt;""), A1669&amp;" · "&amp;B1669, "")</f>
        <v/>
      </c>
    </row>
    <row r="1670">
      <c r="A1670" s="6" t="inlineStr">
        <is>
          <t>FY27</t>
        </is>
      </c>
      <c r="B1670" s="6" t="inlineStr">
        <is>
          <t>Apr</t>
        </is>
      </c>
      <c r="C1670" s="6" t="inlineStr">
        <is>
          <t>TN</t>
        </is>
      </c>
      <c r="D1670" s="7" t="inlineStr">
        <is>
          <t>TN18V9966</t>
        </is>
      </c>
      <c r="E1670" s="7" t="inlineStr">
        <is>
          <t>MARUTI SUZUKI</t>
        </is>
      </c>
      <c r="F1670" s="7" t="inlineStr">
        <is>
          <t>Alto</t>
        </is>
      </c>
      <c r="G1670" s="7" t="inlineStr">
        <is>
          <t>ABT LIMITED</t>
        </is>
      </c>
      <c r="H1670" s="7" t="inlineStr">
        <is>
          <t>Non-Captive</t>
        </is>
      </c>
      <c r="I1670" s="7" t="inlineStr">
        <is>
          <t>KB Motor</t>
        </is>
      </c>
      <c r="J1670" s="8" t="n">
        <v>2013</v>
      </c>
      <c r="K1670" s="9" t="n">
        <v>65452</v>
      </c>
      <c r="L1670" s="10" t="n">
        <v>155000</v>
      </c>
      <c r="M1670" s="10" t="n">
        <v>2542.37</v>
      </c>
      <c r="N1670" s="11">
        <f>IF(M1670="","",ROUND(M1670*1.18,2))</f>
        <v/>
      </c>
      <c r="O1670" s="12">
        <f>IF(M1670="","",ROUND(N1670-M1670,2))</f>
        <v/>
      </c>
      <c r="P1670" s="13">
        <f>IF(AND(A1670&lt;&gt;"",B1670&lt;&gt;""), A1670&amp;" · "&amp;B1670, "")</f>
        <v/>
      </c>
    </row>
    <row r="1671">
      <c r="A1671" s="6" t="inlineStr">
        <is>
          <t>FY27</t>
        </is>
      </c>
      <c r="B1671" s="6" t="inlineStr">
        <is>
          <t>Apr</t>
        </is>
      </c>
      <c r="C1671" s="6" t="inlineStr">
        <is>
          <t>TN</t>
        </is>
      </c>
      <c r="D1671" s="7" t="inlineStr">
        <is>
          <t>TN18X7278</t>
        </is>
      </c>
      <c r="E1671" s="7" t="inlineStr">
        <is>
          <t>MARUTI SUZUKI</t>
        </is>
      </c>
      <c r="F1671" s="7" t="inlineStr">
        <is>
          <t>Wagon R</t>
        </is>
      </c>
      <c r="G1671" s="7" t="inlineStr">
        <is>
          <t>EXCHANGE ROTN</t>
        </is>
      </c>
      <c r="H1671" s="7" t="inlineStr">
        <is>
          <t>Captive</t>
        </is>
      </c>
      <c r="I1671" s="7" t="inlineStr">
        <is>
          <t>Sivashankar Cars</t>
        </is>
      </c>
      <c r="J1671" s="8" t="n">
        <v>2012</v>
      </c>
      <c r="K1671" s="9" t="n">
        <v>145303</v>
      </c>
      <c r="L1671" s="10" t="n">
        <v>150000</v>
      </c>
      <c r="M1671" s="10" t="n">
        <v>8474.58</v>
      </c>
      <c r="N1671" s="11">
        <f>IF(M1671="","",ROUND(M1671*1.18,2))</f>
        <v/>
      </c>
      <c r="O1671" s="12">
        <f>IF(M1671="","",ROUND(N1671-M1671,2))</f>
        <v/>
      </c>
      <c r="P1671" s="13">
        <f>IF(AND(A1671&lt;&gt;"",B1671&lt;&gt;""), A1671&amp;" · "&amp;B1671, "")</f>
        <v/>
      </c>
    </row>
    <row r="1672">
      <c r="A1672" s="6" t="inlineStr">
        <is>
          <t>FY27</t>
        </is>
      </c>
      <c r="B1672" s="6" t="inlineStr">
        <is>
          <t>Apr</t>
        </is>
      </c>
      <c r="C1672" s="6" t="inlineStr">
        <is>
          <t>TN</t>
        </is>
      </c>
      <c r="D1672" s="7" t="inlineStr">
        <is>
          <t>TN19AC0806</t>
        </is>
      </c>
      <c r="E1672" s="7" t="inlineStr">
        <is>
          <t>MARUTI SUZUKI</t>
        </is>
      </c>
      <c r="F1672" s="7" t="inlineStr">
        <is>
          <t>Celerio</t>
        </is>
      </c>
      <c r="G1672" s="7" t="inlineStr">
        <is>
          <t>VISHNU CARS PRIVATE LIMITED</t>
        </is>
      </c>
      <c r="H1672" s="7" t="inlineStr">
        <is>
          <t>Non-Captive</t>
        </is>
      </c>
      <c r="I1672" s="7" t="inlineStr">
        <is>
          <t>KB Motor</t>
        </is>
      </c>
      <c r="J1672" s="8" t="n">
        <v>2016</v>
      </c>
      <c r="K1672" s="9" t="n">
        <v>121070</v>
      </c>
      <c r="L1672" s="10" t="n">
        <v>170000</v>
      </c>
      <c r="M1672" s="10" t="n">
        <v>2542.37</v>
      </c>
      <c r="N1672" s="11">
        <f>IF(M1672="","",ROUND(M1672*1.18,2))</f>
        <v/>
      </c>
      <c r="O1672" s="12">
        <f>IF(M1672="","",ROUND(N1672-M1672,2))</f>
        <v/>
      </c>
      <c r="P1672" s="13">
        <f>IF(AND(A1672&lt;&gt;"",B1672&lt;&gt;""), A1672&amp;" · "&amp;B1672, "")</f>
        <v/>
      </c>
    </row>
    <row r="1673">
      <c r="A1673" s="6" t="inlineStr">
        <is>
          <t>FY27</t>
        </is>
      </c>
      <c r="B1673" s="6" t="inlineStr">
        <is>
          <t>Apr</t>
        </is>
      </c>
      <c r="C1673" s="6" t="inlineStr">
        <is>
          <t>TN</t>
        </is>
      </c>
      <c r="D1673" s="7" t="inlineStr">
        <is>
          <t>TN19H8700</t>
        </is>
      </c>
      <c r="E1673" s="7" t="inlineStr">
        <is>
          <t>CHEVROLET</t>
        </is>
      </c>
      <c r="F1673" s="7" t="inlineStr">
        <is>
          <t>Beat</t>
        </is>
      </c>
      <c r="G1673" s="7" t="inlineStr">
        <is>
          <t>VISHNU CARS PRIVATE LIMITED</t>
        </is>
      </c>
      <c r="H1673" s="7" t="inlineStr">
        <is>
          <t>Non-Captive</t>
        </is>
      </c>
      <c r="I1673" s="7" t="inlineStr">
        <is>
          <t>Nirmal Cars</t>
        </is>
      </c>
      <c r="J1673" s="8" t="n">
        <v>2012</v>
      </c>
      <c r="K1673" s="9" t="n">
        <v>101416</v>
      </c>
      <c r="L1673" s="10" t="n">
        <v>150000</v>
      </c>
      <c r="M1673" s="10" t="n">
        <v>2542.37</v>
      </c>
      <c r="N1673" s="11">
        <f>IF(M1673="","",ROUND(M1673*1.18,2))</f>
        <v/>
      </c>
      <c r="O1673" s="12">
        <f>IF(M1673="","",ROUND(N1673-M1673,2))</f>
        <v/>
      </c>
      <c r="P1673" s="13">
        <f>IF(AND(A1673&lt;&gt;"",B1673&lt;&gt;""), A1673&amp;" · "&amp;B1673, "")</f>
        <v/>
      </c>
    </row>
    <row r="1674">
      <c r="A1674" s="6" t="inlineStr">
        <is>
          <t>FY27</t>
        </is>
      </c>
      <c r="B1674" s="6" t="inlineStr">
        <is>
          <t>Apr</t>
        </is>
      </c>
      <c r="C1674" s="6" t="inlineStr">
        <is>
          <t>TN</t>
        </is>
      </c>
      <c r="D1674" s="7" t="inlineStr">
        <is>
          <t>TN19L6450</t>
        </is>
      </c>
      <c r="E1674" s="7" t="inlineStr">
        <is>
          <t>MARUTI SUZUKI</t>
        </is>
      </c>
      <c r="F1674" s="7" t="inlineStr">
        <is>
          <t>Alto</t>
        </is>
      </c>
      <c r="G1674" s="7" t="inlineStr">
        <is>
          <t>VISHNU CARS PRIVATE LIMITED</t>
        </is>
      </c>
      <c r="H1674" s="7" t="inlineStr">
        <is>
          <t>Non-Captive</t>
        </is>
      </c>
      <c r="I1674" s="7" t="inlineStr">
        <is>
          <t>TSM</t>
        </is>
      </c>
      <c r="J1674" s="8" t="n">
        <v>2013</v>
      </c>
      <c r="K1674" s="9" t="n">
        <v>61207</v>
      </c>
      <c r="L1674" s="10" t="n">
        <v>180000</v>
      </c>
      <c r="M1674" s="10" t="n">
        <v>2542.37</v>
      </c>
      <c r="N1674" s="11">
        <f>IF(M1674="","",ROUND(M1674*1.18,2))</f>
        <v/>
      </c>
      <c r="O1674" s="12">
        <f>IF(M1674="","",ROUND(N1674-M1674,2))</f>
        <v/>
      </c>
      <c r="P1674" s="13">
        <f>IF(AND(A1674&lt;&gt;"",B1674&lt;&gt;""), A1674&amp;" · "&amp;B1674, "")</f>
        <v/>
      </c>
    </row>
    <row r="1675">
      <c r="A1675" s="6" t="inlineStr">
        <is>
          <t>FY27</t>
        </is>
      </c>
      <c r="B1675" s="6" t="inlineStr">
        <is>
          <t>Apr</t>
        </is>
      </c>
      <c r="C1675" s="6" t="inlineStr">
        <is>
          <t>TN</t>
        </is>
      </c>
      <c r="D1675" s="7" t="inlineStr">
        <is>
          <t>TN20AL4088</t>
        </is>
      </c>
      <c r="E1675" s="7" t="inlineStr">
        <is>
          <t>MARUTI SUZUKI</t>
        </is>
      </c>
      <c r="F1675" s="7" t="inlineStr">
        <is>
          <t>SX4</t>
        </is>
      </c>
      <c r="G1675" s="7" t="inlineStr">
        <is>
          <t>VISHNU CARS PRIVATE LIMITED</t>
        </is>
      </c>
      <c r="H1675" s="7" t="inlineStr">
        <is>
          <t>Non-Captive</t>
        </is>
      </c>
      <c r="I1675" s="7" t="inlineStr">
        <is>
          <t>TSM</t>
        </is>
      </c>
      <c r="J1675" s="8" t="n">
        <v>2008</v>
      </c>
      <c r="K1675" s="9" t="n">
        <v>98500</v>
      </c>
      <c r="L1675" s="10" t="n">
        <v>70000</v>
      </c>
      <c r="M1675" s="10" t="n">
        <v>2542.37</v>
      </c>
      <c r="N1675" s="11">
        <f>IF(M1675="","",ROUND(M1675*1.18,2))</f>
        <v/>
      </c>
      <c r="O1675" s="12">
        <f>IF(M1675="","",ROUND(N1675-M1675,2))</f>
        <v/>
      </c>
      <c r="P1675" s="13">
        <f>IF(AND(A1675&lt;&gt;"",B1675&lt;&gt;""), A1675&amp;" · "&amp;B1675, "")</f>
        <v/>
      </c>
    </row>
    <row r="1676">
      <c r="A1676" s="6" t="inlineStr">
        <is>
          <t>FY27</t>
        </is>
      </c>
      <c r="B1676" s="6" t="inlineStr">
        <is>
          <t>Apr</t>
        </is>
      </c>
      <c r="C1676" s="6" t="inlineStr">
        <is>
          <t>TN</t>
        </is>
      </c>
      <c r="D1676" s="7" t="inlineStr">
        <is>
          <t>TN20BK4928</t>
        </is>
      </c>
      <c r="E1676" s="7" t="inlineStr">
        <is>
          <t>MARUTI SUZUKI</t>
        </is>
      </c>
      <c r="F1676" s="7" t="inlineStr">
        <is>
          <t>Alto K10</t>
        </is>
      </c>
      <c r="G1676" s="7" t="inlineStr">
        <is>
          <t>ABT LIMITED</t>
        </is>
      </c>
      <c r="H1676" s="7" t="inlineStr">
        <is>
          <t>Non-Captive</t>
        </is>
      </c>
      <c r="I1676" s="7" t="inlineStr">
        <is>
          <t>Thiya Cars</t>
        </is>
      </c>
      <c r="J1676" s="8" t="n">
        <v>2012</v>
      </c>
      <c r="K1676" s="9" t="n">
        <v>31283</v>
      </c>
      <c r="L1676" s="10" t="n">
        <v>160000</v>
      </c>
      <c r="M1676" s="10" t="n">
        <v>2542.37</v>
      </c>
      <c r="N1676" s="11">
        <f>IF(M1676="","",ROUND(M1676*1.18,2))</f>
        <v/>
      </c>
      <c r="O1676" s="12">
        <f>IF(M1676="","",ROUND(N1676-M1676,2))</f>
        <v/>
      </c>
      <c r="P1676" s="13">
        <f>IF(AND(A1676&lt;&gt;"",B1676&lt;&gt;""), A1676&amp;" · "&amp;B1676, "")</f>
        <v/>
      </c>
    </row>
    <row r="1677">
      <c r="A1677" s="6" t="inlineStr">
        <is>
          <t>FY27</t>
        </is>
      </c>
      <c r="B1677" s="6" t="inlineStr">
        <is>
          <t>Apr</t>
        </is>
      </c>
      <c r="C1677" s="6" t="inlineStr">
        <is>
          <t>TN</t>
        </is>
      </c>
      <c r="D1677" s="7" t="inlineStr">
        <is>
          <t>TN20BS3926</t>
        </is>
      </c>
      <c r="E1677" s="7" t="inlineStr">
        <is>
          <t>MARUTI SUZUKI</t>
        </is>
      </c>
      <c r="F1677" s="7" t="inlineStr">
        <is>
          <t>Wagon R</t>
        </is>
      </c>
      <c r="G1677" s="7" t="inlineStr">
        <is>
          <t>ABT LIMITED</t>
        </is>
      </c>
      <c r="H1677" s="7" t="inlineStr">
        <is>
          <t>Non-Captive</t>
        </is>
      </c>
      <c r="I1677" s="7" t="inlineStr">
        <is>
          <t>Thiya Cars</t>
        </is>
      </c>
      <c r="J1677" s="8" t="n">
        <v>2010</v>
      </c>
      <c r="K1677" s="9" t="n">
        <v>35070</v>
      </c>
      <c r="L1677" s="10" t="n">
        <v>100000</v>
      </c>
      <c r="M1677" s="10" t="n">
        <v>2542.37</v>
      </c>
      <c r="N1677" s="11">
        <f>IF(M1677="","",ROUND(M1677*1.18,2))</f>
        <v/>
      </c>
      <c r="O1677" s="12">
        <f>IF(M1677="","",ROUND(N1677-M1677,2))</f>
        <v/>
      </c>
      <c r="P1677" s="13">
        <f>IF(AND(A1677&lt;&gt;"",B1677&lt;&gt;""), A1677&amp;" · "&amp;B1677, "")</f>
        <v/>
      </c>
    </row>
    <row r="1678">
      <c r="A1678" s="6" t="inlineStr">
        <is>
          <t>FY27</t>
        </is>
      </c>
      <c r="B1678" s="6" t="inlineStr">
        <is>
          <t>Apr</t>
        </is>
      </c>
      <c r="C1678" s="6" t="inlineStr">
        <is>
          <t>TN</t>
        </is>
      </c>
      <c r="D1678" s="7" t="inlineStr">
        <is>
          <t>TN20CC4801</t>
        </is>
      </c>
      <c r="E1678" s="7" t="inlineStr">
        <is>
          <t>MARUTI SUZUKI</t>
        </is>
      </c>
      <c r="F1678" s="7" t="inlineStr">
        <is>
          <t>Omni</t>
        </is>
      </c>
      <c r="G1678" s="7" t="inlineStr">
        <is>
          <t>POPULAR VEHICLES</t>
        </is>
      </c>
      <c r="H1678" s="7" t="inlineStr">
        <is>
          <t>Non-Captive</t>
        </is>
      </c>
      <c r="I1678" s="7" t="inlineStr">
        <is>
          <t>S2 Cars</t>
        </is>
      </c>
      <c r="J1678" s="8" t="n">
        <v>2013</v>
      </c>
      <c r="K1678" s="9" t="n">
        <v>63804</v>
      </c>
      <c r="L1678" s="10" t="n">
        <v>180000</v>
      </c>
      <c r="M1678" s="10" t="n">
        <v>2542.37</v>
      </c>
      <c r="N1678" s="11">
        <f>IF(M1678="","",ROUND(M1678*1.18,2))</f>
        <v/>
      </c>
      <c r="O1678" s="12">
        <f>IF(M1678="","",ROUND(N1678-M1678,2))</f>
        <v/>
      </c>
      <c r="P1678" s="13">
        <f>IF(AND(A1678&lt;&gt;"",B1678&lt;&gt;""), A1678&amp;" · "&amp;B1678, "")</f>
        <v/>
      </c>
    </row>
    <row r="1679">
      <c r="A1679" s="6" t="inlineStr">
        <is>
          <t>FY27</t>
        </is>
      </c>
      <c r="B1679" s="6" t="inlineStr">
        <is>
          <t>Apr</t>
        </is>
      </c>
      <c r="C1679" s="6" t="inlineStr">
        <is>
          <t>TN</t>
        </is>
      </c>
      <c r="D1679" s="7" t="inlineStr">
        <is>
          <t>TN22BF1723</t>
        </is>
      </c>
      <c r="E1679" s="7" t="inlineStr">
        <is>
          <t>MARUTI SUZUKI</t>
        </is>
      </c>
      <c r="F1679" s="7" t="inlineStr">
        <is>
          <t>Ritz</t>
        </is>
      </c>
      <c r="G1679" s="7" t="inlineStr">
        <is>
          <t>VISHNU CARS PRIVATE LIMITED</t>
        </is>
      </c>
      <c r="H1679" s="7" t="inlineStr">
        <is>
          <t>Non-Captive</t>
        </is>
      </c>
      <c r="I1679" s="7" t="inlineStr">
        <is>
          <t>S2 Cars</t>
        </is>
      </c>
      <c r="J1679" s="8" t="n">
        <v>2009</v>
      </c>
      <c r="K1679" s="9" t="n">
        <v>99999</v>
      </c>
      <c r="L1679" s="10" t="n">
        <v>90000</v>
      </c>
      <c r="M1679" s="10" t="n">
        <v>2542.37</v>
      </c>
      <c r="N1679" s="11">
        <f>IF(M1679="","",ROUND(M1679*1.18,2))</f>
        <v/>
      </c>
      <c r="O1679" s="12">
        <f>IF(M1679="","",ROUND(N1679-M1679,2))</f>
        <v/>
      </c>
      <c r="P1679" s="13">
        <f>IF(AND(A1679&lt;&gt;"",B1679&lt;&gt;""), A1679&amp;" · "&amp;B1679, "")</f>
        <v/>
      </c>
    </row>
    <row r="1680">
      <c r="A1680" s="6" t="inlineStr">
        <is>
          <t>FY27</t>
        </is>
      </c>
      <c r="B1680" s="6" t="inlineStr">
        <is>
          <t>Apr</t>
        </is>
      </c>
      <c r="C1680" s="6" t="inlineStr">
        <is>
          <t>TN</t>
        </is>
      </c>
      <c r="D1680" s="7" t="inlineStr">
        <is>
          <t>TN22BH0270</t>
        </is>
      </c>
      <c r="E1680" s="7" t="inlineStr">
        <is>
          <t>MARUTI SUZUKI</t>
        </is>
      </c>
      <c r="F1680" s="7" t="inlineStr">
        <is>
          <t>Wagon R</t>
        </is>
      </c>
      <c r="G1680" s="7" t="inlineStr">
        <is>
          <t>VISHNU CARS PRIVATE LIMITED</t>
        </is>
      </c>
      <c r="H1680" s="7" t="inlineStr">
        <is>
          <t>Non-Captive</t>
        </is>
      </c>
      <c r="I1680" s="7" t="inlineStr">
        <is>
          <t>S2 Cars</t>
        </is>
      </c>
      <c r="J1680" s="8" t="n">
        <v>2009</v>
      </c>
      <c r="K1680" s="9" t="n">
        <v>114554</v>
      </c>
      <c r="L1680" s="10" t="n">
        <v>130000</v>
      </c>
      <c r="M1680" s="10" t="n">
        <v>2542.37</v>
      </c>
      <c r="N1680" s="11">
        <f>IF(M1680="","",ROUND(M1680*1.18,2))</f>
        <v/>
      </c>
      <c r="O1680" s="12">
        <f>IF(M1680="","",ROUND(N1680-M1680,2))</f>
        <v/>
      </c>
      <c r="P1680" s="13">
        <f>IF(AND(A1680&lt;&gt;"",B1680&lt;&gt;""), A1680&amp;" · "&amp;B1680, "")</f>
        <v/>
      </c>
    </row>
    <row r="1681">
      <c r="A1681" s="6" t="inlineStr">
        <is>
          <t>FY27</t>
        </is>
      </c>
      <c r="B1681" s="6" t="inlineStr">
        <is>
          <t>Apr</t>
        </is>
      </c>
      <c r="C1681" s="6" t="inlineStr">
        <is>
          <t>TN</t>
        </is>
      </c>
      <c r="D1681" s="7" t="inlineStr">
        <is>
          <t>TN22BR1136</t>
        </is>
      </c>
      <c r="E1681" s="7" t="inlineStr">
        <is>
          <t>MARUTI SUZUKI</t>
        </is>
      </c>
      <c r="F1681" s="7" t="inlineStr">
        <is>
          <t>Ritz</t>
        </is>
      </c>
      <c r="G1681" s="7" t="inlineStr">
        <is>
          <t>VISHNU CARS PRIVATE LIMITED</t>
        </is>
      </c>
      <c r="H1681" s="7" t="inlineStr">
        <is>
          <t>Non-Captive</t>
        </is>
      </c>
      <c r="I1681" s="7" t="inlineStr">
        <is>
          <t>Senthil Cars</t>
        </is>
      </c>
      <c r="J1681" s="8" t="n">
        <v>2010</v>
      </c>
      <c r="K1681" s="9" t="n">
        <v>20935</v>
      </c>
      <c r="L1681" s="10" t="n">
        <v>200000</v>
      </c>
      <c r="M1681" s="10" t="n">
        <v>3389.83</v>
      </c>
      <c r="N1681" s="11">
        <f>IF(M1681="","",ROUND(M1681*1.18,2))</f>
        <v/>
      </c>
      <c r="O1681" s="12">
        <f>IF(M1681="","",ROUND(N1681-M1681,2))</f>
        <v/>
      </c>
      <c r="P1681" s="13">
        <f>IF(AND(A1681&lt;&gt;"",B1681&lt;&gt;""), A1681&amp;" · "&amp;B1681, "")</f>
        <v/>
      </c>
    </row>
    <row r="1682">
      <c r="A1682" s="6" t="inlineStr">
        <is>
          <t>FY27</t>
        </is>
      </c>
      <c r="B1682" s="6" t="inlineStr">
        <is>
          <t>Apr</t>
        </is>
      </c>
      <c r="C1682" s="6" t="inlineStr">
        <is>
          <t>TN</t>
        </is>
      </c>
      <c r="D1682" s="7" t="inlineStr">
        <is>
          <t>TN22BR3765</t>
        </is>
      </c>
      <c r="E1682" s="7" t="inlineStr">
        <is>
          <t>HYUNDAI</t>
        </is>
      </c>
      <c r="F1682" s="7" t="inlineStr">
        <is>
          <t>i20</t>
        </is>
      </c>
      <c r="G1682" s="7" t="inlineStr">
        <is>
          <t>POPULAR VEHICLES</t>
        </is>
      </c>
      <c r="H1682" s="7" t="inlineStr">
        <is>
          <t>Non-Captive</t>
        </is>
      </c>
      <c r="I1682" s="7" t="inlineStr">
        <is>
          <t>Senthil Cars</t>
        </is>
      </c>
      <c r="J1682" s="8" t="n">
        <v>2010</v>
      </c>
      <c r="K1682" s="9" t="n">
        <v>150716</v>
      </c>
      <c r="L1682" s="10" t="n">
        <v>200000</v>
      </c>
      <c r="M1682" s="10" t="n">
        <v>2542.37</v>
      </c>
      <c r="N1682" s="11">
        <f>IF(M1682="","",ROUND(M1682*1.18,2))</f>
        <v/>
      </c>
      <c r="O1682" s="12">
        <f>IF(M1682="","",ROUND(N1682-M1682,2))</f>
        <v/>
      </c>
      <c r="P1682" s="13">
        <f>IF(AND(A1682&lt;&gt;"",B1682&lt;&gt;""), A1682&amp;" · "&amp;B1682, "")</f>
        <v/>
      </c>
    </row>
    <row r="1683">
      <c r="A1683" s="6" t="inlineStr">
        <is>
          <t>FY27</t>
        </is>
      </c>
      <c r="B1683" s="6" t="inlineStr">
        <is>
          <t>Apr</t>
        </is>
      </c>
      <c r="C1683" s="6" t="inlineStr">
        <is>
          <t>TN</t>
        </is>
      </c>
      <c r="D1683" s="7" t="inlineStr">
        <is>
          <t>TN22BS1810</t>
        </is>
      </c>
      <c r="E1683" s="7" t="inlineStr">
        <is>
          <t>FIAT</t>
        </is>
      </c>
      <c r="F1683" s="7" t="inlineStr">
        <is>
          <t>Linea</t>
        </is>
      </c>
      <c r="G1683" s="7" t="inlineStr">
        <is>
          <t>VISHNU CARS PRIVATE LIMITED</t>
        </is>
      </c>
      <c r="H1683" s="7" t="inlineStr">
        <is>
          <t>Non-Captive</t>
        </is>
      </c>
      <c r="I1683" s="7" t="inlineStr">
        <is>
          <t>Cars24</t>
        </is>
      </c>
      <c r="J1683" s="8" t="n">
        <v>2010</v>
      </c>
      <c r="K1683" s="9" t="n">
        <v>103075</v>
      </c>
      <c r="L1683" s="10" t="n">
        <v>50000</v>
      </c>
      <c r="M1683" s="10" t="n">
        <v>4237.29</v>
      </c>
      <c r="N1683" s="11">
        <f>IF(M1683="","",ROUND(M1683*1.18,2))</f>
        <v/>
      </c>
      <c r="O1683" s="12">
        <f>IF(M1683="","",ROUND(N1683-M1683,2))</f>
        <v/>
      </c>
      <c r="P1683" s="13">
        <f>IF(AND(A1683&lt;&gt;"",B1683&lt;&gt;""), A1683&amp;" · "&amp;B1683, "")</f>
        <v/>
      </c>
    </row>
    <row r="1684">
      <c r="A1684" s="6" t="inlineStr">
        <is>
          <t>FY27</t>
        </is>
      </c>
      <c r="B1684" s="6" t="inlineStr">
        <is>
          <t>Apr</t>
        </is>
      </c>
      <c r="C1684" s="6" t="inlineStr">
        <is>
          <t>TN</t>
        </is>
      </c>
      <c r="D1684" s="7" t="inlineStr">
        <is>
          <t>TN22CK8887</t>
        </is>
      </c>
      <c r="E1684" s="7" t="inlineStr">
        <is>
          <t>HONDA</t>
        </is>
      </c>
      <c r="F1684" s="7" t="inlineStr">
        <is>
          <t>Amaze</t>
        </is>
      </c>
      <c r="G1684" s="7" t="inlineStr">
        <is>
          <t>EXCHANGE CHENNAI</t>
        </is>
      </c>
      <c r="H1684" s="7" t="inlineStr">
        <is>
          <t>Captive</t>
        </is>
      </c>
      <c r="I1684" s="7" t="inlineStr">
        <is>
          <t>Santhosh Cars</t>
        </is>
      </c>
      <c r="J1684" s="8" t="n">
        <v>2013</v>
      </c>
      <c r="K1684" s="9" t="n">
        <v>59673</v>
      </c>
      <c r="L1684" s="10" t="n">
        <v>270000</v>
      </c>
      <c r="M1684" s="10" t="n">
        <v>8474.58</v>
      </c>
      <c r="N1684" s="11">
        <f>IF(M1684="","",ROUND(M1684*1.18,2))</f>
        <v/>
      </c>
      <c r="O1684" s="12">
        <f>IF(M1684="","",ROUND(N1684-M1684,2))</f>
        <v/>
      </c>
      <c r="P1684" s="13">
        <f>IF(AND(A1684&lt;&gt;"",B1684&lt;&gt;""), A1684&amp;" · "&amp;B1684, "")</f>
        <v/>
      </c>
    </row>
    <row r="1685">
      <c r="A1685" s="6" t="inlineStr">
        <is>
          <t>FY27</t>
        </is>
      </c>
      <c r="B1685" s="6" t="inlineStr">
        <is>
          <t>Apr</t>
        </is>
      </c>
      <c r="C1685" s="6" t="inlineStr">
        <is>
          <t>TN</t>
        </is>
      </c>
      <c r="D1685" s="7" t="inlineStr">
        <is>
          <t>TN22CP7779</t>
        </is>
      </c>
      <c r="E1685" s="7" t="inlineStr">
        <is>
          <t>FIAT</t>
        </is>
      </c>
      <c r="F1685" s="7" t="inlineStr">
        <is>
          <t>Grand Punto</t>
        </is>
      </c>
      <c r="G1685" s="7" t="inlineStr">
        <is>
          <t>VISHNU CARS PRIVATE LIMITED</t>
        </is>
      </c>
      <c r="H1685" s="7" t="inlineStr">
        <is>
          <t>Non-Captive</t>
        </is>
      </c>
      <c r="I1685" s="7" t="inlineStr">
        <is>
          <t>Cars24</t>
        </is>
      </c>
      <c r="J1685" s="8" t="n">
        <v>2014</v>
      </c>
      <c r="K1685" s="9" t="n">
        <v>99999</v>
      </c>
      <c r="L1685" s="10" t="n">
        <v>90000</v>
      </c>
      <c r="M1685" s="10" t="n">
        <v>4237.29</v>
      </c>
      <c r="N1685" s="11">
        <f>IF(M1685="","",ROUND(M1685*1.18,2))</f>
        <v/>
      </c>
      <c r="O1685" s="12">
        <f>IF(M1685="","",ROUND(N1685-M1685,2))</f>
        <v/>
      </c>
      <c r="P1685" s="13">
        <f>IF(AND(A1685&lt;&gt;"",B1685&lt;&gt;""), A1685&amp;" · "&amp;B1685, "")</f>
        <v/>
      </c>
    </row>
    <row r="1686">
      <c r="A1686" s="6" t="inlineStr">
        <is>
          <t>FY27</t>
        </is>
      </c>
      <c r="B1686" s="6" t="inlineStr">
        <is>
          <t>Apr</t>
        </is>
      </c>
      <c r="C1686" s="6" t="inlineStr">
        <is>
          <t>TN</t>
        </is>
      </c>
      <c r="D1686" s="7" t="inlineStr">
        <is>
          <t>TN22CU1198</t>
        </is>
      </c>
      <c r="E1686" s="7" t="inlineStr">
        <is>
          <t>MARUTI SUZUKI</t>
        </is>
      </c>
      <c r="F1686" s="7" t="inlineStr">
        <is>
          <t>Alto</t>
        </is>
      </c>
      <c r="G1686" s="7" t="inlineStr">
        <is>
          <t>VISHNU CARS PRIVATE LIMITED</t>
        </is>
      </c>
      <c r="H1686" s="7" t="inlineStr">
        <is>
          <t>Non-Captive</t>
        </is>
      </c>
      <c r="I1686" s="7" t="inlineStr">
        <is>
          <t>Essar Preowned Cars</t>
        </is>
      </c>
      <c r="J1686" s="8" t="n">
        <v>2011</v>
      </c>
      <c r="K1686" s="9" t="n">
        <v>52602</v>
      </c>
      <c r="L1686" s="10" t="n">
        <v>111000</v>
      </c>
      <c r="M1686" s="10" t="n">
        <v>2542.37</v>
      </c>
      <c r="N1686" s="11">
        <f>IF(M1686="","",ROUND(M1686*1.18,2))</f>
        <v/>
      </c>
      <c r="O1686" s="12">
        <f>IF(M1686="","",ROUND(N1686-M1686,2))</f>
        <v/>
      </c>
      <c r="P1686" s="13">
        <f>IF(AND(A1686&lt;&gt;"",B1686&lt;&gt;""), A1686&amp;" · "&amp;B1686, "")</f>
        <v/>
      </c>
    </row>
    <row r="1687">
      <c r="A1687" s="6" t="inlineStr">
        <is>
          <t>FY27</t>
        </is>
      </c>
      <c r="B1687" s="6" t="inlineStr">
        <is>
          <t>Apr</t>
        </is>
      </c>
      <c r="C1687" s="6" t="inlineStr">
        <is>
          <t>TN</t>
        </is>
      </c>
      <c r="D1687" s="7" t="inlineStr">
        <is>
          <t>TN22CW4901</t>
        </is>
      </c>
      <c r="E1687" s="7" t="inlineStr">
        <is>
          <t>MARUTI SUZUKI</t>
        </is>
      </c>
      <c r="F1687" s="7" t="inlineStr">
        <is>
          <t>Swift</t>
        </is>
      </c>
      <c r="G1687" s="7" t="inlineStr">
        <is>
          <t>VISHNU CARS PRIVATE LIMITED</t>
        </is>
      </c>
      <c r="H1687" s="7" t="inlineStr">
        <is>
          <t>Non-Captive</t>
        </is>
      </c>
      <c r="I1687" s="7" t="inlineStr">
        <is>
          <t>Essar Preowned Cars</t>
        </is>
      </c>
      <c r="J1687" s="8" t="n">
        <v>2011</v>
      </c>
      <c r="K1687" s="9" t="n">
        <v>181773</v>
      </c>
      <c r="L1687" s="10" t="n">
        <v>170000</v>
      </c>
      <c r="M1687" s="10" t="n">
        <v>2542.37</v>
      </c>
      <c r="N1687" s="11">
        <f>IF(M1687="","",ROUND(M1687*1.18,2))</f>
        <v/>
      </c>
      <c r="O1687" s="12">
        <f>IF(M1687="","",ROUND(N1687-M1687,2))</f>
        <v/>
      </c>
      <c r="P1687" s="13">
        <f>IF(AND(A1687&lt;&gt;"",B1687&lt;&gt;""), A1687&amp;" · "&amp;B1687, "")</f>
        <v/>
      </c>
    </row>
    <row r="1688">
      <c r="A1688" s="6" t="inlineStr">
        <is>
          <t>FY27</t>
        </is>
      </c>
      <c r="B1688" s="6" t="inlineStr">
        <is>
          <t>Apr</t>
        </is>
      </c>
      <c r="C1688" s="6" t="inlineStr">
        <is>
          <t>TN</t>
        </is>
      </c>
      <c r="D1688" s="7" t="inlineStr">
        <is>
          <t>TN22CX4701</t>
        </is>
      </c>
      <c r="E1688" s="7" t="inlineStr">
        <is>
          <t>MARUTI SUZUKI</t>
        </is>
      </c>
      <c r="F1688" s="7" t="inlineStr">
        <is>
          <t>Ritz</t>
        </is>
      </c>
      <c r="G1688" s="7" t="inlineStr">
        <is>
          <t>AIE CARS PRIVATE LIMITED</t>
        </is>
      </c>
      <c r="H1688" s="7" t="inlineStr">
        <is>
          <t>Non-Captive</t>
        </is>
      </c>
      <c r="I1688" s="7" t="inlineStr">
        <is>
          <t>KB Motor</t>
        </is>
      </c>
      <c r="J1688" s="8" t="n">
        <v>2011</v>
      </c>
      <c r="K1688" s="9" t="n">
        <v>149823</v>
      </c>
      <c r="L1688" s="10" t="n">
        <v>87000</v>
      </c>
      <c r="M1688" s="10" t="n">
        <v>4237.29</v>
      </c>
      <c r="N1688" s="11">
        <f>IF(M1688="","",ROUND(M1688*1.18,2))</f>
        <v/>
      </c>
      <c r="O1688" s="12">
        <f>IF(M1688="","",ROUND(N1688-M1688,2))</f>
        <v/>
      </c>
      <c r="P1688" s="13">
        <f>IF(AND(A1688&lt;&gt;"",B1688&lt;&gt;""), A1688&amp;" · "&amp;B1688, "")</f>
        <v/>
      </c>
    </row>
    <row r="1689">
      <c r="A1689" s="6" t="inlineStr">
        <is>
          <t>FY27</t>
        </is>
      </c>
      <c r="B1689" s="6" t="inlineStr">
        <is>
          <t>Apr</t>
        </is>
      </c>
      <c r="C1689" s="6" t="inlineStr">
        <is>
          <t>TN</t>
        </is>
      </c>
      <c r="D1689" s="7" t="inlineStr">
        <is>
          <t>TN22CY1057</t>
        </is>
      </c>
      <c r="E1689" s="7" t="inlineStr">
        <is>
          <t>HONDA</t>
        </is>
      </c>
      <c r="F1689" s="7" t="inlineStr">
        <is>
          <t>City</t>
        </is>
      </c>
      <c r="G1689" s="7" t="inlineStr">
        <is>
          <t>EXCHANGE CHENNAI</t>
        </is>
      </c>
      <c r="H1689" s="7" t="inlineStr">
        <is>
          <t>Captive</t>
        </is>
      </c>
      <c r="I1689" s="7" t="inlineStr">
        <is>
          <t>Santhosh Cars</t>
        </is>
      </c>
      <c r="J1689" s="8" t="n">
        <v>2011</v>
      </c>
      <c r="K1689" s="9" t="n">
        <v>36303</v>
      </c>
      <c r="L1689" s="10" t="n">
        <v>150000</v>
      </c>
      <c r="M1689" s="10" t="n">
        <v>8474.58</v>
      </c>
      <c r="N1689" s="11">
        <f>IF(M1689="","",ROUND(M1689*1.18,2))</f>
        <v/>
      </c>
      <c r="O1689" s="12">
        <f>IF(M1689="","",ROUND(N1689-M1689,2))</f>
        <v/>
      </c>
      <c r="P1689" s="13">
        <f>IF(AND(A1689&lt;&gt;"",B1689&lt;&gt;""), A1689&amp;" · "&amp;B1689, "")</f>
        <v/>
      </c>
    </row>
    <row r="1690">
      <c r="A1690" s="6" t="inlineStr">
        <is>
          <t>FY27</t>
        </is>
      </c>
      <c r="B1690" s="6" t="inlineStr">
        <is>
          <t>Apr</t>
        </is>
      </c>
      <c r="C1690" s="6" t="inlineStr">
        <is>
          <t>TN</t>
        </is>
      </c>
      <c r="D1690" s="7" t="inlineStr">
        <is>
          <t>TN22CY3683</t>
        </is>
      </c>
      <c r="E1690" s="7" t="inlineStr">
        <is>
          <t>MARUTI SUZUKI</t>
        </is>
      </c>
      <c r="F1690" s="7" t="inlineStr">
        <is>
          <t>Alto</t>
        </is>
      </c>
      <c r="G1690" s="7" t="inlineStr">
        <is>
          <t>CARS INDIA</t>
        </is>
      </c>
      <c r="H1690" s="7" t="inlineStr">
        <is>
          <t>Non-Captive</t>
        </is>
      </c>
      <c r="I1690" s="7" t="inlineStr">
        <is>
          <t>KB Motor</t>
        </is>
      </c>
      <c r="J1690" s="8" t="n">
        <v>2011</v>
      </c>
      <c r="K1690" s="9" t="n">
        <v>77085</v>
      </c>
      <c r="L1690" s="10" t="n">
        <v>98000</v>
      </c>
      <c r="M1690" s="10" t="n">
        <v>4237.29</v>
      </c>
      <c r="N1690" s="11">
        <f>IF(M1690="","",ROUND(M1690*1.18,2))</f>
        <v/>
      </c>
      <c r="O1690" s="12">
        <f>IF(M1690="","",ROUND(N1690-M1690,2))</f>
        <v/>
      </c>
      <c r="P1690" s="13">
        <f>IF(AND(A1690&lt;&gt;"",B1690&lt;&gt;""), A1690&amp;" · "&amp;B1690, "")</f>
        <v/>
      </c>
    </row>
    <row r="1691">
      <c r="A1691" s="6" t="inlineStr">
        <is>
          <t>FY27</t>
        </is>
      </c>
      <c r="B1691" s="6" t="inlineStr">
        <is>
          <t>Apr</t>
        </is>
      </c>
      <c r="C1691" s="6" t="inlineStr">
        <is>
          <t>TN</t>
        </is>
      </c>
      <c r="D1691" s="7" t="inlineStr">
        <is>
          <t>TN22CY7916</t>
        </is>
      </c>
      <c r="E1691" s="7" t="inlineStr">
        <is>
          <t>HONDA</t>
        </is>
      </c>
      <c r="F1691" s="7" t="inlineStr">
        <is>
          <t>&lt;NA&gt;</t>
        </is>
      </c>
      <c r="G1691" s="7" t="inlineStr">
        <is>
          <t>EXCHANGE ROTN</t>
        </is>
      </c>
      <c r="H1691" s="7" t="inlineStr">
        <is>
          <t>Captive</t>
        </is>
      </c>
      <c r="I1691" s="7" t="inlineStr">
        <is>
          <t>KSM Auto Consulting</t>
        </is>
      </c>
      <c r="J1691" s="8" t="n">
        <v>2011</v>
      </c>
      <c r="K1691" s="9" t="n">
        <v>53649</v>
      </c>
      <c r="L1691" s="10" t="n">
        <v>160000</v>
      </c>
      <c r="M1691" s="10" t="n">
        <v>8474.58</v>
      </c>
      <c r="N1691" s="11">
        <f>IF(M1691="","",ROUND(M1691*1.18,2))</f>
        <v/>
      </c>
      <c r="O1691" s="12">
        <f>IF(M1691="","",ROUND(N1691-M1691,2))</f>
        <v/>
      </c>
      <c r="P1691" s="13">
        <f>IF(AND(A1691&lt;&gt;"",B1691&lt;&gt;""), A1691&amp;" · "&amp;B1691, "")</f>
        <v/>
      </c>
    </row>
    <row r="1692">
      <c r="A1692" s="6" t="inlineStr">
        <is>
          <t>FY27</t>
        </is>
      </c>
      <c r="B1692" s="6" t="inlineStr">
        <is>
          <t>Apr</t>
        </is>
      </c>
      <c r="C1692" s="6" t="inlineStr">
        <is>
          <t>TN</t>
        </is>
      </c>
      <c r="D1692" s="7" t="inlineStr">
        <is>
          <t>TN22CY9522</t>
        </is>
      </c>
      <c r="E1692" s="7" t="inlineStr">
        <is>
          <t>HYUNDAI</t>
        </is>
      </c>
      <c r="F1692" s="7" t="inlineStr">
        <is>
          <t>i20</t>
        </is>
      </c>
      <c r="G1692" s="7" t="inlineStr">
        <is>
          <t>POPULAR VEHICLES</t>
        </is>
      </c>
      <c r="H1692" s="7" t="inlineStr">
        <is>
          <t>Non-Captive</t>
        </is>
      </c>
      <c r="I1692" s="7" t="inlineStr">
        <is>
          <t>Essar Preowned Cars</t>
        </is>
      </c>
      <c r="J1692" s="8" t="n">
        <v>2011</v>
      </c>
      <c r="K1692" s="9" t="n">
        <v>105101</v>
      </c>
      <c r="L1692" s="10" t="n">
        <v>200000</v>
      </c>
      <c r="M1692" s="10" t="n">
        <v>2542.37</v>
      </c>
      <c r="N1692" s="11">
        <f>IF(M1692="","",ROUND(M1692*1.18,2))</f>
        <v/>
      </c>
      <c r="O1692" s="12">
        <f>IF(M1692="","",ROUND(N1692-M1692,2))</f>
        <v/>
      </c>
      <c r="P1692" s="13">
        <f>IF(AND(A1692&lt;&gt;"",B1692&lt;&gt;""), A1692&amp;" · "&amp;B1692, "")</f>
        <v/>
      </c>
    </row>
    <row r="1693">
      <c r="A1693" s="6" t="inlineStr">
        <is>
          <t>FY27</t>
        </is>
      </c>
      <c r="B1693" s="6" t="inlineStr">
        <is>
          <t>Apr</t>
        </is>
      </c>
      <c r="C1693" s="6" t="inlineStr">
        <is>
          <t>TN</t>
        </is>
      </c>
      <c r="D1693" s="7" t="inlineStr">
        <is>
          <t>TN22DA8998</t>
        </is>
      </c>
      <c r="E1693" s="7" t="inlineStr">
        <is>
          <t>MARUTI SUZUKI</t>
        </is>
      </c>
      <c r="F1693" s="7" t="inlineStr">
        <is>
          <t>Alto</t>
        </is>
      </c>
      <c r="G1693" s="7" t="inlineStr">
        <is>
          <t>VISHNU CARS PRIVATE LIMITED</t>
        </is>
      </c>
      <c r="H1693" s="7" t="inlineStr">
        <is>
          <t>Non-Captive</t>
        </is>
      </c>
      <c r="I1693" s="7" t="inlineStr">
        <is>
          <t>Essar Preowned Cars</t>
        </is>
      </c>
      <c r="J1693" s="8" t="n">
        <v>2015</v>
      </c>
      <c r="K1693" s="9" t="n">
        <v>131168</v>
      </c>
      <c r="L1693" s="10" t="n">
        <v>200000</v>
      </c>
      <c r="M1693" s="10" t="n">
        <v>2542.37</v>
      </c>
      <c r="N1693" s="11">
        <f>IF(M1693="","",ROUND(M1693*1.18,2))</f>
        <v/>
      </c>
      <c r="O1693" s="12">
        <f>IF(M1693="","",ROUND(N1693-M1693,2))</f>
        <v/>
      </c>
      <c r="P1693" s="13">
        <f>IF(AND(A1693&lt;&gt;"",B1693&lt;&gt;""), A1693&amp;" · "&amp;B1693, "")</f>
        <v/>
      </c>
    </row>
    <row r="1694">
      <c r="A1694" s="6" t="inlineStr">
        <is>
          <t>FY27</t>
        </is>
      </c>
      <c r="B1694" s="6" t="inlineStr">
        <is>
          <t>Apr</t>
        </is>
      </c>
      <c r="C1694" s="6" t="inlineStr">
        <is>
          <t>TN</t>
        </is>
      </c>
      <c r="D1694" s="7" t="inlineStr">
        <is>
          <t>TN22DE5357</t>
        </is>
      </c>
      <c r="E1694" s="7" t="inlineStr">
        <is>
          <t>HYUNDAI</t>
        </is>
      </c>
      <c r="F1694" s="7" t="inlineStr">
        <is>
          <t>Grand i10</t>
        </is>
      </c>
      <c r="G1694" s="7" t="inlineStr">
        <is>
          <t>EXCHANGE CHENNAI</t>
        </is>
      </c>
      <c r="H1694" s="7" t="inlineStr">
        <is>
          <t>Captive</t>
        </is>
      </c>
      <c r="I1694" s="7" t="inlineStr">
        <is>
          <t>Balakrishnan</t>
        </is>
      </c>
      <c r="J1694" s="8" t="n">
        <v>2016</v>
      </c>
      <c r="K1694" s="9" t="n">
        <v>120000</v>
      </c>
      <c r="L1694" s="10" t="n">
        <v>300000</v>
      </c>
      <c r="M1694" s="10" t="n">
        <v>7033.9</v>
      </c>
      <c r="N1694" s="11">
        <f>IF(M1694="","",ROUND(M1694*1.18,2))</f>
        <v/>
      </c>
      <c r="O1694" s="12">
        <f>IF(M1694="","",ROUND(N1694-M1694,2))</f>
        <v/>
      </c>
      <c r="P1694" s="13">
        <f>IF(AND(A1694&lt;&gt;"",B1694&lt;&gt;""), A1694&amp;" · "&amp;B1694, "")</f>
        <v/>
      </c>
    </row>
    <row r="1695">
      <c r="A1695" s="6" t="inlineStr">
        <is>
          <t>FY27</t>
        </is>
      </c>
      <c r="B1695" s="6" t="inlineStr">
        <is>
          <t>Apr</t>
        </is>
      </c>
      <c r="C1695" s="6" t="inlineStr">
        <is>
          <t>TN</t>
        </is>
      </c>
      <c r="D1695" s="7" t="inlineStr">
        <is>
          <t>TN22DF2610</t>
        </is>
      </c>
      <c r="E1695" s="7" t="inlineStr">
        <is>
          <t>MARUTI SUZUKI</t>
        </is>
      </c>
      <c r="F1695" s="7" t="inlineStr">
        <is>
          <t>Swift</t>
        </is>
      </c>
      <c r="G1695" s="7" t="inlineStr">
        <is>
          <t>KHIVRAJ MOTOR</t>
        </is>
      </c>
      <c r="H1695" s="7" t="inlineStr">
        <is>
          <t>Non-Captive</t>
        </is>
      </c>
      <c r="I1695" s="7" t="inlineStr">
        <is>
          <t>Cars24</t>
        </is>
      </c>
      <c r="J1695" s="8" t="n"/>
      <c r="K1695" s="9" t="n"/>
      <c r="L1695" s="10" t="n">
        <v>415000</v>
      </c>
      <c r="M1695" s="10" t="n">
        <v>7627.12</v>
      </c>
      <c r="N1695" s="11">
        <f>IF(M1695="","",ROUND(M1695*1.18,2))</f>
        <v/>
      </c>
      <c r="O1695" s="12">
        <f>IF(M1695="","",ROUND(N1695-M1695,2))</f>
        <v/>
      </c>
      <c r="P1695" s="13">
        <f>IF(AND(A1695&lt;&gt;"",B1695&lt;&gt;""), A1695&amp;" · "&amp;B1695, "")</f>
        <v/>
      </c>
    </row>
    <row r="1696">
      <c r="A1696" s="6" t="inlineStr">
        <is>
          <t>FY27</t>
        </is>
      </c>
      <c r="B1696" s="6" t="inlineStr">
        <is>
          <t>Apr</t>
        </is>
      </c>
      <c r="C1696" s="6" t="inlineStr">
        <is>
          <t>TN</t>
        </is>
      </c>
      <c r="D1696" s="7" t="inlineStr">
        <is>
          <t>TN22DM9274</t>
        </is>
      </c>
      <c r="E1696" s="7" t="inlineStr">
        <is>
          <t>MARUTI SUZUKI</t>
        </is>
      </c>
      <c r="F1696" s="7" t="inlineStr">
        <is>
          <t>Alto</t>
        </is>
      </c>
      <c r="G1696" s="7" t="inlineStr">
        <is>
          <t>POPULAR VEHICLES</t>
        </is>
      </c>
      <c r="H1696" s="7" t="inlineStr">
        <is>
          <t>Non-Captive</t>
        </is>
      </c>
      <c r="I1696" s="7" t="inlineStr">
        <is>
          <t>Essar Preowned Cars</t>
        </is>
      </c>
      <c r="J1696" s="8" t="n">
        <v>2018</v>
      </c>
      <c r="K1696" s="9" t="n">
        <v>54763</v>
      </c>
      <c r="L1696" s="10" t="n">
        <v>200000</v>
      </c>
      <c r="M1696" s="10" t="n">
        <v>3389.83</v>
      </c>
      <c r="N1696" s="11">
        <f>IF(M1696="","",ROUND(M1696*1.18,2))</f>
        <v/>
      </c>
      <c r="O1696" s="12">
        <f>IF(M1696="","",ROUND(N1696-M1696,2))</f>
        <v/>
      </c>
      <c r="P1696" s="13">
        <f>IF(AND(A1696&lt;&gt;"",B1696&lt;&gt;""), A1696&amp;" · "&amp;B1696, "")</f>
        <v/>
      </c>
    </row>
    <row r="1697">
      <c r="A1697" s="6" t="inlineStr">
        <is>
          <t>FY27</t>
        </is>
      </c>
      <c r="B1697" s="6" t="inlineStr">
        <is>
          <t>Apr</t>
        </is>
      </c>
      <c r="C1697" s="6" t="inlineStr">
        <is>
          <t>TN</t>
        </is>
      </c>
      <c r="D1697" s="7" t="inlineStr">
        <is>
          <t>TN22DW0006</t>
        </is>
      </c>
      <c r="E1697" s="7" t="inlineStr">
        <is>
          <t>MARUTI SUZUKI</t>
        </is>
      </c>
      <c r="F1697" s="7" t="inlineStr">
        <is>
          <t>Swift</t>
        </is>
      </c>
      <c r="G1697" s="7" t="inlineStr">
        <is>
          <t>EXCHANGE ROTN</t>
        </is>
      </c>
      <c r="H1697" s="7" t="inlineStr">
        <is>
          <t>Captive</t>
        </is>
      </c>
      <c r="I1697" s="7" t="inlineStr">
        <is>
          <t>AV Cars</t>
        </is>
      </c>
      <c r="J1697" s="8" t="n">
        <v>2019</v>
      </c>
      <c r="K1697" s="9" t="n">
        <v>87342</v>
      </c>
      <c r="L1697" s="10" t="n">
        <v>440000</v>
      </c>
      <c r="M1697" s="10" t="n">
        <v>8474.58</v>
      </c>
      <c r="N1697" s="11">
        <f>IF(M1697="","",ROUND(M1697*1.18,2))</f>
        <v/>
      </c>
      <c r="O1697" s="12">
        <f>IF(M1697="","",ROUND(N1697-M1697,2))</f>
        <v/>
      </c>
      <c r="P1697" s="13">
        <f>IF(AND(A1697&lt;&gt;"",B1697&lt;&gt;""), A1697&amp;" · "&amp;B1697, "")</f>
        <v/>
      </c>
    </row>
    <row r="1698">
      <c r="A1698" s="6" t="inlineStr">
        <is>
          <t>FY27</t>
        </is>
      </c>
      <c r="B1698" s="6" t="inlineStr">
        <is>
          <t>Apr</t>
        </is>
      </c>
      <c r="C1698" s="6" t="inlineStr">
        <is>
          <t>TN</t>
        </is>
      </c>
      <c r="D1698" s="7" t="inlineStr">
        <is>
          <t>TN22EA0931</t>
        </is>
      </c>
      <c r="E1698" s="7" t="inlineStr">
        <is>
          <t>MARUTI SUZUKI</t>
        </is>
      </c>
      <c r="F1698" s="7" t="inlineStr">
        <is>
          <t>Swift</t>
        </is>
      </c>
      <c r="G1698" s="7" t="inlineStr">
        <is>
          <t>ABT LIMITED</t>
        </is>
      </c>
      <c r="H1698" s="7" t="inlineStr">
        <is>
          <t>Non-Captive</t>
        </is>
      </c>
      <c r="I1698" s="7" t="inlineStr">
        <is>
          <t>Essar Preowned Cars</t>
        </is>
      </c>
      <c r="J1698" s="8" t="n">
        <v>2008</v>
      </c>
      <c r="K1698" s="9" t="n">
        <v>122514</v>
      </c>
      <c r="L1698" s="10" t="n">
        <v>200000</v>
      </c>
      <c r="M1698" s="10" t="n">
        <v>2542.37</v>
      </c>
      <c r="N1698" s="11">
        <f>IF(M1698="","",ROUND(M1698*1.18,2))</f>
        <v/>
      </c>
      <c r="O1698" s="12">
        <f>IF(M1698="","",ROUND(N1698-M1698,2))</f>
        <v/>
      </c>
      <c r="P1698" s="13">
        <f>IF(AND(A1698&lt;&gt;"",B1698&lt;&gt;""), A1698&amp;" · "&amp;B1698, "")</f>
        <v/>
      </c>
    </row>
    <row r="1699">
      <c r="A1699" s="6" t="inlineStr">
        <is>
          <t>FY27</t>
        </is>
      </c>
      <c r="B1699" s="6" t="inlineStr">
        <is>
          <t>Apr</t>
        </is>
      </c>
      <c r="C1699" s="6" t="inlineStr">
        <is>
          <t>TN</t>
        </is>
      </c>
      <c r="D1699" s="7" t="inlineStr">
        <is>
          <t>TN27R9677</t>
        </is>
      </c>
      <c r="E1699" s="7" t="inlineStr">
        <is>
          <t>MARUTI SUZUKI</t>
        </is>
      </c>
      <c r="F1699" s="7" t="inlineStr">
        <is>
          <t>Zen Estilo</t>
        </is>
      </c>
      <c r="G1699" s="7" t="inlineStr">
        <is>
          <t>EXCHANGE ROTN</t>
        </is>
      </c>
      <c r="H1699" s="7" t="inlineStr">
        <is>
          <t>Captive</t>
        </is>
      </c>
      <c r="I1699" s="7" t="inlineStr">
        <is>
          <t>STALIN CARS</t>
        </is>
      </c>
      <c r="J1699" s="8" t="n">
        <v>2002</v>
      </c>
      <c r="K1699" s="9" t="n">
        <v>247344</v>
      </c>
      <c r="L1699" s="10" t="n">
        <v>40000</v>
      </c>
      <c r="M1699" s="10" t="n">
        <v>4237.29</v>
      </c>
      <c r="N1699" s="11">
        <f>IF(M1699="","",ROUND(M1699*1.18,2))</f>
        <v/>
      </c>
      <c r="O1699" s="12">
        <f>IF(M1699="","",ROUND(N1699-M1699,2))</f>
        <v/>
      </c>
      <c r="P1699" s="13">
        <f>IF(AND(A1699&lt;&gt;"",B1699&lt;&gt;""), A1699&amp;" · "&amp;B1699, "")</f>
        <v/>
      </c>
    </row>
    <row r="1700">
      <c r="A1700" s="6" t="inlineStr">
        <is>
          <t>FY27</t>
        </is>
      </c>
      <c r="B1700" s="6" t="inlineStr">
        <is>
          <t>Apr</t>
        </is>
      </c>
      <c r="C1700" s="6" t="inlineStr">
        <is>
          <t>TN</t>
        </is>
      </c>
      <c r="D1700" s="7" t="inlineStr">
        <is>
          <t>TN30AT2478</t>
        </is>
      </c>
      <c r="E1700" s="7" t="inlineStr">
        <is>
          <t>HONDA</t>
        </is>
      </c>
      <c r="F1700" s="7" t="inlineStr">
        <is>
          <t>Amaze</t>
        </is>
      </c>
      <c r="G1700" s="7" t="inlineStr">
        <is>
          <t>EXCHANGE ROTN</t>
        </is>
      </c>
      <c r="H1700" s="7" t="inlineStr">
        <is>
          <t>Captive</t>
        </is>
      </c>
      <c r="I1700" s="7" t="inlineStr">
        <is>
          <t>Sivashankar Cars</t>
        </is>
      </c>
      <c r="J1700" s="8" t="n">
        <v>2013</v>
      </c>
      <c r="K1700" s="9" t="n">
        <v>154730</v>
      </c>
      <c r="L1700" s="10" t="n">
        <v>330000</v>
      </c>
      <c r="M1700" s="10" t="n">
        <v>4237.29</v>
      </c>
      <c r="N1700" s="11">
        <f>IF(M1700="","",ROUND(M1700*1.18,2))</f>
        <v/>
      </c>
      <c r="O1700" s="12">
        <f>IF(M1700="","",ROUND(N1700-M1700,2))</f>
        <v/>
      </c>
      <c r="P1700" s="13">
        <f>IF(AND(A1700&lt;&gt;"",B1700&lt;&gt;""), A1700&amp;" · "&amp;B1700, "")</f>
        <v/>
      </c>
    </row>
    <row r="1701">
      <c r="A1701" s="6" t="inlineStr">
        <is>
          <t>FY27</t>
        </is>
      </c>
      <c r="B1701" s="6" t="inlineStr">
        <is>
          <t>Apr</t>
        </is>
      </c>
      <c r="C1701" s="6" t="inlineStr">
        <is>
          <t>TN</t>
        </is>
      </c>
      <c r="D1701" s="7" t="inlineStr">
        <is>
          <t>TN30AT9787</t>
        </is>
      </c>
      <c r="E1701" s="7" t="inlineStr">
        <is>
          <t>MARUTI SUZUKI</t>
        </is>
      </c>
      <c r="F1701" s="7" t="inlineStr">
        <is>
          <t>Alto</t>
        </is>
      </c>
      <c r="G1701" s="7" t="inlineStr">
        <is>
          <t>EXCHANGE ROTN</t>
        </is>
      </c>
      <c r="H1701" s="7" t="inlineStr">
        <is>
          <t>Captive</t>
        </is>
      </c>
      <c r="I1701" s="7" t="inlineStr">
        <is>
          <t>STALIN CARS</t>
        </is>
      </c>
      <c r="J1701" s="8" t="n">
        <v>2013</v>
      </c>
      <c r="K1701" s="9" t="n">
        <v>71656</v>
      </c>
      <c r="L1701" s="10" t="n">
        <v>175000</v>
      </c>
      <c r="M1701" s="10" t="n">
        <v>4237.29</v>
      </c>
      <c r="N1701" s="11">
        <f>IF(M1701="","",ROUND(M1701*1.18,2))</f>
        <v/>
      </c>
      <c r="O1701" s="12">
        <f>IF(M1701="","",ROUND(N1701-M1701,2))</f>
        <v/>
      </c>
      <c r="P1701" s="13">
        <f>IF(AND(A1701&lt;&gt;"",B1701&lt;&gt;""), A1701&amp;" · "&amp;B1701, "")</f>
        <v/>
      </c>
    </row>
    <row r="1702">
      <c r="A1702" s="6" t="inlineStr">
        <is>
          <t>FY27</t>
        </is>
      </c>
      <c r="B1702" s="6" t="inlineStr">
        <is>
          <t>Apr</t>
        </is>
      </c>
      <c r="C1702" s="6" t="inlineStr">
        <is>
          <t>TN</t>
        </is>
      </c>
      <c r="D1702" s="7" t="inlineStr">
        <is>
          <t>TN30CV5976</t>
        </is>
      </c>
      <c r="E1702" s="7" t="inlineStr">
        <is>
          <t>MARUTI SUZUKI</t>
        </is>
      </c>
      <c r="F1702" s="7" t="inlineStr">
        <is>
          <t>Wagon R</t>
        </is>
      </c>
      <c r="G1702" s="7" t="inlineStr">
        <is>
          <t>EXCHANGE ROTN</t>
        </is>
      </c>
      <c r="H1702" s="7" t="inlineStr">
        <is>
          <t>Captive</t>
        </is>
      </c>
      <c r="I1702" s="7" t="inlineStr">
        <is>
          <t>Sivashankar Cars</t>
        </is>
      </c>
      <c r="J1702" s="8" t="n">
        <v>2023</v>
      </c>
      <c r="K1702" s="9" t="n">
        <v>17686</v>
      </c>
      <c r="L1702" s="10" t="n">
        <v>400000</v>
      </c>
      <c r="M1702" s="10" t="n">
        <v>4237.29</v>
      </c>
      <c r="N1702" s="11">
        <f>IF(M1702="","",ROUND(M1702*1.18,2))</f>
        <v/>
      </c>
      <c r="O1702" s="12">
        <f>IF(M1702="","",ROUND(N1702-M1702,2))</f>
        <v/>
      </c>
      <c r="P1702" s="13">
        <f>IF(AND(A1702&lt;&gt;"",B1702&lt;&gt;""), A1702&amp;" · "&amp;B1702, "")</f>
        <v/>
      </c>
    </row>
    <row r="1703">
      <c r="A1703" s="6" t="inlineStr">
        <is>
          <t>FY27</t>
        </is>
      </c>
      <c r="B1703" s="6" t="inlineStr">
        <is>
          <t>Apr</t>
        </is>
      </c>
      <c r="C1703" s="6" t="inlineStr">
        <is>
          <t>TN</t>
        </is>
      </c>
      <c r="D1703" s="7" t="inlineStr">
        <is>
          <t>TN31AJ3063</t>
        </is>
      </c>
      <c r="E1703" s="7" t="inlineStr">
        <is>
          <t>MARUTI SUZUKI</t>
        </is>
      </c>
      <c r="F1703" s="7" t="inlineStr">
        <is>
          <t>Alto</t>
        </is>
      </c>
      <c r="G1703" s="7" t="inlineStr">
        <is>
          <t>VISHNU CARS PRIVATE LIMITED</t>
        </is>
      </c>
      <c r="H1703" s="7" t="inlineStr">
        <is>
          <t>Non-Captive</t>
        </is>
      </c>
      <c r="I1703" s="7" t="inlineStr">
        <is>
          <t>Essar Preowned Cars</t>
        </is>
      </c>
      <c r="J1703" s="8" t="n">
        <v>2013</v>
      </c>
      <c r="K1703" s="9" t="n">
        <v>99999</v>
      </c>
      <c r="L1703" s="10" t="n">
        <v>170000</v>
      </c>
      <c r="M1703" s="10" t="n">
        <v>2542.37</v>
      </c>
      <c r="N1703" s="11">
        <f>IF(M1703="","",ROUND(M1703*1.18,2))</f>
        <v/>
      </c>
      <c r="O1703" s="12">
        <f>IF(M1703="","",ROUND(N1703-M1703,2))</f>
        <v/>
      </c>
      <c r="P1703" s="13">
        <f>IF(AND(A1703&lt;&gt;"",B1703&lt;&gt;""), A1703&amp;" · "&amp;B1703, "")</f>
        <v/>
      </c>
    </row>
    <row r="1704">
      <c r="A1704" s="6" t="inlineStr">
        <is>
          <t>FY27</t>
        </is>
      </c>
      <c r="B1704" s="6" t="inlineStr">
        <is>
          <t>Apr</t>
        </is>
      </c>
      <c r="C1704" s="6" t="inlineStr">
        <is>
          <t>TN</t>
        </is>
      </c>
      <c r="D1704" s="7" t="inlineStr">
        <is>
          <t>TN33BD9472</t>
        </is>
      </c>
      <c r="E1704" s="7" t="inlineStr">
        <is>
          <t>HONDA</t>
        </is>
      </c>
      <c r="F1704" s="7" t="inlineStr">
        <is>
          <t>Amaze</t>
        </is>
      </c>
      <c r="G1704" s="7" t="inlineStr">
        <is>
          <t>EXCHANGE ROTN</t>
        </is>
      </c>
      <c r="H1704" s="7" t="inlineStr">
        <is>
          <t>Captive</t>
        </is>
      </c>
      <c r="I1704" s="7" t="inlineStr">
        <is>
          <t>Sivashankar Cars</t>
        </is>
      </c>
      <c r="J1704" s="8" t="n">
        <v>2013</v>
      </c>
      <c r="K1704" s="9" t="n">
        <v>117794</v>
      </c>
      <c r="L1704" s="10" t="n">
        <v>160000</v>
      </c>
      <c r="M1704" s="10" t="n">
        <v>4237.29</v>
      </c>
      <c r="N1704" s="11">
        <f>IF(M1704="","",ROUND(M1704*1.18,2))</f>
        <v/>
      </c>
      <c r="O1704" s="12">
        <f>IF(M1704="","",ROUND(N1704-M1704,2))</f>
        <v/>
      </c>
      <c r="P1704" s="13">
        <f>IF(AND(A1704&lt;&gt;"",B1704&lt;&gt;""), A1704&amp;" · "&amp;B1704, "")</f>
        <v/>
      </c>
    </row>
    <row r="1705">
      <c r="A1705" s="6" t="inlineStr">
        <is>
          <t>FY27</t>
        </is>
      </c>
      <c r="B1705" s="6" t="inlineStr">
        <is>
          <t>Apr</t>
        </is>
      </c>
      <c r="C1705" s="6" t="inlineStr">
        <is>
          <t>TN</t>
        </is>
      </c>
      <c r="D1705" s="7" t="inlineStr">
        <is>
          <t>TN33BK2747</t>
        </is>
      </c>
      <c r="E1705" s="7" t="inlineStr">
        <is>
          <t>MARUTI SUZUKI</t>
        </is>
      </c>
      <c r="F1705" s="7" t="inlineStr">
        <is>
          <t>Wagon R</t>
        </is>
      </c>
      <c r="G1705" s="7" t="inlineStr">
        <is>
          <t>EXCHANGE ROTN</t>
        </is>
      </c>
      <c r="H1705" s="7" t="inlineStr">
        <is>
          <t>Captive</t>
        </is>
      </c>
      <c r="I1705" s="7" t="inlineStr">
        <is>
          <t>Sivashankar Cars</t>
        </is>
      </c>
      <c r="J1705" s="8" t="n">
        <v>2015</v>
      </c>
      <c r="K1705" s="9" t="n">
        <v>111997</v>
      </c>
      <c r="L1705" s="10" t="n">
        <v>290000</v>
      </c>
      <c r="M1705" s="10" t="n">
        <v>4237.29</v>
      </c>
      <c r="N1705" s="11">
        <f>IF(M1705="","",ROUND(M1705*1.18,2))</f>
        <v/>
      </c>
      <c r="O1705" s="12">
        <f>IF(M1705="","",ROUND(N1705-M1705,2))</f>
        <v/>
      </c>
      <c r="P1705" s="13">
        <f>IF(AND(A1705&lt;&gt;"",B1705&lt;&gt;""), A1705&amp;" · "&amp;B1705, "")</f>
        <v/>
      </c>
    </row>
    <row r="1706">
      <c r="A1706" s="6" t="inlineStr">
        <is>
          <t>FY27</t>
        </is>
      </c>
      <c r="B1706" s="6" t="inlineStr">
        <is>
          <t>Apr</t>
        </is>
      </c>
      <c r="C1706" s="6" t="inlineStr">
        <is>
          <t>TN</t>
        </is>
      </c>
      <c r="D1706" s="7" t="inlineStr">
        <is>
          <t>TN33BK6262</t>
        </is>
      </c>
      <c r="E1706" s="7" t="inlineStr">
        <is>
          <t>HONDA</t>
        </is>
      </c>
      <c r="F1706" s="7" t="inlineStr">
        <is>
          <t>City</t>
        </is>
      </c>
      <c r="G1706" s="7" t="inlineStr">
        <is>
          <t>EXCHANGE ROTN</t>
        </is>
      </c>
      <c r="H1706" s="7" t="inlineStr">
        <is>
          <t>Captive</t>
        </is>
      </c>
      <c r="I1706" s="7" t="inlineStr">
        <is>
          <t>Sivashankar Cars</t>
        </is>
      </c>
      <c r="J1706" s="8" t="n">
        <v>2014</v>
      </c>
      <c r="K1706" s="9" t="n">
        <v>160178</v>
      </c>
      <c r="L1706" s="10" t="n">
        <v>200000</v>
      </c>
      <c r="M1706" s="10" t="n">
        <v>4237.29</v>
      </c>
      <c r="N1706" s="11">
        <f>IF(M1706="","",ROUND(M1706*1.18,2))</f>
        <v/>
      </c>
      <c r="O1706" s="12">
        <f>IF(M1706="","",ROUND(N1706-M1706,2))</f>
        <v/>
      </c>
      <c r="P1706" s="13">
        <f>IF(AND(A1706&lt;&gt;"",B1706&lt;&gt;""), A1706&amp;" · "&amp;B1706, "")</f>
        <v/>
      </c>
    </row>
    <row r="1707">
      <c r="A1707" s="6" t="inlineStr">
        <is>
          <t>FY27</t>
        </is>
      </c>
      <c r="B1707" s="6" t="inlineStr">
        <is>
          <t>Apr</t>
        </is>
      </c>
      <c r="C1707" s="6" t="inlineStr">
        <is>
          <t>TN</t>
        </is>
      </c>
      <c r="D1707" s="7" t="inlineStr">
        <is>
          <t>TN34P6469</t>
        </is>
      </c>
      <c r="E1707" s="7" t="inlineStr">
        <is>
          <t>CHEVROLET</t>
        </is>
      </c>
      <c r="F1707" s="7" t="inlineStr">
        <is>
          <t>Tavera</t>
        </is>
      </c>
      <c r="G1707" s="7" t="inlineStr">
        <is>
          <t>EXCHANGE ROTN</t>
        </is>
      </c>
      <c r="H1707" s="7" t="inlineStr">
        <is>
          <t>Captive</t>
        </is>
      </c>
      <c r="I1707" s="7" t="inlineStr">
        <is>
          <t>Sivashankar Cars</t>
        </is>
      </c>
      <c r="J1707" s="8" t="n">
        <v>2011</v>
      </c>
      <c r="K1707" s="9" t="n">
        <v>290478</v>
      </c>
      <c r="L1707" s="10" t="n">
        <v>160000</v>
      </c>
      <c r="M1707" s="10" t="n">
        <v>4237.29</v>
      </c>
      <c r="N1707" s="11">
        <f>IF(M1707="","",ROUND(M1707*1.18,2))</f>
        <v/>
      </c>
      <c r="O1707" s="12">
        <f>IF(M1707="","",ROUND(N1707-M1707,2))</f>
        <v/>
      </c>
      <c r="P1707" s="13">
        <f>IF(AND(A1707&lt;&gt;"",B1707&lt;&gt;""), A1707&amp;" · "&amp;B1707, "")</f>
        <v/>
      </c>
    </row>
    <row r="1708">
      <c r="A1708" s="6" t="inlineStr">
        <is>
          <t>FY27</t>
        </is>
      </c>
      <c r="B1708" s="6" t="inlineStr">
        <is>
          <t>Apr</t>
        </is>
      </c>
      <c r="C1708" s="6" t="inlineStr">
        <is>
          <t>TN</t>
        </is>
      </c>
      <c r="D1708" s="7" t="inlineStr">
        <is>
          <t>TN34T9198</t>
        </is>
      </c>
      <c r="E1708" s="7" t="inlineStr">
        <is>
          <t>CHEVROLET</t>
        </is>
      </c>
      <c r="F1708" s="7" t="inlineStr">
        <is>
          <t>Beat</t>
        </is>
      </c>
      <c r="G1708" s="7" t="inlineStr">
        <is>
          <t>EXCHANGE ROTN</t>
        </is>
      </c>
      <c r="H1708" s="7" t="inlineStr">
        <is>
          <t>Captive</t>
        </is>
      </c>
      <c r="I1708" s="7" t="inlineStr">
        <is>
          <t>Sivashankar Cars</t>
        </is>
      </c>
      <c r="J1708" s="8" t="n">
        <v>2013</v>
      </c>
      <c r="K1708" s="9" t="n">
        <v>150457</v>
      </c>
      <c r="L1708" s="10" t="n">
        <v>120000</v>
      </c>
      <c r="M1708" s="10" t="n">
        <v>8474.58</v>
      </c>
      <c r="N1708" s="11">
        <f>IF(M1708="","",ROUND(M1708*1.18,2))</f>
        <v/>
      </c>
      <c r="O1708" s="12">
        <f>IF(M1708="","",ROUND(N1708-M1708,2))</f>
        <v/>
      </c>
      <c r="P1708" s="13">
        <f>IF(AND(A1708&lt;&gt;"",B1708&lt;&gt;""), A1708&amp;" · "&amp;B1708, "")</f>
        <v/>
      </c>
    </row>
    <row r="1709">
      <c r="A1709" s="6" t="inlineStr">
        <is>
          <t>FY27</t>
        </is>
      </c>
      <c r="B1709" s="6" t="inlineStr">
        <is>
          <t>Apr</t>
        </is>
      </c>
      <c r="C1709" s="6" t="inlineStr">
        <is>
          <t>TN</t>
        </is>
      </c>
      <c r="D1709" s="7" t="inlineStr">
        <is>
          <t>TN34X7876</t>
        </is>
      </c>
      <c r="E1709" s="7" t="inlineStr">
        <is>
          <t>RENAULT</t>
        </is>
      </c>
      <c r="F1709" s="7" t="inlineStr">
        <is>
          <t>Kwid</t>
        </is>
      </c>
      <c r="G1709" s="7" t="inlineStr">
        <is>
          <t>EXCHANGE ROTN</t>
        </is>
      </c>
      <c r="H1709" s="7" t="inlineStr">
        <is>
          <t>Captive</t>
        </is>
      </c>
      <c r="I1709" s="7" t="inlineStr">
        <is>
          <t>Ayyappa Cars</t>
        </is>
      </c>
      <c r="J1709" s="8" t="n">
        <v>2016</v>
      </c>
      <c r="K1709" s="9" t="n">
        <v>83473</v>
      </c>
      <c r="L1709" s="10" t="n">
        <v>250000</v>
      </c>
      <c r="M1709" s="10" t="n">
        <v>4237.29</v>
      </c>
      <c r="N1709" s="11">
        <f>IF(M1709="","",ROUND(M1709*1.18,2))</f>
        <v/>
      </c>
      <c r="O1709" s="12">
        <f>IF(M1709="","",ROUND(N1709-M1709,2))</f>
        <v/>
      </c>
      <c r="P1709" s="13">
        <f>IF(AND(A1709&lt;&gt;"",B1709&lt;&gt;""), A1709&amp;" · "&amp;B1709, "")</f>
        <v/>
      </c>
    </row>
    <row r="1710">
      <c r="A1710" s="6" t="inlineStr">
        <is>
          <t>FY27</t>
        </is>
      </c>
      <c r="B1710" s="6" t="inlineStr">
        <is>
          <t>Apr</t>
        </is>
      </c>
      <c r="C1710" s="6" t="inlineStr">
        <is>
          <t>TN</t>
        </is>
      </c>
      <c r="D1710" s="7" t="inlineStr">
        <is>
          <t>TN36AA0293</t>
        </is>
      </c>
      <c r="E1710" s="7" t="inlineStr">
        <is>
          <t>HYUNDAI</t>
        </is>
      </c>
      <c r="F1710" s="7" t="inlineStr">
        <is>
          <t>i20</t>
        </is>
      </c>
      <c r="G1710" s="7" t="inlineStr">
        <is>
          <t>EXCHANGE ROTN</t>
        </is>
      </c>
      <c r="H1710" s="7" t="inlineStr">
        <is>
          <t>Captive</t>
        </is>
      </c>
      <c r="I1710" s="7" t="inlineStr">
        <is>
          <t>Sivashankar Cars</t>
        </is>
      </c>
      <c r="J1710" s="8" t="n">
        <v>2012</v>
      </c>
      <c r="K1710" s="9" t="n">
        <v>189936</v>
      </c>
      <c r="L1710" s="10" t="n">
        <v>230000</v>
      </c>
      <c r="M1710" s="10" t="n">
        <v>4237.29</v>
      </c>
      <c r="N1710" s="11">
        <f>IF(M1710="","",ROUND(M1710*1.18,2))</f>
        <v/>
      </c>
      <c r="O1710" s="12">
        <f>IF(M1710="","",ROUND(N1710-M1710,2))</f>
        <v/>
      </c>
      <c r="P1710" s="13">
        <f>IF(AND(A1710&lt;&gt;"",B1710&lt;&gt;""), A1710&amp;" · "&amp;B1710, "")</f>
        <v/>
      </c>
    </row>
    <row r="1711">
      <c r="A1711" s="6" t="inlineStr">
        <is>
          <t>FY27</t>
        </is>
      </c>
      <c r="B1711" s="6" t="inlineStr">
        <is>
          <t>Apr</t>
        </is>
      </c>
      <c r="C1711" s="6" t="inlineStr">
        <is>
          <t>TN</t>
        </is>
      </c>
      <c r="D1711" s="7" t="inlineStr">
        <is>
          <t>TN37BK1562</t>
        </is>
      </c>
      <c r="E1711" s="7" t="inlineStr">
        <is>
          <t>FORD</t>
        </is>
      </c>
      <c r="F1711" s="7" t="inlineStr">
        <is>
          <t>Figo</t>
        </is>
      </c>
      <c r="G1711" s="7" t="inlineStr">
        <is>
          <t>EXCHANGE ROTN</t>
        </is>
      </c>
      <c r="H1711" s="7" t="inlineStr">
        <is>
          <t>Captive</t>
        </is>
      </c>
      <c r="I1711" s="7" t="inlineStr">
        <is>
          <t>Sivashankar Cars</t>
        </is>
      </c>
      <c r="J1711" s="8" t="n">
        <v>2010</v>
      </c>
      <c r="K1711" s="9" t="n">
        <v>112620</v>
      </c>
      <c r="L1711" s="10" t="n">
        <v>110000</v>
      </c>
      <c r="M1711" s="10" t="n">
        <v>4237.29</v>
      </c>
      <c r="N1711" s="11">
        <f>IF(M1711="","",ROUND(M1711*1.18,2))</f>
        <v/>
      </c>
      <c r="O1711" s="12">
        <f>IF(M1711="","",ROUND(N1711-M1711,2))</f>
        <v/>
      </c>
      <c r="P1711" s="13">
        <f>IF(AND(A1711&lt;&gt;"",B1711&lt;&gt;""), A1711&amp;" · "&amp;B1711, "")</f>
        <v/>
      </c>
    </row>
    <row r="1712">
      <c r="A1712" s="6" t="inlineStr">
        <is>
          <t>FY27</t>
        </is>
      </c>
      <c r="B1712" s="6" t="inlineStr">
        <is>
          <t>Apr</t>
        </is>
      </c>
      <c r="C1712" s="6" t="inlineStr">
        <is>
          <t>TN</t>
        </is>
      </c>
      <c r="D1712" s="7" t="inlineStr">
        <is>
          <t>TN37BY0969</t>
        </is>
      </c>
      <c r="E1712" s="7" t="inlineStr">
        <is>
          <t>HYUNDAI</t>
        </is>
      </c>
      <c r="F1712" s="7" t="inlineStr">
        <is>
          <t>i20</t>
        </is>
      </c>
      <c r="G1712" s="7" t="inlineStr">
        <is>
          <t>EXCHANGE ROTN</t>
        </is>
      </c>
      <c r="H1712" s="7" t="inlineStr">
        <is>
          <t>Captive</t>
        </is>
      </c>
      <c r="I1712" s="7" t="inlineStr">
        <is>
          <t>Ayyappa Cars</t>
        </is>
      </c>
      <c r="J1712" s="8" t="n">
        <v>2012</v>
      </c>
      <c r="K1712" s="9" t="n">
        <v>159431</v>
      </c>
      <c r="L1712" s="10" t="n">
        <v>180000</v>
      </c>
      <c r="M1712" s="10" t="n">
        <v>4237.29</v>
      </c>
      <c r="N1712" s="11">
        <f>IF(M1712="","",ROUND(M1712*1.18,2))</f>
        <v/>
      </c>
      <c r="O1712" s="12">
        <f>IF(M1712="","",ROUND(N1712-M1712,2))</f>
        <v/>
      </c>
      <c r="P1712" s="13">
        <f>IF(AND(A1712&lt;&gt;"",B1712&lt;&gt;""), A1712&amp;" · "&amp;B1712, "")</f>
        <v/>
      </c>
    </row>
    <row r="1713">
      <c r="A1713" s="6" t="inlineStr">
        <is>
          <t>FY27</t>
        </is>
      </c>
      <c r="B1713" s="6" t="inlineStr">
        <is>
          <t>Apr</t>
        </is>
      </c>
      <c r="C1713" s="6" t="inlineStr">
        <is>
          <t>TN</t>
        </is>
      </c>
      <c r="D1713" s="7" t="inlineStr">
        <is>
          <t>TN37CL7528</t>
        </is>
      </c>
      <c r="E1713" s="7" t="inlineStr">
        <is>
          <t>MARUTI SUZUKI</t>
        </is>
      </c>
      <c r="F1713" s="7" t="inlineStr">
        <is>
          <t>Alto</t>
        </is>
      </c>
      <c r="G1713" s="7" t="inlineStr">
        <is>
          <t>EXCHANGE ROTN</t>
        </is>
      </c>
      <c r="H1713" s="7" t="inlineStr">
        <is>
          <t>Captive</t>
        </is>
      </c>
      <c r="I1713" s="7" t="inlineStr">
        <is>
          <t>Sri Murugan Cars</t>
        </is>
      </c>
      <c r="J1713" s="8" t="n">
        <v>2015</v>
      </c>
      <c r="K1713" s="9" t="n">
        <v>51250</v>
      </c>
      <c r="L1713" s="10" t="n">
        <v>190000</v>
      </c>
      <c r="M1713" s="10" t="n">
        <v>4237.29</v>
      </c>
      <c r="N1713" s="11">
        <f>IF(M1713="","",ROUND(M1713*1.18,2))</f>
        <v/>
      </c>
      <c r="O1713" s="12">
        <f>IF(M1713="","",ROUND(N1713-M1713,2))</f>
        <v/>
      </c>
      <c r="P1713" s="13">
        <f>IF(AND(A1713&lt;&gt;"",B1713&lt;&gt;""), A1713&amp;" · "&amp;B1713, "")</f>
        <v/>
      </c>
    </row>
    <row r="1714">
      <c r="A1714" s="6" t="inlineStr">
        <is>
          <t>FY27</t>
        </is>
      </c>
      <c r="B1714" s="6" t="inlineStr">
        <is>
          <t>Apr</t>
        </is>
      </c>
      <c r="C1714" s="6" t="inlineStr">
        <is>
          <t>TN</t>
        </is>
      </c>
      <c r="D1714" s="7" t="inlineStr">
        <is>
          <t>TN38BP9129</t>
        </is>
      </c>
      <c r="E1714" s="7" t="inlineStr">
        <is>
          <t>MARUTI SUZUKI</t>
        </is>
      </c>
      <c r="F1714" s="7" t="inlineStr">
        <is>
          <t>Alto</t>
        </is>
      </c>
      <c r="G1714" s="7" t="inlineStr">
        <is>
          <t>AIE CARS PRIVATE LIMITED</t>
        </is>
      </c>
      <c r="H1714" s="7" t="inlineStr">
        <is>
          <t>Non-Captive</t>
        </is>
      </c>
      <c r="I1714" s="7" t="inlineStr">
        <is>
          <t>Murthy Cars</t>
        </is>
      </c>
      <c r="J1714" s="8" t="n">
        <v>2012</v>
      </c>
      <c r="K1714" s="9" t="n">
        <v>99442</v>
      </c>
      <c r="L1714" s="10" t="n">
        <v>80000</v>
      </c>
      <c r="M1714" s="10" t="n">
        <v>4237.29</v>
      </c>
      <c r="N1714" s="11">
        <f>IF(M1714="","",ROUND(M1714*1.18,2))</f>
        <v/>
      </c>
      <c r="O1714" s="12">
        <f>IF(M1714="","",ROUND(N1714-M1714,2))</f>
        <v/>
      </c>
      <c r="P1714" s="13">
        <f>IF(AND(A1714&lt;&gt;"",B1714&lt;&gt;""), A1714&amp;" · "&amp;B1714, "")</f>
        <v/>
      </c>
    </row>
    <row r="1715">
      <c r="A1715" s="6" t="inlineStr">
        <is>
          <t>FY27</t>
        </is>
      </c>
      <c r="B1715" s="6" t="inlineStr">
        <is>
          <t>Apr</t>
        </is>
      </c>
      <c r="C1715" s="6" t="inlineStr">
        <is>
          <t>TN</t>
        </is>
      </c>
      <c r="D1715" s="7" t="inlineStr">
        <is>
          <t>TN38BQ5942</t>
        </is>
      </c>
      <c r="E1715" s="7" t="inlineStr">
        <is>
          <t>HONDA</t>
        </is>
      </c>
      <c r="F1715" s="7" t="inlineStr">
        <is>
          <t>Jazz</t>
        </is>
      </c>
      <c r="G1715" s="7" t="inlineStr">
        <is>
          <t>EXCHANGE ROTN</t>
        </is>
      </c>
      <c r="H1715" s="7" t="inlineStr">
        <is>
          <t>Captive</t>
        </is>
      </c>
      <c r="I1715" s="7" t="inlineStr">
        <is>
          <t>Dheera Cars</t>
        </is>
      </c>
      <c r="J1715" s="8" t="n">
        <v>2012</v>
      </c>
      <c r="K1715" s="9" t="n">
        <v>122116</v>
      </c>
      <c r="L1715" s="10" t="n">
        <v>230000</v>
      </c>
      <c r="M1715" s="10" t="n">
        <v>8474.58</v>
      </c>
      <c r="N1715" s="11">
        <f>IF(M1715="","",ROUND(M1715*1.18,2))</f>
        <v/>
      </c>
      <c r="O1715" s="12">
        <f>IF(M1715="","",ROUND(N1715-M1715,2))</f>
        <v/>
      </c>
      <c r="P1715" s="13">
        <f>IF(AND(A1715&lt;&gt;"",B1715&lt;&gt;""), A1715&amp;" · "&amp;B1715, "")</f>
        <v/>
      </c>
    </row>
    <row r="1716">
      <c r="A1716" s="6" t="inlineStr">
        <is>
          <t>FY27</t>
        </is>
      </c>
      <c r="B1716" s="6" t="inlineStr">
        <is>
          <t>Apr</t>
        </is>
      </c>
      <c r="C1716" s="6" t="inlineStr">
        <is>
          <t>TN</t>
        </is>
      </c>
      <c r="D1716" s="7" t="inlineStr">
        <is>
          <t>TN38BX0181</t>
        </is>
      </c>
      <c r="E1716" s="7" t="inlineStr">
        <is>
          <t>MARUTI SUZUKI</t>
        </is>
      </c>
      <c r="F1716" s="7" t="inlineStr">
        <is>
          <t>Wagon R</t>
        </is>
      </c>
      <c r="G1716" s="7" t="inlineStr">
        <is>
          <t>EXCHANGE ROTN</t>
        </is>
      </c>
      <c r="H1716" s="7" t="inlineStr">
        <is>
          <t>Captive</t>
        </is>
      </c>
      <c r="I1716" s="7" t="inlineStr">
        <is>
          <t>Geethanjali cars</t>
        </is>
      </c>
      <c r="J1716" s="8" t="n">
        <v>2014</v>
      </c>
      <c r="K1716" s="9" t="n">
        <v>119856</v>
      </c>
      <c r="L1716" s="10" t="n">
        <v>270000</v>
      </c>
      <c r="M1716" s="10" t="n">
        <v>8474.58</v>
      </c>
      <c r="N1716" s="11">
        <f>IF(M1716="","",ROUND(M1716*1.18,2))</f>
        <v/>
      </c>
      <c r="O1716" s="12">
        <f>IF(M1716="","",ROUND(N1716-M1716,2))</f>
        <v/>
      </c>
      <c r="P1716" s="13">
        <f>IF(AND(A1716&lt;&gt;"",B1716&lt;&gt;""), A1716&amp;" · "&amp;B1716, "")</f>
        <v/>
      </c>
    </row>
    <row r="1717">
      <c r="A1717" s="6" t="inlineStr">
        <is>
          <t>FY27</t>
        </is>
      </c>
      <c r="B1717" s="6" t="inlineStr">
        <is>
          <t>Apr</t>
        </is>
      </c>
      <c r="C1717" s="6" t="inlineStr">
        <is>
          <t>TN</t>
        </is>
      </c>
      <c r="D1717" s="7" t="inlineStr">
        <is>
          <t>TN38CY3603</t>
        </is>
      </c>
      <c r="E1717" s="7" t="inlineStr">
        <is>
          <t>MARUTI SUZUKI</t>
        </is>
      </c>
      <c r="F1717" s="7" t="inlineStr">
        <is>
          <t>Alto</t>
        </is>
      </c>
      <c r="G1717" s="7" t="inlineStr">
        <is>
          <t>EXCHANGE ROTN</t>
        </is>
      </c>
      <c r="H1717" s="7" t="inlineStr">
        <is>
          <t>Captive</t>
        </is>
      </c>
      <c r="I1717" s="7" t="inlineStr">
        <is>
          <t>Gugha Cars</t>
        </is>
      </c>
      <c r="J1717" s="8" t="n">
        <v>2021</v>
      </c>
      <c r="K1717" s="9" t="n">
        <v>40966</v>
      </c>
      <c r="L1717" s="10" t="n">
        <v>275000</v>
      </c>
      <c r="M1717" s="10" t="n">
        <v>12711.86</v>
      </c>
      <c r="N1717" s="11">
        <f>IF(M1717="","",ROUND(M1717*1.18,2))</f>
        <v/>
      </c>
      <c r="O1717" s="12">
        <f>IF(M1717="","",ROUND(N1717-M1717,2))</f>
        <v/>
      </c>
      <c r="P1717" s="13">
        <f>IF(AND(A1717&lt;&gt;"",B1717&lt;&gt;""), A1717&amp;" · "&amp;B1717, "")</f>
        <v/>
      </c>
    </row>
    <row r="1718">
      <c r="A1718" s="6" t="inlineStr">
        <is>
          <t>FY27</t>
        </is>
      </c>
      <c r="B1718" s="6" t="inlineStr">
        <is>
          <t>Apr</t>
        </is>
      </c>
      <c r="C1718" s="6" t="inlineStr">
        <is>
          <t>TN</t>
        </is>
      </c>
      <c r="D1718" s="7" t="inlineStr">
        <is>
          <t>TN38CZ6202</t>
        </is>
      </c>
      <c r="E1718" s="7" t="inlineStr">
        <is>
          <t>TATA</t>
        </is>
      </c>
      <c r="F1718" s="7" t="inlineStr">
        <is>
          <t>Nexon</t>
        </is>
      </c>
      <c r="G1718" s="7" t="inlineStr">
        <is>
          <t>EXCHANGE ROTN</t>
        </is>
      </c>
      <c r="H1718" s="7" t="inlineStr">
        <is>
          <t>Captive</t>
        </is>
      </c>
      <c r="I1718" s="7" t="inlineStr">
        <is>
          <t>YUGA DHEERAN CARS</t>
        </is>
      </c>
      <c r="J1718" s="8" t="n">
        <v>2021</v>
      </c>
      <c r="K1718" s="9" t="n">
        <v>40016</v>
      </c>
      <c r="L1718" s="10" t="n">
        <v>520000</v>
      </c>
      <c r="M1718" s="10" t="n">
        <v>8474.58</v>
      </c>
      <c r="N1718" s="11">
        <f>IF(M1718="","",ROUND(M1718*1.18,2))</f>
        <v/>
      </c>
      <c r="O1718" s="12">
        <f>IF(M1718="","",ROUND(N1718-M1718,2))</f>
        <v/>
      </c>
      <c r="P1718" s="13">
        <f>IF(AND(A1718&lt;&gt;"",B1718&lt;&gt;""), A1718&amp;" · "&amp;B1718, "")</f>
        <v/>
      </c>
    </row>
    <row r="1719">
      <c r="A1719" s="6" t="inlineStr">
        <is>
          <t>FY27</t>
        </is>
      </c>
      <c r="B1719" s="6" t="inlineStr">
        <is>
          <t>Apr</t>
        </is>
      </c>
      <c r="C1719" s="6" t="inlineStr">
        <is>
          <t>TN</t>
        </is>
      </c>
      <c r="D1719" s="7" t="inlineStr">
        <is>
          <t>TN39AV3909</t>
        </is>
      </c>
      <c r="E1719" s="7" t="inlineStr">
        <is>
          <t>MARUTI SUZUKI</t>
        </is>
      </c>
      <c r="F1719" s="7" t="inlineStr">
        <is>
          <t>Dzire</t>
        </is>
      </c>
      <c r="G1719" s="7" t="inlineStr">
        <is>
          <t>CARS INDIA</t>
        </is>
      </c>
      <c r="H1719" s="7" t="inlineStr">
        <is>
          <t>Non-Captive</t>
        </is>
      </c>
      <c r="I1719" s="7" t="inlineStr">
        <is>
          <t>Santhosh Cars</t>
        </is>
      </c>
      <c r="J1719" s="8" t="n">
        <v>2009</v>
      </c>
      <c r="K1719" s="9" t="n">
        <v>182944</v>
      </c>
      <c r="L1719" s="10" t="n">
        <v>150000</v>
      </c>
      <c r="M1719" s="10" t="n">
        <v>5084.75</v>
      </c>
      <c r="N1719" s="11">
        <f>IF(M1719="","",ROUND(M1719*1.18,2))</f>
        <v/>
      </c>
      <c r="O1719" s="12">
        <f>IF(M1719="","",ROUND(N1719-M1719,2))</f>
        <v/>
      </c>
      <c r="P1719" s="13">
        <f>IF(AND(A1719&lt;&gt;"",B1719&lt;&gt;""), A1719&amp;" · "&amp;B1719, "")</f>
        <v/>
      </c>
    </row>
    <row r="1720">
      <c r="A1720" s="6" t="inlineStr">
        <is>
          <t>FY27</t>
        </is>
      </c>
      <c r="B1720" s="6" t="inlineStr">
        <is>
          <t>Apr</t>
        </is>
      </c>
      <c r="C1720" s="6" t="inlineStr">
        <is>
          <t>TN</t>
        </is>
      </c>
      <c r="D1720" s="7" t="inlineStr">
        <is>
          <t>TN39BH3335</t>
        </is>
      </c>
      <c r="E1720" s="7" t="inlineStr">
        <is>
          <t>VOLKSWAGEN</t>
        </is>
      </c>
      <c r="F1720" s="7" t="inlineStr">
        <is>
          <t>Polo</t>
        </is>
      </c>
      <c r="G1720" s="7" t="inlineStr">
        <is>
          <t>EXCHANGE ROTN</t>
        </is>
      </c>
      <c r="H1720" s="7" t="inlineStr">
        <is>
          <t>Captive</t>
        </is>
      </c>
      <c r="I1720" s="7" t="inlineStr">
        <is>
          <t>Raj Cars</t>
        </is>
      </c>
      <c r="J1720" s="8" t="n">
        <v>2013</v>
      </c>
      <c r="K1720" s="9" t="n">
        <v>146702</v>
      </c>
      <c r="L1720" s="10" t="n">
        <v>300000</v>
      </c>
      <c r="M1720" s="10" t="n">
        <v>10169.49</v>
      </c>
      <c r="N1720" s="11">
        <f>IF(M1720="","",ROUND(M1720*1.18,2))</f>
        <v/>
      </c>
      <c r="O1720" s="12">
        <f>IF(M1720="","",ROUND(N1720-M1720,2))</f>
        <v/>
      </c>
      <c r="P1720" s="13">
        <f>IF(AND(A1720&lt;&gt;"",B1720&lt;&gt;""), A1720&amp;" · "&amp;B1720, "")</f>
        <v/>
      </c>
    </row>
    <row r="1721">
      <c r="A1721" s="6" t="inlineStr">
        <is>
          <t>FY27</t>
        </is>
      </c>
      <c r="B1721" s="6" t="inlineStr">
        <is>
          <t>Apr</t>
        </is>
      </c>
      <c r="C1721" s="6" t="inlineStr">
        <is>
          <t>TN</t>
        </is>
      </c>
      <c r="D1721" s="7" t="inlineStr">
        <is>
          <t>TN39BK8771</t>
        </is>
      </c>
      <c r="E1721" s="7" t="inlineStr">
        <is>
          <t>TATA</t>
        </is>
      </c>
      <c r="F1721" s="7" t="inlineStr">
        <is>
          <t>Nano</t>
        </is>
      </c>
      <c r="G1721" s="7" t="inlineStr">
        <is>
          <t>EXCHANGE ROTN</t>
        </is>
      </c>
      <c r="H1721" s="7" t="inlineStr">
        <is>
          <t>Captive</t>
        </is>
      </c>
      <c r="I1721" s="7" t="inlineStr">
        <is>
          <t>Dheera Cars</t>
        </is>
      </c>
      <c r="J1721" s="8" t="n">
        <v>2013</v>
      </c>
      <c r="K1721" s="9" t="n">
        <v>68375</v>
      </c>
      <c r="L1721" s="10" t="n">
        <v>90000</v>
      </c>
      <c r="M1721" s="10" t="n">
        <v>4237.29</v>
      </c>
      <c r="N1721" s="11">
        <f>IF(M1721="","",ROUND(M1721*1.18,2))</f>
        <v/>
      </c>
      <c r="O1721" s="12">
        <f>IF(M1721="","",ROUND(N1721-M1721,2))</f>
        <v/>
      </c>
      <c r="P1721" s="13">
        <f>IF(AND(A1721&lt;&gt;"",B1721&lt;&gt;""), A1721&amp;" · "&amp;B1721, "")</f>
        <v/>
      </c>
    </row>
    <row r="1722">
      <c r="A1722" s="6" t="inlineStr">
        <is>
          <t>FY27</t>
        </is>
      </c>
      <c r="B1722" s="6" t="inlineStr">
        <is>
          <t>Apr</t>
        </is>
      </c>
      <c r="C1722" s="6" t="inlineStr">
        <is>
          <t>TN</t>
        </is>
      </c>
      <c r="D1722" s="7" t="inlineStr">
        <is>
          <t>TN39BR7299</t>
        </is>
      </c>
      <c r="E1722" s="7" t="inlineStr">
        <is>
          <t>HONDA</t>
        </is>
      </c>
      <c r="F1722" s="7" t="inlineStr">
        <is>
          <t>City</t>
        </is>
      </c>
      <c r="G1722" s="7" t="inlineStr">
        <is>
          <t>EXCHANGE ROTN</t>
        </is>
      </c>
      <c r="H1722" s="7" t="inlineStr">
        <is>
          <t>Captive</t>
        </is>
      </c>
      <c r="I1722" s="7" t="inlineStr">
        <is>
          <t>SRI RAJA KANAPATHY CARS</t>
        </is>
      </c>
      <c r="J1722" s="8" t="n">
        <v>2015</v>
      </c>
      <c r="K1722" s="9" t="n">
        <v>204533</v>
      </c>
      <c r="L1722" s="10" t="n">
        <v>420000</v>
      </c>
      <c r="M1722" s="10" t="n">
        <v>10169.49</v>
      </c>
      <c r="N1722" s="11">
        <f>IF(M1722="","",ROUND(M1722*1.18,2))</f>
        <v/>
      </c>
      <c r="O1722" s="12">
        <f>IF(M1722="","",ROUND(N1722-M1722,2))</f>
        <v/>
      </c>
      <c r="P1722" s="13">
        <f>IF(AND(A1722&lt;&gt;"",B1722&lt;&gt;""), A1722&amp;" · "&amp;B1722, "")</f>
        <v/>
      </c>
    </row>
    <row r="1723">
      <c r="A1723" s="6" t="inlineStr">
        <is>
          <t>FY27</t>
        </is>
      </c>
      <c r="B1723" s="6" t="inlineStr">
        <is>
          <t>Apr</t>
        </is>
      </c>
      <c r="C1723" s="6" t="inlineStr">
        <is>
          <t>TN</t>
        </is>
      </c>
      <c r="D1723" s="7" t="inlineStr">
        <is>
          <t>TN40AC7205</t>
        </is>
      </c>
      <c r="E1723" s="7" t="inlineStr">
        <is>
          <t>TATA</t>
        </is>
      </c>
      <c r="F1723" s="7" t="inlineStr">
        <is>
          <t>Nexon</t>
        </is>
      </c>
      <c r="G1723" s="7" t="inlineStr">
        <is>
          <t>EXCHANGE ROTN</t>
        </is>
      </c>
      <c r="H1723" s="7" t="inlineStr">
        <is>
          <t>Captive</t>
        </is>
      </c>
      <c r="I1723" s="7" t="inlineStr">
        <is>
          <t>Auto Solution</t>
        </is>
      </c>
      <c r="J1723" s="8" t="n">
        <v>2023</v>
      </c>
      <c r="K1723" s="9" t="n">
        <v>85574</v>
      </c>
      <c r="L1723" s="10" t="n">
        <v>650000</v>
      </c>
      <c r="M1723" s="10" t="n">
        <v>4237.29</v>
      </c>
      <c r="N1723" s="11">
        <f>IF(M1723="","",ROUND(M1723*1.18,2))</f>
        <v/>
      </c>
      <c r="O1723" s="12">
        <f>IF(M1723="","",ROUND(N1723-M1723,2))</f>
        <v/>
      </c>
      <c r="P1723" s="13">
        <f>IF(AND(A1723&lt;&gt;"",B1723&lt;&gt;""), A1723&amp;" · "&amp;B1723, "")</f>
        <v/>
      </c>
    </row>
    <row r="1724">
      <c r="A1724" s="6" t="inlineStr">
        <is>
          <t>FY27</t>
        </is>
      </c>
      <c r="B1724" s="6" t="inlineStr">
        <is>
          <t>Apr</t>
        </is>
      </c>
      <c r="C1724" s="6" t="inlineStr">
        <is>
          <t>TN</t>
        </is>
      </c>
      <c r="D1724" s="7" t="inlineStr">
        <is>
          <t>TN43F8134</t>
        </is>
      </c>
      <c r="E1724" s="7" t="inlineStr">
        <is>
          <t>MARUTI SUZUKI</t>
        </is>
      </c>
      <c r="F1724" s="7" t="inlineStr">
        <is>
          <t>Swift</t>
        </is>
      </c>
      <c r="G1724" s="7" t="inlineStr">
        <is>
          <t>EXCHANGE ROTN</t>
        </is>
      </c>
      <c r="H1724" s="7" t="inlineStr">
        <is>
          <t>Captive</t>
        </is>
      </c>
      <c r="I1724" s="7" t="inlineStr">
        <is>
          <t>Gugha Cars</t>
        </is>
      </c>
      <c r="J1724" s="8" t="n">
        <v>2015</v>
      </c>
      <c r="K1724" s="9" t="n">
        <v>98430</v>
      </c>
      <c r="L1724" s="10" t="n">
        <v>420000</v>
      </c>
      <c r="M1724" s="10" t="n">
        <v>4237.29</v>
      </c>
      <c r="N1724" s="11">
        <f>IF(M1724="","",ROUND(M1724*1.18,2))</f>
        <v/>
      </c>
      <c r="O1724" s="12">
        <f>IF(M1724="","",ROUND(N1724-M1724,2))</f>
        <v/>
      </c>
      <c r="P1724" s="13">
        <f>IF(AND(A1724&lt;&gt;"",B1724&lt;&gt;""), A1724&amp;" · "&amp;B1724, "")</f>
        <v/>
      </c>
    </row>
    <row r="1725">
      <c r="A1725" s="6" t="inlineStr">
        <is>
          <t>FY27</t>
        </is>
      </c>
      <c r="B1725" s="6" t="inlineStr">
        <is>
          <t>Apr</t>
        </is>
      </c>
      <c r="C1725" s="6" t="inlineStr">
        <is>
          <t>TN</t>
        </is>
      </c>
      <c r="D1725" s="7" t="inlineStr">
        <is>
          <t>TN45AY9672</t>
        </is>
      </c>
      <c r="E1725" s="7" t="inlineStr">
        <is>
          <t>HYUNDAI</t>
        </is>
      </c>
      <c r="F1725" s="7" t="inlineStr">
        <is>
          <t>i10</t>
        </is>
      </c>
      <c r="G1725" s="7" t="inlineStr">
        <is>
          <t>VISHNU CARS PRIVATE LIMITED</t>
        </is>
      </c>
      <c r="H1725" s="7" t="inlineStr">
        <is>
          <t>Non-Captive</t>
        </is>
      </c>
      <c r="I1725" s="7" t="inlineStr">
        <is>
          <t>Essar Preowned Cars</t>
        </is>
      </c>
      <c r="J1725" s="8" t="n">
        <v>2009</v>
      </c>
      <c r="K1725" s="9" t="n">
        <v>86945</v>
      </c>
      <c r="L1725" s="10" t="n">
        <v>130000</v>
      </c>
      <c r="M1725" s="10" t="n">
        <v>2542.37</v>
      </c>
      <c r="N1725" s="11">
        <f>IF(M1725="","",ROUND(M1725*1.18,2))</f>
        <v/>
      </c>
      <c r="O1725" s="12">
        <f>IF(M1725="","",ROUND(N1725-M1725,2))</f>
        <v/>
      </c>
      <c r="P1725" s="13">
        <f>IF(AND(A1725&lt;&gt;"",B1725&lt;&gt;""), A1725&amp;" · "&amp;B1725, "")</f>
        <v/>
      </c>
    </row>
    <row r="1726">
      <c r="A1726" s="6" t="inlineStr">
        <is>
          <t>FY27</t>
        </is>
      </c>
      <c r="B1726" s="6" t="inlineStr">
        <is>
          <t>Apr</t>
        </is>
      </c>
      <c r="C1726" s="6" t="inlineStr">
        <is>
          <t>TN</t>
        </is>
      </c>
      <c r="D1726" s="7" t="inlineStr">
        <is>
          <t>TN47AK6867</t>
        </is>
      </c>
      <c r="E1726" s="7" t="inlineStr">
        <is>
          <t>HONDA</t>
        </is>
      </c>
      <c r="F1726" s="7" t="inlineStr">
        <is>
          <t>WR-V</t>
        </is>
      </c>
      <c r="G1726" s="7" t="inlineStr">
        <is>
          <t>EXCHANGE ROTN</t>
        </is>
      </c>
      <c r="H1726" s="7" t="inlineStr">
        <is>
          <t>Captive</t>
        </is>
      </c>
      <c r="I1726" s="7" t="inlineStr">
        <is>
          <t>Sarvesh Cars</t>
        </is>
      </c>
      <c r="J1726" s="8" t="n">
        <v>2018</v>
      </c>
      <c r="K1726" s="9" t="n">
        <v>89620</v>
      </c>
      <c r="L1726" s="10" t="n">
        <v>670000</v>
      </c>
      <c r="M1726" s="10" t="n">
        <v>4237.29</v>
      </c>
      <c r="N1726" s="11">
        <f>IF(M1726="","",ROUND(M1726*1.18,2))</f>
        <v/>
      </c>
      <c r="O1726" s="12">
        <f>IF(M1726="","",ROUND(N1726-M1726,2))</f>
        <v/>
      </c>
      <c r="P1726" s="13">
        <f>IF(AND(A1726&lt;&gt;"",B1726&lt;&gt;""), A1726&amp;" · "&amp;B1726, "")</f>
        <v/>
      </c>
    </row>
    <row r="1727">
      <c r="A1727" s="6" t="inlineStr">
        <is>
          <t>FY27</t>
        </is>
      </c>
      <c r="B1727" s="6" t="inlineStr">
        <is>
          <t>Apr</t>
        </is>
      </c>
      <c r="C1727" s="6" t="inlineStr">
        <is>
          <t>TN</t>
        </is>
      </c>
      <c r="D1727" s="7" t="inlineStr">
        <is>
          <t>TN49BY4821</t>
        </is>
      </c>
      <c r="E1727" s="7" t="inlineStr">
        <is>
          <t>HONDA</t>
        </is>
      </c>
      <c r="F1727" s="7" t="inlineStr">
        <is>
          <t>Amaze</t>
        </is>
      </c>
      <c r="G1727" s="7" t="inlineStr">
        <is>
          <t>EXCHANGE ROTN</t>
        </is>
      </c>
      <c r="H1727" s="7" t="inlineStr">
        <is>
          <t>Captive</t>
        </is>
      </c>
      <c r="I1727" s="7" t="inlineStr">
        <is>
          <t>Sivashankar Cars</t>
        </is>
      </c>
      <c r="J1727" s="8" t="n">
        <v>2015</v>
      </c>
      <c r="K1727" s="9" t="n">
        <v>121269</v>
      </c>
      <c r="L1727" s="10" t="n">
        <v>300000</v>
      </c>
      <c r="M1727" s="10" t="n">
        <v>4237.29</v>
      </c>
      <c r="N1727" s="11">
        <f>IF(M1727="","",ROUND(M1727*1.18,2))</f>
        <v/>
      </c>
      <c r="O1727" s="12">
        <f>IF(M1727="","",ROUND(N1727-M1727,2))</f>
        <v/>
      </c>
      <c r="P1727" s="13">
        <f>IF(AND(A1727&lt;&gt;"",B1727&lt;&gt;""), A1727&amp;" · "&amp;B1727, "")</f>
        <v/>
      </c>
    </row>
    <row r="1728">
      <c r="A1728" s="6" t="inlineStr">
        <is>
          <t>FY27</t>
        </is>
      </c>
      <c r="B1728" s="6" t="inlineStr">
        <is>
          <t>Apr</t>
        </is>
      </c>
      <c r="C1728" s="6" t="inlineStr">
        <is>
          <t>TN</t>
        </is>
      </c>
      <c r="D1728" s="7" t="inlineStr">
        <is>
          <t>TN52F3535</t>
        </is>
      </c>
      <c r="E1728" s="7" t="inlineStr">
        <is>
          <t>MARUTI SUZUKI</t>
        </is>
      </c>
      <c r="F1728" s="7" t="inlineStr">
        <is>
          <t>Dzire</t>
        </is>
      </c>
      <c r="G1728" s="7" t="inlineStr">
        <is>
          <t>EXCHANGE ROTN</t>
        </is>
      </c>
      <c r="H1728" s="7" t="inlineStr">
        <is>
          <t>Captive</t>
        </is>
      </c>
      <c r="I1728" s="7" t="inlineStr">
        <is>
          <t>Sivashankar Cars</t>
        </is>
      </c>
      <c r="J1728" s="8" t="n">
        <v>2014</v>
      </c>
      <c r="K1728" s="9" t="n">
        <v>99578</v>
      </c>
      <c r="L1728" s="10" t="n">
        <v>325000</v>
      </c>
      <c r="M1728" s="10" t="n">
        <v>4237.29</v>
      </c>
      <c r="N1728" s="11">
        <f>IF(M1728="","",ROUND(M1728*1.18,2))</f>
        <v/>
      </c>
      <c r="O1728" s="12">
        <f>IF(M1728="","",ROUND(N1728-M1728,2))</f>
        <v/>
      </c>
      <c r="P1728" s="13">
        <f>IF(AND(A1728&lt;&gt;"",B1728&lt;&gt;""), A1728&amp;" · "&amp;B1728, "")</f>
        <v/>
      </c>
    </row>
    <row r="1729">
      <c r="A1729" s="6" t="inlineStr">
        <is>
          <t>FY27</t>
        </is>
      </c>
      <c r="B1729" s="6" t="inlineStr">
        <is>
          <t>Apr</t>
        </is>
      </c>
      <c r="C1729" s="6" t="inlineStr">
        <is>
          <t>TN</t>
        </is>
      </c>
      <c r="D1729" s="7" t="inlineStr">
        <is>
          <t>TN54D1282</t>
        </is>
      </c>
      <c r="E1729" s="7" t="inlineStr">
        <is>
          <t>FORD</t>
        </is>
      </c>
      <c r="F1729" s="7" t="inlineStr">
        <is>
          <t>Figo</t>
        </is>
      </c>
      <c r="G1729" s="7" t="inlineStr">
        <is>
          <t>VISHNU CARS PRIVATE LIMITED</t>
        </is>
      </c>
      <c r="H1729" s="7" t="inlineStr">
        <is>
          <t>Non-Captive</t>
        </is>
      </c>
      <c r="I1729" s="7" t="inlineStr">
        <is>
          <t>Cars24</t>
        </is>
      </c>
      <c r="J1729" s="8" t="n">
        <v>2011</v>
      </c>
      <c r="K1729" s="9" t="n">
        <v>147595</v>
      </c>
      <c r="L1729" s="10" t="n">
        <v>80000</v>
      </c>
      <c r="M1729" s="10" t="n">
        <v>4237.29</v>
      </c>
      <c r="N1729" s="11">
        <f>IF(M1729="","",ROUND(M1729*1.18,2))</f>
        <v/>
      </c>
      <c r="O1729" s="12">
        <f>IF(M1729="","",ROUND(N1729-M1729,2))</f>
        <v/>
      </c>
      <c r="P1729" s="13">
        <f>IF(AND(A1729&lt;&gt;"",B1729&lt;&gt;""), A1729&amp;" · "&amp;B1729, "")</f>
        <v/>
      </c>
    </row>
    <row r="1730">
      <c r="A1730" s="6" t="inlineStr">
        <is>
          <t>FY27</t>
        </is>
      </c>
      <c r="B1730" s="6" t="inlineStr">
        <is>
          <t>Apr</t>
        </is>
      </c>
      <c r="C1730" s="6" t="inlineStr">
        <is>
          <t>TN</t>
        </is>
      </c>
      <c r="D1730" s="7" t="inlineStr">
        <is>
          <t>TN57AT4394</t>
        </is>
      </c>
      <c r="E1730" s="7" t="inlineStr">
        <is>
          <t>HYUNDAI</t>
        </is>
      </c>
      <c r="F1730" s="7" t="inlineStr">
        <is>
          <t>i10</t>
        </is>
      </c>
      <c r="G1730" s="7" t="inlineStr">
        <is>
          <t>EXCHANGE ROTN</t>
        </is>
      </c>
      <c r="H1730" s="7" t="inlineStr">
        <is>
          <t>Captive</t>
        </is>
      </c>
      <c r="I1730" s="7" t="inlineStr">
        <is>
          <t>KSM Auto Consulting</t>
        </is>
      </c>
      <c r="J1730" s="8" t="n">
        <v>2013</v>
      </c>
      <c r="K1730" s="9" t="n">
        <v>129522</v>
      </c>
      <c r="L1730" s="10" t="n">
        <v>170000</v>
      </c>
      <c r="M1730" s="10" t="n">
        <v>4237.29</v>
      </c>
      <c r="N1730" s="11">
        <f>IF(M1730="","",ROUND(M1730*1.18,2))</f>
        <v/>
      </c>
      <c r="O1730" s="12">
        <f>IF(M1730="","",ROUND(N1730-M1730,2))</f>
        <v/>
      </c>
      <c r="P1730" s="13">
        <f>IF(AND(A1730&lt;&gt;"",B1730&lt;&gt;""), A1730&amp;" · "&amp;B1730, "")</f>
        <v/>
      </c>
    </row>
    <row r="1731">
      <c r="A1731" s="6" t="inlineStr">
        <is>
          <t>FY27</t>
        </is>
      </c>
      <c r="B1731" s="6" t="inlineStr">
        <is>
          <t>Apr</t>
        </is>
      </c>
      <c r="C1731" s="6" t="inlineStr">
        <is>
          <t>TN</t>
        </is>
      </c>
      <c r="D1731" s="7" t="inlineStr">
        <is>
          <t>TN57P1158</t>
        </is>
      </c>
      <c r="E1731" s="7" t="inlineStr">
        <is>
          <t>FORD</t>
        </is>
      </c>
      <c r="F1731" s="7" t="inlineStr">
        <is>
          <t>Fusion</t>
        </is>
      </c>
      <c r="G1731" s="7" t="inlineStr">
        <is>
          <t>EXCHANGE ROTN</t>
        </is>
      </c>
      <c r="H1731" s="7" t="inlineStr">
        <is>
          <t>Captive</t>
        </is>
      </c>
      <c r="I1731" s="7" t="inlineStr">
        <is>
          <t>Auto Motivators</t>
        </is>
      </c>
      <c r="J1731" s="8" t="n">
        <v>2008</v>
      </c>
      <c r="K1731" s="9" t="n">
        <v>274782</v>
      </c>
      <c r="L1731" s="10" t="n">
        <v>100000</v>
      </c>
      <c r="M1731" s="10" t="n">
        <v>4237.29</v>
      </c>
      <c r="N1731" s="11">
        <f>IF(M1731="","",ROUND(M1731*1.18,2))</f>
        <v/>
      </c>
      <c r="O1731" s="12">
        <f>IF(M1731="","",ROUND(N1731-M1731,2))</f>
        <v/>
      </c>
      <c r="P1731" s="13">
        <f>IF(AND(A1731&lt;&gt;"",B1731&lt;&gt;""), A1731&amp;" · "&amp;B1731, "")</f>
        <v/>
      </c>
    </row>
    <row r="1732">
      <c r="A1732" s="6" t="inlineStr">
        <is>
          <t>FY27</t>
        </is>
      </c>
      <c r="B1732" s="6" t="inlineStr">
        <is>
          <t>Apr</t>
        </is>
      </c>
      <c r="C1732" s="6" t="inlineStr">
        <is>
          <t>TN</t>
        </is>
      </c>
      <c r="D1732" s="7" t="inlineStr">
        <is>
          <t>TN58AL8330</t>
        </is>
      </c>
      <c r="E1732" s="7" t="inlineStr">
        <is>
          <t>MARUTI SUZUKI</t>
        </is>
      </c>
      <c r="F1732" s="7" t="inlineStr">
        <is>
          <t>Dzire</t>
        </is>
      </c>
      <c r="G1732" s="7" t="inlineStr">
        <is>
          <t>EXCHANGE ROTN</t>
        </is>
      </c>
      <c r="H1732" s="7" t="inlineStr">
        <is>
          <t>Captive</t>
        </is>
      </c>
      <c r="I1732" s="7" t="inlineStr">
        <is>
          <t>Value Cars</t>
        </is>
      </c>
      <c r="J1732" s="8" t="n">
        <v>2016</v>
      </c>
      <c r="K1732" s="9" t="n">
        <v>94979</v>
      </c>
      <c r="L1732" s="10" t="n">
        <v>335000</v>
      </c>
      <c r="M1732" s="10" t="n">
        <v>8474.58</v>
      </c>
      <c r="N1732" s="11">
        <f>IF(M1732="","",ROUND(M1732*1.18,2))</f>
        <v/>
      </c>
      <c r="O1732" s="12">
        <f>IF(M1732="","",ROUND(N1732-M1732,2))</f>
        <v/>
      </c>
      <c r="P1732" s="13">
        <f>IF(AND(A1732&lt;&gt;"",B1732&lt;&gt;""), A1732&amp;" · "&amp;B1732, "")</f>
        <v/>
      </c>
    </row>
    <row r="1733">
      <c r="A1733" s="6" t="inlineStr">
        <is>
          <t>FY27</t>
        </is>
      </c>
      <c r="B1733" s="6" t="inlineStr">
        <is>
          <t>Apr</t>
        </is>
      </c>
      <c r="C1733" s="6" t="inlineStr">
        <is>
          <t>TN</t>
        </is>
      </c>
      <c r="D1733" s="7" t="inlineStr">
        <is>
          <t>TN58BA4347</t>
        </is>
      </c>
      <c r="E1733" s="7" t="inlineStr">
        <is>
          <t>HONDA</t>
        </is>
      </c>
      <c r="F1733" s="7" t="inlineStr">
        <is>
          <t>Amaze</t>
        </is>
      </c>
      <c r="G1733" s="7" t="inlineStr">
        <is>
          <t>EXCHANGE ROTN</t>
        </is>
      </c>
      <c r="H1733" s="7" t="inlineStr">
        <is>
          <t>Captive</t>
        </is>
      </c>
      <c r="I1733" s="7" t="inlineStr">
        <is>
          <t>AV Cars</t>
        </is>
      </c>
      <c r="J1733" s="8" t="n">
        <v>2018</v>
      </c>
      <c r="K1733" s="9" t="n">
        <v>94318</v>
      </c>
      <c r="L1733" s="10" t="n">
        <v>440000</v>
      </c>
      <c r="M1733" s="10" t="n">
        <v>12711.86</v>
      </c>
      <c r="N1733" s="11">
        <f>IF(M1733="","",ROUND(M1733*1.18,2))</f>
        <v/>
      </c>
      <c r="O1733" s="12">
        <f>IF(M1733="","",ROUND(N1733-M1733,2))</f>
        <v/>
      </c>
      <c r="P1733" s="13">
        <f>IF(AND(A1733&lt;&gt;"",B1733&lt;&gt;""), A1733&amp;" · "&amp;B1733, "")</f>
        <v/>
      </c>
    </row>
    <row r="1734">
      <c r="A1734" s="6" t="inlineStr">
        <is>
          <t>FY27</t>
        </is>
      </c>
      <c r="B1734" s="6" t="inlineStr">
        <is>
          <t>Apr</t>
        </is>
      </c>
      <c r="C1734" s="6" t="inlineStr">
        <is>
          <t>TN</t>
        </is>
      </c>
      <c r="D1734" s="7" t="inlineStr">
        <is>
          <t>TN58BF1755</t>
        </is>
      </c>
      <c r="E1734" s="7" t="inlineStr">
        <is>
          <t>HYUNDAI</t>
        </is>
      </c>
      <c r="F1734" s="7" t="inlineStr">
        <is>
          <t>Santro</t>
        </is>
      </c>
      <c r="G1734" s="7" t="inlineStr">
        <is>
          <t>EXCHANGE ROTN</t>
        </is>
      </c>
      <c r="H1734" s="7" t="inlineStr">
        <is>
          <t>Captive</t>
        </is>
      </c>
      <c r="I1734" s="7" t="inlineStr">
        <is>
          <t>AV Cars</t>
        </is>
      </c>
      <c r="J1734" s="8" t="n">
        <v>2021</v>
      </c>
      <c r="K1734" s="9" t="n">
        <v>69370</v>
      </c>
      <c r="L1734" s="10" t="n">
        <v>370000</v>
      </c>
      <c r="M1734" s="10" t="n">
        <v>4237.29</v>
      </c>
      <c r="N1734" s="11">
        <f>IF(M1734="","",ROUND(M1734*1.18,2))</f>
        <v/>
      </c>
      <c r="O1734" s="12">
        <f>IF(M1734="","",ROUND(N1734-M1734,2))</f>
        <v/>
      </c>
      <c r="P1734" s="13">
        <f>IF(AND(A1734&lt;&gt;"",B1734&lt;&gt;""), A1734&amp;" · "&amp;B1734, "")</f>
        <v/>
      </c>
    </row>
    <row r="1735">
      <c r="A1735" s="6" t="inlineStr">
        <is>
          <t>FY27</t>
        </is>
      </c>
      <c r="B1735" s="6" t="inlineStr">
        <is>
          <t>Apr</t>
        </is>
      </c>
      <c r="C1735" s="6" t="inlineStr">
        <is>
          <t>TN</t>
        </is>
      </c>
      <c r="D1735" s="7" t="inlineStr">
        <is>
          <t>TN60AU8989</t>
        </is>
      </c>
      <c r="E1735" s="7" t="inlineStr">
        <is>
          <t>HONDA</t>
        </is>
      </c>
      <c r="F1735" s="7" t="inlineStr">
        <is>
          <t>City</t>
        </is>
      </c>
      <c r="G1735" s="7" t="inlineStr">
        <is>
          <t>EXCHANGE ROTN</t>
        </is>
      </c>
      <c r="H1735" s="7" t="inlineStr">
        <is>
          <t>Captive</t>
        </is>
      </c>
      <c r="I1735" s="7" t="inlineStr">
        <is>
          <t>MR Motors</t>
        </is>
      </c>
      <c r="J1735" s="8" t="n">
        <v>2021</v>
      </c>
      <c r="K1735" s="9" t="n">
        <v>131882</v>
      </c>
      <c r="L1735" s="10" t="n">
        <v>700000</v>
      </c>
      <c r="M1735" s="10" t="n">
        <v>12711.86</v>
      </c>
      <c r="N1735" s="11">
        <f>IF(M1735="","",ROUND(M1735*1.18,2))</f>
        <v/>
      </c>
      <c r="O1735" s="12">
        <f>IF(M1735="","",ROUND(N1735-M1735,2))</f>
        <v/>
      </c>
      <c r="P1735" s="13">
        <f>IF(AND(A1735&lt;&gt;"",B1735&lt;&gt;""), A1735&amp;" · "&amp;B1735, "")</f>
        <v/>
      </c>
    </row>
    <row r="1736">
      <c r="A1736" s="6" t="inlineStr">
        <is>
          <t>FY27</t>
        </is>
      </c>
      <c r="B1736" s="6" t="inlineStr">
        <is>
          <t>Apr</t>
        </is>
      </c>
      <c r="C1736" s="6" t="inlineStr">
        <is>
          <t>TN</t>
        </is>
      </c>
      <c r="D1736" s="7" t="inlineStr">
        <is>
          <t>TN63BP2846</t>
        </is>
      </c>
      <c r="E1736" s="7" t="inlineStr">
        <is>
          <t>MARUTI SUZUKI</t>
        </is>
      </c>
      <c r="F1736" s="7" t="inlineStr">
        <is>
          <t>S-Presso</t>
        </is>
      </c>
      <c r="G1736" s="7" t="inlineStr">
        <is>
          <t>EXCHANGE ROTN</t>
        </is>
      </c>
      <c r="H1736" s="7" t="inlineStr">
        <is>
          <t>Captive</t>
        </is>
      </c>
      <c r="I1736" s="7" t="inlineStr">
        <is>
          <t>GOWTHAM CARS</t>
        </is>
      </c>
      <c r="J1736" s="8" t="n">
        <v>2022</v>
      </c>
      <c r="K1736" s="9" t="n">
        <v>59984</v>
      </c>
      <c r="L1736" s="10" t="n">
        <v>345000</v>
      </c>
      <c r="M1736" s="10" t="n">
        <v>12711.86</v>
      </c>
      <c r="N1736" s="11">
        <f>IF(M1736="","",ROUND(M1736*1.18,2))</f>
        <v/>
      </c>
      <c r="O1736" s="12">
        <f>IF(M1736="","",ROUND(N1736-M1736,2))</f>
        <v/>
      </c>
      <c r="P1736" s="13">
        <f>IF(AND(A1736&lt;&gt;"",B1736&lt;&gt;""), A1736&amp;" · "&amp;B1736, "")</f>
        <v/>
      </c>
    </row>
    <row r="1737">
      <c r="A1737" s="6" t="inlineStr">
        <is>
          <t>FY27</t>
        </is>
      </c>
      <c r="B1737" s="6" t="inlineStr">
        <is>
          <t>Apr</t>
        </is>
      </c>
      <c r="C1737" s="6" t="inlineStr">
        <is>
          <t>TN</t>
        </is>
      </c>
      <c r="D1737" s="7" t="inlineStr">
        <is>
          <t>TN66AK4623</t>
        </is>
      </c>
      <c r="E1737" s="7" t="inlineStr">
        <is>
          <t>MARUTI SUZUKI</t>
        </is>
      </c>
      <c r="F1737" s="7" t="inlineStr">
        <is>
          <t>Ertiga</t>
        </is>
      </c>
      <c r="G1737" s="7" t="inlineStr">
        <is>
          <t>EXCHANGE ROTN</t>
        </is>
      </c>
      <c r="H1737" s="7" t="inlineStr">
        <is>
          <t>Captive</t>
        </is>
      </c>
      <c r="I1737" s="7" t="inlineStr">
        <is>
          <t>Gugha Cars</t>
        </is>
      </c>
      <c r="J1737" s="8" t="n">
        <v>2022</v>
      </c>
      <c r="K1737" s="9" t="n">
        <v>56619</v>
      </c>
      <c r="L1737" s="10" t="n">
        <v>950000</v>
      </c>
      <c r="M1737" s="10" t="n">
        <v>4237.29</v>
      </c>
      <c r="N1737" s="11">
        <f>IF(M1737="","",ROUND(M1737*1.18,2))</f>
        <v/>
      </c>
      <c r="O1737" s="12">
        <f>IF(M1737="","",ROUND(N1737-M1737,2))</f>
        <v/>
      </c>
      <c r="P1737" s="13">
        <f>IF(AND(A1737&lt;&gt;"",B1737&lt;&gt;""), A1737&amp;" · "&amp;B1737, "")</f>
        <v/>
      </c>
    </row>
    <row r="1738">
      <c r="A1738" s="6" t="inlineStr">
        <is>
          <t>FY27</t>
        </is>
      </c>
      <c r="B1738" s="6" t="inlineStr">
        <is>
          <t>Apr</t>
        </is>
      </c>
      <c r="C1738" s="6" t="inlineStr">
        <is>
          <t>TN</t>
        </is>
      </c>
      <c r="D1738" s="7" t="inlineStr">
        <is>
          <t>TN66AS6954</t>
        </is>
      </c>
      <c r="E1738" s="7" t="inlineStr">
        <is>
          <t>MARUTI SUZUKI</t>
        </is>
      </c>
      <c r="F1738" s="7" t="inlineStr">
        <is>
          <t>Swift</t>
        </is>
      </c>
      <c r="G1738" s="7" t="inlineStr">
        <is>
          <t>EXCHANGE ROTN</t>
        </is>
      </c>
      <c r="H1738" s="7" t="inlineStr">
        <is>
          <t>Captive</t>
        </is>
      </c>
      <c r="I1738" s="7" t="inlineStr">
        <is>
          <t>YUGA DHEERAN CARS</t>
        </is>
      </c>
      <c r="J1738" s="8" t="n">
        <v>2024</v>
      </c>
      <c r="K1738" s="9" t="n">
        <v>11144</v>
      </c>
      <c r="L1738" s="10" t="n">
        <v>550000</v>
      </c>
      <c r="M1738" s="10" t="n">
        <v>12711.86</v>
      </c>
      <c r="N1738" s="11">
        <f>IF(M1738="","",ROUND(M1738*1.18,2))</f>
        <v/>
      </c>
      <c r="O1738" s="12">
        <f>IF(M1738="","",ROUND(N1738-M1738,2))</f>
        <v/>
      </c>
      <c r="P1738" s="13">
        <f>IF(AND(A1738&lt;&gt;"",B1738&lt;&gt;""), A1738&amp;" · "&amp;B1738, "")</f>
        <v/>
      </c>
    </row>
    <row r="1739">
      <c r="A1739" s="6" t="inlineStr">
        <is>
          <t>FY27</t>
        </is>
      </c>
      <c r="B1739" s="6" t="inlineStr">
        <is>
          <t>Apr</t>
        </is>
      </c>
      <c r="C1739" s="6" t="inlineStr">
        <is>
          <t>TN</t>
        </is>
      </c>
      <c r="D1739" s="7" t="inlineStr">
        <is>
          <t>TN66F3033</t>
        </is>
      </c>
      <c r="E1739" s="7" t="inlineStr">
        <is>
          <t>FORD</t>
        </is>
      </c>
      <c r="F1739" s="7" t="inlineStr">
        <is>
          <t>Figo</t>
        </is>
      </c>
      <c r="G1739" s="7" t="inlineStr">
        <is>
          <t>EXCHANGE ROTN</t>
        </is>
      </c>
      <c r="H1739" s="7" t="inlineStr">
        <is>
          <t>Captive</t>
        </is>
      </c>
      <c r="I1739" s="7" t="inlineStr">
        <is>
          <t>Dheera Cars</t>
        </is>
      </c>
      <c r="J1739" s="8" t="n">
        <v>2012</v>
      </c>
      <c r="K1739" s="9" t="n">
        <v>157283</v>
      </c>
      <c r="L1739" s="10" t="n">
        <v>110000</v>
      </c>
      <c r="M1739" s="10" t="n">
        <v>4237.29</v>
      </c>
      <c r="N1739" s="11">
        <f>IF(M1739="","",ROUND(M1739*1.18,2))</f>
        <v/>
      </c>
      <c r="O1739" s="12">
        <f>IF(M1739="","",ROUND(N1739-M1739,2))</f>
        <v/>
      </c>
      <c r="P1739" s="13">
        <f>IF(AND(A1739&lt;&gt;"",B1739&lt;&gt;""), A1739&amp;" · "&amp;B1739, "")</f>
        <v/>
      </c>
    </row>
    <row r="1740">
      <c r="A1740" s="6" t="inlineStr">
        <is>
          <t>FY27</t>
        </is>
      </c>
      <c r="B1740" s="6" t="inlineStr">
        <is>
          <t>Apr</t>
        </is>
      </c>
      <c r="C1740" s="6" t="inlineStr">
        <is>
          <t>TN</t>
        </is>
      </c>
      <c r="D1740" s="7" t="inlineStr">
        <is>
          <t>TN66J1179</t>
        </is>
      </c>
      <c r="E1740" s="7" t="inlineStr">
        <is>
          <t>NISSAN</t>
        </is>
      </c>
      <c r="F1740" s="7" t="inlineStr">
        <is>
          <t>Sunny</t>
        </is>
      </c>
      <c r="G1740" s="7" t="inlineStr">
        <is>
          <t>EXCHANGE ROTN</t>
        </is>
      </c>
      <c r="H1740" s="7" t="inlineStr">
        <is>
          <t>Captive</t>
        </is>
      </c>
      <c r="I1740" s="7" t="inlineStr">
        <is>
          <t>YUGA DHEERAN CARS</t>
        </is>
      </c>
      <c r="J1740" s="8" t="n">
        <v>2013</v>
      </c>
      <c r="K1740" s="9" t="n">
        <v>128267</v>
      </c>
      <c r="L1740" s="10" t="n">
        <v>300000</v>
      </c>
      <c r="M1740" s="10" t="n">
        <v>4237.29</v>
      </c>
      <c r="N1740" s="11">
        <f>IF(M1740="","",ROUND(M1740*1.18,2))</f>
        <v/>
      </c>
      <c r="O1740" s="12">
        <f>IF(M1740="","",ROUND(N1740-M1740,2))</f>
        <v/>
      </c>
      <c r="P1740" s="13">
        <f>IF(AND(A1740&lt;&gt;"",B1740&lt;&gt;""), A1740&amp;" · "&amp;B1740, "")</f>
        <v/>
      </c>
    </row>
    <row r="1741">
      <c r="A1741" s="6" t="inlineStr">
        <is>
          <t>FY27</t>
        </is>
      </c>
      <c r="B1741" s="6" t="inlineStr">
        <is>
          <t>Apr</t>
        </is>
      </c>
      <c r="C1741" s="6" t="inlineStr">
        <is>
          <t>TN</t>
        </is>
      </c>
      <c r="D1741" s="7" t="inlineStr">
        <is>
          <t>TN66P5725</t>
        </is>
      </c>
      <c r="E1741" s="7" t="inlineStr">
        <is>
          <t>MARUTI SUZUKI</t>
        </is>
      </c>
      <c r="F1741" s="7" t="inlineStr">
        <is>
          <t>Ciaz</t>
        </is>
      </c>
      <c r="G1741" s="7" t="inlineStr">
        <is>
          <t>EXCHANGE ROTN</t>
        </is>
      </c>
      <c r="H1741" s="7" t="inlineStr">
        <is>
          <t>Captive</t>
        </is>
      </c>
      <c r="I1741" s="7" t="inlineStr">
        <is>
          <t>Raj Cars</t>
        </is>
      </c>
      <c r="J1741" s="8" t="n">
        <v>2014</v>
      </c>
      <c r="K1741" s="9" t="n">
        <v>168334</v>
      </c>
      <c r="L1741" s="10" t="n">
        <v>405000</v>
      </c>
      <c r="M1741" s="10" t="n">
        <v>4237.29</v>
      </c>
      <c r="N1741" s="11">
        <f>IF(M1741="","",ROUND(M1741*1.18,2))</f>
        <v/>
      </c>
      <c r="O1741" s="12">
        <f>IF(M1741="","",ROUND(N1741-M1741,2))</f>
        <v/>
      </c>
      <c r="P1741" s="13">
        <f>IF(AND(A1741&lt;&gt;"",B1741&lt;&gt;""), A1741&amp;" · "&amp;B1741, "")</f>
        <v/>
      </c>
    </row>
    <row r="1742">
      <c r="A1742" s="6" t="inlineStr">
        <is>
          <t>FY27</t>
        </is>
      </c>
      <c r="B1742" s="6" t="inlineStr">
        <is>
          <t>Apr</t>
        </is>
      </c>
      <c r="C1742" s="6" t="inlineStr">
        <is>
          <t>TN</t>
        </is>
      </c>
      <c r="D1742" s="7" t="inlineStr">
        <is>
          <t>TN66S9487</t>
        </is>
      </c>
      <c r="E1742" s="7" t="inlineStr">
        <is>
          <t>HYUNDAI</t>
        </is>
      </c>
      <c r="F1742" s="7" t="inlineStr">
        <is>
          <t>i20</t>
        </is>
      </c>
      <c r="G1742" s="7" t="inlineStr">
        <is>
          <t>EXCHANGE ROTN</t>
        </is>
      </c>
      <c r="H1742" s="7" t="inlineStr">
        <is>
          <t>Captive</t>
        </is>
      </c>
      <c r="I1742" s="7" t="inlineStr">
        <is>
          <t>Auto Solution</t>
        </is>
      </c>
      <c r="J1742" s="8" t="n">
        <v>2016</v>
      </c>
      <c r="K1742" s="9" t="n">
        <v>116182</v>
      </c>
      <c r="L1742" s="10" t="n">
        <v>425000</v>
      </c>
      <c r="M1742" s="10" t="n">
        <v>12711.86</v>
      </c>
      <c r="N1742" s="11">
        <f>IF(M1742="","",ROUND(M1742*1.18,2))</f>
        <v/>
      </c>
      <c r="O1742" s="12">
        <f>IF(M1742="","",ROUND(N1742-M1742,2))</f>
        <v/>
      </c>
      <c r="P1742" s="13">
        <f>IF(AND(A1742&lt;&gt;"",B1742&lt;&gt;""), A1742&amp;" · "&amp;B1742, "")</f>
        <v/>
      </c>
    </row>
    <row r="1743">
      <c r="A1743" s="6" t="inlineStr">
        <is>
          <t>FY27</t>
        </is>
      </c>
      <c r="B1743" s="6" t="inlineStr">
        <is>
          <t>Apr</t>
        </is>
      </c>
      <c r="C1743" s="6" t="inlineStr">
        <is>
          <t>TN</t>
        </is>
      </c>
      <c r="D1743" s="7" t="inlineStr">
        <is>
          <t>TN67BX5532</t>
        </is>
      </c>
      <c r="E1743" s="7" t="inlineStr">
        <is>
          <t>HYUNDAI</t>
        </is>
      </c>
      <c r="F1743" s="7" t="inlineStr">
        <is>
          <t>Grand i10</t>
        </is>
      </c>
      <c r="G1743" s="7" t="inlineStr">
        <is>
          <t>EXCHANGE ROTN</t>
        </is>
      </c>
      <c r="H1743" s="7" t="inlineStr">
        <is>
          <t>Captive</t>
        </is>
      </c>
      <c r="I1743" s="7" t="inlineStr">
        <is>
          <t>KSM Auto Consulting</t>
        </is>
      </c>
      <c r="J1743" s="8" t="n">
        <v>2017</v>
      </c>
      <c r="K1743" s="9" t="n">
        <v>140575</v>
      </c>
      <c r="L1743" s="10" t="n">
        <v>270000</v>
      </c>
      <c r="M1743" s="10" t="n">
        <v>8474.58</v>
      </c>
      <c r="N1743" s="11">
        <f>IF(M1743="","",ROUND(M1743*1.18,2))</f>
        <v/>
      </c>
      <c r="O1743" s="12">
        <f>IF(M1743="","",ROUND(N1743-M1743,2))</f>
        <v/>
      </c>
      <c r="P1743" s="13">
        <f>IF(AND(A1743&lt;&gt;"",B1743&lt;&gt;""), A1743&amp;" · "&amp;B1743, "")</f>
        <v/>
      </c>
    </row>
    <row r="1744">
      <c r="A1744" s="6" t="inlineStr">
        <is>
          <t>FY27</t>
        </is>
      </c>
      <c r="B1744" s="6" t="inlineStr">
        <is>
          <t>Apr</t>
        </is>
      </c>
      <c r="C1744" s="6" t="inlineStr">
        <is>
          <t>TN</t>
        </is>
      </c>
      <c r="D1744" s="7" t="inlineStr">
        <is>
          <t>TN68E6826</t>
        </is>
      </c>
      <c r="E1744" s="7" t="inlineStr">
        <is>
          <t>VOLKSWAGEN</t>
        </is>
      </c>
      <c r="F1744" s="7" t="inlineStr">
        <is>
          <t>Polo</t>
        </is>
      </c>
      <c r="G1744" s="7" t="inlineStr">
        <is>
          <t>KHIVRAJ MOTOR</t>
        </is>
      </c>
      <c r="H1744" s="7" t="inlineStr">
        <is>
          <t>Non-Captive</t>
        </is>
      </c>
      <c r="I1744" s="7" t="inlineStr">
        <is>
          <t>Somasundharam cars</t>
        </is>
      </c>
      <c r="J1744" s="8" t="n"/>
      <c r="K1744" s="9" t="n"/>
      <c r="L1744" s="10" t="n">
        <v>185000</v>
      </c>
      <c r="M1744" s="10" t="n">
        <v>5084.75</v>
      </c>
      <c r="N1744" s="11">
        <f>IF(M1744="","",ROUND(M1744*1.18,2))</f>
        <v/>
      </c>
      <c r="O1744" s="12">
        <f>IF(M1744="","",ROUND(N1744-M1744,2))</f>
        <v/>
      </c>
      <c r="P1744" s="13">
        <f>IF(AND(A1744&lt;&gt;"",B1744&lt;&gt;""), A1744&amp;" · "&amp;B1744, "")</f>
        <v/>
      </c>
    </row>
    <row r="1745">
      <c r="A1745" s="6" t="inlineStr">
        <is>
          <t>FY27</t>
        </is>
      </c>
      <c r="B1745" s="6" t="inlineStr">
        <is>
          <t>Apr</t>
        </is>
      </c>
      <c r="C1745" s="6" t="inlineStr">
        <is>
          <t>TN</t>
        </is>
      </c>
      <c r="D1745" s="7" t="inlineStr">
        <is>
          <t>TN70AC3714</t>
        </is>
      </c>
      <c r="E1745" s="7" t="inlineStr">
        <is>
          <t>HONDA</t>
        </is>
      </c>
      <c r="F1745" s="7" t="inlineStr">
        <is>
          <t>Amaze</t>
        </is>
      </c>
      <c r="G1745" s="7" t="inlineStr">
        <is>
          <t>EXCHANGE ROTN</t>
        </is>
      </c>
      <c r="H1745" s="7" t="inlineStr">
        <is>
          <t>Captive</t>
        </is>
      </c>
      <c r="I1745" s="7" t="inlineStr">
        <is>
          <t>Ashwin cars</t>
        </is>
      </c>
      <c r="J1745" s="8" t="n">
        <v>2019</v>
      </c>
      <c r="K1745" s="9" t="n">
        <v>78064</v>
      </c>
      <c r="L1745" s="10" t="n">
        <v>490000</v>
      </c>
      <c r="M1745" s="10" t="n">
        <v>12711.86</v>
      </c>
      <c r="N1745" s="11">
        <f>IF(M1745="","",ROUND(M1745*1.18,2))</f>
        <v/>
      </c>
      <c r="O1745" s="12">
        <f>IF(M1745="","",ROUND(N1745-M1745,2))</f>
        <v/>
      </c>
      <c r="P1745" s="13">
        <f>IF(AND(A1745&lt;&gt;"",B1745&lt;&gt;""), A1745&amp;" · "&amp;B1745, "")</f>
        <v/>
      </c>
    </row>
    <row r="1746">
      <c r="A1746" s="6" t="inlineStr">
        <is>
          <t>FY27</t>
        </is>
      </c>
      <c r="B1746" s="6" t="inlineStr">
        <is>
          <t>Apr</t>
        </is>
      </c>
      <c r="C1746" s="6" t="inlineStr">
        <is>
          <t>TN</t>
        </is>
      </c>
      <c r="D1746" s="7" t="inlineStr">
        <is>
          <t>TN72BA6835</t>
        </is>
      </c>
      <c r="E1746" s="7" t="inlineStr">
        <is>
          <t>TATA</t>
        </is>
      </c>
      <c r="F1746" s="7" t="inlineStr">
        <is>
          <t>Nano</t>
        </is>
      </c>
      <c r="G1746" s="7" t="inlineStr">
        <is>
          <t>EXCHANGE ROTN</t>
        </is>
      </c>
      <c r="H1746" s="7" t="inlineStr">
        <is>
          <t>Captive</t>
        </is>
      </c>
      <c r="I1746" s="7" t="inlineStr">
        <is>
          <t>Ashwin cars</t>
        </is>
      </c>
      <c r="J1746" s="8" t="n">
        <v>2014</v>
      </c>
      <c r="K1746" s="9" t="n">
        <v>100679</v>
      </c>
      <c r="L1746" s="10" t="n">
        <v>75000</v>
      </c>
      <c r="M1746" s="10" t="n">
        <v>4237.29</v>
      </c>
      <c r="N1746" s="11">
        <f>IF(M1746="","",ROUND(M1746*1.18,2))</f>
        <v/>
      </c>
      <c r="O1746" s="12">
        <f>IF(M1746="","",ROUND(N1746-M1746,2))</f>
        <v/>
      </c>
      <c r="P1746" s="13">
        <f>IF(AND(A1746&lt;&gt;"",B1746&lt;&gt;""), A1746&amp;" · "&amp;B1746, "")</f>
        <v/>
      </c>
    </row>
    <row r="1747">
      <c r="A1747" s="6" t="inlineStr">
        <is>
          <t>FY27</t>
        </is>
      </c>
      <c r="B1747" s="6" t="inlineStr">
        <is>
          <t>Apr</t>
        </is>
      </c>
      <c r="C1747" s="6" t="inlineStr">
        <is>
          <t>TN</t>
        </is>
      </c>
      <c r="D1747" s="7" t="inlineStr">
        <is>
          <t>TN72T1091</t>
        </is>
      </c>
      <c r="E1747" s="7" t="inlineStr">
        <is>
          <t>MARUTI SUZUKI</t>
        </is>
      </c>
      <c r="F1747" s="7" t="inlineStr">
        <is>
          <t>Alto</t>
        </is>
      </c>
      <c r="G1747" s="7" t="inlineStr">
        <is>
          <t>EXCHANGE ROTN</t>
        </is>
      </c>
      <c r="H1747" s="7" t="inlineStr">
        <is>
          <t>Captive</t>
        </is>
      </c>
      <c r="I1747" s="7" t="inlineStr">
        <is>
          <t>Sivashankar Cars</t>
        </is>
      </c>
      <c r="J1747" s="8" t="n">
        <v>2001</v>
      </c>
      <c r="K1747" s="9" t="n">
        <v>89209</v>
      </c>
      <c r="L1747" s="10" t="n">
        <v>55000</v>
      </c>
      <c r="M1747" s="10" t="n">
        <v>5932.2</v>
      </c>
      <c r="N1747" s="11">
        <f>IF(M1747="","",ROUND(M1747*1.18,2))</f>
        <v/>
      </c>
      <c r="O1747" s="12">
        <f>IF(M1747="","",ROUND(N1747-M1747,2))</f>
        <v/>
      </c>
      <c r="P1747" s="13">
        <f>IF(AND(A1747&lt;&gt;"",B1747&lt;&gt;""), A1747&amp;" · "&amp;B1747, "")</f>
        <v/>
      </c>
    </row>
    <row r="1748">
      <c r="A1748" s="6" t="inlineStr">
        <is>
          <t>FY27</t>
        </is>
      </c>
      <c r="B1748" s="6" t="inlineStr">
        <is>
          <t>Apr</t>
        </is>
      </c>
      <c r="C1748" s="6" t="inlineStr">
        <is>
          <t>TN</t>
        </is>
      </c>
      <c r="D1748" s="7" t="inlineStr">
        <is>
          <t>TN74AD7121</t>
        </is>
      </c>
      <c r="E1748" s="7" t="inlineStr">
        <is>
          <t>HYUNDAI</t>
        </is>
      </c>
      <c r="F1748" s="7" t="inlineStr">
        <is>
          <t>i20</t>
        </is>
      </c>
      <c r="G1748" s="7" t="inlineStr">
        <is>
          <t>EXCHANGE ROTN</t>
        </is>
      </c>
      <c r="H1748" s="7" t="inlineStr">
        <is>
          <t>Captive</t>
        </is>
      </c>
      <c r="I1748" s="7" t="inlineStr">
        <is>
          <t>KSM Auto Consulting</t>
        </is>
      </c>
      <c r="J1748" s="8" t="n">
        <v>2012</v>
      </c>
      <c r="K1748" s="9" t="n">
        <v>72299</v>
      </c>
      <c r="L1748" s="10" t="n">
        <v>250000</v>
      </c>
      <c r="M1748" s="10" t="n">
        <v>4237.29</v>
      </c>
      <c r="N1748" s="11">
        <f>IF(M1748="","",ROUND(M1748*1.18,2))</f>
        <v/>
      </c>
      <c r="O1748" s="12">
        <f>IF(M1748="","",ROUND(N1748-M1748,2))</f>
        <v/>
      </c>
      <c r="P1748" s="13">
        <f>IF(AND(A1748&lt;&gt;"",B1748&lt;&gt;""), A1748&amp;" · "&amp;B1748, "")</f>
        <v/>
      </c>
    </row>
    <row r="1749">
      <c r="A1749" s="6" t="inlineStr">
        <is>
          <t>FY27</t>
        </is>
      </c>
      <c r="B1749" s="6" t="inlineStr">
        <is>
          <t>Apr</t>
        </is>
      </c>
      <c r="C1749" s="6" t="inlineStr">
        <is>
          <t>TN</t>
        </is>
      </c>
      <c r="D1749" s="7" t="inlineStr">
        <is>
          <t>TN75C2300</t>
        </is>
      </c>
      <c r="E1749" s="7" t="inlineStr">
        <is>
          <t>HONDA</t>
        </is>
      </c>
      <c r="F1749" s="7" t="inlineStr">
        <is>
          <t>City</t>
        </is>
      </c>
      <c r="G1749" s="7" t="inlineStr">
        <is>
          <t>EXCHANGE CHENNAI</t>
        </is>
      </c>
      <c r="H1749" s="7" t="inlineStr">
        <is>
          <t>Captive</t>
        </is>
      </c>
      <c r="I1749" s="7" t="inlineStr">
        <is>
          <t>Santhosh Cars</t>
        </is>
      </c>
      <c r="J1749" s="8" t="n">
        <v>2011</v>
      </c>
      <c r="K1749" s="9" t="n">
        <v>9864</v>
      </c>
      <c r="L1749" s="10" t="n">
        <v>300000</v>
      </c>
      <c r="M1749" s="10" t="n">
        <v>8474.58</v>
      </c>
      <c r="N1749" s="11">
        <f>IF(M1749="","",ROUND(M1749*1.18,2))</f>
        <v/>
      </c>
      <c r="O1749" s="12">
        <f>IF(M1749="","",ROUND(N1749-M1749,2))</f>
        <v/>
      </c>
      <c r="P1749" s="13">
        <f>IF(AND(A1749&lt;&gt;"",B1749&lt;&gt;""), A1749&amp;" · "&amp;B1749, "")</f>
        <v/>
      </c>
    </row>
    <row r="1750">
      <c r="A1750" s="6" t="inlineStr">
        <is>
          <t>FY27</t>
        </is>
      </c>
      <c r="B1750" s="6" t="inlineStr">
        <is>
          <t>Apr</t>
        </is>
      </c>
      <c r="C1750" s="6" t="inlineStr">
        <is>
          <t>TN</t>
        </is>
      </c>
      <c r="D1750" s="7" t="inlineStr">
        <is>
          <t>TN85C3881</t>
        </is>
      </c>
      <c r="E1750" s="7" t="inlineStr">
        <is>
          <t>HONDA</t>
        </is>
      </c>
      <c r="F1750" s="7" t="inlineStr">
        <is>
          <t>Jazz</t>
        </is>
      </c>
      <c r="G1750" s="7" t="inlineStr">
        <is>
          <t>EXCHANGE CHENNAI</t>
        </is>
      </c>
      <c r="H1750" s="7" t="inlineStr">
        <is>
          <t>Captive</t>
        </is>
      </c>
      <c r="I1750" s="7" t="inlineStr">
        <is>
          <t>Senthil Cars</t>
        </is>
      </c>
      <c r="J1750" s="8" t="n">
        <v>2016</v>
      </c>
      <c r="K1750" s="9" t="n">
        <v>201910</v>
      </c>
      <c r="L1750" s="10" t="n">
        <v>275000</v>
      </c>
      <c r="M1750" s="10" t="n">
        <v>8474.58</v>
      </c>
      <c r="N1750" s="11">
        <f>IF(M1750="","",ROUND(M1750*1.18,2))</f>
        <v/>
      </c>
      <c r="O1750" s="12">
        <f>IF(M1750="","",ROUND(N1750-M1750,2))</f>
        <v/>
      </c>
      <c r="P1750" s="13">
        <f>IF(AND(A1750&lt;&gt;"",B1750&lt;&gt;""), A1750&amp;" · "&amp;B1750, "")</f>
        <v/>
      </c>
    </row>
    <row r="1751">
      <c r="A1751" s="6" t="inlineStr">
        <is>
          <t>FY27</t>
        </is>
      </c>
      <c r="B1751" s="6" t="inlineStr">
        <is>
          <t>Apr</t>
        </is>
      </c>
      <c r="C1751" s="6" t="inlineStr">
        <is>
          <t>TN</t>
        </is>
      </c>
      <c r="D1751" s="7" t="inlineStr">
        <is>
          <t>TN85K4642</t>
        </is>
      </c>
      <c r="E1751" s="7" t="inlineStr">
        <is>
          <t>MARUTI SUZUKI</t>
        </is>
      </c>
      <c r="F1751" s="7" t="inlineStr">
        <is>
          <t>Wagon R</t>
        </is>
      </c>
      <c r="G1751" s="7" t="inlineStr">
        <is>
          <t>KHIVRAJ MOTOR</t>
        </is>
      </c>
      <c r="H1751" s="7" t="inlineStr">
        <is>
          <t>Non-Captive</t>
        </is>
      </c>
      <c r="I1751" s="7" t="inlineStr">
        <is>
          <t>Varadhrajan cars</t>
        </is>
      </c>
      <c r="J1751" s="8" t="n">
        <v>2019</v>
      </c>
      <c r="K1751" s="9" t="n">
        <v>89466</v>
      </c>
      <c r="L1751" s="10" t="n">
        <v>377500</v>
      </c>
      <c r="M1751" s="10" t="n">
        <v>6355.93</v>
      </c>
      <c r="N1751" s="11">
        <f>IF(M1751="","",ROUND(M1751*1.18,2))</f>
        <v/>
      </c>
      <c r="O1751" s="12">
        <f>IF(M1751="","",ROUND(N1751-M1751,2))</f>
        <v/>
      </c>
      <c r="P1751" s="13">
        <f>IF(AND(A1751&lt;&gt;"",B1751&lt;&gt;""), A1751&amp;" · "&amp;B1751, "")</f>
        <v/>
      </c>
    </row>
    <row r="1752">
      <c r="A1752" s="6" t="inlineStr">
        <is>
          <t>FY27</t>
        </is>
      </c>
      <c r="B1752" s="6" t="inlineStr">
        <is>
          <t>Apr</t>
        </is>
      </c>
      <c r="C1752" s="6" t="inlineStr">
        <is>
          <t>TN</t>
        </is>
      </c>
      <c r="D1752" s="7" t="inlineStr">
        <is>
          <t>TN88W1632</t>
        </is>
      </c>
      <c r="E1752" s="7" t="inlineStr">
        <is>
          <t>MARUTI SUZUKI</t>
        </is>
      </c>
      <c r="F1752" s="7" t="inlineStr">
        <is>
          <t>Omni</t>
        </is>
      </c>
      <c r="G1752" s="7" t="inlineStr">
        <is>
          <t>EXCHANGE ROTN</t>
        </is>
      </c>
      <c r="H1752" s="7" t="inlineStr">
        <is>
          <t>Captive</t>
        </is>
      </c>
      <c r="I1752" s="7" t="inlineStr">
        <is>
          <t>Sivashankar Cars</t>
        </is>
      </c>
      <c r="J1752" s="8" t="n">
        <v>2018</v>
      </c>
      <c r="K1752" s="9" t="n">
        <v>45434</v>
      </c>
      <c r="L1752" s="10" t="n">
        <v>220000</v>
      </c>
      <c r="M1752" s="10" t="n">
        <v>4237.29</v>
      </c>
      <c r="N1752" s="11">
        <f>IF(M1752="","",ROUND(M1752*1.18,2))</f>
        <v/>
      </c>
      <c r="O1752" s="12">
        <f>IF(M1752="","",ROUND(N1752-M1752,2))</f>
        <v/>
      </c>
      <c r="P1752" s="13">
        <f>IF(AND(A1752&lt;&gt;"",B1752&lt;&gt;""), A1752&amp;" · "&amp;B1752, "")</f>
        <v/>
      </c>
    </row>
    <row r="1753">
      <c r="A1753" s="6" t="inlineStr">
        <is>
          <t>FY27</t>
        </is>
      </c>
      <c r="B1753" s="6" t="inlineStr">
        <is>
          <t>Apr</t>
        </is>
      </c>
      <c r="C1753" s="6" t="inlineStr">
        <is>
          <t>TN</t>
        </is>
      </c>
      <c r="D1753" s="7" t="inlineStr">
        <is>
          <t>TN95E6562</t>
        </is>
      </c>
      <c r="E1753" s="7" t="inlineStr">
        <is>
          <t>HONDA</t>
        </is>
      </c>
      <c r="F1753" s="7" t="inlineStr">
        <is>
          <t>Amaze</t>
        </is>
      </c>
      <c r="G1753" s="7" t="inlineStr">
        <is>
          <t>EXCHANGE ROTN</t>
        </is>
      </c>
      <c r="H1753" s="7" t="inlineStr">
        <is>
          <t>Captive</t>
        </is>
      </c>
      <c r="I1753" s="7" t="inlineStr">
        <is>
          <t>Ashwin cars</t>
        </is>
      </c>
      <c r="J1753" s="8" t="n">
        <v>2021</v>
      </c>
      <c r="K1753" s="9" t="n">
        <v>27727</v>
      </c>
      <c r="L1753" s="10" t="n">
        <v>570000</v>
      </c>
      <c r="M1753" s="10" t="n">
        <v>12711.86</v>
      </c>
      <c r="N1753" s="11">
        <f>IF(M1753="","",ROUND(M1753*1.18,2))</f>
        <v/>
      </c>
      <c r="O1753" s="12">
        <f>IF(M1753="","",ROUND(N1753-M1753,2))</f>
        <v/>
      </c>
      <c r="P1753" s="13">
        <f>IF(AND(A1753&lt;&gt;"",B1753&lt;&gt;""), A1753&amp;" · "&amp;B1753, "")</f>
        <v/>
      </c>
    </row>
    <row r="1754">
      <c r="A1754" s="6" t="inlineStr">
        <is>
          <t>FY27</t>
        </is>
      </c>
      <c r="B1754" s="6" t="inlineStr">
        <is>
          <t>Apr</t>
        </is>
      </c>
      <c r="C1754" s="6" t="inlineStr">
        <is>
          <t>TN</t>
        </is>
      </c>
      <c r="D1754" s="7" t="inlineStr">
        <is>
          <t>TN99AA2736</t>
        </is>
      </c>
      <c r="E1754" s="7" t="inlineStr">
        <is>
          <t>RENAULT</t>
        </is>
      </c>
      <c r="F1754" s="7" t="inlineStr">
        <is>
          <t>Kwid</t>
        </is>
      </c>
      <c r="G1754" s="7" t="inlineStr">
        <is>
          <t>EXCHANGE ROTN</t>
        </is>
      </c>
      <c r="H1754" s="7" t="inlineStr">
        <is>
          <t>Captive</t>
        </is>
      </c>
      <c r="I1754" s="7" t="inlineStr">
        <is>
          <t>Uzhavan Enterprise</t>
        </is>
      </c>
      <c r="J1754" s="8" t="n">
        <v>2023</v>
      </c>
      <c r="K1754" s="9" t="n">
        <v>15141</v>
      </c>
      <c r="L1754" s="10" t="n">
        <v>350000</v>
      </c>
      <c r="M1754" s="10" t="n">
        <v>12711.86</v>
      </c>
      <c r="N1754" s="11">
        <f>IF(M1754="","",ROUND(M1754*1.18,2))</f>
        <v/>
      </c>
      <c r="O1754" s="12">
        <f>IF(M1754="","",ROUND(N1754-M1754,2))</f>
        <v/>
      </c>
      <c r="P1754" s="13">
        <f>IF(AND(A1754&lt;&gt;"",B1754&lt;&gt;""), A1754&amp;" · "&amp;B1754, "")</f>
        <v/>
      </c>
    </row>
    <row r="1755">
      <c r="A1755" s="6" t="inlineStr">
        <is>
          <t>FY27</t>
        </is>
      </c>
      <c r="B1755" s="6" t="inlineStr">
        <is>
          <t>May</t>
        </is>
      </c>
      <c r="C1755" s="6" t="inlineStr">
        <is>
          <t>AP/TS</t>
        </is>
      </c>
      <c r="D1755" s="7" t="inlineStr">
        <is>
          <t>AP05DR1929</t>
        </is>
      </c>
      <c r="E1755" s="7" t="inlineStr">
        <is>
          <t>FORD</t>
        </is>
      </c>
      <c r="F1755" s="7" t="inlineStr">
        <is>
          <t>Figo</t>
        </is>
      </c>
      <c r="G1755" s="7" t="inlineStr">
        <is>
          <t>GADI SRI BHARATHI</t>
        </is>
      </c>
      <c r="H1755" s="7" t="inlineStr">
        <is>
          <t>Non-Captive</t>
        </is>
      </c>
      <c r="I1755" s="7" t="inlineStr">
        <is>
          <t>Kaki Dinesh Kumar</t>
        </is>
      </c>
      <c r="J1755" s="8" t="n">
        <v>2017</v>
      </c>
      <c r="K1755" s="9" t="n">
        <v>175268</v>
      </c>
      <c r="L1755" s="10" t="n">
        <v>307500</v>
      </c>
      <c r="M1755" s="10" t="n">
        <v>6355.93</v>
      </c>
      <c r="N1755" s="11">
        <f>IF(M1755="","",ROUND(M1755*1.18,2))</f>
        <v/>
      </c>
      <c r="O1755" s="12">
        <f>IF(M1755="","",ROUND(N1755-M1755,2))</f>
        <v/>
      </c>
      <c r="P1755" s="13">
        <f>IF(AND(A1755&lt;&gt;"",B1755&lt;&gt;""), A1755&amp;" · "&amp;B1755, "")</f>
        <v/>
      </c>
    </row>
    <row r="1756">
      <c r="A1756" s="6" t="inlineStr">
        <is>
          <t>FY27</t>
        </is>
      </c>
      <c r="B1756" s="6" t="inlineStr">
        <is>
          <t>May</t>
        </is>
      </c>
      <c r="C1756" s="6" t="inlineStr">
        <is>
          <t>AP/TS</t>
        </is>
      </c>
      <c r="D1756" s="7" t="inlineStr">
        <is>
          <t>AP07CQ0279</t>
        </is>
      </c>
      <c r="E1756" s="7" t="inlineStr">
        <is>
          <t>HYUNDAI</t>
        </is>
      </c>
      <c r="F1756" s="7" t="inlineStr">
        <is>
          <t>i10</t>
        </is>
      </c>
      <c r="G1756" s="7" t="inlineStr">
        <is>
          <t>EXCHANGE VIJAYAWADA</t>
        </is>
      </c>
      <c r="H1756" s="7" t="inlineStr">
        <is>
          <t>Captive</t>
        </is>
      </c>
      <c r="I1756" s="7" t="inlineStr">
        <is>
          <t>Tenali Srinivas</t>
        </is>
      </c>
      <c r="J1756" s="8" t="n">
        <v>2015</v>
      </c>
      <c r="K1756" s="9" t="n">
        <v>140111</v>
      </c>
      <c r="L1756" s="10" t="n">
        <v>159000</v>
      </c>
      <c r="M1756" s="10" t="n">
        <v>7627.12</v>
      </c>
      <c r="N1756" s="11">
        <f>IF(M1756="","",ROUND(M1756*1.18,2))</f>
        <v/>
      </c>
      <c r="O1756" s="12">
        <f>IF(M1756="","",ROUND(N1756-M1756,2))</f>
        <v/>
      </c>
      <c r="P1756" s="13">
        <f>IF(AND(A1756&lt;&gt;"",B1756&lt;&gt;""), A1756&amp;" · "&amp;B1756, "")</f>
        <v/>
      </c>
    </row>
    <row r="1757">
      <c r="A1757" s="6" t="inlineStr">
        <is>
          <t>FY27</t>
        </is>
      </c>
      <c r="B1757" s="6" t="inlineStr">
        <is>
          <t>May</t>
        </is>
      </c>
      <c r="C1757" s="6" t="inlineStr">
        <is>
          <t>AP/TS</t>
        </is>
      </c>
      <c r="D1757" s="7" t="inlineStr">
        <is>
          <t>AP07CX3418</t>
        </is>
      </c>
      <c r="E1757" s="7" t="inlineStr">
        <is>
          <t>HONDA</t>
        </is>
      </c>
      <c r="F1757" s="7" t="inlineStr">
        <is>
          <t>City</t>
        </is>
      </c>
      <c r="G1757" s="7" t="inlineStr">
        <is>
          <t>EXCHANGE VIJAYAWADA</t>
        </is>
      </c>
      <c r="H1757" s="7" t="inlineStr">
        <is>
          <t>Captive</t>
        </is>
      </c>
      <c r="I1757" s="7" t="inlineStr">
        <is>
          <t>Shaik Shakeela</t>
        </is>
      </c>
      <c r="J1757" s="8" t="n">
        <v>2017</v>
      </c>
      <c r="K1757" s="9" t="n">
        <v>57042</v>
      </c>
      <c r="L1757" s="10" t="n">
        <v>397500</v>
      </c>
      <c r="M1757" s="10" t="n">
        <v>6355.93</v>
      </c>
      <c r="N1757" s="11">
        <f>IF(M1757="","",ROUND(M1757*1.18,2))</f>
        <v/>
      </c>
      <c r="O1757" s="12">
        <f>IF(M1757="","",ROUND(N1757-M1757,2))</f>
        <v/>
      </c>
      <c r="P1757" s="13">
        <f>IF(AND(A1757&lt;&gt;"",B1757&lt;&gt;""), A1757&amp;" · "&amp;B1757, "")</f>
        <v/>
      </c>
    </row>
    <row r="1758">
      <c r="A1758" s="6" t="inlineStr">
        <is>
          <t>FY27</t>
        </is>
      </c>
      <c r="B1758" s="6" t="inlineStr">
        <is>
          <t>May</t>
        </is>
      </c>
      <c r="C1758" s="6" t="inlineStr">
        <is>
          <t>AP/TS</t>
        </is>
      </c>
      <c r="D1758" s="7" t="inlineStr">
        <is>
          <t>AP09CR1899</t>
        </is>
      </c>
      <c r="E1758" s="7" t="inlineStr">
        <is>
          <t>TATA</t>
        </is>
      </c>
      <c r="F1758" s="7" t="inlineStr">
        <is>
          <t>Safari</t>
        </is>
      </c>
      <c r="G1758" s="7" t="inlineStr">
        <is>
          <t>PUNEET GUPTA</t>
        </is>
      </c>
      <c r="H1758" s="7" t="inlineStr">
        <is>
          <t>Non-Captive</t>
        </is>
      </c>
      <c r="I1758" s="7" t="inlineStr">
        <is>
          <t>4Wheelz</t>
        </is>
      </c>
      <c r="J1758" s="8" t="n">
        <v>2012</v>
      </c>
      <c r="K1758" s="9" t="n">
        <v>220109</v>
      </c>
      <c r="L1758" s="10" t="n">
        <v>223000</v>
      </c>
      <c r="M1758" s="10" t="n">
        <v>2542.37</v>
      </c>
      <c r="N1758" s="11">
        <f>IF(M1758="","",ROUND(M1758*1.18,2))</f>
        <v/>
      </c>
      <c r="O1758" s="12">
        <f>IF(M1758="","",ROUND(N1758-M1758,2))</f>
        <v/>
      </c>
      <c r="P1758" s="13">
        <f>IF(AND(A1758&lt;&gt;"",B1758&lt;&gt;""), A1758&amp;" · "&amp;B1758, "")</f>
        <v/>
      </c>
    </row>
    <row r="1759">
      <c r="A1759" s="6" t="inlineStr">
        <is>
          <t>FY27</t>
        </is>
      </c>
      <c r="B1759" s="6" t="inlineStr">
        <is>
          <t>May</t>
        </is>
      </c>
      <c r="C1759" s="6" t="inlineStr">
        <is>
          <t>AP/TS</t>
        </is>
      </c>
      <c r="D1759" s="7" t="inlineStr">
        <is>
          <t>AP09CS6291</t>
        </is>
      </c>
      <c r="E1759" s="7" t="inlineStr">
        <is>
          <t>MARUTI SUZUKI</t>
        </is>
      </c>
      <c r="F1759" s="7" t="inlineStr">
        <is>
          <t>Dzire</t>
        </is>
      </c>
      <c r="G1759" s="7" t="inlineStr">
        <is>
          <t>PUNEET GUPTA</t>
        </is>
      </c>
      <c r="H1759" s="7" t="inlineStr">
        <is>
          <t>Non-Captive</t>
        </is>
      </c>
      <c r="I1759" s="7" t="inlineStr">
        <is>
          <t>4Wheelz</t>
        </is>
      </c>
      <c r="J1759" s="8" t="n">
        <v>2013</v>
      </c>
      <c r="K1759" s="9" t="n">
        <v>159000</v>
      </c>
      <c r="L1759" s="10" t="n">
        <v>163000</v>
      </c>
      <c r="M1759" s="10" t="n">
        <v>2542.37</v>
      </c>
      <c r="N1759" s="11">
        <f>IF(M1759="","",ROUND(M1759*1.18,2))</f>
        <v/>
      </c>
      <c r="O1759" s="12">
        <f>IF(M1759="","",ROUND(N1759-M1759,2))</f>
        <v/>
      </c>
      <c r="P1759" s="13">
        <f>IF(AND(A1759&lt;&gt;"",B1759&lt;&gt;""), A1759&amp;" · "&amp;B1759, "")</f>
        <v/>
      </c>
    </row>
    <row r="1760">
      <c r="A1760" s="6" t="inlineStr">
        <is>
          <t>FY27</t>
        </is>
      </c>
      <c r="B1760" s="6" t="inlineStr">
        <is>
          <t>May</t>
        </is>
      </c>
      <c r="C1760" s="6" t="inlineStr">
        <is>
          <t>AP/TS</t>
        </is>
      </c>
      <c r="D1760" s="7" t="inlineStr">
        <is>
          <t>AP09CV5073</t>
        </is>
      </c>
      <c r="E1760" s="7" t="inlineStr">
        <is>
          <t>MARUTI SUZUKI</t>
        </is>
      </c>
      <c r="F1760" s="7" t="inlineStr">
        <is>
          <t>Dzire</t>
        </is>
      </c>
      <c r="G1760" s="7" t="inlineStr">
        <is>
          <t>PUNEET GUPTA</t>
        </is>
      </c>
      <c r="H1760" s="7" t="inlineStr">
        <is>
          <t>Non-Captive</t>
        </is>
      </c>
      <c r="I1760" s="7" t="inlineStr">
        <is>
          <t>4Wheelz</t>
        </is>
      </c>
      <c r="J1760" s="8" t="n">
        <v>2014</v>
      </c>
      <c r="K1760" s="9" t="n">
        <v>195262</v>
      </c>
      <c r="L1760" s="10" t="n">
        <v>183000</v>
      </c>
      <c r="M1760" s="10" t="n">
        <v>2542.37</v>
      </c>
      <c r="N1760" s="11">
        <f>IF(M1760="","",ROUND(M1760*1.18,2))</f>
        <v/>
      </c>
      <c r="O1760" s="12">
        <f>IF(M1760="","",ROUND(N1760-M1760,2))</f>
        <v/>
      </c>
      <c r="P1760" s="13">
        <f>IF(AND(A1760&lt;&gt;"",B1760&lt;&gt;""), A1760&amp;" · "&amp;B1760, "")</f>
        <v/>
      </c>
    </row>
    <row r="1761">
      <c r="A1761" s="6" t="inlineStr">
        <is>
          <t>FY27</t>
        </is>
      </c>
      <c r="B1761" s="6" t="inlineStr">
        <is>
          <t>May</t>
        </is>
      </c>
      <c r="C1761" s="6" t="inlineStr">
        <is>
          <t>AP/TS</t>
        </is>
      </c>
      <c r="D1761" s="7" t="inlineStr">
        <is>
          <t>AP10BF0463</t>
        </is>
      </c>
      <c r="E1761" s="7" t="inlineStr">
        <is>
          <t>TOYOTA</t>
        </is>
      </c>
      <c r="F1761" s="7" t="inlineStr">
        <is>
          <t>Etios</t>
        </is>
      </c>
      <c r="G1761" s="7" t="inlineStr">
        <is>
          <t>EXCHANGE HYDERABAD</t>
        </is>
      </c>
      <c r="H1761" s="7" t="inlineStr">
        <is>
          <t>Captive</t>
        </is>
      </c>
      <c r="I1761" s="7" t="inlineStr">
        <is>
          <t>Kranthi Jwala Gudipati</t>
        </is>
      </c>
      <c r="J1761" s="8" t="n">
        <v>2013</v>
      </c>
      <c r="K1761" s="9" t="n">
        <v>67554</v>
      </c>
      <c r="L1761" s="10" t="n">
        <v>233000</v>
      </c>
      <c r="M1761" s="10" t="n">
        <v>8474.58</v>
      </c>
      <c r="N1761" s="11">
        <f>IF(M1761="","",ROUND(M1761*1.18,2))</f>
        <v/>
      </c>
      <c r="O1761" s="12">
        <f>IF(M1761="","",ROUND(N1761-M1761,2))</f>
        <v/>
      </c>
      <c r="P1761" s="13">
        <f>IF(AND(A1761&lt;&gt;"",B1761&lt;&gt;""), A1761&amp;" · "&amp;B1761, "")</f>
        <v/>
      </c>
    </row>
    <row r="1762">
      <c r="A1762" s="6" t="inlineStr">
        <is>
          <t>FY27</t>
        </is>
      </c>
      <c r="B1762" s="6" t="inlineStr">
        <is>
          <t>May</t>
        </is>
      </c>
      <c r="C1762" s="6" t="inlineStr">
        <is>
          <t>AP/TS</t>
        </is>
      </c>
      <c r="D1762" s="7" t="inlineStr">
        <is>
          <t>AP11AD1804</t>
        </is>
      </c>
      <c r="E1762" s="7" t="inlineStr">
        <is>
          <t>HYUNDAI</t>
        </is>
      </c>
      <c r="F1762" s="7" t="inlineStr">
        <is>
          <t>Santro</t>
        </is>
      </c>
      <c r="G1762" s="7" t="inlineStr">
        <is>
          <t>EXCHANGE HYDERABAD</t>
        </is>
      </c>
      <c r="H1762" s="7" t="inlineStr">
        <is>
          <t>Captive</t>
        </is>
      </c>
      <c r="I1762" s="7" t="inlineStr">
        <is>
          <t>Kranthi Jwala Gudipati</t>
        </is>
      </c>
      <c r="J1762" s="8" t="n">
        <v>2008</v>
      </c>
      <c r="K1762" s="9" t="n">
        <v>101888</v>
      </c>
      <c r="L1762" s="10" t="n">
        <v>55000</v>
      </c>
      <c r="M1762" s="10" t="n">
        <v>4237.29</v>
      </c>
      <c r="N1762" s="11">
        <f>IF(M1762="","",ROUND(M1762*1.18,2))</f>
        <v/>
      </c>
      <c r="O1762" s="12">
        <f>IF(M1762="","",ROUND(N1762-M1762,2))</f>
        <v/>
      </c>
      <c r="P1762" s="13">
        <f>IF(AND(A1762&lt;&gt;"",B1762&lt;&gt;""), A1762&amp;" · "&amp;B1762, "")</f>
        <v/>
      </c>
    </row>
    <row r="1763">
      <c r="A1763" s="6" t="inlineStr">
        <is>
          <t>FY27</t>
        </is>
      </c>
      <c r="B1763" s="6" t="inlineStr">
        <is>
          <t>May</t>
        </is>
      </c>
      <c r="C1763" s="6" t="inlineStr">
        <is>
          <t>AP/TS</t>
        </is>
      </c>
      <c r="D1763" s="7" t="inlineStr">
        <is>
          <t>AP16AL2148</t>
        </is>
      </c>
      <c r="E1763" s="7" t="inlineStr">
        <is>
          <t>MARUTI SUZUKI</t>
        </is>
      </c>
      <c r="F1763" s="7" t="inlineStr">
        <is>
          <t>Alto</t>
        </is>
      </c>
      <c r="G1763" s="7" t="inlineStr">
        <is>
          <t>GADI RAMESH</t>
        </is>
      </c>
      <c r="H1763" s="7" t="inlineStr">
        <is>
          <t>Non-Captive</t>
        </is>
      </c>
      <c r="I1763" s="7" t="inlineStr">
        <is>
          <t>Guthi Ravi Krishna</t>
        </is>
      </c>
      <c r="J1763" s="8" t="n">
        <v>2004</v>
      </c>
      <c r="K1763" s="9" t="n">
        <v>198752</v>
      </c>
      <c r="L1763" s="10" t="n">
        <v>30000</v>
      </c>
      <c r="M1763" s="10" t="n">
        <v>4237.29</v>
      </c>
      <c r="N1763" s="11">
        <f>IF(M1763="","",ROUND(M1763*1.18,2))</f>
        <v/>
      </c>
      <c r="O1763" s="12">
        <f>IF(M1763="","",ROUND(N1763-M1763,2))</f>
        <v/>
      </c>
      <c r="P1763" s="13">
        <f>IF(AND(A1763&lt;&gt;"",B1763&lt;&gt;""), A1763&amp;" · "&amp;B1763, "")</f>
        <v/>
      </c>
    </row>
    <row r="1764">
      <c r="A1764" s="6" t="inlineStr">
        <is>
          <t>FY27</t>
        </is>
      </c>
      <c r="B1764" s="6" t="inlineStr">
        <is>
          <t>May</t>
        </is>
      </c>
      <c r="C1764" s="6" t="inlineStr">
        <is>
          <t>AP/TS</t>
        </is>
      </c>
      <c r="D1764" s="7" t="inlineStr">
        <is>
          <t>AP16AM4379</t>
        </is>
      </c>
      <c r="E1764" s="7" t="inlineStr">
        <is>
          <t>HYUNDAI</t>
        </is>
      </c>
      <c r="F1764" s="7" t="inlineStr">
        <is>
          <t>Santro</t>
        </is>
      </c>
      <c r="G1764" s="7" t="inlineStr">
        <is>
          <t>TENALI SRINIVAS</t>
        </is>
      </c>
      <c r="H1764" s="7" t="inlineStr">
        <is>
          <t>Non-Captive</t>
        </is>
      </c>
      <c r="I1764" s="7" t="inlineStr">
        <is>
          <t>Kaki Dinesh Kumar</t>
        </is>
      </c>
      <c r="J1764" s="8" t="n">
        <v>2004</v>
      </c>
      <c r="K1764" s="9" t="n">
        <v>126512</v>
      </c>
      <c r="L1764" s="10" t="n">
        <v>38000</v>
      </c>
      <c r="M1764" s="10" t="n">
        <v>2542.37</v>
      </c>
      <c r="N1764" s="11">
        <f>IF(M1764="","",ROUND(M1764*1.18,2))</f>
        <v/>
      </c>
      <c r="O1764" s="12">
        <f>IF(M1764="","",ROUND(N1764-M1764,2))</f>
        <v/>
      </c>
      <c r="P1764" s="13">
        <f>IF(AND(A1764&lt;&gt;"",B1764&lt;&gt;""), A1764&amp;" · "&amp;B1764, "")</f>
        <v/>
      </c>
    </row>
    <row r="1765">
      <c r="A1765" s="6" t="inlineStr">
        <is>
          <t>FY27</t>
        </is>
      </c>
      <c r="B1765" s="6" t="inlineStr">
        <is>
          <t>May</t>
        </is>
      </c>
      <c r="C1765" s="6" t="inlineStr">
        <is>
          <t>AP/TS</t>
        </is>
      </c>
      <c r="D1765" s="7" t="inlineStr">
        <is>
          <t>AP16CJ0007</t>
        </is>
      </c>
      <c r="E1765" s="7" t="inlineStr">
        <is>
          <t>HONDA</t>
        </is>
      </c>
      <c r="F1765" s="7" t="inlineStr">
        <is>
          <t>Brio</t>
        </is>
      </c>
      <c r="G1765" s="7" t="inlineStr">
        <is>
          <t>EXCHANGE</t>
        </is>
      </c>
      <c r="H1765" s="7" t="inlineStr">
        <is>
          <t>Captive</t>
        </is>
      </c>
      <c r="I1765" s="7" t="inlineStr">
        <is>
          <t>Mohammed Gouse Basha</t>
        </is>
      </c>
      <c r="J1765" s="8" t="n">
        <v>2013</v>
      </c>
      <c r="K1765" s="9" t="n">
        <v>329878</v>
      </c>
      <c r="L1765" s="10" t="n">
        <v>105000</v>
      </c>
      <c r="M1765" s="10" t="n">
        <v>4237.29</v>
      </c>
      <c r="N1765" s="11">
        <f>IF(M1765="","",ROUND(M1765*1.18,2))</f>
        <v/>
      </c>
      <c r="O1765" s="12">
        <f>IF(M1765="","",ROUND(N1765-M1765,2))</f>
        <v/>
      </c>
      <c r="P1765" s="13">
        <f>IF(AND(A1765&lt;&gt;"",B1765&lt;&gt;""), A1765&amp;" · "&amp;B1765, "")</f>
        <v/>
      </c>
    </row>
    <row r="1766">
      <c r="A1766" s="6" t="inlineStr">
        <is>
          <t>FY27</t>
        </is>
      </c>
      <c r="B1766" s="6" t="inlineStr">
        <is>
          <t>May</t>
        </is>
      </c>
      <c r="C1766" s="6" t="inlineStr">
        <is>
          <t>AP/TS</t>
        </is>
      </c>
      <c r="D1766" s="7" t="inlineStr">
        <is>
          <t>AP16CP6408</t>
        </is>
      </c>
      <c r="E1766" s="7" t="inlineStr">
        <is>
          <t>NISSAN</t>
        </is>
      </c>
      <c r="F1766" s="7" t="inlineStr">
        <is>
          <t>Sunny</t>
        </is>
      </c>
      <c r="G1766" s="7" t="inlineStr">
        <is>
          <t>GOPI NAGARAJU</t>
        </is>
      </c>
      <c r="H1766" s="7" t="inlineStr">
        <is>
          <t>Non-Captive</t>
        </is>
      </c>
      <c r="I1766" s="7" t="inlineStr">
        <is>
          <t>Ruthwik Prathi</t>
        </is>
      </c>
      <c r="J1766" s="8" t="n">
        <v>2013</v>
      </c>
      <c r="K1766" s="9" t="n">
        <v>145263</v>
      </c>
      <c r="L1766" s="10" t="n">
        <v>220000</v>
      </c>
      <c r="M1766" s="10" t="n">
        <v>6779.66</v>
      </c>
      <c r="N1766" s="11">
        <f>IF(M1766="","",ROUND(M1766*1.18,2))</f>
        <v/>
      </c>
      <c r="O1766" s="12">
        <f>IF(M1766="","",ROUND(N1766-M1766,2))</f>
        <v/>
      </c>
      <c r="P1766" s="13">
        <f>IF(AND(A1766&lt;&gt;"",B1766&lt;&gt;""), A1766&amp;" · "&amp;B1766, "")</f>
        <v/>
      </c>
    </row>
    <row r="1767">
      <c r="A1767" s="6" t="inlineStr">
        <is>
          <t>FY27</t>
        </is>
      </c>
      <c r="B1767" s="6" t="inlineStr">
        <is>
          <t>May</t>
        </is>
      </c>
      <c r="C1767" s="6" t="inlineStr">
        <is>
          <t>AP/TS</t>
        </is>
      </c>
      <c r="D1767" s="7" t="inlineStr">
        <is>
          <t>AP16DF3346</t>
        </is>
      </c>
      <c r="E1767" s="7" t="inlineStr">
        <is>
          <t>HONDA</t>
        </is>
      </c>
      <c r="F1767" s="7" t="inlineStr">
        <is>
          <t>City</t>
        </is>
      </c>
      <c r="G1767" s="7" t="inlineStr">
        <is>
          <t>TENALI SRINIVAS</t>
        </is>
      </c>
      <c r="H1767" s="7" t="inlineStr">
        <is>
          <t>Non-Captive</t>
        </is>
      </c>
      <c r="I1767" s="7" t="inlineStr">
        <is>
          <t>Chittibomma Srinivasa Rao</t>
        </is>
      </c>
      <c r="J1767" s="8" t="n">
        <v>2015</v>
      </c>
      <c r="K1767" s="9" t="n">
        <v>184111</v>
      </c>
      <c r="L1767" s="10" t="n">
        <v>303000</v>
      </c>
      <c r="M1767" s="10" t="n">
        <v>2542.37</v>
      </c>
      <c r="N1767" s="11">
        <f>IF(M1767="","",ROUND(M1767*1.18,2))</f>
        <v/>
      </c>
      <c r="O1767" s="12">
        <f>IF(M1767="","",ROUND(N1767-M1767,2))</f>
        <v/>
      </c>
      <c r="P1767" s="13">
        <f>IF(AND(A1767&lt;&gt;"",B1767&lt;&gt;""), A1767&amp;" · "&amp;B1767, "")</f>
        <v/>
      </c>
    </row>
    <row r="1768">
      <c r="A1768" s="6" t="inlineStr">
        <is>
          <t>FY27</t>
        </is>
      </c>
      <c r="B1768" s="6" t="inlineStr">
        <is>
          <t>May</t>
        </is>
      </c>
      <c r="C1768" s="6" t="inlineStr">
        <is>
          <t>AP/TS</t>
        </is>
      </c>
      <c r="D1768" s="7" t="inlineStr">
        <is>
          <t>AP16DM5869</t>
        </is>
      </c>
      <c r="E1768" s="7" t="inlineStr">
        <is>
          <t>HYUNDAI</t>
        </is>
      </c>
      <c r="F1768" s="7" t="inlineStr">
        <is>
          <t>Grand i10</t>
        </is>
      </c>
      <c r="G1768" s="7" t="inlineStr">
        <is>
          <t>TENALI SRINIVAS</t>
        </is>
      </c>
      <c r="H1768" s="7" t="inlineStr">
        <is>
          <t>Non-Captive</t>
        </is>
      </c>
      <c r="I1768" s="7" t="inlineStr">
        <is>
          <t>Chittibomma Srinivasa Rao</t>
        </is>
      </c>
      <c r="J1768" s="8" t="n">
        <v>2016</v>
      </c>
      <c r="K1768" s="9" t="n">
        <v>95021</v>
      </c>
      <c r="L1768" s="10" t="n">
        <v>203000</v>
      </c>
      <c r="M1768" s="10" t="n">
        <v>2542.37</v>
      </c>
      <c r="N1768" s="11">
        <f>IF(M1768="","",ROUND(M1768*1.18,2))</f>
        <v/>
      </c>
      <c r="O1768" s="12">
        <f>IF(M1768="","",ROUND(N1768-M1768,2))</f>
        <v/>
      </c>
      <c r="P1768" s="13">
        <f>IF(AND(A1768&lt;&gt;"",B1768&lt;&gt;""), A1768&amp;" · "&amp;B1768, "")</f>
        <v/>
      </c>
    </row>
    <row r="1769">
      <c r="A1769" s="6" t="inlineStr">
        <is>
          <t>FY27</t>
        </is>
      </c>
      <c r="B1769" s="6" t="inlineStr">
        <is>
          <t>May</t>
        </is>
      </c>
      <c r="C1769" s="6" t="inlineStr">
        <is>
          <t>AP/TS</t>
        </is>
      </c>
      <c r="D1769" s="7" t="inlineStr">
        <is>
          <t>AP16EH4846</t>
        </is>
      </c>
      <c r="E1769" s="7" t="inlineStr">
        <is>
          <t>HYUNDAI</t>
        </is>
      </c>
      <c r="F1769" s="7" t="inlineStr">
        <is>
          <t>Grand i10</t>
        </is>
      </c>
      <c r="G1769" s="7" t="inlineStr">
        <is>
          <t>TENALI SRINIVAS</t>
        </is>
      </c>
      <c r="H1769" s="7" t="inlineStr">
        <is>
          <t>Non-Captive</t>
        </is>
      </c>
      <c r="I1769" s="7" t="inlineStr">
        <is>
          <t>Guthi Ravi Krishna</t>
        </is>
      </c>
      <c r="J1769" s="8" t="n">
        <v>2017</v>
      </c>
      <c r="K1769" s="9" t="n">
        <v>94502</v>
      </c>
      <c r="L1769" s="10" t="n">
        <v>253500</v>
      </c>
      <c r="M1769" s="10" t="n">
        <v>2966.1</v>
      </c>
      <c r="N1769" s="11">
        <f>IF(M1769="","",ROUND(M1769*1.18,2))</f>
        <v/>
      </c>
      <c r="O1769" s="12">
        <f>IF(M1769="","",ROUND(N1769-M1769,2))</f>
        <v/>
      </c>
      <c r="P1769" s="13">
        <f>IF(AND(A1769&lt;&gt;"",B1769&lt;&gt;""), A1769&amp;" · "&amp;B1769, "")</f>
        <v/>
      </c>
    </row>
    <row r="1770">
      <c r="A1770" s="6" t="inlineStr">
        <is>
          <t>FY27</t>
        </is>
      </c>
      <c r="B1770" s="6" t="inlineStr">
        <is>
          <t>May</t>
        </is>
      </c>
      <c r="C1770" s="6" t="inlineStr">
        <is>
          <t>AP/TS</t>
        </is>
      </c>
      <c r="D1770" s="7" t="inlineStr">
        <is>
          <t>AP16FB1119</t>
        </is>
      </c>
      <c r="E1770" s="7" t="inlineStr">
        <is>
          <t>HONDA</t>
        </is>
      </c>
      <c r="F1770" s="7" t="inlineStr">
        <is>
          <t>City</t>
        </is>
      </c>
      <c r="G1770" s="7" t="inlineStr">
        <is>
          <t>EXCHANGE</t>
        </is>
      </c>
      <c r="H1770" s="7" t="inlineStr">
        <is>
          <t>Captive</t>
        </is>
      </c>
      <c r="I1770" s="7" t="inlineStr">
        <is>
          <t>Vedicherla Sudheer Reddy - VSR Cars</t>
        </is>
      </c>
      <c r="J1770" s="8" t="n">
        <v>2017</v>
      </c>
      <c r="K1770" s="9" t="n">
        <v>86372</v>
      </c>
      <c r="L1770" s="10" t="n">
        <v>310000</v>
      </c>
      <c r="M1770" s="10" t="n">
        <v>8474.58</v>
      </c>
      <c r="N1770" s="11">
        <f>IF(M1770="","",ROUND(M1770*1.18,2))</f>
        <v/>
      </c>
      <c r="O1770" s="12">
        <f>IF(M1770="","",ROUND(N1770-M1770,2))</f>
        <v/>
      </c>
      <c r="P1770" s="13">
        <f>IF(AND(A1770&lt;&gt;"",B1770&lt;&gt;""), A1770&amp;" · "&amp;B1770, "")</f>
        <v/>
      </c>
    </row>
    <row r="1771">
      <c r="A1771" s="6" t="inlineStr">
        <is>
          <t>FY27</t>
        </is>
      </c>
      <c r="B1771" s="6" t="inlineStr">
        <is>
          <t>May</t>
        </is>
      </c>
      <c r="C1771" s="6" t="inlineStr">
        <is>
          <t>AP/TS</t>
        </is>
      </c>
      <c r="D1771" s="7" t="inlineStr">
        <is>
          <t>AP21CJ1842</t>
        </is>
      </c>
      <c r="E1771" s="7" t="inlineStr">
        <is>
          <t>MARUTI SUZUKI</t>
        </is>
      </c>
      <c r="F1771" s="7" t="inlineStr">
        <is>
          <t>Ignis</t>
        </is>
      </c>
      <c r="G1771" s="7" t="inlineStr">
        <is>
          <t>TENALI SRINIVAS</t>
        </is>
      </c>
      <c r="H1771" s="7" t="inlineStr">
        <is>
          <t>Non-Captive</t>
        </is>
      </c>
      <c r="I1771" s="7" t="inlineStr">
        <is>
          <t>Chittibomma Srinivasa Rao</t>
        </is>
      </c>
      <c r="J1771" s="8" t="n">
        <v>2018</v>
      </c>
      <c r="K1771" s="9" t="n">
        <v>133814</v>
      </c>
      <c r="L1771" s="10" t="n">
        <v>303000</v>
      </c>
      <c r="M1771" s="10" t="n">
        <v>2542.37</v>
      </c>
      <c r="N1771" s="11">
        <f>IF(M1771="","",ROUND(M1771*1.18,2))</f>
        <v/>
      </c>
      <c r="O1771" s="12">
        <f>IF(M1771="","",ROUND(N1771-M1771,2))</f>
        <v/>
      </c>
      <c r="P1771" s="13">
        <f>IF(AND(A1771&lt;&gt;"",B1771&lt;&gt;""), A1771&amp;" · "&amp;B1771, "")</f>
        <v/>
      </c>
    </row>
    <row r="1772">
      <c r="A1772" s="6" t="inlineStr">
        <is>
          <t>FY27</t>
        </is>
      </c>
      <c r="B1772" s="6" t="inlineStr">
        <is>
          <t>May</t>
        </is>
      </c>
      <c r="C1772" s="6" t="inlineStr">
        <is>
          <t>AP/TS</t>
        </is>
      </c>
      <c r="D1772" s="7" t="inlineStr">
        <is>
          <t>AP23L6536</t>
        </is>
      </c>
      <c r="E1772" s="7" t="inlineStr">
        <is>
          <t>HONDA</t>
        </is>
      </c>
      <c r="F1772" s="7" t="inlineStr">
        <is>
          <t>City</t>
        </is>
      </c>
      <c r="G1772" s="7" t="inlineStr">
        <is>
          <t>TENALI SRINIVAS</t>
        </is>
      </c>
      <c r="H1772" s="7" t="inlineStr">
        <is>
          <t>Non-Captive</t>
        </is>
      </c>
      <c r="I1772" s="7" t="inlineStr">
        <is>
          <t>Kaki Dinesh Kumar</t>
        </is>
      </c>
      <c r="J1772" s="8" t="n">
        <v>2007</v>
      </c>
      <c r="K1772" s="9" t="n">
        <v>159174</v>
      </c>
      <c r="L1772" s="10" t="n">
        <v>68000</v>
      </c>
      <c r="M1772" s="10" t="n">
        <v>2542.37</v>
      </c>
      <c r="N1772" s="11">
        <f>IF(M1772="","",ROUND(M1772*1.18,2))</f>
        <v/>
      </c>
      <c r="O1772" s="12">
        <f>IF(M1772="","",ROUND(N1772-M1772,2))</f>
        <v/>
      </c>
      <c r="P1772" s="13">
        <f>IF(AND(A1772&lt;&gt;"",B1772&lt;&gt;""), A1772&amp;" · "&amp;B1772, "")</f>
        <v/>
      </c>
    </row>
    <row r="1773">
      <c r="A1773" s="6" t="inlineStr">
        <is>
          <t>FY27</t>
        </is>
      </c>
      <c r="B1773" s="6" t="inlineStr">
        <is>
          <t>May</t>
        </is>
      </c>
      <c r="C1773" s="6" t="inlineStr">
        <is>
          <t>AP/TS</t>
        </is>
      </c>
      <c r="D1773" s="7" t="inlineStr">
        <is>
          <t>AP27BY2399</t>
        </is>
      </c>
      <c r="E1773" s="7" t="inlineStr">
        <is>
          <t>MARUTI SUZUKI</t>
        </is>
      </c>
      <c r="F1773" s="7" t="inlineStr">
        <is>
          <t>Wagon R</t>
        </is>
      </c>
      <c r="G1773" s="7" t="inlineStr">
        <is>
          <t>TENALI SRINIVAS</t>
        </is>
      </c>
      <c r="H1773" s="7" t="inlineStr">
        <is>
          <t>Non-Captive</t>
        </is>
      </c>
      <c r="I1773" s="7" t="inlineStr">
        <is>
          <t>Chittibomma Srinivasa Rao</t>
        </is>
      </c>
      <c r="J1773" s="8" t="n">
        <v>2018</v>
      </c>
      <c r="K1773" s="9" t="n">
        <v>137091</v>
      </c>
      <c r="L1773" s="10" t="n">
        <v>283000</v>
      </c>
      <c r="M1773" s="10" t="n">
        <v>2542.37</v>
      </c>
      <c r="N1773" s="11">
        <f>IF(M1773="","",ROUND(M1773*1.18,2))</f>
        <v/>
      </c>
      <c r="O1773" s="12">
        <f>IF(M1773="","",ROUND(N1773-M1773,2))</f>
        <v/>
      </c>
      <c r="P1773" s="13">
        <f>IF(AND(A1773&lt;&gt;"",B1773&lt;&gt;""), A1773&amp;" · "&amp;B1773, "")</f>
        <v/>
      </c>
    </row>
    <row r="1774">
      <c r="A1774" s="6" t="inlineStr">
        <is>
          <t>FY27</t>
        </is>
      </c>
      <c r="B1774" s="6" t="inlineStr">
        <is>
          <t>May</t>
        </is>
      </c>
      <c r="C1774" s="6" t="inlineStr">
        <is>
          <t>AP/TS</t>
        </is>
      </c>
      <c r="D1774" s="7" t="inlineStr">
        <is>
          <t>AP28DF6034</t>
        </is>
      </c>
      <c r="E1774" s="7" t="inlineStr">
        <is>
          <t>FIAT</t>
        </is>
      </c>
      <c r="F1774" s="7" t="inlineStr">
        <is>
          <t>Punto</t>
        </is>
      </c>
      <c r="G1774" s="7" t="inlineStr">
        <is>
          <t>PUDARI BABU</t>
        </is>
      </c>
      <c r="H1774" s="7" t="inlineStr">
        <is>
          <t>Non-Captive</t>
        </is>
      </c>
      <c r="I1774" s="7" t="inlineStr">
        <is>
          <t>Kranthi Jwala Gudipati</t>
        </is>
      </c>
      <c r="J1774" s="8" t="n">
        <v>2010</v>
      </c>
      <c r="K1774" s="9" t="n">
        <v>124856</v>
      </c>
      <c r="L1774" s="10" t="n">
        <v>60000</v>
      </c>
      <c r="M1774" s="10" t="n">
        <v>4237.29</v>
      </c>
      <c r="N1774" s="11">
        <f>IF(M1774="","",ROUND(M1774*1.18,2))</f>
        <v/>
      </c>
      <c r="O1774" s="12">
        <f>IF(M1774="","",ROUND(N1774-M1774,2))</f>
        <v/>
      </c>
      <c r="P1774" s="13">
        <f>IF(AND(A1774&lt;&gt;"",B1774&lt;&gt;""), A1774&amp;" · "&amp;B1774, "")</f>
        <v/>
      </c>
    </row>
    <row r="1775">
      <c r="A1775" s="6" t="inlineStr">
        <is>
          <t>FY27</t>
        </is>
      </c>
      <c r="B1775" s="6" t="inlineStr">
        <is>
          <t>May</t>
        </is>
      </c>
      <c r="C1775" s="6" t="inlineStr">
        <is>
          <t>AP/TS</t>
        </is>
      </c>
      <c r="D1775" s="7" t="inlineStr">
        <is>
          <t>AP31AW4444</t>
        </is>
      </c>
      <c r="E1775" s="7" t="inlineStr">
        <is>
          <t>TOYOTA</t>
        </is>
      </c>
      <c r="F1775" s="7" t="inlineStr">
        <is>
          <t>Innova</t>
        </is>
      </c>
      <c r="G1775" s="7" t="inlineStr">
        <is>
          <t>GOPI NAGARAJU</t>
        </is>
      </c>
      <c r="H1775" s="7" t="inlineStr">
        <is>
          <t>Non-Captive</t>
        </is>
      </c>
      <c r="I1775" s="7" t="inlineStr">
        <is>
          <t>Tenali Srinivas</t>
        </is>
      </c>
      <c r="J1775" s="8" t="n">
        <v>2008</v>
      </c>
      <c r="K1775" s="9" t="n">
        <v>395014</v>
      </c>
      <c r="L1775" s="10" t="n">
        <v>190000</v>
      </c>
      <c r="M1775" s="10" t="n">
        <v>5084.75</v>
      </c>
      <c r="N1775" s="11">
        <f>IF(M1775="","",ROUND(M1775*1.18,2))</f>
        <v/>
      </c>
      <c r="O1775" s="12">
        <f>IF(M1775="","",ROUND(N1775-M1775,2))</f>
        <v/>
      </c>
      <c r="P1775" s="13">
        <f>IF(AND(A1775&lt;&gt;"",B1775&lt;&gt;""), A1775&amp;" · "&amp;B1775, "")</f>
        <v/>
      </c>
    </row>
    <row r="1776">
      <c r="A1776" s="6" t="inlineStr">
        <is>
          <t>FY27</t>
        </is>
      </c>
      <c r="B1776" s="6" t="inlineStr">
        <is>
          <t>May</t>
        </is>
      </c>
      <c r="C1776" s="6" t="inlineStr">
        <is>
          <t>AP/TS</t>
        </is>
      </c>
      <c r="D1776" s="7" t="inlineStr">
        <is>
          <t>AP31BE8611</t>
        </is>
      </c>
      <c r="E1776" s="7" t="inlineStr">
        <is>
          <t>MARUTI SUZUKI</t>
        </is>
      </c>
      <c r="F1776" s="7" t="inlineStr">
        <is>
          <t>Alto</t>
        </is>
      </c>
      <c r="G1776" s="7" t="inlineStr">
        <is>
          <t>TENALI SRINIVAS</t>
        </is>
      </c>
      <c r="H1776" s="7" t="inlineStr">
        <is>
          <t>Non-Captive</t>
        </is>
      </c>
      <c r="I1776" s="7" t="inlineStr">
        <is>
          <t>Kaki Dinesh Kumar</t>
        </is>
      </c>
      <c r="J1776" s="8" t="n">
        <v>2010</v>
      </c>
      <c r="K1776" s="9" t="n">
        <v>85274</v>
      </c>
      <c r="L1776" s="10" t="n">
        <v>68000</v>
      </c>
      <c r="M1776" s="10" t="n">
        <v>2542.37</v>
      </c>
      <c r="N1776" s="11">
        <f>IF(M1776="","",ROUND(M1776*1.18,2))</f>
        <v/>
      </c>
      <c r="O1776" s="12">
        <f>IF(M1776="","",ROUND(N1776-M1776,2))</f>
        <v/>
      </c>
      <c r="P1776" s="13">
        <f>IF(AND(A1776&lt;&gt;"",B1776&lt;&gt;""), A1776&amp;" · "&amp;B1776, "")</f>
        <v/>
      </c>
    </row>
    <row r="1777">
      <c r="A1777" s="6" t="inlineStr">
        <is>
          <t>FY27</t>
        </is>
      </c>
      <c r="B1777" s="6" t="inlineStr">
        <is>
          <t>May</t>
        </is>
      </c>
      <c r="C1777" s="6" t="inlineStr">
        <is>
          <t>AP/TS</t>
        </is>
      </c>
      <c r="D1777" s="7" t="inlineStr">
        <is>
          <t>AP31BH5456</t>
        </is>
      </c>
      <c r="E1777" s="7" t="inlineStr">
        <is>
          <t>FORD</t>
        </is>
      </c>
      <c r="F1777" s="7" t="inlineStr">
        <is>
          <t>Figo</t>
        </is>
      </c>
      <c r="G1777" s="7" t="inlineStr">
        <is>
          <t>TENALI SRINIVAS</t>
        </is>
      </c>
      <c r="H1777" s="7" t="inlineStr">
        <is>
          <t>Non-Captive</t>
        </is>
      </c>
      <c r="I1777" s="7" t="inlineStr">
        <is>
          <t>Kaki Dinesh Kumar</t>
        </is>
      </c>
      <c r="J1777" s="8" t="n">
        <v>2010</v>
      </c>
      <c r="K1777" s="9" t="n">
        <v>225636</v>
      </c>
      <c r="L1777" s="10" t="n">
        <v>43000</v>
      </c>
      <c r="M1777" s="10" t="n">
        <v>2542.37</v>
      </c>
      <c r="N1777" s="11">
        <f>IF(M1777="","",ROUND(M1777*1.18,2))</f>
        <v/>
      </c>
      <c r="O1777" s="12">
        <f>IF(M1777="","",ROUND(N1777-M1777,2))</f>
        <v/>
      </c>
      <c r="P1777" s="13">
        <f>IF(AND(A1777&lt;&gt;"",B1777&lt;&gt;""), A1777&amp;" · "&amp;B1777, "")</f>
        <v/>
      </c>
    </row>
    <row r="1778">
      <c r="A1778" s="6" t="inlineStr">
        <is>
          <t>FY27</t>
        </is>
      </c>
      <c r="B1778" s="6" t="inlineStr">
        <is>
          <t>May</t>
        </is>
      </c>
      <c r="C1778" s="6" t="inlineStr">
        <is>
          <t>AP/TS</t>
        </is>
      </c>
      <c r="D1778" s="7" t="inlineStr">
        <is>
          <t>AP31BY3599</t>
        </is>
      </c>
      <c r="E1778" s="7" t="inlineStr">
        <is>
          <t>MARUTI SUZUKI</t>
        </is>
      </c>
      <c r="F1778" s="7" t="inlineStr">
        <is>
          <t>Dzire</t>
        </is>
      </c>
      <c r="G1778" s="7" t="inlineStr">
        <is>
          <t>GADI SRI BHARATHI</t>
        </is>
      </c>
      <c r="H1778" s="7" t="inlineStr">
        <is>
          <t>Non-Captive</t>
        </is>
      </c>
      <c r="I1778" s="7" t="inlineStr">
        <is>
          <t>Kaki Dinesh Kumar</t>
        </is>
      </c>
      <c r="J1778" s="8" t="n">
        <v>2012</v>
      </c>
      <c r="K1778" s="9" t="n">
        <v>170484</v>
      </c>
      <c r="L1778" s="10" t="n">
        <v>200000</v>
      </c>
      <c r="M1778" s="10" t="n">
        <v>5932.2</v>
      </c>
      <c r="N1778" s="11">
        <f>IF(M1778="","",ROUND(M1778*1.18,2))</f>
        <v/>
      </c>
      <c r="O1778" s="12">
        <f>IF(M1778="","",ROUND(N1778-M1778,2))</f>
        <v/>
      </c>
      <c r="P1778" s="13">
        <f>IF(AND(A1778&lt;&gt;"",B1778&lt;&gt;""), A1778&amp;" · "&amp;B1778, "")</f>
        <v/>
      </c>
    </row>
    <row r="1779">
      <c r="A1779" s="6" t="inlineStr">
        <is>
          <t>FY27</t>
        </is>
      </c>
      <c r="B1779" s="6" t="inlineStr">
        <is>
          <t>May</t>
        </is>
      </c>
      <c r="C1779" s="6" t="inlineStr">
        <is>
          <t>AP/TS</t>
        </is>
      </c>
      <c r="D1779" s="7" t="inlineStr">
        <is>
          <t>AP31CP1258</t>
        </is>
      </c>
      <c r="E1779" s="7" t="inlineStr">
        <is>
          <t>HONDA</t>
        </is>
      </c>
      <c r="F1779" s="7" t="inlineStr">
        <is>
          <t>Amaze</t>
        </is>
      </c>
      <c r="G1779" s="7" t="inlineStr">
        <is>
          <t>EXCHANGE VIZAG</t>
        </is>
      </c>
      <c r="H1779" s="7" t="inlineStr">
        <is>
          <t>Captive</t>
        </is>
      </c>
      <c r="I1779" s="7" t="inlineStr">
        <is>
          <t>Kaki Dinesh Kumar</t>
        </is>
      </c>
      <c r="J1779" s="8" t="n">
        <v>2014</v>
      </c>
      <c r="K1779" s="9" t="n">
        <v>83041</v>
      </c>
      <c r="L1779" s="10" t="n">
        <v>172000</v>
      </c>
      <c r="M1779" s="10" t="n">
        <v>5932.2</v>
      </c>
      <c r="N1779" s="11">
        <f>IF(M1779="","",ROUND(M1779*1.18,2))</f>
        <v/>
      </c>
      <c r="O1779" s="12">
        <f>IF(M1779="","",ROUND(N1779-M1779,2))</f>
        <v/>
      </c>
      <c r="P1779" s="13">
        <f>IF(AND(A1779&lt;&gt;"",B1779&lt;&gt;""), A1779&amp;" · "&amp;B1779, "")</f>
        <v/>
      </c>
    </row>
    <row r="1780">
      <c r="A1780" s="6" t="inlineStr">
        <is>
          <t>FY27</t>
        </is>
      </c>
      <c r="B1780" s="6" t="inlineStr">
        <is>
          <t>May</t>
        </is>
      </c>
      <c r="C1780" s="6" t="inlineStr">
        <is>
          <t>AP/TS</t>
        </is>
      </c>
      <c r="D1780" s="7" t="inlineStr">
        <is>
          <t>AP31CY0624</t>
        </is>
      </c>
      <c r="E1780" s="7" t="inlineStr">
        <is>
          <t>MARUTI SUZUKI</t>
        </is>
      </c>
      <c r="F1780" s="7" t="inlineStr">
        <is>
          <t>Dzire</t>
        </is>
      </c>
      <c r="G1780" s="7" t="inlineStr">
        <is>
          <t>EXCHANGE VIZAG</t>
        </is>
      </c>
      <c r="H1780" s="7" t="inlineStr">
        <is>
          <t>Captive</t>
        </is>
      </c>
      <c r="I1780" s="7" t="inlineStr">
        <is>
          <t>Karukonda Someswara Rao</t>
        </is>
      </c>
      <c r="J1780" s="8" t="n">
        <v>2015</v>
      </c>
      <c r="K1780" s="9" t="n">
        <v>386721</v>
      </c>
      <c r="L1780" s="10" t="n">
        <v>128000</v>
      </c>
      <c r="M1780" s="10" t="n">
        <v>6779.66</v>
      </c>
      <c r="N1780" s="11">
        <f>IF(M1780="","",ROUND(M1780*1.18,2))</f>
        <v/>
      </c>
      <c r="O1780" s="12">
        <f>IF(M1780="","",ROUND(N1780-M1780,2))</f>
        <v/>
      </c>
      <c r="P1780" s="13">
        <f>IF(AND(A1780&lt;&gt;"",B1780&lt;&gt;""), A1780&amp;" · "&amp;B1780, "")</f>
        <v/>
      </c>
    </row>
    <row r="1781">
      <c r="A1781" s="6" t="inlineStr">
        <is>
          <t>FY27</t>
        </is>
      </c>
      <c r="B1781" s="6" t="inlineStr">
        <is>
          <t>May</t>
        </is>
      </c>
      <c r="C1781" s="6" t="inlineStr">
        <is>
          <t>AP/TS</t>
        </is>
      </c>
      <c r="D1781" s="7" t="inlineStr">
        <is>
          <t>AP31DM5189</t>
        </is>
      </c>
      <c r="E1781" s="7" t="inlineStr">
        <is>
          <t>TATA</t>
        </is>
      </c>
      <c r="F1781" s="7" t="inlineStr">
        <is>
          <t>Zest</t>
        </is>
      </c>
      <c r="G1781" s="7" t="inlineStr">
        <is>
          <t>GADI SRI BHARATHI</t>
        </is>
      </c>
      <c r="H1781" s="7" t="inlineStr">
        <is>
          <t>Non-Captive</t>
        </is>
      </c>
      <c r="I1781" s="7" t="inlineStr">
        <is>
          <t>Kaki Dinesh Kumar</t>
        </is>
      </c>
      <c r="J1781" s="8" t="n">
        <v>2016</v>
      </c>
      <c r="K1781" s="9" t="n">
        <v>130176</v>
      </c>
      <c r="L1781" s="10" t="n">
        <v>228000</v>
      </c>
      <c r="M1781" s="10" t="n">
        <v>6779.66</v>
      </c>
      <c r="N1781" s="11">
        <f>IF(M1781="","",ROUND(M1781*1.18,2))</f>
        <v/>
      </c>
      <c r="O1781" s="12">
        <f>IF(M1781="","",ROUND(N1781-M1781,2))</f>
        <v/>
      </c>
      <c r="P1781" s="13">
        <f>IF(AND(A1781&lt;&gt;"",B1781&lt;&gt;""), A1781&amp;" · "&amp;B1781, "")</f>
        <v/>
      </c>
    </row>
    <row r="1782">
      <c r="A1782" s="6" t="inlineStr">
        <is>
          <t>FY27</t>
        </is>
      </c>
      <c r="B1782" s="6" t="inlineStr">
        <is>
          <t>May</t>
        </is>
      </c>
      <c r="C1782" s="6" t="inlineStr">
        <is>
          <t>AP/TS</t>
        </is>
      </c>
      <c r="D1782" s="7" t="inlineStr">
        <is>
          <t>AP31DQ3763</t>
        </is>
      </c>
      <c r="E1782" s="7" t="inlineStr">
        <is>
          <t>MARUTI SUZUKI</t>
        </is>
      </c>
      <c r="F1782" s="7" t="inlineStr">
        <is>
          <t>Swift</t>
        </is>
      </c>
      <c r="G1782" s="7" t="inlineStr">
        <is>
          <t>EXCHANGE VIZAG</t>
        </is>
      </c>
      <c r="H1782" s="7" t="inlineStr">
        <is>
          <t>Captive</t>
        </is>
      </c>
      <c r="I1782" s="7" t="inlineStr">
        <is>
          <t>Kesireddy Saikiran</t>
        </is>
      </c>
      <c r="J1782" s="8" t="n">
        <v>2016</v>
      </c>
      <c r="K1782" s="9" t="n">
        <v>26589</v>
      </c>
      <c r="L1782" s="10" t="n">
        <v>305000</v>
      </c>
      <c r="M1782" s="10" t="n">
        <v>12711.86</v>
      </c>
      <c r="N1782" s="11">
        <f>IF(M1782="","",ROUND(M1782*1.18,2))</f>
        <v/>
      </c>
      <c r="O1782" s="12">
        <f>IF(M1782="","",ROUND(N1782-M1782,2))</f>
        <v/>
      </c>
      <c r="P1782" s="13">
        <f>IF(AND(A1782&lt;&gt;"",B1782&lt;&gt;""), A1782&amp;" · "&amp;B1782, "")</f>
        <v/>
      </c>
    </row>
    <row r="1783">
      <c r="A1783" s="6" t="inlineStr">
        <is>
          <t>FY27</t>
        </is>
      </c>
      <c r="B1783" s="6" t="inlineStr">
        <is>
          <t>May</t>
        </is>
      </c>
      <c r="C1783" s="6" t="inlineStr">
        <is>
          <t>AP/TS</t>
        </is>
      </c>
      <c r="D1783" s="7" t="inlineStr">
        <is>
          <t>AP31EA0359</t>
        </is>
      </c>
      <c r="E1783" s="7" t="inlineStr">
        <is>
          <t>MARUTI SUZUKI</t>
        </is>
      </c>
      <c r="F1783" s="7" t="inlineStr">
        <is>
          <t>Swift</t>
        </is>
      </c>
      <c r="G1783" s="7" t="inlineStr">
        <is>
          <t>EXCHANGE VIZAG</t>
        </is>
      </c>
      <c r="H1783" s="7" t="inlineStr">
        <is>
          <t>Captive</t>
        </is>
      </c>
      <c r="I1783" s="7" t="inlineStr">
        <is>
          <t>Kaki Dinesh Kumar</t>
        </is>
      </c>
      <c r="J1783" s="8" t="n">
        <v>2017</v>
      </c>
      <c r="K1783" s="9" t="n">
        <v>83041</v>
      </c>
      <c r="L1783" s="10" t="n">
        <v>250000</v>
      </c>
      <c r="M1783" s="10" t="n">
        <v>6779.66</v>
      </c>
      <c r="N1783" s="11">
        <f>IF(M1783="","",ROUND(M1783*1.18,2))</f>
        <v/>
      </c>
      <c r="O1783" s="12">
        <f>IF(M1783="","",ROUND(N1783-M1783,2))</f>
        <v/>
      </c>
      <c r="P1783" s="13">
        <f>IF(AND(A1783&lt;&gt;"",B1783&lt;&gt;""), A1783&amp;" · "&amp;B1783, "")</f>
        <v/>
      </c>
    </row>
    <row r="1784">
      <c r="A1784" s="6" t="inlineStr">
        <is>
          <t>FY27</t>
        </is>
      </c>
      <c r="B1784" s="6" t="inlineStr">
        <is>
          <t>May</t>
        </is>
      </c>
      <c r="C1784" s="6" t="inlineStr">
        <is>
          <t>AP/TS</t>
        </is>
      </c>
      <c r="D1784" s="7" t="inlineStr">
        <is>
          <t>AP33B9489</t>
        </is>
      </c>
      <c r="E1784" s="7" t="inlineStr">
        <is>
          <t>MARUTI SUZUKI</t>
        </is>
      </c>
      <c r="F1784" s="7" t="inlineStr">
        <is>
          <t>Alto</t>
        </is>
      </c>
      <c r="G1784" s="7" t="inlineStr">
        <is>
          <t>TENALI SRINIVAS</t>
        </is>
      </c>
      <c r="H1784" s="7" t="inlineStr">
        <is>
          <t>Non-Captive</t>
        </is>
      </c>
      <c r="I1784" s="7" t="inlineStr">
        <is>
          <t>Kaki Dinesh Kumar</t>
        </is>
      </c>
      <c r="J1784" s="8" t="n">
        <v>2008</v>
      </c>
      <c r="K1784" s="9" t="n">
        <v>116953</v>
      </c>
      <c r="L1784" s="10" t="n">
        <v>43000</v>
      </c>
      <c r="M1784" s="10" t="n">
        <v>2542.37</v>
      </c>
      <c r="N1784" s="11">
        <f>IF(M1784="","",ROUND(M1784*1.18,2))</f>
        <v/>
      </c>
      <c r="O1784" s="12">
        <f>IF(M1784="","",ROUND(N1784-M1784,2))</f>
        <v/>
      </c>
      <c r="P1784" s="13">
        <f>IF(AND(A1784&lt;&gt;"",B1784&lt;&gt;""), A1784&amp;" · "&amp;B1784, "")</f>
        <v/>
      </c>
    </row>
    <row r="1785">
      <c r="A1785" s="6" t="inlineStr">
        <is>
          <t>FY27</t>
        </is>
      </c>
      <c r="B1785" s="6" t="inlineStr">
        <is>
          <t>May</t>
        </is>
      </c>
      <c r="C1785" s="6" t="inlineStr">
        <is>
          <t>AP/TS</t>
        </is>
      </c>
      <c r="D1785" s="7" t="inlineStr">
        <is>
          <t>AP37BY4567</t>
        </is>
      </c>
      <c r="E1785" s="7" t="inlineStr">
        <is>
          <t>FORD</t>
        </is>
      </c>
      <c r="F1785" s="7" t="inlineStr">
        <is>
          <t>EcoSport</t>
        </is>
      </c>
      <c r="G1785" s="7" t="inlineStr">
        <is>
          <t>GADI RAMESH</t>
        </is>
      </c>
      <c r="H1785" s="7" t="inlineStr">
        <is>
          <t>Non-Captive</t>
        </is>
      </c>
      <c r="I1785" s="7" t="inlineStr">
        <is>
          <t>Guthi Ravi Krishna</t>
        </is>
      </c>
      <c r="J1785" s="8" t="n">
        <v>2013</v>
      </c>
      <c r="K1785" s="9" t="n">
        <v>128865</v>
      </c>
      <c r="L1785" s="10" t="n">
        <v>196000</v>
      </c>
      <c r="M1785" s="10" t="n">
        <v>5084.75</v>
      </c>
      <c r="N1785" s="11">
        <f>IF(M1785="","",ROUND(M1785*1.18,2))</f>
        <v/>
      </c>
      <c r="O1785" s="12">
        <f>IF(M1785="","",ROUND(N1785-M1785,2))</f>
        <v/>
      </c>
      <c r="P1785" s="13">
        <f>IF(AND(A1785&lt;&gt;"",B1785&lt;&gt;""), A1785&amp;" · "&amp;B1785, "")</f>
        <v/>
      </c>
    </row>
    <row r="1786">
      <c r="A1786" s="6" t="inlineStr">
        <is>
          <t>FY27</t>
        </is>
      </c>
      <c r="B1786" s="6" t="inlineStr">
        <is>
          <t>May</t>
        </is>
      </c>
      <c r="C1786" s="6" t="inlineStr">
        <is>
          <t>AP/TS</t>
        </is>
      </c>
      <c r="D1786" s="7" t="inlineStr">
        <is>
          <t>AP37DS1939</t>
        </is>
      </c>
      <c r="E1786" s="7" t="inlineStr">
        <is>
          <t>MARUTI SUZUKI</t>
        </is>
      </c>
      <c r="F1786" s="7" t="inlineStr">
        <is>
          <t>Celerio</t>
        </is>
      </c>
      <c r="G1786" s="7" t="inlineStr">
        <is>
          <t>TENALI SRINIVAS</t>
        </is>
      </c>
      <c r="H1786" s="7" t="inlineStr">
        <is>
          <t>Non-Captive</t>
        </is>
      </c>
      <c r="I1786" s="7" t="inlineStr">
        <is>
          <t>Chittibomma Srinivasa Rao</t>
        </is>
      </c>
      <c r="J1786" s="8" t="n">
        <v>2018</v>
      </c>
      <c r="K1786" s="9" t="n">
        <v>145167</v>
      </c>
      <c r="L1786" s="10" t="n">
        <v>253000</v>
      </c>
      <c r="M1786" s="10" t="n">
        <v>2542.37</v>
      </c>
      <c r="N1786" s="11">
        <f>IF(M1786="","",ROUND(M1786*1.18,2))</f>
        <v/>
      </c>
      <c r="O1786" s="12">
        <f>IF(M1786="","",ROUND(N1786-M1786,2))</f>
        <v/>
      </c>
      <c r="P1786" s="13">
        <f>IF(AND(A1786&lt;&gt;"",B1786&lt;&gt;""), A1786&amp;" · "&amp;B1786, "")</f>
        <v/>
      </c>
    </row>
    <row r="1787">
      <c r="A1787" s="6" t="inlineStr">
        <is>
          <t>FY27</t>
        </is>
      </c>
      <c r="B1787" s="6" t="inlineStr">
        <is>
          <t>May</t>
        </is>
      </c>
      <c r="C1787" s="6" t="inlineStr">
        <is>
          <t>AP/TS</t>
        </is>
      </c>
      <c r="D1787" s="7" t="inlineStr">
        <is>
          <t>AP39BX4151</t>
        </is>
      </c>
      <c r="E1787" s="7" t="inlineStr">
        <is>
          <t>MARUTI SUZUKI</t>
        </is>
      </c>
      <c r="F1787" s="7" t="inlineStr">
        <is>
          <t>Ignis</t>
        </is>
      </c>
      <c r="G1787" s="7" t="inlineStr">
        <is>
          <t>TENALI SRINIVAS</t>
        </is>
      </c>
      <c r="H1787" s="7" t="inlineStr">
        <is>
          <t>Non-Captive</t>
        </is>
      </c>
      <c r="I1787" s="7" t="inlineStr">
        <is>
          <t>Chittibomma Srinivasa Rao</t>
        </is>
      </c>
      <c r="J1787" s="8" t="n">
        <v>2019</v>
      </c>
      <c r="K1787" s="9" t="n">
        <v>91141</v>
      </c>
      <c r="L1787" s="10" t="n">
        <v>353000</v>
      </c>
      <c r="M1787" s="10" t="n">
        <v>2542.37</v>
      </c>
      <c r="N1787" s="11">
        <f>IF(M1787="","",ROUND(M1787*1.18,2))</f>
        <v/>
      </c>
      <c r="O1787" s="12">
        <f>IF(M1787="","",ROUND(N1787-M1787,2))</f>
        <v/>
      </c>
      <c r="P1787" s="13">
        <f>IF(AND(A1787&lt;&gt;"",B1787&lt;&gt;""), A1787&amp;" · "&amp;B1787, "")</f>
        <v/>
      </c>
    </row>
    <row r="1788">
      <c r="A1788" s="6" t="inlineStr">
        <is>
          <t>FY27</t>
        </is>
      </c>
      <c r="B1788" s="6" t="inlineStr">
        <is>
          <t>May</t>
        </is>
      </c>
      <c r="C1788" s="6" t="inlineStr">
        <is>
          <t>AP/TS</t>
        </is>
      </c>
      <c r="D1788" s="7" t="inlineStr">
        <is>
          <t>AP39HD9009</t>
        </is>
      </c>
      <c r="E1788" s="7" t="inlineStr">
        <is>
          <t>HONDA</t>
        </is>
      </c>
      <c r="F1788" s="7" t="inlineStr">
        <is>
          <t>City</t>
        </is>
      </c>
      <c r="G1788" s="7" t="inlineStr">
        <is>
          <t>EXCHANGE VIJAYAWADA</t>
        </is>
      </c>
      <c r="H1788" s="7" t="inlineStr">
        <is>
          <t>Captive</t>
        </is>
      </c>
      <c r="I1788" s="7" t="inlineStr">
        <is>
          <t>Gandrapu Raja Ratnam</t>
        </is>
      </c>
      <c r="J1788" s="8" t="n">
        <v>2020</v>
      </c>
      <c r="K1788" s="9" t="n">
        <v>57885</v>
      </c>
      <c r="L1788" s="10" t="n">
        <v>590000</v>
      </c>
      <c r="M1788" s="10" t="n">
        <v>12711.86</v>
      </c>
      <c r="N1788" s="11">
        <f>IF(M1788="","",ROUND(M1788*1.18,2))</f>
        <v/>
      </c>
      <c r="O1788" s="12">
        <f>IF(M1788="","",ROUND(N1788-M1788,2))</f>
        <v/>
      </c>
      <c r="P1788" s="13">
        <f>IF(AND(A1788&lt;&gt;"",B1788&lt;&gt;""), A1788&amp;" · "&amp;B1788, "")</f>
        <v/>
      </c>
    </row>
    <row r="1789">
      <c r="A1789" s="6" t="inlineStr">
        <is>
          <t>FY27</t>
        </is>
      </c>
      <c r="B1789" s="6" t="inlineStr">
        <is>
          <t>May</t>
        </is>
      </c>
      <c r="C1789" s="6" t="inlineStr">
        <is>
          <t>AP/TS</t>
        </is>
      </c>
      <c r="D1789" s="7" t="inlineStr">
        <is>
          <t>AP39LS1139</t>
        </is>
      </c>
      <c r="E1789" s="7" t="inlineStr">
        <is>
          <t>HYUNDAI</t>
        </is>
      </c>
      <c r="F1789" s="7" t="inlineStr">
        <is>
          <t>Santro</t>
        </is>
      </c>
      <c r="G1789" s="7" t="inlineStr">
        <is>
          <t>EXCHANGE</t>
        </is>
      </c>
      <c r="H1789" s="7" t="inlineStr">
        <is>
          <t>Captive</t>
        </is>
      </c>
      <c r="I1789" s="7" t="inlineStr">
        <is>
          <t>Naga Suresh Polukonda</t>
        </is>
      </c>
      <c r="J1789" s="8" t="n">
        <v>2021</v>
      </c>
      <c r="K1789" s="9" t="n">
        <v>94714</v>
      </c>
      <c r="L1789" s="10" t="n">
        <v>310000</v>
      </c>
      <c r="M1789" s="10" t="n">
        <v>8474.58</v>
      </c>
      <c r="N1789" s="11">
        <f>IF(M1789="","",ROUND(M1789*1.18,2))</f>
        <v/>
      </c>
      <c r="O1789" s="12">
        <f>IF(M1789="","",ROUND(N1789-M1789,2))</f>
        <v/>
      </c>
      <c r="P1789" s="13">
        <f>IF(AND(A1789&lt;&gt;"",B1789&lt;&gt;""), A1789&amp;" · "&amp;B1789, "")</f>
        <v/>
      </c>
    </row>
    <row r="1790">
      <c r="A1790" s="6" t="inlineStr">
        <is>
          <t>FY27</t>
        </is>
      </c>
      <c r="B1790" s="6" t="inlineStr">
        <is>
          <t>May</t>
        </is>
      </c>
      <c r="C1790" s="6" t="inlineStr">
        <is>
          <t>AP/TS</t>
        </is>
      </c>
      <c r="D1790" s="7" t="inlineStr">
        <is>
          <t>AP39QA1705</t>
        </is>
      </c>
      <c r="E1790" s="7" t="inlineStr">
        <is>
          <t>MARUTI SUZUKI</t>
        </is>
      </c>
      <c r="F1790" s="7" t="inlineStr">
        <is>
          <t>Alto</t>
        </is>
      </c>
      <c r="G1790" s="7" t="inlineStr">
        <is>
          <t>TENALI SRINIVAS</t>
        </is>
      </c>
      <c r="H1790" s="7" t="inlineStr">
        <is>
          <t>Non-Captive</t>
        </is>
      </c>
      <c r="I1790" s="7" t="inlineStr">
        <is>
          <t>Chittibomma Srinivasa Rao</t>
        </is>
      </c>
      <c r="J1790" s="8" t="n">
        <v>2022</v>
      </c>
      <c r="K1790" s="9" t="n">
        <v>114659</v>
      </c>
      <c r="L1790" s="10" t="n">
        <v>183000</v>
      </c>
      <c r="M1790" s="10" t="n">
        <v>2542.37</v>
      </c>
      <c r="N1790" s="11">
        <f>IF(M1790="","",ROUND(M1790*1.18,2))</f>
        <v/>
      </c>
      <c r="O1790" s="12">
        <f>IF(M1790="","",ROUND(N1790-M1790,2))</f>
        <v/>
      </c>
      <c r="P1790" s="13">
        <f>IF(AND(A1790&lt;&gt;"",B1790&lt;&gt;""), A1790&amp;" · "&amp;B1790, "")</f>
        <v/>
      </c>
    </row>
    <row r="1791">
      <c r="A1791" s="6" t="inlineStr">
        <is>
          <t>FY27</t>
        </is>
      </c>
      <c r="B1791" s="6" t="inlineStr">
        <is>
          <t>May</t>
        </is>
      </c>
      <c r="C1791" s="6" t="inlineStr">
        <is>
          <t>AP/TS</t>
        </is>
      </c>
      <c r="D1791" s="7" t="inlineStr">
        <is>
          <t>AP39RG6345</t>
        </is>
      </c>
      <c r="E1791" s="7" t="inlineStr">
        <is>
          <t>MARUTI SUZUKI</t>
        </is>
      </c>
      <c r="F1791" s="7" t="inlineStr">
        <is>
          <t>Ignis</t>
        </is>
      </c>
      <c r="G1791" s="7" t="inlineStr">
        <is>
          <t>TENALI SRINIVAS</t>
        </is>
      </c>
      <c r="H1791" s="7" t="inlineStr">
        <is>
          <t>Non-Captive</t>
        </is>
      </c>
      <c r="I1791" s="7" t="inlineStr">
        <is>
          <t>Chittibomma Srinivasa Rao</t>
        </is>
      </c>
      <c r="J1791" s="8" t="n">
        <v>2022</v>
      </c>
      <c r="K1791" s="9" t="n">
        <v>91097</v>
      </c>
      <c r="L1791" s="10" t="n">
        <v>243000</v>
      </c>
      <c r="M1791" s="10" t="n">
        <v>2542.37</v>
      </c>
      <c r="N1791" s="11">
        <f>IF(M1791="","",ROUND(M1791*1.18,2))</f>
        <v/>
      </c>
      <c r="O1791" s="12">
        <f>IF(M1791="","",ROUND(N1791-M1791,2))</f>
        <v/>
      </c>
      <c r="P1791" s="13">
        <f>IF(AND(A1791&lt;&gt;"",B1791&lt;&gt;""), A1791&amp;" · "&amp;B1791, "")</f>
        <v/>
      </c>
    </row>
    <row r="1792">
      <c r="A1792" s="6" t="inlineStr">
        <is>
          <t>FY27</t>
        </is>
      </c>
      <c r="B1792" s="6" t="inlineStr">
        <is>
          <t>May</t>
        </is>
      </c>
      <c r="C1792" s="6" t="inlineStr">
        <is>
          <t>AP/TS</t>
        </is>
      </c>
      <c r="D1792" s="7" t="inlineStr">
        <is>
          <t>AP39UK5283</t>
        </is>
      </c>
      <c r="E1792" s="7" t="inlineStr">
        <is>
          <t>HYUNDAI</t>
        </is>
      </c>
      <c r="F1792" s="7" t="inlineStr">
        <is>
          <t>Grand i10</t>
        </is>
      </c>
      <c r="G1792" s="7" t="inlineStr">
        <is>
          <t>TENALI SRINIVAS</t>
        </is>
      </c>
      <c r="H1792" s="7" t="inlineStr">
        <is>
          <t>Non-Captive</t>
        </is>
      </c>
      <c r="I1792" s="7" t="inlineStr">
        <is>
          <t>Shaik Samdhani</t>
        </is>
      </c>
      <c r="J1792" s="8" t="n">
        <v>2018</v>
      </c>
      <c r="K1792" s="9" t="n">
        <v>129082</v>
      </c>
      <c r="L1792" s="10" t="n">
        <v>228510</v>
      </c>
      <c r="M1792" s="10" t="n">
        <v>2974.58</v>
      </c>
      <c r="N1792" s="11">
        <f>IF(M1792="","",ROUND(M1792*1.18,2))</f>
        <v/>
      </c>
      <c r="O1792" s="12">
        <f>IF(M1792="","",ROUND(N1792-M1792,2))</f>
        <v/>
      </c>
      <c r="P1792" s="13">
        <f>IF(AND(A1792&lt;&gt;"",B1792&lt;&gt;""), A1792&amp;" · "&amp;B1792, "")</f>
        <v/>
      </c>
    </row>
    <row r="1793">
      <c r="A1793" s="6" t="inlineStr">
        <is>
          <t>FY27</t>
        </is>
      </c>
      <c r="B1793" s="6" t="inlineStr">
        <is>
          <t>May</t>
        </is>
      </c>
      <c r="C1793" s="6" t="inlineStr">
        <is>
          <t>AP/TS</t>
        </is>
      </c>
      <c r="D1793" s="7" t="inlineStr">
        <is>
          <t>AP40CX3305</t>
        </is>
      </c>
      <c r="E1793" s="7" t="inlineStr">
        <is>
          <t>TATA</t>
        </is>
      </c>
      <c r="F1793" s="7" t="inlineStr">
        <is>
          <t>Tiago</t>
        </is>
      </c>
      <c r="G1793" s="7" t="inlineStr">
        <is>
          <t>EXCHANGE</t>
        </is>
      </c>
      <c r="H1793" s="7" t="inlineStr">
        <is>
          <t>Captive</t>
        </is>
      </c>
      <c r="I1793" s="7" t="inlineStr">
        <is>
          <t>Kaki Dinesh Kumar</t>
        </is>
      </c>
      <c r="J1793" s="8" t="n">
        <v>2024</v>
      </c>
      <c r="K1793" s="9" t="n">
        <v>31298</v>
      </c>
      <c r="L1793" s="10" t="n">
        <v>372500</v>
      </c>
      <c r="M1793" s="10" t="n">
        <v>6355.93</v>
      </c>
      <c r="N1793" s="11">
        <f>IF(M1793="","",ROUND(M1793*1.18,2))</f>
        <v/>
      </c>
      <c r="O1793" s="12">
        <f>IF(M1793="","",ROUND(N1793-M1793,2))</f>
        <v/>
      </c>
      <c r="P1793" s="13">
        <f>IF(AND(A1793&lt;&gt;"",B1793&lt;&gt;""), A1793&amp;" · "&amp;B1793, "")</f>
        <v/>
      </c>
    </row>
    <row r="1794">
      <c r="A1794" s="6" t="inlineStr">
        <is>
          <t>FY27</t>
        </is>
      </c>
      <c r="B1794" s="6" t="inlineStr">
        <is>
          <t>May</t>
        </is>
      </c>
      <c r="C1794" s="6" t="inlineStr">
        <is>
          <t>AP/TS</t>
        </is>
      </c>
      <c r="D1794" s="7" t="inlineStr">
        <is>
          <t>AP40KL7561</t>
        </is>
      </c>
      <c r="E1794" s="7" t="inlineStr">
        <is>
          <t>KIA</t>
        </is>
      </c>
      <c r="F1794" s="7" t="inlineStr">
        <is>
          <t>Seltos</t>
        </is>
      </c>
      <c r="G1794" s="7" t="inlineStr">
        <is>
          <t>EXCHANGE</t>
        </is>
      </c>
      <c r="H1794" s="7" t="inlineStr">
        <is>
          <t>Captive</t>
        </is>
      </c>
      <c r="I1794" s="7" t="inlineStr">
        <is>
          <t>Chittibomma Srinivasa Rao</t>
        </is>
      </c>
      <c r="J1794" s="8" t="n">
        <v>2020</v>
      </c>
      <c r="K1794" s="9" t="n">
        <v>110923</v>
      </c>
      <c r="L1794" s="10" t="n">
        <v>787000</v>
      </c>
      <c r="M1794" s="10" t="n">
        <v>10169.49</v>
      </c>
      <c r="N1794" s="11">
        <f>IF(M1794="","",ROUND(M1794*1.18,2))</f>
        <v/>
      </c>
      <c r="O1794" s="12">
        <f>IF(M1794="","",ROUND(N1794-M1794,2))</f>
        <v/>
      </c>
      <c r="P1794" s="13">
        <f>IF(AND(A1794&lt;&gt;"",B1794&lt;&gt;""), A1794&amp;" · "&amp;B1794, "")</f>
        <v/>
      </c>
    </row>
    <row r="1795">
      <c r="A1795" s="6" t="inlineStr">
        <is>
          <t>FY27</t>
        </is>
      </c>
      <c r="B1795" s="6" t="inlineStr">
        <is>
          <t>May</t>
        </is>
      </c>
      <c r="C1795" s="6" t="inlineStr">
        <is>
          <t>AP/TS</t>
        </is>
      </c>
      <c r="D1795" s="7" t="inlineStr">
        <is>
          <t>KA03MD7709</t>
        </is>
      </c>
      <c r="E1795" s="7" t="inlineStr">
        <is>
          <t>HONDA</t>
        </is>
      </c>
      <c r="F1795" s="7" t="inlineStr">
        <is>
          <t>City</t>
        </is>
      </c>
      <c r="G1795" s="7" t="inlineStr">
        <is>
          <t>GADI RAMESH</t>
        </is>
      </c>
      <c r="H1795" s="7" t="inlineStr">
        <is>
          <t>Non-Captive</t>
        </is>
      </c>
      <c r="I1795" s="7" t="inlineStr">
        <is>
          <t>Mohammed Gouse Basha</t>
        </is>
      </c>
      <c r="J1795" s="8" t="n">
        <v>2005</v>
      </c>
      <c r="K1795" s="9" t="n">
        <v>251140</v>
      </c>
      <c r="L1795" s="10" t="n">
        <v>30000</v>
      </c>
      <c r="M1795" s="10" t="n">
        <v>4237.29</v>
      </c>
      <c r="N1795" s="11">
        <f>IF(M1795="","",ROUND(M1795*1.18,2))</f>
        <v/>
      </c>
      <c r="O1795" s="12">
        <f>IF(M1795="","",ROUND(N1795-M1795,2))</f>
        <v/>
      </c>
      <c r="P1795" s="13">
        <f>IF(AND(A1795&lt;&gt;"",B1795&lt;&gt;""), A1795&amp;" · "&amp;B1795, "")</f>
        <v/>
      </c>
    </row>
    <row r="1796">
      <c r="A1796" s="6" t="inlineStr">
        <is>
          <t>FY27</t>
        </is>
      </c>
      <c r="B1796" s="6" t="inlineStr">
        <is>
          <t>May</t>
        </is>
      </c>
      <c r="C1796" s="6" t="inlineStr">
        <is>
          <t>AP/TS</t>
        </is>
      </c>
      <c r="D1796" s="7" t="inlineStr">
        <is>
          <t>TS04FE0260</t>
        </is>
      </c>
      <c r="E1796" s="7" t="inlineStr">
        <is>
          <t>HONDA</t>
        </is>
      </c>
      <c r="F1796" s="7" t="inlineStr">
        <is>
          <t>WR-V</t>
        </is>
      </c>
      <c r="G1796" s="7" t="inlineStr">
        <is>
          <t>EXCHANGE</t>
        </is>
      </c>
      <c r="H1796" s="7" t="inlineStr">
        <is>
          <t>Captive</t>
        </is>
      </c>
      <c r="I1796" s="7" t="inlineStr">
        <is>
          <t>Puneet Gupta</t>
        </is>
      </c>
      <c r="J1796" s="8" t="n">
        <v>2021</v>
      </c>
      <c r="K1796" s="9" t="n">
        <v>56015</v>
      </c>
      <c r="L1796" s="10" t="n">
        <v>522000</v>
      </c>
      <c r="M1796" s="10" t="n">
        <v>10169.49</v>
      </c>
      <c r="N1796" s="11">
        <f>IF(M1796="","",ROUND(M1796*1.18,2))</f>
        <v/>
      </c>
      <c r="O1796" s="12">
        <f>IF(M1796="","",ROUND(N1796-M1796,2))</f>
        <v/>
      </c>
      <c r="P1796" s="13">
        <f>IF(AND(A1796&lt;&gt;"",B1796&lt;&gt;""), A1796&amp;" · "&amp;B1796, "")</f>
        <v/>
      </c>
    </row>
    <row r="1797">
      <c r="A1797" s="6" t="inlineStr">
        <is>
          <t>FY27</t>
        </is>
      </c>
      <c r="B1797" s="6" t="inlineStr">
        <is>
          <t>May</t>
        </is>
      </c>
      <c r="C1797" s="6" t="inlineStr">
        <is>
          <t>AP/TS</t>
        </is>
      </c>
      <c r="D1797" s="7" t="inlineStr">
        <is>
          <t>TS07EW5900</t>
        </is>
      </c>
      <c r="E1797" s="7" t="inlineStr">
        <is>
          <t>HONDA</t>
        </is>
      </c>
      <c r="F1797" s="7" t="inlineStr">
        <is>
          <t>Amaze</t>
        </is>
      </c>
      <c r="G1797" s="7" t="inlineStr">
        <is>
          <t>EXCHANGE</t>
        </is>
      </c>
      <c r="H1797" s="7" t="inlineStr">
        <is>
          <t>Captive</t>
        </is>
      </c>
      <c r="I1797" s="7" t="inlineStr">
        <is>
          <t>Uppari Sandeep Kumar</t>
        </is>
      </c>
      <c r="J1797" s="8" t="n">
        <v>2015</v>
      </c>
      <c r="K1797" s="9" t="n">
        <v>32055</v>
      </c>
      <c r="L1797" s="10" t="n">
        <v>260000</v>
      </c>
      <c r="M1797" s="10" t="n">
        <v>8474.58</v>
      </c>
      <c r="N1797" s="11">
        <f>IF(M1797="","",ROUND(M1797*1.18,2))</f>
        <v/>
      </c>
      <c r="O1797" s="12">
        <f>IF(M1797="","",ROUND(N1797-M1797,2))</f>
        <v/>
      </c>
      <c r="P1797" s="13">
        <f>IF(AND(A1797&lt;&gt;"",B1797&lt;&gt;""), A1797&amp;" · "&amp;B1797, "")</f>
        <v/>
      </c>
    </row>
    <row r="1798">
      <c r="A1798" s="6" t="inlineStr">
        <is>
          <t>FY27</t>
        </is>
      </c>
      <c r="B1798" s="6" t="inlineStr">
        <is>
          <t>May</t>
        </is>
      </c>
      <c r="C1798" s="6" t="inlineStr">
        <is>
          <t>AP/TS</t>
        </is>
      </c>
      <c r="D1798" s="7" t="inlineStr">
        <is>
          <t>TS08EV7411</t>
        </is>
      </c>
      <c r="E1798" s="7" t="inlineStr">
        <is>
          <t>MARUTI SUZUKI</t>
        </is>
      </c>
      <c r="F1798" s="7" t="inlineStr">
        <is>
          <t>Celerio</t>
        </is>
      </c>
      <c r="G1798" s="7" t="inlineStr">
        <is>
          <t>PUNEET GUPTA</t>
        </is>
      </c>
      <c r="H1798" s="7" t="inlineStr">
        <is>
          <t>Non-Captive</t>
        </is>
      </c>
      <c r="I1798" s="7" t="inlineStr">
        <is>
          <t>4Wheelz</t>
        </is>
      </c>
      <c r="J1798" s="8" t="n">
        <v>2016</v>
      </c>
      <c r="K1798" s="9" t="n">
        <v>95290</v>
      </c>
      <c r="L1798" s="10" t="n">
        <v>254000</v>
      </c>
      <c r="M1798" s="10" t="n">
        <v>3389.83</v>
      </c>
      <c r="N1798" s="11">
        <f>IF(M1798="","",ROUND(M1798*1.18,2))</f>
        <v/>
      </c>
      <c r="O1798" s="12">
        <f>IF(M1798="","",ROUND(N1798-M1798,2))</f>
        <v/>
      </c>
      <c r="P1798" s="13">
        <f>IF(AND(A1798&lt;&gt;"",B1798&lt;&gt;""), A1798&amp;" · "&amp;B1798, "")</f>
        <v/>
      </c>
    </row>
    <row r="1799">
      <c r="A1799" s="6" t="inlineStr">
        <is>
          <t>FY27</t>
        </is>
      </c>
      <c r="B1799" s="6" t="inlineStr">
        <is>
          <t>May</t>
        </is>
      </c>
      <c r="C1799" s="6" t="inlineStr">
        <is>
          <t>AP/TS</t>
        </is>
      </c>
      <c r="D1799" s="7" t="inlineStr">
        <is>
          <t>TS08EX2868</t>
        </is>
      </c>
      <c r="E1799" s="7" t="inlineStr">
        <is>
          <t>MARUTI SUZUKI</t>
        </is>
      </c>
      <c r="F1799" s="7" t="inlineStr">
        <is>
          <t>Wagon R</t>
        </is>
      </c>
      <c r="G1799" s="7" t="inlineStr">
        <is>
          <t>PUNEET GUPTA</t>
        </is>
      </c>
      <c r="H1799" s="7" t="inlineStr">
        <is>
          <t>Non-Captive</t>
        </is>
      </c>
      <c r="I1799" s="7" t="inlineStr">
        <is>
          <t>4Wheelz</t>
        </is>
      </c>
      <c r="J1799" s="8" t="n">
        <v>2016</v>
      </c>
      <c r="K1799" s="9" t="n">
        <v>85521</v>
      </c>
      <c r="L1799" s="10" t="n">
        <v>223000</v>
      </c>
      <c r="M1799" s="10" t="n">
        <v>2542.37</v>
      </c>
      <c r="N1799" s="11">
        <f>IF(M1799="","",ROUND(M1799*1.18,2))</f>
        <v/>
      </c>
      <c r="O1799" s="12">
        <f>IF(M1799="","",ROUND(N1799-M1799,2))</f>
        <v/>
      </c>
      <c r="P1799" s="13">
        <f>IF(AND(A1799&lt;&gt;"",B1799&lt;&gt;""), A1799&amp;" · "&amp;B1799, "")</f>
        <v/>
      </c>
    </row>
    <row r="1800">
      <c r="A1800" s="6" t="inlineStr">
        <is>
          <t>FY27</t>
        </is>
      </c>
      <c r="B1800" s="6" t="inlineStr">
        <is>
          <t>May</t>
        </is>
      </c>
      <c r="C1800" s="6" t="inlineStr">
        <is>
          <t>AP/TS</t>
        </is>
      </c>
      <c r="D1800" s="7" t="inlineStr">
        <is>
          <t>TS08GK7273</t>
        </is>
      </c>
      <c r="E1800" s="7" t="inlineStr">
        <is>
          <t>HONDA</t>
        </is>
      </c>
      <c r="F1800" s="7" t="inlineStr">
        <is>
          <t>Amaze</t>
        </is>
      </c>
      <c r="G1800" s="7" t="inlineStr">
        <is>
          <t>EXCHANGE HYDERABAD</t>
        </is>
      </c>
      <c r="H1800" s="7" t="inlineStr">
        <is>
          <t>Captive</t>
        </is>
      </c>
      <c r="I1800" s="7" t="inlineStr">
        <is>
          <t>Gorenka Vinay Shravan</t>
        </is>
      </c>
      <c r="J1800" s="8" t="n">
        <v>2019</v>
      </c>
      <c r="K1800" s="9" t="n">
        <v>77301</v>
      </c>
      <c r="L1800" s="10" t="n">
        <v>415000</v>
      </c>
      <c r="M1800" s="10" t="n">
        <v>12711.86</v>
      </c>
      <c r="N1800" s="11">
        <f>IF(M1800="","",ROUND(M1800*1.18,2))</f>
        <v/>
      </c>
      <c r="O1800" s="12">
        <f>IF(M1800="","",ROUND(N1800-M1800,2))</f>
        <v/>
      </c>
      <c r="P1800" s="13">
        <f>IF(AND(A1800&lt;&gt;"",B1800&lt;&gt;""), A1800&amp;" · "&amp;B1800, "")</f>
        <v/>
      </c>
    </row>
    <row r="1801">
      <c r="A1801" s="6" t="inlineStr">
        <is>
          <t>FY27</t>
        </is>
      </c>
      <c r="B1801" s="6" t="inlineStr">
        <is>
          <t>May</t>
        </is>
      </c>
      <c r="C1801" s="6" t="inlineStr">
        <is>
          <t>AP/TS</t>
        </is>
      </c>
      <c r="D1801" s="7" t="inlineStr">
        <is>
          <t>TS08JA5509</t>
        </is>
      </c>
      <c r="E1801" s="7" t="inlineStr">
        <is>
          <t>MARUTI SUZUKI</t>
        </is>
      </c>
      <c r="F1801" s="7" t="inlineStr">
        <is>
          <t>Ciaz</t>
        </is>
      </c>
      <c r="G1801" s="7" t="inlineStr">
        <is>
          <t>BUKYA SANTHOSH NAIK</t>
        </is>
      </c>
      <c r="H1801" s="7" t="inlineStr">
        <is>
          <t>Non-Captive</t>
        </is>
      </c>
      <c r="I1801" s="7" t="inlineStr">
        <is>
          <t>Puneet Gupta</t>
        </is>
      </c>
      <c r="J1801" s="8" t="n">
        <v>2016</v>
      </c>
      <c r="K1801" s="9" t="n">
        <v>125526</v>
      </c>
      <c r="L1801" s="10" t="n">
        <v>308000</v>
      </c>
      <c r="M1801" s="10" t="n">
        <v>6779.66</v>
      </c>
      <c r="N1801" s="11">
        <f>IF(M1801="","",ROUND(M1801*1.18,2))</f>
        <v/>
      </c>
      <c r="O1801" s="12">
        <f>IF(M1801="","",ROUND(N1801-M1801,2))</f>
        <v/>
      </c>
      <c r="P1801" s="13">
        <f>IF(AND(A1801&lt;&gt;"",B1801&lt;&gt;""), A1801&amp;" · "&amp;B1801, "")</f>
        <v/>
      </c>
    </row>
    <row r="1802">
      <c r="A1802" s="6" t="inlineStr">
        <is>
          <t>FY27</t>
        </is>
      </c>
      <c r="B1802" s="6" t="inlineStr">
        <is>
          <t>May</t>
        </is>
      </c>
      <c r="C1802" s="6" t="inlineStr">
        <is>
          <t>AP/TS</t>
        </is>
      </c>
      <c r="D1802" s="7" t="inlineStr">
        <is>
          <t>TS09EA0336</t>
        </is>
      </c>
      <c r="E1802" s="7" t="inlineStr">
        <is>
          <t>HONDA</t>
        </is>
      </c>
      <c r="F1802" s="7" t="inlineStr">
        <is>
          <t>Amaze</t>
        </is>
      </c>
      <c r="G1802" s="7" t="inlineStr">
        <is>
          <t>EXCHANGE HYDERABAD</t>
        </is>
      </c>
      <c r="H1802" s="7" t="inlineStr">
        <is>
          <t>Captive</t>
        </is>
      </c>
      <c r="I1802" s="7" t="inlineStr">
        <is>
          <t>Kranthi Jwala Gudipati</t>
        </is>
      </c>
      <c r="J1802" s="8" t="n">
        <v>2014</v>
      </c>
      <c r="K1802" s="9" t="n">
        <v>124502</v>
      </c>
      <c r="L1802" s="10" t="n">
        <v>240000</v>
      </c>
      <c r="M1802" s="10" t="n">
        <v>8474.58</v>
      </c>
      <c r="N1802" s="11">
        <f>IF(M1802="","",ROUND(M1802*1.18,2))</f>
        <v/>
      </c>
      <c r="O1802" s="12">
        <f>IF(M1802="","",ROUND(N1802-M1802,2))</f>
        <v/>
      </c>
      <c r="P1802" s="13">
        <f>IF(AND(A1802&lt;&gt;"",B1802&lt;&gt;""), A1802&amp;" · "&amp;B1802, "")</f>
        <v/>
      </c>
    </row>
    <row r="1803">
      <c r="A1803" s="6" t="inlineStr">
        <is>
          <t>FY27</t>
        </is>
      </c>
      <c r="B1803" s="6" t="inlineStr">
        <is>
          <t>May</t>
        </is>
      </c>
      <c r="C1803" s="6" t="inlineStr">
        <is>
          <t>AP/TS</t>
        </is>
      </c>
      <c r="D1803" s="7" t="inlineStr">
        <is>
          <t>TS09ET9944</t>
        </is>
      </c>
      <c r="E1803" s="7" t="inlineStr">
        <is>
          <t>TATA</t>
        </is>
      </c>
      <c r="F1803" s="7" t="inlineStr">
        <is>
          <t>Tiago</t>
        </is>
      </c>
      <c r="G1803" s="7" t="inlineStr">
        <is>
          <t>PUNEET GUPTA</t>
        </is>
      </c>
      <c r="H1803" s="7" t="inlineStr">
        <is>
          <t>Non-Captive</t>
        </is>
      </c>
      <c r="I1803" s="7" t="inlineStr">
        <is>
          <t>4Wheelz</t>
        </is>
      </c>
      <c r="J1803" s="8" t="n">
        <v>2017</v>
      </c>
      <c r="K1803" s="9" t="n">
        <v>95152</v>
      </c>
      <c r="L1803" s="10" t="n">
        <v>284000</v>
      </c>
      <c r="M1803" s="10" t="n">
        <v>3389.83</v>
      </c>
      <c r="N1803" s="11">
        <f>IF(M1803="","",ROUND(M1803*1.18,2))</f>
        <v/>
      </c>
      <c r="O1803" s="12">
        <f>IF(M1803="","",ROUND(N1803-M1803,2))</f>
        <v/>
      </c>
      <c r="P1803" s="13">
        <f>IF(AND(A1803&lt;&gt;"",B1803&lt;&gt;""), A1803&amp;" · "&amp;B1803, "")</f>
        <v/>
      </c>
    </row>
    <row r="1804">
      <c r="A1804" s="6" t="inlineStr">
        <is>
          <t>FY27</t>
        </is>
      </c>
      <c r="B1804" s="6" t="inlineStr">
        <is>
          <t>May</t>
        </is>
      </c>
      <c r="C1804" s="6" t="inlineStr">
        <is>
          <t>AP/TS</t>
        </is>
      </c>
      <c r="D1804" s="7" t="inlineStr">
        <is>
          <t>TS10EU6203</t>
        </is>
      </c>
      <c r="E1804" s="7" t="inlineStr">
        <is>
          <t>HYUNDAI</t>
        </is>
      </c>
      <c r="F1804" s="7" t="inlineStr">
        <is>
          <t>Venue</t>
        </is>
      </c>
      <c r="G1804" s="7" t="inlineStr">
        <is>
          <t>EXCHANGE</t>
        </is>
      </c>
      <c r="H1804" s="7" t="inlineStr">
        <is>
          <t>Captive</t>
        </is>
      </c>
      <c r="I1804" s="7" t="inlineStr">
        <is>
          <t>4Wheelz</t>
        </is>
      </c>
      <c r="J1804" s="8" t="n">
        <v>2019</v>
      </c>
      <c r="K1804" s="9" t="n">
        <v>44219</v>
      </c>
      <c r="L1804" s="10" t="n">
        <v>490000</v>
      </c>
      <c r="M1804" s="10" t="n">
        <v>8474.58</v>
      </c>
      <c r="N1804" s="11">
        <f>IF(M1804="","",ROUND(M1804*1.18,2))</f>
        <v/>
      </c>
      <c r="O1804" s="12">
        <f>IF(M1804="","",ROUND(N1804-M1804,2))</f>
        <v/>
      </c>
      <c r="P1804" s="13">
        <f>IF(AND(A1804&lt;&gt;"",B1804&lt;&gt;""), A1804&amp;" · "&amp;B1804, "")</f>
        <v/>
      </c>
    </row>
    <row r="1805">
      <c r="A1805" s="6" t="inlineStr">
        <is>
          <t>FY27</t>
        </is>
      </c>
      <c r="B1805" s="6" t="inlineStr">
        <is>
          <t>May</t>
        </is>
      </c>
      <c r="C1805" s="6" t="inlineStr">
        <is>
          <t>Kerala</t>
        </is>
      </c>
      <c r="D1805" s="7" t="inlineStr">
        <is>
          <t>KL01BF8125</t>
        </is>
      </c>
      <c r="E1805" s="7" t="inlineStr">
        <is>
          <t>MARUTI SUZUKI</t>
        </is>
      </c>
      <c r="F1805" s="7" t="inlineStr">
        <is>
          <t>Alto</t>
        </is>
      </c>
      <c r="G1805" s="7" t="inlineStr">
        <is>
          <t>LUXON TATA</t>
        </is>
      </c>
      <c r="H1805" s="7" t="inlineStr">
        <is>
          <t>Non-Captive</t>
        </is>
      </c>
      <c r="I1805" s="7" t="inlineStr">
        <is>
          <t>PRAJOD</t>
        </is>
      </c>
      <c r="J1805" s="8" t="n"/>
      <c r="K1805" s="9" t="n">
        <v>32780</v>
      </c>
      <c r="L1805" s="10" t="n">
        <v>80000</v>
      </c>
      <c r="M1805" s="10" t="n">
        <v>5084.75</v>
      </c>
      <c r="N1805" s="11">
        <f>IF(M1805="","",ROUND(M1805*1.18,2))</f>
        <v/>
      </c>
      <c r="O1805" s="12">
        <f>IF(M1805="","",ROUND(N1805-M1805,2))</f>
        <v/>
      </c>
      <c r="P1805" s="13">
        <f>IF(AND(A1805&lt;&gt;"",B1805&lt;&gt;""), A1805&amp;" · "&amp;B1805, "")</f>
        <v/>
      </c>
    </row>
    <row r="1806">
      <c r="A1806" s="6" t="inlineStr">
        <is>
          <t>FY27</t>
        </is>
      </c>
      <c r="B1806" s="6" t="inlineStr">
        <is>
          <t>May</t>
        </is>
      </c>
      <c r="C1806" s="6" t="inlineStr">
        <is>
          <t>Kerala</t>
        </is>
      </c>
      <c r="D1806" s="7" t="inlineStr">
        <is>
          <t>KL01BJ8385</t>
        </is>
      </c>
      <c r="E1806" s="7" t="inlineStr">
        <is>
          <t>MARUTI SUZUKI</t>
        </is>
      </c>
      <c r="F1806" s="7" t="inlineStr">
        <is>
          <t>Alto K10</t>
        </is>
      </c>
      <c r="G1806" s="7" t="inlineStr">
        <is>
          <t>LUXON TATA</t>
        </is>
      </c>
      <c r="H1806" s="7" t="inlineStr">
        <is>
          <t>Non-Captive</t>
        </is>
      </c>
      <c r="I1806" s="7" t="inlineStr">
        <is>
          <t>KISHORE</t>
        </is>
      </c>
      <c r="J1806" s="8" t="n"/>
      <c r="K1806" s="9" t="n">
        <v>79195</v>
      </c>
      <c r="L1806" s="10" t="n">
        <v>110000</v>
      </c>
      <c r="M1806" s="10" t="n">
        <v>5932.2</v>
      </c>
      <c r="N1806" s="11">
        <f>IF(M1806="","",ROUND(M1806*1.18,2))</f>
        <v/>
      </c>
      <c r="O1806" s="12">
        <f>IF(M1806="","",ROUND(N1806-M1806,2))</f>
        <v/>
      </c>
      <c r="P1806" s="13">
        <f>IF(AND(A1806&lt;&gt;"",B1806&lt;&gt;""), A1806&amp;" · "&amp;B1806, "")</f>
        <v/>
      </c>
    </row>
    <row r="1807">
      <c r="A1807" s="6" t="inlineStr">
        <is>
          <t>FY27</t>
        </is>
      </c>
      <c r="B1807" s="6" t="inlineStr">
        <is>
          <t>May</t>
        </is>
      </c>
      <c r="C1807" s="6" t="inlineStr">
        <is>
          <t>Kerala</t>
        </is>
      </c>
      <c r="D1807" s="7" t="inlineStr">
        <is>
          <t>KL01BU5552</t>
        </is>
      </c>
      <c r="E1807" s="7" t="inlineStr">
        <is>
          <t>MARUTI SUZUKI</t>
        </is>
      </c>
      <c r="F1807" s="7" t="inlineStr">
        <is>
          <t>Alto</t>
        </is>
      </c>
      <c r="G1807" s="7" t="inlineStr">
        <is>
          <t>ABHILASH</t>
        </is>
      </c>
      <c r="H1807" s="7" t="inlineStr">
        <is>
          <t>Non-Captive</t>
        </is>
      </c>
      <c r="I1807" s="7" t="inlineStr">
        <is>
          <t>POPULAR MARUTI</t>
        </is>
      </c>
      <c r="J1807" s="8" t="n"/>
      <c r="K1807" s="9" t="n">
        <v>114500</v>
      </c>
      <c r="L1807" s="10" t="n">
        <v>125000</v>
      </c>
      <c r="M1807" s="10" t="n">
        <v>12711.86</v>
      </c>
      <c r="N1807" s="11">
        <f>IF(M1807="","",ROUND(M1807*1.18,2))</f>
        <v/>
      </c>
      <c r="O1807" s="12">
        <f>IF(M1807="","",ROUND(N1807-M1807,2))</f>
        <v/>
      </c>
      <c r="P1807" s="13">
        <f>IF(AND(A1807&lt;&gt;"",B1807&lt;&gt;""), A1807&amp;" · "&amp;B1807, "")</f>
        <v/>
      </c>
    </row>
    <row r="1808">
      <c r="A1808" s="6" t="inlineStr">
        <is>
          <t>FY27</t>
        </is>
      </c>
      <c r="B1808" s="6" t="inlineStr">
        <is>
          <t>May</t>
        </is>
      </c>
      <c r="C1808" s="6" t="inlineStr">
        <is>
          <t>Kerala</t>
        </is>
      </c>
      <c r="D1808" s="7" t="inlineStr">
        <is>
          <t>KL01BW0013</t>
        </is>
      </c>
      <c r="E1808" s="7" t="inlineStr">
        <is>
          <t>HONDA</t>
        </is>
      </c>
      <c r="F1808" s="7" t="inlineStr">
        <is>
          <t>Jazz</t>
        </is>
      </c>
      <c r="G1808" s="7" t="inlineStr">
        <is>
          <t>INCHEON KIA</t>
        </is>
      </c>
      <c r="H1808" s="7" t="inlineStr">
        <is>
          <t>Non-Captive</t>
        </is>
      </c>
      <c r="I1808" s="7" t="inlineStr">
        <is>
          <t>Clind</t>
        </is>
      </c>
      <c r="J1808" s="8" t="n"/>
      <c r="K1808" s="9" t="n">
        <v>61863</v>
      </c>
      <c r="L1808" s="10" t="n">
        <v>365000</v>
      </c>
      <c r="M1808" s="10" t="n">
        <v>8474.58</v>
      </c>
      <c r="N1808" s="11">
        <f>IF(M1808="","",ROUND(M1808*1.18,2))</f>
        <v/>
      </c>
      <c r="O1808" s="12">
        <f>IF(M1808="","",ROUND(N1808-M1808,2))</f>
        <v/>
      </c>
      <c r="P1808" s="13">
        <f>IF(AND(A1808&lt;&gt;"",B1808&lt;&gt;""), A1808&amp;" · "&amp;B1808, "")</f>
        <v/>
      </c>
    </row>
    <row r="1809">
      <c r="A1809" s="6" t="inlineStr">
        <is>
          <t>FY27</t>
        </is>
      </c>
      <c r="B1809" s="6" t="inlineStr">
        <is>
          <t>May</t>
        </is>
      </c>
      <c r="C1809" s="6" t="inlineStr">
        <is>
          <t>Kerala</t>
        </is>
      </c>
      <c r="D1809" s="7" t="inlineStr">
        <is>
          <t>KL01BZ0892</t>
        </is>
      </c>
      <c r="E1809" s="7" t="inlineStr">
        <is>
          <t>RENAULT</t>
        </is>
      </c>
      <c r="F1809" s="7" t="inlineStr">
        <is>
          <t>Kwid</t>
        </is>
      </c>
      <c r="G1809" s="7" t="inlineStr">
        <is>
          <t>KESHVIN HYUNDAI</t>
        </is>
      </c>
      <c r="H1809" s="7" t="inlineStr">
        <is>
          <t>Non-Captive</t>
        </is>
      </c>
      <c r="I1809" s="7" t="inlineStr">
        <is>
          <t>RAFEEK T A</t>
        </is>
      </c>
      <c r="J1809" s="8" t="n"/>
      <c r="K1809" s="9" t="n">
        <v>14300</v>
      </c>
      <c r="L1809" s="10" t="n">
        <v>130000</v>
      </c>
      <c r="M1809" s="10" t="n">
        <v>10169.49</v>
      </c>
      <c r="N1809" s="11">
        <f>IF(M1809="","",ROUND(M1809*1.18,2))</f>
        <v/>
      </c>
      <c r="O1809" s="12">
        <f>IF(M1809="","",ROUND(N1809-M1809,2))</f>
        <v/>
      </c>
      <c r="P1809" s="13">
        <f>IF(AND(A1809&lt;&gt;"",B1809&lt;&gt;""), A1809&amp;" · "&amp;B1809, "")</f>
        <v/>
      </c>
    </row>
    <row r="1810">
      <c r="A1810" s="6" t="inlineStr">
        <is>
          <t>FY27</t>
        </is>
      </c>
      <c r="B1810" s="6" t="inlineStr">
        <is>
          <t>May</t>
        </is>
      </c>
      <c r="C1810" s="6" t="inlineStr">
        <is>
          <t>Kerala</t>
        </is>
      </c>
      <c r="D1810" s="7" t="inlineStr">
        <is>
          <t>KL01CC7499</t>
        </is>
      </c>
      <c r="E1810" s="7" t="inlineStr">
        <is>
          <t>RENAULT</t>
        </is>
      </c>
      <c r="F1810" s="7" t="inlineStr">
        <is>
          <t>Kwid</t>
        </is>
      </c>
      <c r="G1810" s="7" t="inlineStr">
        <is>
          <t>INCHEON KIA</t>
        </is>
      </c>
      <c r="H1810" s="7" t="inlineStr">
        <is>
          <t>Non-Captive</t>
        </is>
      </c>
      <c r="I1810" s="7" t="inlineStr">
        <is>
          <t>KISHORE</t>
        </is>
      </c>
      <c r="J1810" s="8" t="n"/>
      <c r="K1810" s="9" t="n">
        <v>49200</v>
      </c>
      <c r="L1810" s="10" t="n">
        <v>150000</v>
      </c>
      <c r="M1810" s="10" t="n">
        <v>5932.2</v>
      </c>
      <c r="N1810" s="11">
        <f>IF(M1810="","",ROUND(M1810*1.18,2))</f>
        <v/>
      </c>
      <c r="O1810" s="12">
        <f>IF(M1810="","",ROUND(N1810-M1810,2))</f>
        <v/>
      </c>
      <c r="P1810" s="13">
        <f>IF(AND(A1810&lt;&gt;"",B1810&lt;&gt;""), A1810&amp;" · "&amp;B1810, "")</f>
        <v/>
      </c>
    </row>
    <row r="1811">
      <c r="A1811" s="6" t="inlineStr">
        <is>
          <t>FY27</t>
        </is>
      </c>
      <c r="B1811" s="6" t="inlineStr">
        <is>
          <t>May</t>
        </is>
      </c>
      <c r="C1811" s="6" t="inlineStr">
        <is>
          <t>Kerala</t>
        </is>
      </c>
      <c r="D1811" s="7" t="inlineStr">
        <is>
          <t>KL01CM8954</t>
        </is>
      </c>
      <c r="E1811" s="7" t="inlineStr">
        <is>
          <t>FORD</t>
        </is>
      </c>
      <c r="F1811" s="7" t="inlineStr">
        <is>
          <t>EcoSport</t>
        </is>
      </c>
      <c r="G1811" s="7" t="inlineStr">
        <is>
          <t>POPULAR MARUTI</t>
        </is>
      </c>
      <c r="H1811" s="7" t="inlineStr">
        <is>
          <t>Non-Captive</t>
        </is>
      </c>
      <c r="I1811" s="7" t="inlineStr">
        <is>
          <t>CARLINK</t>
        </is>
      </c>
      <c r="J1811" s="8" t="n"/>
      <c r="K1811" s="9" t="n">
        <v>47000</v>
      </c>
      <c r="L1811" s="10" t="n">
        <v>550000</v>
      </c>
      <c r="M1811" s="10" t="n">
        <v>11016.95</v>
      </c>
      <c r="N1811" s="11">
        <f>IF(M1811="","",ROUND(M1811*1.18,2))</f>
        <v/>
      </c>
      <c r="O1811" s="12">
        <f>IF(M1811="","",ROUND(N1811-M1811,2))</f>
        <v/>
      </c>
      <c r="P1811" s="13">
        <f>IF(AND(A1811&lt;&gt;"",B1811&lt;&gt;""), A1811&amp;" · "&amp;B1811, "")</f>
        <v/>
      </c>
    </row>
    <row r="1812">
      <c r="A1812" s="6" t="inlineStr">
        <is>
          <t>FY27</t>
        </is>
      </c>
      <c r="B1812" s="6" t="inlineStr">
        <is>
          <t>May</t>
        </is>
      </c>
      <c r="C1812" s="6" t="inlineStr">
        <is>
          <t>Kerala</t>
        </is>
      </c>
      <c r="D1812" s="7" t="inlineStr">
        <is>
          <t>KL01CS2322</t>
        </is>
      </c>
      <c r="E1812" s="7" t="inlineStr">
        <is>
          <t>MARUTI SUZUKI</t>
        </is>
      </c>
      <c r="F1812" s="7" t="inlineStr">
        <is>
          <t>Eeco</t>
        </is>
      </c>
      <c r="G1812" s="7" t="inlineStr">
        <is>
          <t>INCHEON KIA</t>
        </is>
      </c>
      <c r="H1812" s="7" t="inlineStr">
        <is>
          <t>Non-Captive</t>
        </is>
      </c>
      <c r="I1812" s="7" t="inlineStr">
        <is>
          <t>MAXX MOTORS</t>
        </is>
      </c>
      <c r="J1812" s="8" t="n"/>
      <c r="K1812" s="9" t="n">
        <v>47665</v>
      </c>
      <c r="L1812" s="10" t="n">
        <v>340000</v>
      </c>
      <c r="M1812" s="10" t="n">
        <v>8474.58</v>
      </c>
      <c r="N1812" s="11">
        <f>IF(M1812="","",ROUND(M1812*1.18,2))</f>
        <v/>
      </c>
      <c r="O1812" s="12">
        <f>IF(M1812="","",ROUND(N1812-M1812,2))</f>
        <v/>
      </c>
      <c r="P1812" s="13">
        <f>IF(AND(A1812&lt;&gt;"",B1812&lt;&gt;""), A1812&amp;" · "&amp;B1812, "")</f>
        <v/>
      </c>
    </row>
    <row r="1813">
      <c r="A1813" s="6" t="inlineStr">
        <is>
          <t>FY27</t>
        </is>
      </c>
      <c r="B1813" s="6" t="inlineStr">
        <is>
          <t>May</t>
        </is>
      </c>
      <c r="C1813" s="6" t="inlineStr">
        <is>
          <t>Kerala</t>
        </is>
      </c>
      <c r="D1813" s="7" t="inlineStr">
        <is>
          <t>KL01CW3287</t>
        </is>
      </c>
      <c r="E1813" s="7" t="inlineStr">
        <is>
          <t>RENAULT</t>
        </is>
      </c>
      <c r="F1813" s="7" t="inlineStr">
        <is>
          <t>Kwid</t>
        </is>
      </c>
      <c r="G1813" s="7" t="inlineStr">
        <is>
          <t>SARITH</t>
        </is>
      </c>
      <c r="H1813" s="7" t="inlineStr">
        <is>
          <t>Non-Captive</t>
        </is>
      </c>
      <c r="I1813" s="7" t="inlineStr">
        <is>
          <t>PRAJOD</t>
        </is>
      </c>
      <c r="J1813" s="8" t="n"/>
      <c r="K1813" s="9" t="n">
        <v>20500</v>
      </c>
      <c r="L1813" s="10" t="n">
        <v>320000</v>
      </c>
      <c r="M1813" s="10" t="n">
        <v>6779.66</v>
      </c>
      <c r="N1813" s="11">
        <f>IF(M1813="","",ROUND(M1813*1.18,2))</f>
        <v/>
      </c>
      <c r="O1813" s="12">
        <f>IF(M1813="","",ROUND(N1813-M1813,2))</f>
        <v/>
      </c>
      <c r="P1813" s="13">
        <f>IF(AND(A1813&lt;&gt;"",B1813&lt;&gt;""), A1813&amp;" · "&amp;B1813, "")</f>
        <v/>
      </c>
    </row>
    <row r="1814">
      <c r="A1814" s="6" t="inlineStr">
        <is>
          <t>FY27</t>
        </is>
      </c>
      <c r="B1814" s="6" t="inlineStr">
        <is>
          <t>May</t>
        </is>
      </c>
      <c r="C1814" s="6" t="inlineStr">
        <is>
          <t>Kerala</t>
        </is>
      </c>
      <c r="D1814" s="7" t="inlineStr">
        <is>
          <t>KL02AA3960</t>
        </is>
      </c>
      <c r="E1814" s="7" t="inlineStr">
        <is>
          <t>MARUTI SUZUKI</t>
        </is>
      </c>
      <c r="F1814" s="7" t="inlineStr">
        <is>
          <t>Swift</t>
        </is>
      </c>
      <c r="G1814" s="7" t="inlineStr">
        <is>
          <t>POPULAR MARUTI</t>
        </is>
      </c>
      <c r="H1814" s="7" t="inlineStr">
        <is>
          <t>Non-Captive</t>
        </is>
      </c>
      <c r="I1814" s="7" t="inlineStr">
        <is>
          <t>Aitos Cars</t>
        </is>
      </c>
      <c r="J1814" s="8" t="n"/>
      <c r="K1814" s="9" t="n">
        <v>195585</v>
      </c>
      <c r="L1814" s="10" t="n">
        <v>100000</v>
      </c>
      <c r="M1814" s="10" t="n">
        <v>8474.58</v>
      </c>
      <c r="N1814" s="11">
        <f>IF(M1814="","",ROUND(M1814*1.18,2))</f>
        <v/>
      </c>
      <c r="O1814" s="12">
        <f>IF(M1814="","",ROUND(N1814-M1814,2))</f>
        <v/>
      </c>
      <c r="P1814" s="13">
        <f>IF(AND(A1814&lt;&gt;"",B1814&lt;&gt;""), A1814&amp;" · "&amp;B1814, "")</f>
        <v/>
      </c>
    </row>
    <row r="1815">
      <c r="A1815" s="6" t="inlineStr">
        <is>
          <t>FY27</t>
        </is>
      </c>
      <c r="B1815" s="6" t="inlineStr">
        <is>
          <t>May</t>
        </is>
      </c>
      <c r="C1815" s="6" t="inlineStr">
        <is>
          <t>Kerala</t>
        </is>
      </c>
      <c r="D1815" s="7" t="inlineStr">
        <is>
          <t>KL02AD3097</t>
        </is>
      </c>
      <c r="E1815" s="7" t="inlineStr">
        <is>
          <t>MARUTI SUZUKI</t>
        </is>
      </c>
      <c r="F1815" s="7" t="inlineStr">
        <is>
          <t>A-Star</t>
        </is>
      </c>
      <c r="G1815" s="7" t="inlineStr">
        <is>
          <t>FORTUNE MG</t>
        </is>
      </c>
      <c r="H1815" s="7" t="inlineStr">
        <is>
          <t>Non-Captive</t>
        </is>
      </c>
      <c r="I1815" s="7" t="inlineStr">
        <is>
          <t>ATHUL RAJ</t>
        </is>
      </c>
      <c r="J1815" s="8" t="n"/>
      <c r="K1815" s="9" t="n">
        <v>123000</v>
      </c>
      <c r="L1815" s="10" t="n">
        <v>60000</v>
      </c>
      <c r="M1815" s="10" t="n">
        <v>5932.2</v>
      </c>
      <c r="N1815" s="11">
        <f>IF(M1815="","",ROUND(M1815*1.18,2))</f>
        <v/>
      </c>
      <c r="O1815" s="12">
        <f>IF(M1815="","",ROUND(N1815-M1815,2))</f>
        <v/>
      </c>
      <c r="P1815" s="13">
        <f>IF(AND(A1815&lt;&gt;"",B1815&lt;&gt;""), A1815&amp;" · "&amp;B1815, "")</f>
        <v/>
      </c>
    </row>
    <row r="1816">
      <c r="A1816" s="6" t="inlineStr">
        <is>
          <t>FY27</t>
        </is>
      </c>
      <c r="B1816" s="6" t="inlineStr">
        <is>
          <t>May</t>
        </is>
      </c>
      <c r="C1816" s="6" t="inlineStr">
        <is>
          <t>Kerala</t>
        </is>
      </c>
      <c r="D1816" s="7" t="inlineStr">
        <is>
          <t>KL02BT379</t>
        </is>
      </c>
      <c r="E1816" s="7" t="inlineStr">
        <is>
          <t>MARUTI SUZUKI</t>
        </is>
      </c>
      <c r="F1816" s="7" t="inlineStr">
        <is>
          <t>S-Presso</t>
        </is>
      </c>
      <c r="G1816" s="7" t="inlineStr">
        <is>
          <t>LUXON TATA</t>
        </is>
      </c>
      <c r="H1816" s="7" t="inlineStr">
        <is>
          <t>Non-Captive</t>
        </is>
      </c>
      <c r="I1816" s="7" t="inlineStr">
        <is>
          <t>VARUN</t>
        </is>
      </c>
      <c r="J1816" s="8" t="n"/>
      <c r="K1816" s="9" t="n">
        <v>58000</v>
      </c>
      <c r="L1816" s="10" t="n">
        <v>320000</v>
      </c>
      <c r="M1816" s="10" t="n">
        <v>6779.66</v>
      </c>
      <c r="N1816" s="11">
        <f>IF(M1816="","",ROUND(M1816*1.18,2))</f>
        <v/>
      </c>
      <c r="O1816" s="12">
        <f>IF(M1816="","",ROUND(N1816-M1816,2))</f>
        <v/>
      </c>
      <c r="P1816" s="13">
        <f>IF(AND(A1816&lt;&gt;"",B1816&lt;&gt;""), A1816&amp;" · "&amp;B1816, "")</f>
        <v/>
      </c>
    </row>
    <row r="1817">
      <c r="A1817" s="6" t="inlineStr">
        <is>
          <t>FY27</t>
        </is>
      </c>
      <c r="B1817" s="6" t="inlineStr">
        <is>
          <t>May</t>
        </is>
      </c>
      <c r="C1817" s="6" t="inlineStr">
        <is>
          <t>Kerala</t>
        </is>
      </c>
      <c r="D1817" s="7" t="inlineStr">
        <is>
          <t>KL03N5200</t>
        </is>
      </c>
      <c r="E1817" s="7" t="inlineStr">
        <is>
          <t>HONDA</t>
        </is>
      </c>
      <c r="F1817" s="7" t="inlineStr">
        <is>
          <t>City</t>
        </is>
      </c>
      <c r="G1817" s="7" t="inlineStr">
        <is>
          <t>MUHAMMED SHAJI</t>
        </is>
      </c>
      <c r="H1817" s="7" t="inlineStr">
        <is>
          <t>Non-Captive</t>
        </is>
      </c>
      <c r="I1817" s="7" t="inlineStr">
        <is>
          <t>ANAS VH</t>
        </is>
      </c>
      <c r="J1817" s="8" t="n"/>
      <c r="K1817" s="9" t="n">
        <v>182345</v>
      </c>
      <c r="L1817" s="10" t="n">
        <v>100000</v>
      </c>
      <c r="M1817" s="10" t="n">
        <v>8474.58</v>
      </c>
      <c r="N1817" s="11">
        <f>IF(M1817="","",ROUND(M1817*1.18,2))</f>
        <v/>
      </c>
      <c r="O1817" s="12">
        <f>IF(M1817="","",ROUND(N1817-M1817,2))</f>
        <v/>
      </c>
      <c r="P1817" s="13">
        <f>IF(AND(A1817&lt;&gt;"",B1817&lt;&gt;""), A1817&amp;" · "&amp;B1817, "")</f>
        <v/>
      </c>
    </row>
    <row r="1818">
      <c r="A1818" s="6" t="inlineStr">
        <is>
          <t>FY27</t>
        </is>
      </c>
      <c r="B1818" s="6" t="inlineStr">
        <is>
          <t>May</t>
        </is>
      </c>
      <c r="C1818" s="6" t="inlineStr">
        <is>
          <t>Kerala</t>
        </is>
      </c>
      <c r="D1818" s="7" t="inlineStr">
        <is>
          <t>KL03T6693</t>
        </is>
      </c>
      <c r="E1818" s="7" t="inlineStr">
        <is>
          <t>MARUTI SUZUKI</t>
        </is>
      </c>
      <c r="F1818" s="7" t="inlineStr">
        <is>
          <t>Alto</t>
        </is>
      </c>
      <c r="G1818" s="7" t="inlineStr">
        <is>
          <t>LUXON TATA</t>
        </is>
      </c>
      <c r="H1818" s="7" t="inlineStr">
        <is>
          <t>Non-Captive</t>
        </is>
      </c>
      <c r="I1818" s="7" t="inlineStr">
        <is>
          <t>SHAHAR</t>
        </is>
      </c>
      <c r="J1818" s="8" t="n"/>
      <c r="K1818" s="9" t="n">
        <v>83000</v>
      </c>
      <c r="L1818" s="10" t="n">
        <v>85000</v>
      </c>
      <c r="M1818" s="10" t="n">
        <v>4237.29</v>
      </c>
      <c r="N1818" s="11">
        <f>IF(M1818="","",ROUND(M1818*1.18,2))</f>
        <v/>
      </c>
      <c r="O1818" s="12">
        <f>IF(M1818="","",ROUND(N1818-M1818,2))</f>
        <v/>
      </c>
      <c r="P1818" s="13">
        <f>IF(AND(A1818&lt;&gt;"",B1818&lt;&gt;""), A1818&amp;" · "&amp;B1818, "")</f>
        <v/>
      </c>
    </row>
    <row r="1819">
      <c r="A1819" s="6" t="inlineStr">
        <is>
          <t>FY27</t>
        </is>
      </c>
      <c r="B1819" s="6" t="inlineStr">
        <is>
          <t>May</t>
        </is>
      </c>
      <c r="C1819" s="6" t="inlineStr">
        <is>
          <t>Kerala</t>
        </is>
      </c>
      <c r="D1819" s="7" t="inlineStr">
        <is>
          <t>KL04AC3806</t>
        </is>
      </c>
      <c r="E1819" s="7" t="inlineStr">
        <is>
          <t>MARUTI SUZUKI</t>
        </is>
      </c>
      <c r="F1819" s="7" t="inlineStr">
        <is>
          <t>Ritz</t>
        </is>
      </c>
      <c r="G1819" s="7" t="inlineStr">
        <is>
          <t>POPULAR MARUTI</t>
        </is>
      </c>
      <c r="H1819" s="7" t="inlineStr">
        <is>
          <t>Non-Captive</t>
        </is>
      </c>
      <c r="I1819" s="7" t="inlineStr">
        <is>
          <t>DREAM DRIVE</t>
        </is>
      </c>
      <c r="J1819" s="8" t="n"/>
      <c r="K1819" s="9" t="n">
        <v>75000</v>
      </c>
      <c r="L1819" s="10" t="n">
        <v>160000</v>
      </c>
      <c r="M1819" s="10" t="n">
        <v>8474.58</v>
      </c>
      <c r="N1819" s="11">
        <f>IF(M1819="","",ROUND(M1819*1.18,2))</f>
        <v/>
      </c>
      <c r="O1819" s="12">
        <f>IF(M1819="","",ROUND(N1819-M1819,2))</f>
        <v/>
      </c>
      <c r="P1819" s="13">
        <f>IF(AND(A1819&lt;&gt;"",B1819&lt;&gt;""), A1819&amp;" · "&amp;B1819, "")</f>
        <v/>
      </c>
    </row>
    <row r="1820">
      <c r="A1820" s="6" t="inlineStr">
        <is>
          <t>FY27</t>
        </is>
      </c>
      <c r="B1820" s="6" t="inlineStr">
        <is>
          <t>May</t>
        </is>
      </c>
      <c r="C1820" s="6" t="inlineStr">
        <is>
          <t>Kerala</t>
        </is>
      </c>
      <c r="D1820" s="7" t="inlineStr">
        <is>
          <t>KL04AG4939</t>
        </is>
      </c>
      <c r="E1820" s="7" t="inlineStr">
        <is>
          <t>TATA</t>
        </is>
      </c>
      <c r="F1820" s="7" t="inlineStr">
        <is>
          <t>Indigo</t>
        </is>
      </c>
      <c r="G1820" s="7" t="inlineStr">
        <is>
          <t>POPULAR HYUNDAI</t>
        </is>
      </c>
      <c r="H1820" s="7" t="inlineStr">
        <is>
          <t>Non-Captive</t>
        </is>
      </c>
      <c r="I1820" s="7" t="inlineStr">
        <is>
          <t>RAFEEK T A</t>
        </is>
      </c>
      <c r="J1820" s="8" t="n"/>
      <c r="K1820" s="9" t="n">
        <v>238414</v>
      </c>
      <c r="L1820" s="10" t="n">
        <v>52000</v>
      </c>
      <c r="M1820" s="10" t="n">
        <v>8474.58</v>
      </c>
      <c r="N1820" s="11">
        <f>IF(M1820="","",ROUND(M1820*1.18,2))</f>
        <v/>
      </c>
      <c r="O1820" s="12">
        <f>IF(M1820="","",ROUND(N1820-M1820,2))</f>
        <v/>
      </c>
      <c r="P1820" s="13">
        <f>IF(AND(A1820&lt;&gt;"",B1820&lt;&gt;""), A1820&amp;" · "&amp;B1820, "")</f>
        <v/>
      </c>
    </row>
    <row r="1821">
      <c r="A1821" s="6" t="inlineStr">
        <is>
          <t>FY27</t>
        </is>
      </c>
      <c r="B1821" s="6" t="inlineStr">
        <is>
          <t>May</t>
        </is>
      </c>
      <c r="C1821" s="6" t="inlineStr">
        <is>
          <t>Kerala</t>
        </is>
      </c>
      <c r="D1821" s="7" t="inlineStr">
        <is>
          <t>KL04AU9238</t>
        </is>
      </c>
      <c r="E1821" s="7" t="inlineStr">
        <is>
          <t>NISSAN</t>
        </is>
      </c>
      <c r="F1821" s="7" t="inlineStr">
        <is>
          <t>Terrano</t>
        </is>
      </c>
      <c r="G1821" s="7" t="inlineStr">
        <is>
          <t>POPULAR MARUTI</t>
        </is>
      </c>
      <c r="H1821" s="7" t="inlineStr">
        <is>
          <t>Non-Captive</t>
        </is>
      </c>
      <c r="I1821" s="7" t="inlineStr">
        <is>
          <t>PRAVEEN KUMAR</t>
        </is>
      </c>
      <c r="J1821" s="8" t="n"/>
      <c r="K1821" s="9" t="n">
        <v>129020</v>
      </c>
      <c r="L1821" s="10" t="n">
        <v>150000</v>
      </c>
      <c r="M1821" s="10" t="n">
        <v>8474.58</v>
      </c>
      <c r="N1821" s="11">
        <f>IF(M1821="","",ROUND(M1821*1.18,2))</f>
        <v/>
      </c>
      <c r="O1821" s="12">
        <f>IF(M1821="","",ROUND(N1821-M1821,2))</f>
        <v/>
      </c>
      <c r="P1821" s="13">
        <f>IF(AND(A1821&lt;&gt;"",B1821&lt;&gt;""), A1821&amp;" · "&amp;B1821, "")</f>
        <v/>
      </c>
    </row>
    <row r="1822">
      <c r="A1822" s="6" t="inlineStr">
        <is>
          <t>FY27</t>
        </is>
      </c>
      <c r="B1822" s="6" t="inlineStr">
        <is>
          <t>May</t>
        </is>
      </c>
      <c r="C1822" s="6" t="inlineStr">
        <is>
          <t>Kerala</t>
        </is>
      </c>
      <c r="D1822" s="7" t="inlineStr">
        <is>
          <t>KL05AA2887</t>
        </is>
      </c>
      <c r="E1822" s="7" t="inlineStr">
        <is>
          <t>MARUTI SUZUKI</t>
        </is>
      </c>
      <c r="F1822" s="7" t="inlineStr">
        <is>
          <t>Dzire</t>
        </is>
      </c>
      <c r="G1822" s="7" t="inlineStr">
        <is>
          <t>INCHEON KIA</t>
        </is>
      </c>
      <c r="H1822" s="7" t="inlineStr">
        <is>
          <t>Non-Captive</t>
        </is>
      </c>
      <c r="I1822" s="7" t="inlineStr">
        <is>
          <t>HUSSAIN O E</t>
        </is>
      </c>
      <c r="J1822" s="8" t="n"/>
      <c r="K1822" s="9" t="n">
        <v>153793</v>
      </c>
      <c r="L1822" s="10" t="n">
        <v>150000</v>
      </c>
      <c r="M1822" s="10" t="n">
        <v>10169.49</v>
      </c>
      <c r="N1822" s="11">
        <f>IF(M1822="","",ROUND(M1822*1.18,2))</f>
        <v/>
      </c>
      <c r="O1822" s="12">
        <f>IF(M1822="","",ROUND(N1822-M1822,2))</f>
        <v/>
      </c>
      <c r="P1822" s="13">
        <f>IF(AND(A1822&lt;&gt;"",B1822&lt;&gt;""), A1822&amp;" · "&amp;B1822, "")</f>
        <v/>
      </c>
    </row>
    <row r="1823">
      <c r="A1823" s="6" t="inlineStr">
        <is>
          <t>FY27</t>
        </is>
      </c>
      <c r="B1823" s="6" t="inlineStr">
        <is>
          <t>May</t>
        </is>
      </c>
      <c r="C1823" s="6" t="inlineStr">
        <is>
          <t>Kerala</t>
        </is>
      </c>
      <c r="D1823" s="7" t="inlineStr">
        <is>
          <t>KL05AC9375</t>
        </is>
      </c>
      <c r="E1823" s="7" t="inlineStr">
        <is>
          <t>MARUTI SUZUKI</t>
        </is>
      </c>
      <c r="F1823" s="7" t="inlineStr">
        <is>
          <t>Alto</t>
        </is>
      </c>
      <c r="G1823" s="7" t="inlineStr">
        <is>
          <t>AMRITH V CHANDY</t>
        </is>
      </c>
      <c r="H1823" s="7" t="inlineStr">
        <is>
          <t>Non-Captive</t>
        </is>
      </c>
      <c r="I1823" s="7" t="inlineStr">
        <is>
          <t>MUHAMMED SHAJI</t>
        </is>
      </c>
      <c r="J1823" s="8" t="n"/>
      <c r="K1823" s="9" t="n">
        <v>78678</v>
      </c>
      <c r="L1823" s="10" t="n">
        <v>90000</v>
      </c>
      <c r="M1823" s="10" t="n">
        <v>8474.58</v>
      </c>
      <c r="N1823" s="11">
        <f>IF(M1823="","",ROUND(M1823*1.18,2))</f>
        <v/>
      </c>
      <c r="O1823" s="12">
        <f>IF(M1823="","",ROUND(N1823-M1823,2))</f>
        <v/>
      </c>
      <c r="P1823" s="13">
        <f>IF(AND(A1823&lt;&gt;"",B1823&lt;&gt;""), A1823&amp;" · "&amp;B1823, "")</f>
        <v/>
      </c>
    </row>
    <row r="1824">
      <c r="A1824" s="6" t="inlineStr">
        <is>
          <t>FY27</t>
        </is>
      </c>
      <c r="B1824" s="6" t="inlineStr">
        <is>
          <t>May</t>
        </is>
      </c>
      <c r="C1824" s="6" t="inlineStr">
        <is>
          <t>Kerala</t>
        </is>
      </c>
      <c r="D1824" s="7" t="inlineStr">
        <is>
          <t>KL05AK3198</t>
        </is>
      </c>
      <c r="E1824" s="7" t="inlineStr">
        <is>
          <t>MARUTI SUZUKI</t>
        </is>
      </c>
      <c r="F1824" s="7" t="inlineStr">
        <is>
          <t>Swift</t>
        </is>
      </c>
      <c r="G1824" s="7" t="inlineStr">
        <is>
          <t>EVM SKODA</t>
        </is>
      </c>
      <c r="H1824" s="7" t="inlineStr">
        <is>
          <t>Non-Captive</t>
        </is>
      </c>
      <c r="I1824" s="7" t="inlineStr">
        <is>
          <t>FABITH</t>
        </is>
      </c>
      <c r="J1824" s="8" t="n"/>
      <c r="K1824" s="9" t="n">
        <v>106171</v>
      </c>
      <c r="L1824" s="10" t="n">
        <v>330000</v>
      </c>
      <c r="M1824" s="10" t="n">
        <v>8474.58</v>
      </c>
      <c r="N1824" s="11">
        <f>IF(M1824="","",ROUND(M1824*1.18,2))</f>
        <v/>
      </c>
      <c r="O1824" s="12">
        <f>IF(M1824="","",ROUND(N1824-M1824,2))</f>
        <v/>
      </c>
      <c r="P1824" s="13">
        <f>IF(AND(A1824&lt;&gt;"",B1824&lt;&gt;""), A1824&amp;" · "&amp;B1824, "")</f>
        <v/>
      </c>
    </row>
    <row r="1825">
      <c r="A1825" s="6" t="inlineStr">
        <is>
          <t>FY27</t>
        </is>
      </c>
      <c r="B1825" s="6" t="inlineStr">
        <is>
          <t>May</t>
        </is>
      </c>
      <c r="C1825" s="6" t="inlineStr">
        <is>
          <t>Kerala</t>
        </is>
      </c>
      <c r="D1825" s="7" t="inlineStr">
        <is>
          <t>KL05AT6778</t>
        </is>
      </c>
      <c r="E1825" s="7" t="inlineStr">
        <is>
          <t>HYUNDAI</t>
        </is>
      </c>
      <c r="F1825" s="7" t="inlineStr">
        <is>
          <t>Santro</t>
        </is>
      </c>
      <c r="G1825" s="7" t="inlineStr">
        <is>
          <t>MUHAMMED NAFEED T</t>
        </is>
      </c>
      <c r="H1825" s="7" t="inlineStr">
        <is>
          <t>Non-Captive</t>
        </is>
      </c>
      <c r="I1825" s="7" t="inlineStr">
        <is>
          <t>PK SANTOSH UCD</t>
        </is>
      </c>
      <c r="J1825" s="8" t="n"/>
      <c r="K1825" s="9" t="n">
        <v>83000</v>
      </c>
      <c r="L1825" s="10" t="n">
        <v>380000</v>
      </c>
      <c r="M1825" s="10" t="n">
        <v>8474.58</v>
      </c>
      <c r="N1825" s="11">
        <f>IF(M1825="","",ROUND(M1825*1.18,2))</f>
        <v/>
      </c>
      <c r="O1825" s="12">
        <f>IF(M1825="","",ROUND(N1825-M1825,2))</f>
        <v/>
      </c>
      <c r="P1825" s="13">
        <f>IF(AND(A1825&lt;&gt;"",B1825&lt;&gt;""), A1825&amp;" · "&amp;B1825, "")</f>
        <v/>
      </c>
    </row>
    <row r="1826">
      <c r="A1826" s="6" t="inlineStr">
        <is>
          <t>FY27</t>
        </is>
      </c>
      <c r="B1826" s="6" t="inlineStr">
        <is>
          <t>May</t>
        </is>
      </c>
      <c r="C1826" s="6" t="inlineStr">
        <is>
          <t>Kerala</t>
        </is>
      </c>
      <c r="D1826" s="7" t="inlineStr">
        <is>
          <t>KL05AU0170</t>
        </is>
      </c>
      <c r="E1826" s="7" t="inlineStr">
        <is>
          <t>FORD</t>
        </is>
      </c>
      <c r="F1826" s="7" t="inlineStr">
        <is>
          <t>Freestyle</t>
        </is>
      </c>
      <c r="G1826" s="7" t="inlineStr">
        <is>
          <t>ANAS VH</t>
        </is>
      </c>
      <c r="H1826" s="7" t="inlineStr">
        <is>
          <t>Non-Captive</t>
        </is>
      </c>
      <c r="I1826" s="7" t="inlineStr">
        <is>
          <t>SANOOB V A</t>
        </is>
      </c>
      <c r="J1826" s="8" t="n"/>
      <c r="K1826" s="9" t="n">
        <v>73099</v>
      </c>
      <c r="L1826" s="10" t="n">
        <v>350000</v>
      </c>
      <c r="M1826" s="10" t="n">
        <v>12711.86</v>
      </c>
      <c r="N1826" s="11">
        <f>IF(M1826="","",ROUND(M1826*1.18,2))</f>
        <v/>
      </c>
      <c r="O1826" s="12">
        <f>IF(M1826="","",ROUND(N1826-M1826,2))</f>
        <v/>
      </c>
      <c r="P1826" s="13">
        <f>IF(AND(A1826&lt;&gt;"",B1826&lt;&gt;""), A1826&amp;" · "&amp;B1826, "")</f>
        <v/>
      </c>
    </row>
    <row r="1827">
      <c r="A1827" s="6" t="inlineStr">
        <is>
          <t>FY27</t>
        </is>
      </c>
      <c r="B1827" s="6" t="inlineStr">
        <is>
          <t>May</t>
        </is>
      </c>
      <c r="C1827" s="6" t="inlineStr">
        <is>
          <t>Kerala</t>
        </is>
      </c>
      <c r="D1827" s="7" t="inlineStr">
        <is>
          <t>KL05AU7487</t>
        </is>
      </c>
      <c r="E1827" s="7" t="inlineStr">
        <is>
          <t>HYUNDAI</t>
        </is>
      </c>
      <c r="F1827" s="7" t="inlineStr">
        <is>
          <t>Grand i10</t>
        </is>
      </c>
      <c r="G1827" s="7" t="inlineStr">
        <is>
          <t>POPULAR HYUNDAI</t>
        </is>
      </c>
      <c r="H1827" s="7" t="inlineStr">
        <is>
          <t>Non-Captive</t>
        </is>
      </c>
      <c r="I1827" s="7" t="inlineStr">
        <is>
          <t>VISHNU M S</t>
        </is>
      </c>
      <c r="J1827" s="8" t="n"/>
      <c r="K1827" s="9" t="n">
        <v>90227</v>
      </c>
      <c r="L1827" s="10" t="n">
        <v>275000</v>
      </c>
      <c r="M1827" s="10" t="n">
        <v>9322.030000000001</v>
      </c>
      <c r="N1827" s="11">
        <f>IF(M1827="","",ROUND(M1827*1.18,2))</f>
        <v/>
      </c>
      <c r="O1827" s="12">
        <f>IF(M1827="","",ROUND(N1827-M1827,2))</f>
        <v/>
      </c>
      <c r="P1827" s="13">
        <f>IF(AND(A1827&lt;&gt;"",B1827&lt;&gt;""), A1827&amp;" · "&amp;B1827, "")</f>
        <v/>
      </c>
    </row>
    <row r="1828">
      <c r="A1828" s="6" t="inlineStr">
        <is>
          <t>FY27</t>
        </is>
      </c>
      <c r="B1828" s="6" t="inlineStr">
        <is>
          <t>May</t>
        </is>
      </c>
      <c r="C1828" s="6" t="inlineStr">
        <is>
          <t>Kerala</t>
        </is>
      </c>
      <c r="D1828" s="7" t="inlineStr">
        <is>
          <t>KL05X1309</t>
        </is>
      </c>
      <c r="E1828" s="7" t="inlineStr">
        <is>
          <t>MARUTI SUZUKI</t>
        </is>
      </c>
      <c r="F1828" s="7" t="inlineStr">
        <is>
          <t>Wagon R</t>
        </is>
      </c>
      <c r="G1828" s="7" t="inlineStr">
        <is>
          <t>AMRITH V CHANDY</t>
        </is>
      </c>
      <c r="H1828" s="7" t="inlineStr">
        <is>
          <t>Non-Captive</t>
        </is>
      </c>
      <c r="I1828" s="7" t="inlineStr">
        <is>
          <t>DREAM DRIVE</t>
        </is>
      </c>
      <c r="J1828" s="8" t="n"/>
      <c r="K1828" s="9" t="n">
        <v>130927</v>
      </c>
      <c r="L1828" s="10" t="n">
        <v>20000</v>
      </c>
      <c r="M1828" s="10" t="n">
        <v>8474.58</v>
      </c>
      <c r="N1828" s="11">
        <f>IF(M1828="","",ROUND(M1828*1.18,2))</f>
        <v/>
      </c>
      <c r="O1828" s="12">
        <f>IF(M1828="","",ROUND(N1828-M1828,2))</f>
        <v/>
      </c>
      <c r="P1828" s="13">
        <f>IF(AND(A1828&lt;&gt;"",B1828&lt;&gt;""), A1828&amp;" · "&amp;B1828, "")</f>
        <v/>
      </c>
    </row>
    <row r="1829">
      <c r="A1829" s="6" t="inlineStr">
        <is>
          <t>FY27</t>
        </is>
      </c>
      <c r="B1829" s="6" t="inlineStr">
        <is>
          <t>May</t>
        </is>
      </c>
      <c r="C1829" s="6" t="inlineStr">
        <is>
          <t>Kerala</t>
        </is>
      </c>
      <c r="D1829" s="7" t="inlineStr">
        <is>
          <t>KL05Y4038</t>
        </is>
      </c>
      <c r="E1829" s="7" t="inlineStr">
        <is>
          <t>HYUNDAI</t>
        </is>
      </c>
      <c r="F1829" s="7" t="inlineStr">
        <is>
          <t>i10</t>
        </is>
      </c>
      <c r="G1829" s="7" t="inlineStr">
        <is>
          <t>KISHORE</t>
        </is>
      </c>
      <c r="H1829" s="7" t="inlineStr">
        <is>
          <t>Non-Captive</t>
        </is>
      </c>
      <c r="I1829" s="7" t="inlineStr">
        <is>
          <t>POPULAR HYUNDAI</t>
        </is>
      </c>
      <c r="J1829" s="8" t="n"/>
      <c r="K1829" s="9" t="n">
        <v>102000</v>
      </c>
      <c r="L1829" s="10" t="n">
        <v>65000</v>
      </c>
      <c r="M1829" s="10" t="n">
        <v>4237.29</v>
      </c>
      <c r="N1829" s="11">
        <f>IF(M1829="","",ROUND(M1829*1.18,2))</f>
        <v/>
      </c>
      <c r="O1829" s="12">
        <f>IF(M1829="","",ROUND(N1829-M1829,2))</f>
        <v/>
      </c>
      <c r="P1829" s="13">
        <f>IF(AND(A1829&lt;&gt;"",B1829&lt;&gt;""), A1829&amp;" · "&amp;B1829, "")</f>
        <v/>
      </c>
    </row>
    <row r="1830">
      <c r="A1830" s="6" t="inlineStr">
        <is>
          <t>FY27</t>
        </is>
      </c>
      <c r="B1830" s="6" t="inlineStr">
        <is>
          <t>May</t>
        </is>
      </c>
      <c r="C1830" s="6" t="inlineStr">
        <is>
          <t>Kerala</t>
        </is>
      </c>
      <c r="D1830" s="7" t="inlineStr">
        <is>
          <t>KL05Y5004</t>
        </is>
      </c>
      <c r="E1830" s="7" t="inlineStr">
        <is>
          <t>HYUNDAI</t>
        </is>
      </c>
      <c r="F1830" s="7" t="inlineStr">
        <is>
          <t>Santro</t>
        </is>
      </c>
      <c r="G1830" s="7" t="inlineStr">
        <is>
          <t>POPULAR MARUTI</t>
        </is>
      </c>
      <c r="H1830" s="7" t="inlineStr">
        <is>
          <t>Non-Captive</t>
        </is>
      </c>
      <c r="I1830" s="7" t="inlineStr">
        <is>
          <t>DREAM DRIVE</t>
        </is>
      </c>
      <c r="J1830" s="8" t="n"/>
      <c r="K1830" s="9" t="n">
        <v>151564</v>
      </c>
      <c r="L1830" s="10" t="n">
        <v>30000</v>
      </c>
      <c r="M1830" s="10" t="n">
        <v>8474.58</v>
      </c>
      <c r="N1830" s="11">
        <f>IF(M1830="","",ROUND(M1830*1.18,2))</f>
        <v/>
      </c>
      <c r="O1830" s="12">
        <f>IF(M1830="","",ROUND(N1830-M1830,2))</f>
        <v/>
      </c>
      <c r="P1830" s="13">
        <f>IF(AND(A1830&lt;&gt;"",B1830&lt;&gt;""), A1830&amp;" · "&amp;B1830, "")</f>
        <v/>
      </c>
    </row>
    <row r="1831">
      <c r="A1831" s="6" t="inlineStr">
        <is>
          <t>FY27</t>
        </is>
      </c>
      <c r="B1831" s="6" t="inlineStr">
        <is>
          <t>May</t>
        </is>
      </c>
      <c r="C1831" s="6" t="inlineStr">
        <is>
          <t>Kerala</t>
        </is>
      </c>
      <c r="D1831" s="7" t="inlineStr">
        <is>
          <t>KL05Z2324</t>
        </is>
      </c>
      <c r="E1831" s="7" t="inlineStr">
        <is>
          <t>HYUNDAI</t>
        </is>
      </c>
      <c r="F1831" s="7" t="inlineStr">
        <is>
          <t>Santro</t>
        </is>
      </c>
      <c r="G1831" s="7" t="inlineStr">
        <is>
          <t>POPULAR MARUTI</t>
        </is>
      </c>
      <c r="H1831" s="7" t="inlineStr">
        <is>
          <t>Non-Captive</t>
        </is>
      </c>
      <c r="I1831" s="7" t="inlineStr">
        <is>
          <t>Aitos Cars</t>
        </is>
      </c>
      <c r="J1831" s="8" t="n"/>
      <c r="K1831" s="9" t="n">
        <v>71887</v>
      </c>
      <c r="L1831" s="10" t="n">
        <v>70000</v>
      </c>
      <c r="M1831" s="10" t="n">
        <v>12711.86</v>
      </c>
      <c r="N1831" s="11">
        <f>IF(M1831="","",ROUND(M1831*1.18,2))</f>
        <v/>
      </c>
      <c r="O1831" s="12">
        <f>IF(M1831="","",ROUND(N1831-M1831,2))</f>
        <v/>
      </c>
      <c r="P1831" s="13">
        <f>IF(AND(A1831&lt;&gt;"",B1831&lt;&gt;""), A1831&amp;" · "&amp;B1831, "")</f>
        <v/>
      </c>
    </row>
    <row r="1832">
      <c r="A1832" s="6" t="inlineStr">
        <is>
          <t>FY27</t>
        </is>
      </c>
      <c r="B1832" s="6" t="inlineStr">
        <is>
          <t>May</t>
        </is>
      </c>
      <c r="C1832" s="6" t="inlineStr">
        <is>
          <t>Kerala</t>
        </is>
      </c>
      <c r="D1832" s="7" t="inlineStr">
        <is>
          <t>KL07BD5917</t>
        </is>
      </c>
      <c r="E1832" s="7" t="inlineStr">
        <is>
          <t>MARUTI SUZUKI</t>
        </is>
      </c>
      <c r="F1832" s="7" t="inlineStr">
        <is>
          <t>Alto</t>
        </is>
      </c>
      <c r="G1832" s="7" t="inlineStr">
        <is>
          <t>SAI NEXA</t>
        </is>
      </c>
      <c r="H1832" s="7" t="inlineStr">
        <is>
          <t>Non-Captive</t>
        </is>
      </c>
      <c r="I1832" s="7" t="inlineStr">
        <is>
          <t>NIZAR K K</t>
        </is>
      </c>
      <c r="J1832" s="8" t="n"/>
      <c r="K1832" s="9" t="n">
        <v>62083</v>
      </c>
      <c r="L1832" s="10" t="n">
        <v>30000</v>
      </c>
      <c r="M1832" s="10" t="n">
        <v>8474.58</v>
      </c>
      <c r="N1832" s="11">
        <f>IF(M1832="","",ROUND(M1832*1.18,2))</f>
        <v/>
      </c>
      <c r="O1832" s="12">
        <f>IF(M1832="","",ROUND(N1832-M1832,2))</f>
        <v/>
      </c>
      <c r="P1832" s="13">
        <f>IF(AND(A1832&lt;&gt;"",B1832&lt;&gt;""), A1832&amp;" · "&amp;B1832, "")</f>
        <v/>
      </c>
    </row>
    <row r="1833">
      <c r="A1833" s="6" t="inlineStr">
        <is>
          <t>FY27</t>
        </is>
      </c>
      <c r="B1833" s="6" t="inlineStr">
        <is>
          <t>May</t>
        </is>
      </c>
      <c r="C1833" s="6" t="inlineStr">
        <is>
          <t>Kerala</t>
        </is>
      </c>
      <c r="D1833" s="7" t="inlineStr">
        <is>
          <t>KL07BH7683</t>
        </is>
      </c>
      <c r="E1833" s="7" t="inlineStr">
        <is>
          <t>MARUTI SUZUKI</t>
        </is>
      </c>
      <c r="F1833" s="7" t="inlineStr">
        <is>
          <t>Alto</t>
        </is>
      </c>
      <c r="G1833" s="7" t="inlineStr">
        <is>
          <t>GOKULAM TATA</t>
        </is>
      </c>
      <c r="H1833" s="7" t="inlineStr">
        <is>
          <t>Non-Captive</t>
        </is>
      </c>
      <c r="I1833" s="7" t="inlineStr">
        <is>
          <t>RAFEEK T A</t>
        </is>
      </c>
      <c r="J1833" s="8" t="n"/>
      <c r="K1833" s="9" t="n">
        <v>63000</v>
      </c>
      <c r="L1833" s="10" t="n">
        <v>50000</v>
      </c>
      <c r="M1833" s="10" t="n">
        <v>8474.58</v>
      </c>
      <c r="N1833" s="11">
        <f>IF(M1833="","",ROUND(M1833*1.18,2))</f>
        <v/>
      </c>
      <c r="O1833" s="12">
        <f>IF(M1833="","",ROUND(N1833-M1833,2))</f>
        <v/>
      </c>
      <c r="P1833" s="13">
        <f>IF(AND(A1833&lt;&gt;"",B1833&lt;&gt;""), A1833&amp;" · "&amp;B1833, "")</f>
        <v/>
      </c>
    </row>
    <row r="1834">
      <c r="A1834" s="6" t="inlineStr">
        <is>
          <t>FY27</t>
        </is>
      </c>
      <c r="B1834" s="6" t="inlineStr">
        <is>
          <t>May</t>
        </is>
      </c>
      <c r="C1834" s="6" t="inlineStr">
        <is>
          <t>Kerala</t>
        </is>
      </c>
      <c r="D1834" s="7" t="inlineStr">
        <is>
          <t>KL07BT4839</t>
        </is>
      </c>
      <c r="E1834" s="7" t="inlineStr">
        <is>
          <t>NISSAN</t>
        </is>
      </c>
      <c r="F1834" s="7" t="inlineStr">
        <is>
          <t>Sunny</t>
        </is>
      </c>
      <c r="G1834" s="7" t="inlineStr">
        <is>
          <t>MUHAMMED SHAJI</t>
        </is>
      </c>
      <c r="H1834" s="7" t="inlineStr">
        <is>
          <t>Non-Captive</t>
        </is>
      </c>
      <c r="I1834" s="7" t="inlineStr">
        <is>
          <t>AJMAL ASHIQ</t>
        </is>
      </c>
      <c r="J1834" s="8" t="n"/>
      <c r="K1834" s="9" t="n">
        <v>156456</v>
      </c>
      <c r="L1834" s="10" t="n">
        <v>65000</v>
      </c>
      <c r="M1834" s="10" t="n">
        <v>8474.58</v>
      </c>
      <c r="N1834" s="11">
        <f>IF(M1834="","",ROUND(M1834*1.18,2))</f>
        <v/>
      </c>
      <c r="O1834" s="12">
        <f>IF(M1834="","",ROUND(N1834-M1834,2))</f>
        <v/>
      </c>
      <c r="P1834" s="13">
        <f>IF(AND(A1834&lt;&gt;"",B1834&lt;&gt;""), A1834&amp;" · "&amp;B1834, "")</f>
        <v/>
      </c>
    </row>
    <row r="1835">
      <c r="A1835" s="6" t="inlineStr">
        <is>
          <t>FY27</t>
        </is>
      </c>
      <c r="B1835" s="6" t="inlineStr">
        <is>
          <t>May</t>
        </is>
      </c>
      <c r="C1835" s="6" t="inlineStr">
        <is>
          <t>Kerala</t>
        </is>
      </c>
      <c r="D1835" s="7" t="inlineStr">
        <is>
          <t>KL07BT8128</t>
        </is>
      </c>
      <c r="E1835" s="7" t="inlineStr">
        <is>
          <t>FORD</t>
        </is>
      </c>
      <c r="F1835" s="7" t="inlineStr">
        <is>
          <t>Figo</t>
        </is>
      </c>
      <c r="G1835" s="7" t="inlineStr">
        <is>
          <t>SAFARNAS</t>
        </is>
      </c>
      <c r="H1835" s="7" t="inlineStr">
        <is>
          <t>Non-Captive</t>
        </is>
      </c>
      <c r="I1835" s="7" t="inlineStr">
        <is>
          <t>AMANA TOYOTA</t>
        </is>
      </c>
      <c r="J1835" s="8" t="n"/>
      <c r="K1835" s="9" t="n">
        <v>100000</v>
      </c>
      <c r="L1835" s="10" t="n">
        <v>95000</v>
      </c>
      <c r="M1835" s="10" t="n">
        <v>8474.58</v>
      </c>
      <c r="N1835" s="11">
        <f>IF(M1835="","",ROUND(M1835*1.18,2))</f>
        <v/>
      </c>
      <c r="O1835" s="12">
        <f>IF(M1835="","",ROUND(N1835-M1835,2))</f>
        <v/>
      </c>
      <c r="P1835" s="13">
        <f>IF(AND(A1835&lt;&gt;"",B1835&lt;&gt;""), A1835&amp;" · "&amp;B1835, "")</f>
        <v/>
      </c>
    </row>
    <row r="1836">
      <c r="A1836" s="6" t="inlineStr">
        <is>
          <t>FY27</t>
        </is>
      </c>
      <c r="B1836" s="6" t="inlineStr">
        <is>
          <t>May</t>
        </is>
      </c>
      <c r="C1836" s="6" t="inlineStr">
        <is>
          <t>Kerala</t>
        </is>
      </c>
      <c r="D1836" s="7" t="inlineStr">
        <is>
          <t>KL07BU6608</t>
        </is>
      </c>
      <c r="E1836" s="7" t="inlineStr">
        <is>
          <t>HONDA</t>
        </is>
      </c>
      <c r="F1836" s="7" t="inlineStr">
        <is>
          <t>Brio</t>
        </is>
      </c>
      <c r="G1836" s="7" t="inlineStr">
        <is>
          <t>ANAS VH</t>
        </is>
      </c>
      <c r="H1836" s="7" t="inlineStr">
        <is>
          <t>Non-Captive</t>
        </is>
      </c>
      <c r="I1836" s="7" t="inlineStr">
        <is>
          <t>DREAM DRIVE</t>
        </is>
      </c>
      <c r="J1836" s="8" t="n"/>
      <c r="K1836" s="9" t="n">
        <v>52989</v>
      </c>
      <c r="L1836" s="10" t="n">
        <v>190000</v>
      </c>
      <c r="M1836" s="10" t="n">
        <v>8474.58</v>
      </c>
      <c r="N1836" s="11">
        <f>IF(M1836="","",ROUND(M1836*1.18,2))</f>
        <v/>
      </c>
      <c r="O1836" s="12">
        <f>IF(M1836="","",ROUND(N1836-M1836,2))</f>
        <v/>
      </c>
      <c r="P1836" s="13">
        <f>IF(AND(A1836&lt;&gt;"",B1836&lt;&gt;""), A1836&amp;" · "&amp;B1836, "")</f>
        <v/>
      </c>
    </row>
    <row r="1837">
      <c r="A1837" s="6" t="inlineStr">
        <is>
          <t>FY27</t>
        </is>
      </c>
      <c r="B1837" s="6" t="inlineStr">
        <is>
          <t>May</t>
        </is>
      </c>
      <c r="C1837" s="6" t="inlineStr">
        <is>
          <t>Kerala</t>
        </is>
      </c>
      <c r="D1837" s="7" t="inlineStr">
        <is>
          <t>KL07BZ1401</t>
        </is>
      </c>
      <c r="E1837" s="7" t="inlineStr">
        <is>
          <t>HYUNDAI</t>
        </is>
      </c>
      <c r="F1837" s="7" t="inlineStr">
        <is>
          <t>Grand i10</t>
        </is>
      </c>
      <c r="G1837" s="7" t="inlineStr">
        <is>
          <t>EVM MG</t>
        </is>
      </c>
      <c r="H1837" s="7" t="inlineStr">
        <is>
          <t>Non-Captive</t>
        </is>
      </c>
      <c r="I1837" s="7" t="inlineStr">
        <is>
          <t>HUSSAIN O E</t>
        </is>
      </c>
      <c r="J1837" s="8" t="n"/>
      <c r="K1837" s="9" t="n">
        <v>115306</v>
      </c>
      <c r="L1837" s="10" t="n">
        <v>190000</v>
      </c>
      <c r="M1837" s="10" t="n">
        <v>8474.58</v>
      </c>
      <c r="N1837" s="11">
        <f>IF(M1837="","",ROUND(M1837*1.18,2))</f>
        <v/>
      </c>
      <c r="O1837" s="12">
        <f>IF(M1837="","",ROUND(N1837-M1837,2))</f>
        <v/>
      </c>
      <c r="P1837" s="13">
        <f>IF(AND(A1837&lt;&gt;"",B1837&lt;&gt;""), A1837&amp;" · "&amp;B1837, "")</f>
        <v/>
      </c>
    </row>
    <row r="1838">
      <c r="A1838" s="6" t="inlineStr">
        <is>
          <t>FY27</t>
        </is>
      </c>
      <c r="B1838" s="6" t="inlineStr">
        <is>
          <t>May</t>
        </is>
      </c>
      <c r="C1838" s="6" t="inlineStr">
        <is>
          <t>Kerala</t>
        </is>
      </c>
      <c r="D1838" s="7" t="inlineStr">
        <is>
          <t>KL07CA0989</t>
        </is>
      </c>
      <c r="E1838" s="7" t="inlineStr">
        <is>
          <t>HYUNDAI</t>
        </is>
      </c>
      <c r="F1838" s="7" t="inlineStr">
        <is>
          <t>Grand i10</t>
        </is>
      </c>
      <c r="G1838" s="7" t="inlineStr">
        <is>
          <t>POPULAR HYUNDAI</t>
        </is>
      </c>
      <c r="H1838" s="7" t="inlineStr">
        <is>
          <t>Non-Captive</t>
        </is>
      </c>
      <c r="I1838" s="7" t="inlineStr">
        <is>
          <t>VISHNU M S</t>
        </is>
      </c>
      <c r="J1838" s="8" t="n"/>
      <c r="K1838" s="9" t="n">
        <v>61971</v>
      </c>
      <c r="L1838" s="10" t="n">
        <v>190000</v>
      </c>
      <c r="M1838" s="10" t="n">
        <v>8474.58</v>
      </c>
      <c r="N1838" s="11">
        <f>IF(M1838="","",ROUND(M1838*1.18,2))</f>
        <v/>
      </c>
      <c r="O1838" s="12">
        <f>IF(M1838="","",ROUND(N1838-M1838,2))</f>
        <v/>
      </c>
      <c r="P1838" s="13">
        <f>IF(AND(A1838&lt;&gt;"",B1838&lt;&gt;""), A1838&amp;" · "&amp;B1838, "")</f>
        <v/>
      </c>
    </row>
    <row r="1839">
      <c r="A1839" s="6" t="inlineStr">
        <is>
          <t>FY27</t>
        </is>
      </c>
      <c r="B1839" s="6" t="inlineStr">
        <is>
          <t>May</t>
        </is>
      </c>
      <c r="C1839" s="6" t="inlineStr">
        <is>
          <t>Kerala</t>
        </is>
      </c>
      <c r="D1839" s="7" t="inlineStr">
        <is>
          <t>KL07CH0017</t>
        </is>
      </c>
      <c r="E1839" s="7" t="inlineStr">
        <is>
          <t>RENAULT</t>
        </is>
      </c>
      <c r="F1839" s="7" t="inlineStr">
        <is>
          <t>Duster</t>
        </is>
      </c>
      <c r="G1839" s="7" t="inlineStr">
        <is>
          <t>KESHVIN HYUNDAI</t>
        </is>
      </c>
      <c r="H1839" s="7" t="inlineStr">
        <is>
          <t>Non-Captive</t>
        </is>
      </c>
      <c r="I1839" s="7" t="inlineStr">
        <is>
          <t>DINESH P S</t>
        </is>
      </c>
      <c r="J1839" s="8" t="n"/>
      <c r="K1839" s="9" t="n">
        <v>183000</v>
      </c>
      <c r="L1839" s="10" t="n">
        <v>315000</v>
      </c>
      <c r="M1839" s="10" t="n">
        <v>12711.86</v>
      </c>
      <c r="N1839" s="11">
        <f>IF(M1839="","",ROUND(M1839*1.18,2))</f>
        <v/>
      </c>
      <c r="O1839" s="12">
        <f>IF(M1839="","",ROUND(N1839-M1839,2))</f>
        <v/>
      </c>
      <c r="P1839" s="13">
        <f>IF(AND(A1839&lt;&gt;"",B1839&lt;&gt;""), A1839&amp;" · "&amp;B1839, "")</f>
        <v/>
      </c>
    </row>
    <row r="1840">
      <c r="A1840" s="6" t="inlineStr">
        <is>
          <t>FY27</t>
        </is>
      </c>
      <c r="B1840" s="6" t="inlineStr">
        <is>
          <t>May</t>
        </is>
      </c>
      <c r="C1840" s="6" t="inlineStr">
        <is>
          <t>Kerala</t>
        </is>
      </c>
      <c r="D1840" s="7" t="inlineStr">
        <is>
          <t>KL07CJ4311</t>
        </is>
      </c>
      <c r="E1840" s="7" t="inlineStr">
        <is>
          <t>NISSAN</t>
        </is>
      </c>
      <c r="F1840" s="7" t="inlineStr">
        <is>
          <t>Terrano</t>
        </is>
      </c>
      <c r="G1840" s="7" t="inlineStr">
        <is>
          <t>INCHEON KIA</t>
        </is>
      </c>
      <c r="H1840" s="7" t="inlineStr">
        <is>
          <t>Non-Captive</t>
        </is>
      </c>
      <c r="I1840" s="7" t="inlineStr">
        <is>
          <t>Aitos Cars</t>
        </is>
      </c>
      <c r="J1840" s="8" t="n"/>
      <c r="K1840" s="9" t="n">
        <v>106000</v>
      </c>
      <c r="L1840" s="10" t="n">
        <v>440000</v>
      </c>
      <c r="M1840" s="10" t="n">
        <v>8474.58</v>
      </c>
      <c r="N1840" s="11">
        <f>IF(M1840="","",ROUND(M1840*1.18,2))</f>
        <v/>
      </c>
      <c r="O1840" s="12">
        <f>IF(M1840="","",ROUND(N1840-M1840,2))</f>
        <v/>
      </c>
      <c r="P1840" s="13">
        <f>IF(AND(A1840&lt;&gt;"",B1840&lt;&gt;""), A1840&amp;" · "&amp;B1840, "")</f>
        <v/>
      </c>
    </row>
    <row r="1841">
      <c r="A1841" s="6" t="inlineStr">
        <is>
          <t>FY27</t>
        </is>
      </c>
      <c r="B1841" s="6" t="inlineStr">
        <is>
          <t>May</t>
        </is>
      </c>
      <c r="C1841" s="6" t="inlineStr">
        <is>
          <t>Kerala</t>
        </is>
      </c>
      <c r="D1841" s="7" t="inlineStr">
        <is>
          <t>KL07CJ7840</t>
        </is>
      </c>
      <c r="E1841" s="7" t="inlineStr">
        <is>
          <t>MARUTI SUZUKI</t>
        </is>
      </c>
      <c r="F1841" s="7" t="inlineStr">
        <is>
          <t>Celerio</t>
        </is>
      </c>
      <c r="G1841" s="7" t="inlineStr">
        <is>
          <t>MAIJO MARUTI</t>
        </is>
      </c>
      <c r="H1841" s="7" t="inlineStr">
        <is>
          <t>Non-Captive</t>
        </is>
      </c>
      <c r="I1841" s="7" t="inlineStr">
        <is>
          <t>SANOOB V A</t>
        </is>
      </c>
      <c r="J1841" s="8" t="n"/>
      <c r="K1841" s="9" t="n">
        <v>33290</v>
      </c>
      <c r="L1841" s="10" t="n">
        <v>280000</v>
      </c>
      <c r="M1841" s="10" t="n">
        <v>8474.58</v>
      </c>
      <c r="N1841" s="11">
        <f>IF(M1841="","",ROUND(M1841*1.18,2))</f>
        <v/>
      </c>
      <c r="O1841" s="12">
        <f>IF(M1841="","",ROUND(N1841-M1841,2))</f>
        <v/>
      </c>
      <c r="P1841" s="13">
        <f>IF(AND(A1841&lt;&gt;"",B1841&lt;&gt;""), A1841&amp;" · "&amp;B1841, "")</f>
        <v/>
      </c>
    </row>
    <row r="1842">
      <c r="A1842" s="6" t="inlineStr">
        <is>
          <t>FY27</t>
        </is>
      </c>
      <c r="B1842" s="6" t="inlineStr">
        <is>
          <t>May</t>
        </is>
      </c>
      <c r="C1842" s="6" t="inlineStr">
        <is>
          <t>Kerala</t>
        </is>
      </c>
      <c r="D1842" s="7" t="inlineStr">
        <is>
          <t>KL07CK8998</t>
        </is>
      </c>
      <c r="E1842" s="7" t="inlineStr">
        <is>
          <t>HONDA</t>
        </is>
      </c>
      <c r="F1842" s="7" t="inlineStr">
        <is>
          <t>WR-V</t>
        </is>
      </c>
      <c r="G1842" s="7" t="inlineStr">
        <is>
          <t>JISHNU PRIYAN</t>
        </is>
      </c>
      <c r="H1842" s="7" t="inlineStr">
        <is>
          <t>Non-Captive</t>
        </is>
      </c>
      <c r="I1842" s="7" t="inlineStr">
        <is>
          <t>VISHNU M S</t>
        </is>
      </c>
      <c r="J1842" s="8" t="n"/>
      <c r="K1842" s="9" t="n">
        <v>90569</v>
      </c>
      <c r="L1842" s="10" t="n">
        <v>410000</v>
      </c>
      <c r="M1842" s="10" t="n">
        <v>10169.49</v>
      </c>
      <c r="N1842" s="11">
        <f>IF(M1842="","",ROUND(M1842*1.18,2))</f>
        <v/>
      </c>
      <c r="O1842" s="12">
        <f>IF(M1842="","",ROUND(N1842-M1842,2))</f>
        <v/>
      </c>
      <c r="P1842" s="13">
        <f>IF(AND(A1842&lt;&gt;"",B1842&lt;&gt;""), A1842&amp;" · "&amp;B1842, "")</f>
        <v/>
      </c>
    </row>
    <row r="1843">
      <c r="A1843" s="6" t="inlineStr">
        <is>
          <t>FY27</t>
        </is>
      </c>
      <c r="B1843" s="6" t="inlineStr">
        <is>
          <t>May</t>
        </is>
      </c>
      <c r="C1843" s="6" t="inlineStr">
        <is>
          <t>Kerala</t>
        </is>
      </c>
      <c r="D1843" s="7" t="inlineStr">
        <is>
          <t>KL07CV2030</t>
        </is>
      </c>
      <c r="E1843" s="7" t="inlineStr">
        <is>
          <t>TATA</t>
        </is>
      </c>
      <c r="F1843" s="7" t="inlineStr">
        <is>
          <t>Tiago</t>
        </is>
      </c>
      <c r="G1843" s="7" t="inlineStr">
        <is>
          <t>CARS24</t>
        </is>
      </c>
      <c r="H1843" s="7" t="inlineStr">
        <is>
          <t>Non-Captive</t>
        </is>
      </c>
      <c r="I1843" s="7" t="inlineStr">
        <is>
          <t>ABDUL SALAM K K</t>
        </is>
      </c>
      <c r="J1843" s="8" t="n"/>
      <c r="K1843" s="9" t="n">
        <v>42047</v>
      </c>
      <c r="L1843" s="10" t="n">
        <v>345000</v>
      </c>
      <c r="M1843" s="10" t="n">
        <v>8474.58</v>
      </c>
      <c r="N1843" s="11">
        <f>IF(M1843="","",ROUND(M1843*1.18,2))</f>
        <v/>
      </c>
      <c r="O1843" s="12">
        <f>IF(M1843="","",ROUND(N1843-M1843,2))</f>
        <v/>
      </c>
      <c r="P1843" s="13">
        <f>IF(AND(A1843&lt;&gt;"",B1843&lt;&gt;""), A1843&amp;" · "&amp;B1843, "")</f>
        <v/>
      </c>
    </row>
    <row r="1844">
      <c r="A1844" s="6" t="inlineStr">
        <is>
          <t>FY27</t>
        </is>
      </c>
      <c r="B1844" s="6" t="inlineStr">
        <is>
          <t>May</t>
        </is>
      </c>
      <c r="C1844" s="6" t="inlineStr">
        <is>
          <t>Kerala</t>
        </is>
      </c>
      <c r="D1844" s="7" t="inlineStr">
        <is>
          <t>KL07CX7116</t>
        </is>
      </c>
      <c r="E1844" s="7" t="inlineStr">
        <is>
          <t>MARUTI SUZUKI</t>
        </is>
      </c>
      <c r="F1844" s="7" t="inlineStr">
        <is>
          <t>S-Presso</t>
        </is>
      </c>
      <c r="G1844" s="7" t="inlineStr">
        <is>
          <t>INCHEON KIA</t>
        </is>
      </c>
      <c r="H1844" s="7" t="inlineStr">
        <is>
          <t>Non-Captive</t>
        </is>
      </c>
      <c r="I1844" s="7" t="inlineStr">
        <is>
          <t>VTJ</t>
        </is>
      </c>
      <c r="J1844" s="8" t="n"/>
      <c r="K1844" s="9" t="n">
        <v>25010</v>
      </c>
      <c r="L1844" s="10" t="n">
        <v>340000</v>
      </c>
      <c r="M1844" s="10" t="n">
        <v>8474.58</v>
      </c>
      <c r="N1844" s="11">
        <f>IF(M1844="","",ROUND(M1844*1.18,2))</f>
        <v/>
      </c>
      <c r="O1844" s="12">
        <f>IF(M1844="","",ROUND(N1844-M1844,2))</f>
        <v/>
      </c>
      <c r="P1844" s="13">
        <f>IF(AND(A1844&lt;&gt;"",B1844&lt;&gt;""), A1844&amp;" · "&amp;B1844, "")</f>
        <v/>
      </c>
    </row>
    <row r="1845">
      <c r="A1845" s="6" t="inlineStr">
        <is>
          <t>FY27</t>
        </is>
      </c>
      <c r="B1845" s="6" t="inlineStr">
        <is>
          <t>May</t>
        </is>
      </c>
      <c r="C1845" s="6" t="inlineStr">
        <is>
          <t>Kerala</t>
        </is>
      </c>
      <c r="D1845" s="7" t="inlineStr">
        <is>
          <t>KL07DB3679</t>
        </is>
      </c>
      <c r="E1845" s="7" t="inlineStr">
        <is>
          <t>TATA</t>
        </is>
      </c>
      <c r="F1845" s="7" t="inlineStr">
        <is>
          <t>Nexon EV</t>
        </is>
      </c>
      <c r="G1845" s="7" t="inlineStr">
        <is>
          <t>GOKULAM TATA</t>
        </is>
      </c>
      <c r="H1845" s="7" t="inlineStr">
        <is>
          <t>Non-Captive</t>
        </is>
      </c>
      <c r="I1845" s="7" t="inlineStr">
        <is>
          <t>FABITH</t>
        </is>
      </c>
      <c r="J1845" s="8" t="n"/>
      <c r="K1845" s="9" t="n">
        <v>45000</v>
      </c>
      <c r="L1845" s="10" t="n">
        <v>740000</v>
      </c>
      <c r="M1845" s="10" t="n">
        <v>8474.58</v>
      </c>
      <c r="N1845" s="11">
        <f>IF(M1845="","",ROUND(M1845*1.18,2))</f>
        <v/>
      </c>
      <c r="O1845" s="12">
        <f>IF(M1845="","",ROUND(N1845-M1845,2))</f>
        <v/>
      </c>
      <c r="P1845" s="13">
        <f>IF(AND(A1845&lt;&gt;"",B1845&lt;&gt;""), A1845&amp;" · "&amp;B1845, "")</f>
        <v/>
      </c>
    </row>
    <row r="1846">
      <c r="A1846" s="6" t="inlineStr">
        <is>
          <t>FY27</t>
        </is>
      </c>
      <c r="B1846" s="6" t="inlineStr">
        <is>
          <t>May</t>
        </is>
      </c>
      <c r="C1846" s="6" t="inlineStr">
        <is>
          <t>Kerala</t>
        </is>
      </c>
      <c r="D1846" s="7" t="inlineStr">
        <is>
          <t>KL08AM9112</t>
        </is>
      </c>
      <c r="E1846" s="7" t="inlineStr">
        <is>
          <t>MARUTI SUZUKI</t>
        </is>
      </c>
      <c r="F1846" s="7" t="inlineStr">
        <is>
          <t>Alto</t>
        </is>
      </c>
      <c r="G1846" s="7" t="inlineStr">
        <is>
          <t>POPULAR MARUTI</t>
        </is>
      </c>
      <c r="H1846" s="7" t="inlineStr">
        <is>
          <t>Non-Captive</t>
        </is>
      </c>
      <c r="I1846" s="7" t="inlineStr">
        <is>
          <t>Aitos Cars</t>
        </is>
      </c>
      <c r="J1846" s="8" t="n"/>
      <c r="K1846" s="9" t="n">
        <v>100727</v>
      </c>
      <c r="L1846" s="10" t="n">
        <v>35000</v>
      </c>
      <c r="M1846" s="10" t="n">
        <v>12711.86</v>
      </c>
      <c r="N1846" s="11">
        <f>IF(M1846="","",ROUND(M1846*1.18,2))</f>
        <v/>
      </c>
      <c r="O1846" s="12">
        <f>IF(M1846="","",ROUND(N1846-M1846,2))</f>
        <v/>
      </c>
      <c r="P1846" s="13">
        <f>IF(AND(A1846&lt;&gt;"",B1846&lt;&gt;""), A1846&amp;" · "&amp;B1846, "")</f>
        <v/>
      </c>
    </row>
    <row r="1847">
      <c r="A1847" s="6" t="inlineStr">
        <is>
          <t>FY27</t>
        </is>
      </c>
      <c r="B1847" s="6" t="inlineStr">
        <is>
          <t>May</t>
        </is>
      </c>
      <c r="C1847" s="6" t="inlineStr">
        <is>
          <t>Kerala</t>
        </is>
      </c>
      <c r="D1847" s="7" t="inlineStr">
        <is>
          <t>KL08BB9930</t>
        </is>
      </c>
      <c r="E1847" s="7" t="inlineStr">
        <is>
          <t>HYUNDAI</t>
        </is>
      </c>
      <c r="F1847" s="7" t="inlineStr">
        <is>
          <t>i20</t>
        </is>
      </c>
      <c r="G1847" s="7" t="inlineStr">
        <is>
          <t>AITO CARS</t>
        </is>
      </c>
      <c r="H1847" s="7" t="inlineStr">
        <is>
          <t>Non-Captive</t>
        </is>
      </c>
      <c r="I1847" s="7" t="inlineStr">
        <is>
          <t>UCD SANTHOSH</t>
        </is>
      </c>
      <c r="J1847" s="8" t="n"/>
      <c r="K1847" s="9" t="n">
        <v>39000</v>
      </c>
      <c r="L1847" s="10" t="n">
        <v>565000</v>
      </c>
      <c r="M1847" s="10" t="n">
        <v>5932.2</v>
      </c>
      <c r="N1847" s="11">
        <f>IF(M1847="","",ROUND(M1847*1.18,2))</f>
        <v/>
      </c>
      <c r="O1847" s="12">
        <f>IF(M1847="","",ROUND(N1847-M1847,2))</f>
        <v/>
      </c>
      <c r="P1847" s="13">
        <f>IF(AND(A1847&lt;&gt;"",B1847&lt;&gt;""), A1847&amp;" · "&amp;B1847, "")</f>
        <v/>
      </c>
    </row>
    <row r="1848">
      <c r="A1848" s="6" t="inlineStr">
        <is>
          <t>FY27</t>
        </is>
      </c>
      <c r="B1848" s="6" t="inlineStr">
        <is>
          <t>May</t>
        </is>
      </c>
      <c r="C1848" s="6" t="inlineStr">
        <is>
          <t>Kerala</t>
        </is>
      </c>
      <c r="D1848" s="7" t="inlineStr">
        <is>
          <t>KL08BJ2680</t>
        </is>
      </c>
      <c r="E1848" s="7" t="inlineStr">
        <is>
          <t>MAHINDRA</t>
        </is>
      </c>
      <c r="F1848" s="7" t="inlineStr">
        <is>
          <t>XUV500</t>
        </is>
      </c>
      <c r="G1848" s="7" t="inlineStr">
        <is>
          <t>INCHEON KIA</t>
        </is>
      </c>
      <c r="H1848" s="7" t="inlineStr">
        <is>
          <t>Non-Captive</t>
        </is>
      </c>
      <c r="I1848" s="7" t="inlineStr">
        <is>
          <t>Aitos Cars</t>
        </is>
      </c>
      <c r="J1848" s="8" t="n"/>
      <c r="K1848" s="9" t="n">
        <v>151000</v>
      </c>
      <c r="L1848" s="10" t="n">
        <v>485000</v>
      </c>
      <c r="M1848" s="10" t="n">
        <v>8474.58</v>
      </c>
      <c r="N1848" s="11">
        <f>IF(M1848="","",ROUND(M1848*1.18,2))</f>
        <v/>
      </c>
      <c r="O1848" s="12">
        <f>IF(M1848="","",ROUND(N1848-M1848,2))</f>
        <v/>
      </c>
      <c r="P1848" s="13">
        <f>IF(AND(A1848&lt;&gt;"",B1848&lt;&gt;""), A1848&amp;" · "&amp;B1848, "")</f>
        <v/>
      </c>
    </row>
    <row r="1849">
      <c r="A1849" s="6" t="inlineStr">
        <is>
          <t>FY27</t>
        </is>
      </c>
      <c r="B1849" s="6" t="inlineStr">
        <is>
          <t>May</t>
        </is>
      </c>
      <c r="C1849" s="6" t="inlineStr">
        <is>
          <t>Kerala</t>
        </is>
      </c>
      <c r="D1849" s="7" t="inlineStr">
        <is>
          <t>KL08BL3836</t>
        </is>
      </c>
      <c r="E1849" s="7" t="inlineStr">
        <is>
          <t>HYUNDAI</t>
        </is>
      </c>
      <c r="F1849" s="7" t="inlineStr">
        <is>
          <t>Eon</t>
        </is>
      </c>
      <c r="G1849" s="7" t="inlineStr">
        <is>
          <t>POPULAR MARUTI</t>
        </is>
      </c>
      <c r="H1849" s="7" t="inlineStr">
        <is>
          <t>Non-Captive</t>
        </is>
      </c>
      <c r="I1849" s="7" t="inlineStr">
        <is>
          <t>Aitos Cars</t>
        </is>
      </c>
      <c r="J1849" s="8" t="n"/>
      <c r="K1849" s="9" t="n">
        <v>82000</v>
      </c>
      <c r="L1849" s="10" t="n">
        <v>120000</v>
      </c>
      <c r="M1849" s="10" t="n">
        <v>12711.86</v>
      </c>
      <c r="N1849" s="11">
        <f>IF(M1849="","",ROUND(M1849*1.18,2))</f>
        <v/>
      </c>
      <c r="O1849" s="12">
        <f>IF(M1849="","",ROUND(N1849-M1849,2))</f>
        <v/>
      </c>
      <c r="P1849" s="13">
        <f>IF(AND(A1849&lt;&gt;"",B1849&lt;&gt;""), A1849&amp;" · "&amp;B1849, "")</f>
        <v/>
      </c>
    </row>
    <row r="1850">
      <c r="A1850" s="6" t="inlineStr">
        <is>
          <t>FY27</t>
        </is>
      </c>
      <c r="B1850" s="6" t="inlineStr">
        <is>
          <t>May</t>
        </is>
      </c>
      <c r="C1850" s="6" t="inlineStr">
        <is>
          <t>Kerala</t>
        </is>
      </c>
      <c r="D1850" s="7" t="inlineStr">
        <is>
          <t>KL08BQ6760</t>
        </is>
      </c>
      <c r="E1850" s="7" t="inlineStr">
        <is>
          <t>NISSAN</t>
        </is>
      </c>
      <c r="F1850" s="7" t="inlineStr">
        <is>
          <t>Redi-GO</t>
        </is>
      </c>
      <c r="G1850" s="7" t="inlineStr">
        <is>
          <t>PINNACLE WHEELS PVT LTD</t>
        </is>
      </c>
      <c r="H1850" s="7" t="inlineStr">
        <is>
          <t>Non-Captive</t>
        </is>
      </c>
      <c r="I1850" s="7" t="inlineStr">
        <is>
          <t>Umesh Kumar T U</t>
        </is>
      </c>
      <c r="J1850" s="8" t="n"/>
      <c r="K1850" s="9" t="n">
        <v>36500</v>
      </c>
      <c r="L1850" s="10" t="n">
        <v>170000</v>
      </c>
      <c r="M1850" s="10" t="n">
        <v>8474.58</v>
      </c>
      <c r="N1850" s="11">
        <f>IF(M1850="","",ROUND(M1850*1.18,2))</f>
        <v/>
      </c>
      <c r="O1850" s="12">
        <f>IF(M1850="","",ROUND(N1850-M1850,2))</f>
        <v/>
      </c>
      <c r="P1850" s="13">
        <f>IF(AND(A1850&lt;&gt;"",B1850&lt;&gt;""), A1850&amp;" · "&amp;B1850, "")</f>
        <v/>
      </c>
    </row>
    <row r="1851">
      <c r="A1851" s="6" t="inlineStr">
        <is>
          <t>FY27</t>
        </is>
      </c>
      <c r="B1851" s="6" t="inlineStr">
        <is>
          <t>May</t>
        </is>
      </c>
      <c r="C1851" s="6" t="inlineStr">
        <is>
          <t>Kerala</t>
        </is>
      </c>
      <c r="D1851" s="7" t="inlineStr">
        <is>
          <t>KL08BS0450</t>
        </is>
      </c>
      <c r="E1851" s="7" t="inlineStr">
        <is>
          <t>HONDA</t>
        </is>
      </c>
      <c r="F1851" s="7" t="inlineStr">
        <is>
          <t>Amaze</t>
        </is>
      </c>
      <c r="G1851" s="7" t="inlineStr">
        <is>
          <t>VISION HONDA</t>
        </is>
      </c>
      <c r="H1851" s="7" t="inlineStr">
        <is>
          <t>Non-Captive</t>
        </is>
      </c>
      <c r="I1851" s="7" t="inlineStr">
        <is>
          <t>MUHAMMED SHAJI</t>
        </is>
      </c>
      <c r="J1851" s="8" t="n"/>
      <c r="K1851" s="9" t="n">
        <v>219760</v>
      </c>
      <c r="L1851" s="10" t="n">
        <v>450000</v>
      </c>
      <c r="M1851" s="10" t="n">
        <v>8474.58</v>
      </c>
      <c r="N1851" s="11">
        <f>IF(M1851="","",ROUND(M1851*1.18,2))</f>
        <v/>
      </c>
      <c r="O1851" s="12">
        <f>IF(M1851="","",ROUND(N1851-M1851,2))</f>
        <v/>
      </c>
      <c r="P1851" s="13">
        <f>IF(AND(A1851&lt;&gt;"",B1851&lt;&gt;""), A1851&amp;" · "&amp;B1851, "")</f>
        <v/>
      </c>
    </row>
    <row r="1852">
      <c r="A1852" s="6" t="inlineStr">
        <is>
          <t>FY27</t>
        </is>
      </c>
      <c r="B1852" s="6" t="inlineStr">
        <is>
          <t>May</t>
        </is>
      </c>
      <c r="C1852" s="6" t="inlineStr">
        <is>
          <t>Kerala</t>
        </is>
      </c>
      <c r="D1852" s="7" t="inlineStr">
        <is>
          <t>KL08S1909</t>
        </is>
      </c>
      <c r="E1852" s="7" t="inlineStr">
        <is>
          <t>MARUTI SUZUKI</t>
        </is>
      </c>
      <c r="F1852" s="7" t="inlineStr">
        <is>
          <t>800</t>
        </is>
      </c>
      <c r="G1852" s="7" t="inlineStr">
        <is>
          <t>ASAMS M SUNNY</t>
        </is>
      </c>
      <c r="H1852" s="7" t="inlineStr">
        <is>
          <t>Non-Captive</t>
        </is>
      </c>
      <c r="I1852" s="7" t="inlineStr">
        <is>
          <t>UCD NIDHEESH</t>
        </is>
      </c>
      <c r="J1852" s="8" t="n"/>
      <c r="K1852" s="9" t="n">
        <v>150000</v>
      </c>
      <c r="L1852" s="10" t="n">
        <v>25000</v>
      </c>
      <c r="M1852" s="10" t="n">
        <v>4237.29</v>
      </c>
      <c r="N1852" s="11">
        <f>IF(M1852="","",ROUND(M1852*1.18,2))</f>
        <v/>
      </c>
      <c r="O1852" s="12">
        <f>IF(M1852="","",ROUND(N1852-M1852,2))</f>
        <v/>
      </c>
      <c r="P1852" s="13">
        <f>IF(AND(A1852&lt;&gt;"",B1852&lt;&gt;""), A1852&amp;" · "&amp;B1852, "")</f>
        <v/>
      </c>
    </row>
    <row r="1853">
      <c r="A1853" s="6" t="inlineStr">
        <is>
          <t>FY27</t>
        </is>
      </c>
      <c r="B1853" s="6" t="inlineStr">
        <is>
          <t>May</t>
        </is>
      </c>
      <c r="C1853" s="6" t="inlineStr">
        <is>
          <t>Kerala</t>
        </is>
      </c>
      <c r="D1853" s="7" t="inlineStr">
        <is>
          <t>KL08S9609</t>
        </is>
      </c>
      <c r="E1853" s="7" t="inlineStr">
        <is>
          <t>MARUTI SUZUKI</t>
        </is>
      </c>
      <c r="F1853" s="7" t="inlineStr">
        <is>
          <t>800</t>
        </is>
      </c>
      <c r="G1853" s="7" t="inlineStr">
        <is>
          <t>AUTOTRUST</t>
        </is>
      </c>
      <c r="H1853" s="7" t="inlineStr">
        <is>
          <t>Non-Captive</t>
        </is>
      </c>
      <c r="I1853" s="7" t="inlineStr">
        <is>
          <t>POPULAR</t>
        </is>
      </c>
      <c r="J1853" s="8" t="n"/>
      <c r="K1853" s="9" t="n">
        <v>130000</v>
      </c>
      <c r="L1853" s="10" t="n">
        <v>8000</v>
      </c>
      <c r="M1853" s="10" t="n">
        <v>4237.29</v>
      </c>
      <c r="N1853" s="11">
        <f>IF(M1853="","",ROUND(M1853*1.18,2))</f>
        <v/>
      </c>
      <c r="O1853" s="12">
        <f>IF(M1853="","",ROUND(N1853-M1853,2))</f>
        <v/>
      </c>
      <c r="P1853" s="13">
        <f>IF(AND(A1853&lt;&gt;"",B1853&lt;&gt;""), A1853&amp;" · "&amp;B1853, "")</f>
        <v/>
      </c>
    </row>
    <row r="1854">
      <c r="A1854" s="6" t="inlineStr">
        <is>
          <t>FY27</t>
        </is>
      </c>
      <c r="B1854" s="6" t="inlineStr">
        <is>
          <t>May</t>
        </is>
      </c>
      <c r="C1854" s="6" t="inlineStr">
        <is>
          <t>Kerala</t>
        </is>
      </c>
      <c r="D1854" s="7" t="inlineStr">
        <is>
          <t>KL09AH6423</t>
        </is>
      </c>
      <c r="E1854" s="7" t="inlineStr">
        <is>
          <t>HONDA</t>
        </is>
      </c>
      <c r="F1854" s="7" t="inlineStr">
        <is>
          <t>City</t>
        </is>
      </c>
      <c r="G1854" s="7" t="inlineStr">
        <is>
          <t>CITROEN EVM</t>
        </is>
      </c>
      <c r="H1854" s="7" t="inlineStr">
        <is>
          <t>Non-Captive</t>
        </is>
      </c>
      <c r="I1854" s="7" t="inlineStr">
        <is>
          <t>Aitos Cars</t>
        </is>
      </c>
      <c r="J1854" s="8" t="n"/>
      <c r="K1854" s="9" t="n">
        <v>57000</v>
      </c>
      <c r="L1854" s="10" t="n">
        <v>415000</v>
      </c>
      <c r="M1854" s="10" t="n">
        <v>8474.58</v>
      </c>
      <c r="N1854" s="11">
        <f>IF(M1854="","",ROUND(M1854*1.18,2))</f>
        <v/>
      </c>
      <c r="O1854" s="12">
        <f>IF(M1854="","",ROUND(N1854-M1854,2))</f>
        <v/>
      </c>
      <c r="P1854" s="13">
        <f>IF(AND(A1854&lt;&gt;"",B1854&lt;&gt;""), A1854&amp;" · "&amp;B1854, "")</f>
        <v/>
      </c>
    </row>
    <row r="1855">
      <c r="A1855" s="6" t="inlineStr">
        <is>
          <t>FY27</t>
        </is>
      </c>
      <c r="B1855" s="6" t="inlineStr">
        <is>
          <t>May</t>
        </is>
      </c>
      <c r="C1855" s="6" t="inlineStr">
        <is>
          <t>Kerala</t>
        </is>
      </c>
      <c r="D1855" s="7" t="inlineStr">
        <is>
          <t>KL09S9829</t>
        </is>
      </c>
      <c r="E1855" s="7" t="inlineStr">
        <is>
          <t>MARUTI SUZUKI</t>
        </is>
      </c>
      <c r="F1855" s="7" t="inlineStr">
        <is>
          <t>Alto</t>
        </is>
      </c>
      <c r="G1855" s="7" t="inlineStr">
        <is>
          <t>ASAMS M SUNNY</t>
        </is>
      </c>
      <c r="H1855" s="7" t="inlineStr">
        <is>
          <t>Non-Captive</t>
        </is>
      </c>
      <c r="I1855" s="7" t="inlineStr">
        <is>
          <t>MARVEL</t>
        </is>
      </c>
      <c r="J1855" s="8" t="n"/>
      <c r="K1855" s="9" t="n">
        <v>200000</v>
      </c>
      <c r="L1855" s="10" t="n">
        <v>14000</v>
      </c>
      <c r="M1855" s="10" t="n">
        <v>4237.29</v>
      </c>
      <c r="N1855" s="11">
        <f>IF(M1855="","",ROUND(M1855*1.18,2))</f>
        <v/>
      </c>
      <c r="O1855" s="12">
        <f>IF(M1855="","",ROUND(N1855-M1855,2))</f>
        <v/>
      </c>
      <c r="P1855" s="13">
        <f>IF(AND(A1855&lt;&gt;"",B1855&lt;&gt;""), A1855&amp;" · "&amp;B1855, "")</f>
        <v/>
      </c>
    </row>
    <row r="1856">
      <c r="A1856" s="6" t="inlineStr">
        <is>
          <t>FY27</t>
        </is>
      </c>
      <c r="B1856" s="6" t="inlineStr">
        <is>
          <t>May</t>
        </is>
      </c>
      <c r="C1856" s="6" t="inlineStr">
        <is>
          <t>Kerala</t>
        </is>
      </c>
      <c r="D1856" s="7" t="inlineStr">
        <is>
          <t>KL10AW0956</t>
        </is>
      </c>
      <c r="E1856" s="7" t="inlineStr">
        <is>
          <t>RENAULT</t>
        </is>
      </c>
      <c r="F1856" s="7" t="inlineStr">
        <is>
          <t>Kwid</t>
        </is>
      </c>
      <c r="G1856" s="7" t="inlineStr">
        <is>
          <t>SANOOP</t>
        </is>
      </c>
      <c r="H1856" s="7" t="inlineStr">
        <is>
          <t>Non-Captive</t>
        </is>
      </c>
      <c r="I1856" s="7" t="inlineStr">
        <is>
          <t>UCD ABHILASH</t>
        </is>
      </c>
      <c r="J1856" s="8" t="n"/>
      <c r="K1856" s="9" t="n">
        <v>71000</v>
      </c>
      <c r="L1856" s="10" t="n">
        <v>145000</v>
      </c>
      <c r="M1856" s="10" t="n">
        <v>8474.58</v>
      </c>
      <c r="N1856" s="11">
        <f>IF(M1856="","",ROUND(M1856*1.18,2))</f>
        <v/>
      </c>
      <c r="O1856" s="12">
        <f>IF(M1856="","",ROUND(N1856-M1856,2))</f>
        <v/>
      </c>
      <c r="P1856" s="13">
        <f>IF(AND(A1856&lt;&gt;"",B1856&lt;&gt;""), A1856&amp;" · "&amp;B1856, "")</f>
        <v/>
      </c>
    </row>
    <row r="1857">
      <c r="A1857" s="6" t="inlineStr">
        <is>
          <t>FY27</t>
        </is>
      </c>
      <c r="B1857" s="6" t="inlineStr">
        <is>
          <t>May</t>
        </is>
      </c>
      <c r="C1857" s="6" t="inlineStr">
        <is>
          <t>Kerala</t>
        </is>
      </c>
      <c r="D1857" s="7" t="inlineStr">
        <is>
          <t>KL10BJ3199</t>
        </is>
      </c>
      <c r="E1857" s="7" t="inlineStr">
        <is>
          <t>MARUTI SUZUKI</t>
        </is>
      </c>
      <c r="F1857" s="7" t="inlineStr">
        <is>
          <t>Jimny</t>
        </is>
      </c>
      <c r="G1857" s="7" t="inlineStr">
        <is>
          <t>MOTOXCHANGE</t>
        </is>
      </c>
      <c r="H1857" s="7" t="inlineStr">
        <is>
          <t>Non-Captive</t>
        </is>
      </c>
      <c r="I1857" s="7" t="inlineStr">
        <is>
          <t>QUEENSWAY</t>
        </is>
      </c>
      <c r="J1857" s="8" t="n"/>
      <c r="K1857" s="9" t="n">
        <v>28983</v>
      </c>
      <c r="L1857" s="10" t="n">
        <v>971500</v>
      </c>
      <c r="M1857" s="10" t="n">
        <v>10169.49</v>
      </c>
      <c r="N1857" s="11">
        <f>IF(M1857="","",ROUND(M1857*1.18,2))</f>
        <v/>
      </c>
      <c r="O1857" s="12">
        <f>IF(M1857="","",ROUND(N1857-M1857,2))</f>
        <v/>
      </c>
      <c r="P1857" s="13">
        <f>IF(AND(A1857&lt;&gt;"",B1857&lt;&gt;""), A1857&amp;" · "&amp;B1857, "")</f>
        <v/>
      </c>
    </row>
    <row r="1858">
      <c r="A1858" s="6" t="inlineStr">
        <is>
          <t>FY27</t>
        </is>
      </c>
      <c r="B1858" s="6" t="inlineStr">
        <is>
          <t>May</t>
        </is>
      </c>
      <c r="C1858" s="6" t="inlineStr">
        <is>
          <t>Kerala</t>
        </is>
      </c>
      <c r="D1858" s="7" t="inlineStr">
        <is>
          <t>KL11AH1821</t>
        </is>
      </c>
      <c r="E1858" s="7" t="inlineStr">
        <is>
          <t>MARUTI SUZUKI</t>
        </is>
      </c>
      <c r="F1858" s="7" t="inlineStr">
        <is>
          <t>Ritz</t>
        </is>
      </c>
      <c r="G1858" s="7" t="inlineStr">
        <is>
          <t>RATHEESH</t>
        </is>
      </c>
      <c r="H1858" s="7" t="inlineStr">
        <is>
          <t>Non-Captive</t>
        </is>
      </c>
      <c r="I1858" s="7" t="inlineStr">
        <is>
          <t>EVM SKODA</t>
        </is>
      </c>
      <c r="J1858" s="8" t="n"/>
      <c r="K1858" s="9" t="n">
        <v>142000</v>
      </c>
      <c r="L1858" s="10" t="n">
        <v>90000</v>
      </c>
      <c r="M1858" s="10" t="n">
        <v>8474.58</v>
      </c>
      <c r="N1858" s="11">
        <f>IF(M1858="","",ROUND(M1858*1.18,2))</f>
        <v/>
      </c>
      <c r="O1858" s="12">
        <f>IF(M1858="","",ROUND(N1858-M1858,2))</f>
        <v/>
      </c>
      <c r="P1858" s="13">
        <f>IF(AND(A1858&lt;&gt;"",B1858&lt;&gt;""), A1858&amp;" · "&amp;B1858, "")</f>
        <v/>
      </c>
    </row>
    <row r="1859">
      <c r="A1859" s="6" t="inlineStr">
        <is>
          <t>FY27</t>
        </is>
      </c>
      <c r="B1859" s="6" t="inlineStr">
        <is>
          <t>May</t>
        </is>
      </c>
      <c r="C1859" s="6" t="inlineStr">
        <is>
          <t>Kerala</t>
        </is>
      </c>
      <c r="D1859" s="7" t="inlineStr">
        <is>
          <t>KL11BC2309</t>
        </is>
      </c>
      <c r="E1859" s="7" t="inlineStr">
        <is>
          <t>MARUTI SUZUKI</t>
        </is>
      </c>
      <c r="F1859" s="7" t="inlineStr">
        <is>
          <t>Vitara Brezza</t>
        </is>
      </c>
      <c r="G1859" s="7" t="inlineStr">
        <is>
          <t>RATHEESH</t>
        </is>
      </c>
      <c r="H1859" s="7" t="inlineStr">
        <is>
          <t>Non-Captive</t>
        </is>
      </c>
      <c r="I1859" s="7" t="inlineStr">
        <is>
          <t>BIMAL</t>
        </is>
      </c>
      <c r="J1859" s="8" t="n"/>
      <c r="K1859" s="9" t="n">
        <v>78000</v>
      </c>
      <c r="L1859" s="10" t="n">
        <v>625000</v>
      </c>
      <c r="M1859" s="10" t="n">
        <v>8474.58</v>
      </c>
      <c r="N1859" s="11">
        <f>IF(M1859="","",ROUND(M1859*1.18,2))</f>
        <v/>
      </c>
      <c r="O1859" s="12">
        <f>IF(M1859="","",ROUND(N1859-M1859,2))</f>
        <v/>
      </c>
      <c r="P1859" s="13">
        <f>IF(AND(A1859&lt;&gt;"",B1859&lt;&gt;""), A1859&amp;" · "&amp;B1859, "")</f>
        <v/>
      </c>
    </row>
    <row r="1860">
      <c r="A1860" s="6" t="inlineStr">
        <is>
          <t>FY27</t>
        </is>
      </c>
      <c r="B1860" s="6" t="inlineStr">
        <is>
          <t>May</t>
        </is>
      </c>
      <c r="C1860" s="6" t="inlineStr">
        <is>
          <t>Kerala</t>
        </is>
      </c>
      <c r="D1860" s="7" t="inlineStr">
        <is>
          <t>KL11BD5650</t>
        </is>
      </c>
      <c r="E1860" s="7" t="inlineStr">
        <is>
          <t>MAHINDRA</t>
        </is>
      </c>
      <c r="F1860" s="7" t="inlineStr">
        <is>
          <t>KUV100</t>
        </is>
      </c>
      <c r="G1860" s="7" t="inlineStr">
        <is>
          <t>MK MAMMOOTTY</t>
        </is>
      </c>
      <c r="H1860" s="7" t="inlineStr">
        <is>
          <t>Non-Captive</t>
        </is>
      </c>
      <c r="I1860" s="7" t="inlineStr">
        <is>
          <t>PK SANTOSH UCD</t>
        </is>
      </c>
      <c r="J1860" s="8" t="n"/>
      <c r="K1860" s="9" t="n">
        <v>80000</v>
      </c>
      <c r="L1860" s="10" t="n">
        <v>215000</v>
      </c>
      <c r="M1860" s="10" t="n">
        <v>8474.58</v>
      </c>
      <c r="N1860" s="11">
        <f>IF(M1860="","",ROUND(M1860*1.18,2))</f>
        <v/>
      </c>
      <c r="O1860" s="12">
        <f>IF(M1860="","",ROUND(N1860-M1860,2))</f>
        <v/>
      </c>
      <c r="P1860" s="13">
        <f>IF(AND(A1860&lt;&gt;"",B1860&lt;&gt;""), A1860&amp;" · "&amp;B1860, "")</f>
        <v/>
      </c>
    </row>
    <row r="1861">
      <c r="A1861" s="6" t="inlineStr">
        <is>
          <t>FY27</t>
        </is>
      </c>
      <c r="B1861" s="6" t="inlineStr">
        <is>
          <t>May</t>
        </is>
      </c>
      <c r="C1861" s="6" t="inlineStr">
        <is>
          <t>Kerala</t>
        </is>
      </c>
      <c r="D1861" s="7" t="inlineStr">
        <is>
          <t>KL12H1796</t>
        </is>
      </c>
      <c r="E1861" s="7" t="inlineStr">
        <is>
          <t>RENAULT</t>
        </is>
      </c>
      <c r="F1861" s="7" t="inlineStr">
        <is>
          <t>Scala</t>
        </is>
      </c>
      <c r="G1861" s="7" t="inlineStr">
        <is>
          <t>ASAMS M SUNNY</t>
        </is>
      </c>
      <c r="H1861" s="7" t="inlineStr">
        <is>
          <t>Non-Captive</t>
        </is>
      </c>
      <c r="I1861" s="7" t="inlineStr">
        <is>
          <t>MARVEL CARS</t>
        </is>
      </c>
      <c r="J1861" s="8" t="n"/>
      <c r="K1861" s="9" t="n">
        <v>70000</v>
      </c>
      <c r="L1861" s="10" t="n">
        <v>200000</v>
      </c>
      <c r="M1861" s="10" t="n">
        <v>4237.29</v>
      </c>
      <c r="N1861" s="11">
        <f>IF(M1861="","",ROUND(M1861*1.18,2))</f>
        <v/>
      </c>
      <c r="O1861" s="12">
        <f>IF(M1861="","",ROUND(N1861-M1861,2))</f>
        <v/>
      </c>
      <c r="P1861" s="13">
        <f>IF(AND(A1861&lt;&gt;"",B1861&lt;&gt;""), A1861&amp;" · "&amp;B1861, "")</f>
        <v/>
      </c>
    </row>
    <row r="1862">
      <c r="A1862" s="6" t="inlineStr">
        <is>
          <t>FY27</t>
        </is>
      </c>
      <c r="B1862" s="6" t="inlineStr">
        <is>
          <t>May</t>
        </is>
      </c>
      <c r="C1862" s="6" t="inlineStr">
        <is>
          <t>Kerala</t>
        </is>
      </c>
      <c r="D1862" s="7" t="inlineStr">
        <is>
          <t>KL13AD3910</t>
        </is>
      </c>
      <c r="E1862" s="7" t="inlineStr">
        <is>
          <t>TATA</t>
        </is>
      </c>
      <c r="F1862" s="7" t="inlineStr">
        <is>
          <t>Zest</t>
        </is>
      </c>
      <c r="G1862" s="7" t="inlineStr">
        <is>
          <t>VASIL AUTOBOT</t>
        </is>
      </c>
      <c r="H1862" s="7" t="inlineStr">
        <is>
          <t>Non-Captive</t>
        </is>
      </c>
      <c r="I1862" s="7" t="inlineStr">
        <is>
          <t>POPULAR</t>
        </is>
      </c>
      <c r="J1862" s="8" t="n"/>
      <c r="K1862" s="9" t="n">
        <v>100000</v>
      </c>
      <c r="L1862" s="10" t="n">
        <v>130000</v>
      </c>
      <c r="M1862" s="10" t="n">
        <v>8474.58</v>
      </c>
      <c r="N1862" s="11">
        <f>IF(M1862="","",ROUND(M1862*1.18,2))</f>
        <v/>
      </c>
      <c r="O1862" s="12">
        <f>IF(M1862="","",ROUND(N1862-M1862,2))</f>
        <v/>
      </c>
      <c r="P1862" s="13">
        <f>IF(AND(A1862&lt;&gt;"",B1862&lt;&gt;""), A1862&amp;" · "&amp;B1862, "")</f>
        <v/>
      </c>
    </row>
    <row r="1863">
      <c r="A1863" s="6" t="inlineStr">
        <is>
          <t>FY27</t>
        </is>
      </c>
      <c r="B1863" s="6" t="inlineStr">
        <is>
          <t>May</t>
        </is>
      </c>
      <c r="C1863" s="6" t="inlineStr">
        <is>
          <t>Kerala</t>
        </is>
      </c>
      <c r="D1863" s="7" t="inlineStr">
        <is>
          <t>KL13AH1360</t>
        </is>
      </c>
      <c r="E1863" s="7" t="inlineStr">
        <is>
          <t>HYUNDAI</t>
        </is>
      </c>
      <c r="F1863" s="7" t="inlineStr">
        <is>
          <t>Creta</t>
        </is>
      </c>
      <c r="G1863" s="7" t="inlineStr">
        <is>
          <t>VASIL AUTOBOT</t>
        </is>
      </c>
      <c r="H1863" s="7" t="inlineStr">
        <is>
          <t>Non-Captive</t>
        </is>
      </c>
      <c r="I1863" s="7" t="inlineStr">
        <is>
          <t>AMANA TOYOTA</t>
        </is>
      </c>
      <c r="J1863" s="8" t="n"/>
      <c r="K1863" s="9" t="n">
        <v>44000</v>
      </c>
      <c r="L1863" s="10" t="n">
        <v>560000</v>
      </c>
      <c r="M1863" s="10" t="n">
        <v>8474.58</v>
      </c>
      <c r="N1863" s="11">
        <f>IF(M1863="","",ROUND(M1863*1.18,2))</f>
        <v/>
      </c>
      <c r="O1863" s="12">
        <f>IF(M1863="","",ROUND(N1863-M1863,2))</f>
        <v/>
      </c>
      <c r="P1863" s="13">
        <f>IF(AND(A1863&lt;&gt;"",B1863&lt;&gt;""), A1863&amp;" · "&amp;B1863, "")</f>
        <v/>
      </c>
    </row>
    <row r="1864">
      <c r="A1864" s="6" t="inlineStr">
        <is>
          <t>FY27</t>
        </is>
      </c>
      <c r="B1864" s="6" t="inlineStr">
        <is>
          <t>May</t>
        </is>
      </c>
      <c r="C1864" s="6" t="inlineStr">
        <is>
          <t>Kerala</t>
        </is>
      </c>
      <c r="D1864" s="7" t="inlineStr">
        <is>
          <t>KL13AH5183</t>
        </is>
      </c>
      <c r="E1864" s="7" t="inlineStr">
        <is>
          <t>RENAULT</t>
        </is>
      </c>
      <c r="F1864" s="7" t="inlineStr">
        <is>
          <t>Kwid</t>
        </is>
      </c>
      <c r="G1864" s="7" t="inlineStr">
        <is>
          <t>SABITH</t>
        </is>
      </c>
      <c r="H1864" s="7" t="inlineStr">
        <is>
          <t>Non-Captive</t>
        </is>
      </c>
      <c r="I1864" s="7" t="inlineStr">
        <is>
          <t>VEER MAHINDRA</t>
        </is>
      </c>
      <c r="J1864" s="8" t="n"/>
      <c r="K1864" s="9" t="n">
        <v>53000</v>
      </c>
      <c r="L1864" s="10" t="n">
        <v>275000</v>
      </c>
      <c r="M1864" s="10" t="n">
        <v>8474.58</v>
      </c>
      <c r="N1864" s="11">
        <f>IF(M1864="","",ROUND(M1864*1.18,2))</f>
        <v/>
      </c>
      <c r="O1864" s="12">
        <f>IF(M1864="","",ROUND(N1864-M1864,2))</f>
        <v/>
      </c>
      <c r="P1864" s="13">
        <f>IF(AND(A1864&lt;&gt;"",B1864&lt;&gt;""), A1864&amp;" · "&amp;B1864, "")</f>
        <v/>
      </c>
    </row>
    <row r="1865">
      <c r="A1865" s="6" t="inlineStr">
        <is>
          <t>FY27</t>
        </is>
      </c>
      <c r="B1865" s="6" t="inlineStr">
        <is>
          <t>May</t>
        </is>
      </c>
      <c r="C1865" s="6" t="inlineStr">
        <is>
          <t>Kerala</t>
        </is>
      </c>
      <c r="D1865" s="7" t="inlineStr">
        <is>
          <t>KL13AL6637</t>
        </is>
      </c>
      <c r="E1865" s="7" t="inlineStr">
        <is>
          <t>MARUTI SUZUKI</t>
        </is>
      </c>
      <c r="F1865" s="7" t="inlineStr">
        <is>
          <t>Baleno</t>
        </is>
      </c>
      <c r="G1865" s="7" t="inlineStr">
        <is>
          <t>MARVEL MOTORS</t>
        </is>
      </c>
      <c r="H1865" s="7" t="inlineStr">
        <is>
          <t>Non-Captive</t>
        </is>
      </c>
      <c r="I1865" s="7" t="inlineStr">
        <is>
          <t>APCO HYUNDAI</t>
        </is>
      </c>
      <c r="J1865" s="8" t="n"/>
      <c r="K1865" s="9" t="n">
        <v>63000</v>
      </c>
      <c r="L1865" s="10" t="n">
        <v>480000</v>
      </c>
      <c r="M1865" s="10" t="n">
        <v>4237.29</v>
      </c>
      <c r="N1865" s="11">
        <f>IF(M1865="","",ROUND(M1865*1.18,2))</f>
        <v/>
      </c>
      <c r="O1865" s="12">
        <f>IF(M1865="","",ROUND(N1865-M1865,2))</f>
        <v/>
      </c>
      <c r="P1865" s="13">
        <f>IF(AND(A1865&lt;&gt;"",B1865&lt;&gt;""), A1865&amp;" · "&amp;B1865, "")</f>
        <v/>
      </c>
    </row>
    <row r="1866">
      <c r="A1866" s="6" t="inlineStr">
        <is>
          <t>FY27</t>
        </is>
      </c>
      <c r="B1866" s="6" t="inlineStr">
        <is>
          <t>May</t>
        </is>
      </c>
      <c r="C1866" s="6" t="inlineStr">
        <is>
          <t>Kerala</t>
        </is>
      </c>
      <c r="D1866" s="7" t="inlineStr">
        <is>
          <t>KL13AT0356</t>
        </is>
      </c>
      <c r="E1866" s="7" t="inlineStr">
        <is>
          <t>MARUTI SUZUKI</t>
        </is>
      </c>
      <c r="F1866" s="7" t="inlineStr">
        <is>
          <t>Alto</t>
        </is>
      </c>
      <c r="G1866" s="7" t="inlineStr">
        <is>
          <t>NIDEESH</t>
        </is>
      </c>
      <c r="H1866" s="7" t="inlineStr">
        <is>
          <t>Non-Captive</t>
        </is>
      </c>
      <c r="I1866" s="7" t="inlineStr">
        <is>
          <t>KVR TATA</t>
        </is>
      </c>
      <c r="J1866" s="8" t="n"/>
      <c r="K1866" s="9" t="n">
        <v>41000</v>
      </c>
      <c r="L1866" s="10" t="n">
        <v>300000</v>
      </c>
      <c r="M1866" s="10" t="n">
        <v>4237.29</v>
      </c>
      <c r="N1866" s="11">
        <f>IF(M1866="","",ROUND(M1866*1.18,2))</f>
        <v/>
      </c>
      <c r="O1866" s="12">
        <f>IF(M1866="","",ROUND(N1866-M1866,2))</f>
        <v/>
      </c>
      <c r="P1866" s="13">
        <f>IF(AND(A1866&lt;&gt;"",B1866&lt;&gt;""), A1866&amp;" · "&amp;B1866, "")</f>
        <v/>
      </c>
    </row>
    <row r="1867">
      <c r="A1867" s="6" t="inlineStr">
        <is>
          <t>FY27</t>
        </is>
      </c>
      <c r="B1867" s="6" t="inlineStr">
        <is>
          <t>May</t>
        </is>
      </c>
      <c r="C1867" s="6" t="inlineStr">
        <is>
          <t>Kerala</t>
        </is>
      </c>
      <c r="D1867" s="7" t="inlineStr">
        <is>
          <t>KL13AW7090</t>
        </is>
      </c>
      <c r="E1867" s="7" t="inlineStr">
        <is>
          <t>TATA</t>
        </is>
      </c>
      <c r="F1867" s="7" t="inlineStr">
        <is>
          <t>Harrier</t>
        </is>
      </c>
      <c r="G1867" s="7" t="inlineStr">
        <is>
          <t>VASIL AUTOBOT</t>
        </is>
      </c>
      <c r="H1867" s="7" t="inlineStr">
        <is>
          <t>Non-Captive</t>
        </is>
      </c>
      <c r="I1867" s="7" t="inlineStr">
        <is>
          <t>KVR TATA</t>
        </is>
      </c>
      <c r="J1867" s="8" t="n"/>
      <c r="K1867" s="9" t="n">
        <v>43000</v>
      </c>
      <c r="L1867" s="10" t="n">
        <v>1500000</v>
      </c>
      <c r="M1867" s="10" t="n">
        <v>8474.58</v>
      </c>
      <c r="N1867" s="11">
        <f>IF(M1867="","",ROUND(M1867*1.18,2))</f>
        <v/>
      </c>
      <c r="O1867" s="12">
        <f>IF(M1867="","",ROUND(N1867-M1867,2))</f>
        <v/>
      </c>
      <c r="P1867" s="13">
        <f>IF(AND(A1867&lt;&gt;"",B1867&lt;&gt;""), A1867&amp;" · "&amp;B1867, "")</f>
        <v/>
      </c>
    </row>
    <row r="1868">
      <c r="A1868" s="6" t="inlineStr">
        <is>
          <t>FY27</t>
        </is>
      </c>
      <c r="B1868" s="6" t="inlineStr">
        <is>
          <t>May</t>
        </is>
      </c>
      <c r="C1868" s="6" t="inlineStr">
        <is>
          <t>Kerala</t>
        </is>
      </c>
      <c r="D1868" s="7" t="inlineStr">
        <is>
          <t>KL13E3971</t>
        </is>
      </c>
      <c r="E1868" s="7" t="inlineStr">
        <is>
          <t>MARUTI SUZUKI</t>
        </is>
      </c>
      <c r="F1868" s="7" t="inlineStr">
        <is>
          <t>800</t>
        </is>
      </c>
      <c r="G1868" s="7" t="inlineStr">
        <is>
          <t>ASAMS M SUNNY</t>
        </is>
      </c>
      <c r="H1868" s="7" t="inlineStr">
        <is>
          <t>Non-Captive</t>
        </is>
      </c>
      <c r="I1868" s="7" t="inlineStr">
        <is>
          <t>MARVEL</t>
        </is>
      </c>
      <c r="J1868" s="8" t="n"/>
      <c r="K1868" s="9" t="n">
        <v>145000</v>
      </c>
      <c r="L1868" s="10" t="n">
        <v>12000</v>
      </c>
      <c r="M1868" s="10" t="n">
        <v>4237.29</v>
      </c>
      <c r="N1868" s="11">
        <f>IF(M1868="","",ROUND(M1868*1.18,2))</f>
        <v/>
      </c>
      <c r="O1868" s="12">
        <f>IF(M1868="","",ROUND(N1868-M1868,2))</f>
        <v/>
      </c>
      <c r="P1868" s="13">
        <f>IF(AND(A1868&lt;&gt;"",B1868&lt;&gt;""), A1868&amp;" · "&amp;B1868, "")</f>
        <v/>
      </c>
    </row>
    <row r="1869">
      <c r="A1869" s="6" t="inlineStr">
        <is>
          <t>FY27</t>
        </is>
      </c>
      <c r="B1869" s="6" t="inlineStr">
        <is>
          <t>May</t>
        </is>
      </c>
      <c r="C1869" s="6" t="inlineStr">
        <is>
          <t>Kerala</t>
        </is>
      </c>
      <c r="D1869" s="7" t="inlineStr">
        <is>
          <t>KL13J8476</t>
        </is>
      </c>
      <c r="E1869" s="7" t="inlineStr">
        <is>
          <t>MARUTI SUZUKI</t>
        </is>
      </c>
      <c r="F1869" s="7" t="inlineStr">
        <is>
          <t>800</t>
        </is>
      </c>
      <c r="G1869" s="7" t="inlineStr">
        <is>
          <t>SHAJEE CARS</t>
        </is>
      </c>
      <c r="H1869" s="7" t="inlineStr">
        <is>
          <t>Non-Captive</t>
        </is>
      </c>
      <c r="I1869" s="7" t="inlineStr">
        <is>
          <t>AMANA TOYOTA</t>
        </is>
      </c>
      <c r="J1869" s="8" t="n"/>
      <c r="K1869" s="9" t="n">
        <v>184000</v>
      </c>
      <c r="L1869" s="10" t="n">
        <v>30000</v>
      </c>
      <c r="M1869" s="10" t="n">
        <v>4237.29</v>
      </c>
      <c r="N1869" s="11">
        <f>IF(M1869="","",ROUND(M1869*1.18,2))</f>
        <v/>
      </c>
      <c r="O1869" s="12">
        <f>IF(M1869="","",ROUND(N1869-M1869,2))</f>
        <v/>
      </c>
      <c r="P1869" s="13">
        <f>IF(AND(A1869&lt;&gt;"",B1869&lt;&gt;""), A1869&amp;" · "&amp;B1869, "")</f>
        <v/>
      </c>
    </row>
    <row r="1870">
      <c r="A1870" s="6" t="inlineStr">
        <is>
          <t>FY27</t>
        </is>
      </c>
      <c r="B1870" s="6" t="inlineStr">
        <is>
          <t>May</t>
        </is>
      </c>
      <c r="C1870" s="6" t="inlineStr">
        <is>
          <t>Kerala</t>
        </is>
      </c>
      <c r="D1870" s="7" t="inlineStr">
        <is>
          <t>KL13P6026</t>
        </is>
      </c>
      <c r="E1870" s="7" t="inlineStr">
        <is>
          <t>MARUTI SUZUKI</t>
        </is>
      </c>
      <c r="F1870" s="7" t="inlineStr">
        <is>
          <t>Omni</t>
        </is>
      </c>
      <c r="G1870" s="7" t="inlineStr">
        <is>
          <t>AUTOTRUST</t>
        </is>
      </c>
      <c r="H1870" s="7" t="inlineStr">
        <is>
          <t>Non-Captive</t>
        </is>
      </c>
      <c r="I1870" s="7" t="inlineStr">
        <is>
          <t>POPULAR MARUTI</t>
        </is>
      </c>
      <c r="J1870" s="8" t="n"/>
      <c r="K1870" s="9" t="n">
        <v>180000</v>
      </c>
      <c r="L1870" s="10" t="n">
        <v>6000</v>
      </c>
      <c r="M1870" s="10" t="n">
        <v>5084.75</v>
      </c>
      <c r="N1870" s="11">
        <f>IF(M1870="","",ROUND(M1870*1.18,2))</f>
        <v/>
      </c>
      <c r="O1870" s="12">
        <f>IF(M1870="","",ROUND(N1870-M1870,2))</f>
        <v/>
      </c>
      <c r="P1870" s="13">
        <f>IF(AND(A1870&lt;&gt;"",B1870&lt;&gt;""), A1870&amp;" · "&amp;B1870, "")</f>
        <v/>
      </c>
    </row>
    <row r="1871">
      <c r="A1871" s="6" t="inlineStr">
        <is>
          <t>FY27</t>
        </is>
      </c>
      <c r="B1871" s="6" t="inlineStr">
        <is>
          <t>May</t>
        </is>
      </c>
      <c r="C1871" s="6" t="inlineStr">
        <is>
          <t>Kerala</t>
        </is>
      </c>
      <c r="D1871" s="7" t="inlineStr">
        <is>
          <t>KL13T6459</t>
        </is>
      </c>
      <c r="E1871" s="7" t="inlineStr">
        <is>
          <t>MARUTI SUZUKI</t>
        </is>
      </c>
      <c r="F1871" s="7" t="inlineStr">
        <is>
          <t>Alto</t>
        </is>
      </c>
      <c r="G1871" s="7" t="inlineStr">
        <is>
          <t>SARANG</t>
        </is>
      </c>
      <c r="H1871" s="7" t="inlineStr">
        <is>
          <t>Non-Captive</t>
        </is>
      </c>
      <c r="I1871" s="7" t="inlineStr">
        <is>
          <t>POPULAR MARUTI</t>
        </is>
      </c>
      <c r="J1871" s="8" t="n"/>
      <c r="K1871" s="9" t="n">
        <v>75000</v>
      </c>
      <c r="L1871" s="10" t="n">
        <v>55000</v>
      </c>
      <c r="M1871" s="10" t="n">
        <v>8474.58</v>
      </c>
      <c r="N1871" s="11">
        <f>IF(M1871="","",ROUND(M1871*1.18,2))</f>
        <v/>
      </c>
      <c r="O1871" s="12">
        <f>IF(M1871="","",ROUND(N1871-M1871,2))</f>
        <v/>
      </c>
      <c r="P1871" s="13">
        <f>IF(AND(A1871&lt;&gt;"",B1871&lt;&gt;""), A1871&amp;" · "&amp;B1871, "")</f>
        <v/>
      </c>
    </row>
    <row r="1872">
      <c r="A1872" s="6" t="inlineStr">
        <is>
          <t>FY27</t>
        </is>
      </c>
      <c r="B1872" s="6" t="inlineStr">
        <is>
          <t>May</t>
        </is>
      </c>
      <c r="C1872" s="6" t="inlineStr">
        <is>
          <t>Kerala</t>
        </is>
      </c>
      <c r="D1872" s="7" t="inlineStr">
        <is>
          <t>KL13Y3715</t>
        </is>
      </c>
      <c r="E1872" s="7" t="inlineStr">
        <is>
          <t>HYUNDAI</t>
        </is>
      </c>
      <c r="F1872" s="7" t="inlineStr">
        <is>
          <t>Eon</t>
        </is>
      </c>
      <c r="G1872" s="7" t="inlineStr">
        <is>
          <t>AUTOBOT</t>
        </is>
      </c>
      <c r="H1872" s="7" t="inlineStr">
        <is>
          <t>Non-Captive</t>
        </is>
      </c>
      <c r="I1872" s="7" t="inlineStr">
        <is>
          <t>POPULAR MARUTI</t>
        </is>
      </c>
      <c r="J1872" s="8" t="n"/>
      <c r="K1872" s="9" t="n">
        <v>112000</v>
      </c>
      <c r="L1872" s="10" t="n">
        <v>55000</v>
      </c>
      <c r="M1872" s="10" t="n">
        <v>5932.2</v>
      </c>
      <c r="N1872" s="11">
        <f>IF(M1872="","",ROUND(M1872*1.18,2))</f>
        <v/>
      </c>
      <c r="O1872" s="12">
        <f>IF(M1872="","",ROUND(N1872-M1872,2))</f>
        <v/>
      </c>
      <c r="P1872" s="13">
        <f>IF(AND(A1872&lt;&gt;"",B1872&lt;&gt;""), A1872&amp;" · "&amp;B1872, "")</f>
        <v/>
      </c>
    </row>
    <row r="1873">
      <c r="A1873" s="6" t="inlineStr">
        <is>
          <t>FY27</t>
        </is>
      </c>
      <c r="B1873" s="6" t="inlineStr">
        <is>
          <t>May</t>
        </is>
      </c>
      <c r="C1873" s="6" t="inlineStr">
        <is>
          <t>Kerala</t>
        </is>
      </c>
      <c r="D1873" s="7" t="inlineStr">
        <is>
          <t>KL14F6793</t>
        </is>
      </c>
      <c r="E1873" s="7" t="inlineStr">
        <is>
          <t>MARUTI SUZUKI</t>
        </is>
      </c>
      <c r="F1873" s="7" t="inlineStr">
        <is>
          <t>A-Star</t>
        </is>
      </c>
      <c r="G1873" s="7" t="inlineStr">
        <is>
          <t>AUTOTRUST</t>
        </is>
      </c>
      <c r="H1873" s="7" t="inlineStr">
        <is>
          <t>Non-Captive</t>
        </is>
      </c>
      <c r="I1873" s="7" t="inlineStr">
        <is>
          <t>UCD ABHILASH</t>
        </is>
      </c>
      <c r="J1873" s="8" t="n"/>
      <c r="K1873" s="9" t="n">
        <v>132000</v>
      </c>
      <c r="L1873" s="10" t="n">
        <v>6000</v>
      </c>
      <c r="M1873" s="10" t="n">
        <v>5084.75</v>
      </c>
      <c r="N1873" s="11">
        <f>IF(M1873="","",ROUND(M1873*1.18,2))</f>
        <v/>
      </c>
      <c r="O1873" s="12">
        <f>IF(M1873="","",ROUND(N1873-M1873,2))</f>
        <v/>
      </c>
      <c r="P1873" s="13">
        <f>IF(AND(A1873&lt;&gt;"",B1873&lt;&gt;""), A1873&amp;" · "&amp;B1873, "")</f>
        <v/>
      </c>
    </row>
    <row r="1874">
      <c r="A1874" s="6" t="inlineStr">
        <is>
          <t>FY27</t>
        </is>
      </c>
      <c r="B1874" s="6" t="inlineStr">
        <is>
          <t>May</t>
        </is>
      </c>
      <c r="C1874" s="6" t="inlineStr">
        <is>
          <t>Kerala</t>
        </is>
      </c>
      <c r="D1874" s="7" t="inlineStr">
        <is>
          <t>KL14T6473</t>
        </is>
      </c>
      <c r="E1874" s="7" t="inlineStr">
        <is>
          <t>RENAULT</t>
        </is>
      </c>
      <c r="F1874" s="7" t="inlineStr">
        <is>
          <t>Kwid</t>
        </is>
      </c>
      <c r="G1874" s="7" t="inlineStr">
        <is>
          <t>SANOOP</t>
        </is>
      </c>
      <c r="H1874" s="7" t="inlineStr">
        <is>
          <t>Non-Captive</t>
        </is>
      </c>
      <c r="I1874" s="7" t="inlineStr">
        <is>
          <t>UCD PRAJU</t>
        </is>
      </c>
      <c r="J1874" s="8" t="n"/>
      <c r="K1874" s="9" t="n">
        <v>117000</v>
      </c>
      <c r="L1874" s="10" t="n">
        <v>90000</v>
      </c>
      <c r="M1874" s="10" t="n">
        <v>8474.58</v>
      </c>
      <c r="N1874" s="11">
        <f>IF(M1874="","",ROUND(M1874*1.18,2))</f>
        <v/>
      </c>
      <c r="O1874" s="12">
        <f>IF(M1874="","",ROUND(N1874-M1874,2))</f>
        <v/>
      </c>
      <c r="P1874" s="13">
        <f>IF(AND(A1874&lt;&gt;"",B1874&lt;&gt;""), A1874&amp;" · "&amp;B1874, "")</f>
        <v/>
      </c>
    </row>
    <row r="1875">
      <c r="A1875" s="6" t="inlineStr">
        <is>
          <t>FY27</t>
        </is>
      </c>
      <c r="B1875" s="6" t="inlineStr">
        <is>
          <t>May</t>
        </is>
      </c>
      <c r="C1875" s="6" t="inlineStr">
        <is>
          <t>Kerala</t>
        </is>
      </c>
      <c r="D1875" s="7" t="inlineStr">
        <is>
          <t>KL17E8176</t>
        </is>
      </c>
      <c r="E1875" s="7" t="inlineStr">
        <is>
          <t>MARUTI SUZUKI</t>
        </is>
      </c>
      <c r="F1875" s="7" t="inlineStr">
        <is>
          <t>Zen Estilo</t>
        </is>
      </c>
      <c r="G1875" s="7" t="inlineStr">
        <is>
          <t>MUHAMMED SHAJI</t>
        </is>
      </c>
      <c r="H1875" s="7" t="inlineStr">
        <is>
          <t>Non-Captive</t>
        </is>
      </c>
      <c r="I1875" s="7" t="inlineStr">
        <is>
          <t>ANAS VH</t>
        </is>
      </c>
      <c r="J1875" s="8" t="n"/>
      <c r="K1875" s="9" t="n">
        <v>78098</v>
      </c>
      <c r="L1875" s="10" t="n">
        <v>75000</v>
      </c>
      <c r="M1875" s="10" t="n">
        <v>8474.58</v>
      </c>
      <c r="N1875" s="11">
        <f>IF(M1875="","",ROUND(M1875*1.18,2))</f>
        <v/>
      </c>
      <c r="O1875" s="12">
        <f>IF(M1875="","",ROUND(N1875-M1875,2))</f>
        <v/>
      </c>
      <c r="P1875" s="13">
        <f>IF(AND(A1875&lt;&gt;"",B1875&lt;&gt;""), A1875&amp;" · "&amp;B1875, "")</f>
        <v/>
      </c>
    </row>
    <row r="1876">
      <c r="A1876" s="6" t="inlineStr">
        <is>
          <t>FY27</t>
        </is>
      </c>
      <c r="B1876" s="6" t="inlineStr">
        <is>
          <t>May</t>
        </is>
      </c>
      <c r="C1876" s="6" t="inlineStr">
        <is>
          <t>Kerala</t>
        </is>
      </c>
      <c r="D1876" s="7" t="inlineStr">
        <is>
          <t>KL17F8891</t>
        </is>
      </c>
      <c r="E1876" s="7" t="inlineStr">
        <is>
          <t>CHEVROLET</t>
        </is>
      </c>
      <c r="F1876" s="7" t="inlineStr">
        <is>
          <t>Spark</t>
        </is>
      </c>
      <c r="G1876" s="7" t="inlineStr">
        <is>
          <t>EVM MG</t>
        </is>
      </c>
      <c r="H1876" s="7" t="inlineStr">
        <is>
          <t>Non-Captive</t>
        </is>
      </c>
      <c r="I1876" s="7" t="inlineStr">
        <is>
          <t>HUSSAIN O E</t>
        </is>
      </c>
      <c r="J1876" s="8" t="n"/>
      <c r="K1876" s="9" t="n">
        <v>66342</v>
      </c>
      <c r="L1876" s="10" t="n">
        <v>20000</v>
      </c>
      <c r="M1876" s="10" t="n">
        <v>8474.58</v>
      </c>
      <c r="N1876" s="11">
        <f>IF(M1876="","",ROUND(M1876*1.18,2))</f>
        <v/>
      </c>
      <c r="O1876" s="12">
        <f>IF(M1876="","",ROUND(N1876-M1876,2))</f>
        <v/>
      </c>
      <c r="P1876" s="13">
        <f>IF(AND(A1876&lt;&gt;"",B1876&lt;&gt;""), A1876&amp;" · "&amp;B1876, "")</f>
        <v/>
      </c>
    </row>
    <row r="1877">
      <c r="A1877" s="6" t="inlineStr">
        <is>
          <t>FY27</t>
        </is>
      </c>
      <c r="B1877" s="6" t="inlineStr">
        <is>
          <t>May</t>
        </is>
      </c>
      <c r="C1877" s="6" t="inlineStr">
        <is>
          <t>Kerala</t>
        </is>
      </c>
      <c r="D1877" s="7" t="inlineStr">
        <is>
          <t>KL17U8299</t>
        </is>
      </c>
      <c r="E1877" s="7" t="inlineStr">
        <is>
          <t>MARUTI SUZUKI</t>
        </is>
      </c>
      <c r="F1877" s="7" t="inlineStr">
        <is>
          <t>Swift</t>
        </is>
      </c>
      <c r="G1877" s="7" t="inlineStr">
        <is>
          <t>GOKULAM TATA</t>
        </is>
      </c>
      <c r="H1877" s="7" t="inlineStr">
        <is>
          <t>Non-Captive</t>
        </is>
      </c>
      <c r="I1877" s="7" t="inlineStr">
        <is>
          <t>Autobot</t>
        </is>
      </c>
      <c r="J1877" s="8" t="n"/>
      <c r="K1877" s="9" t="n">
        <v>106423</v>
      </c>
      <c r="L1877" s="10" t="n">
        <v>500000</v>
      </c>
      <c r="M1877" s="10" t="n">
        <v>8474.58</v>
      </c>
      <c r="N1877" s="11">
        <f>IF(M1877="","",ROUND(M1877*1.18,2))</f>
        <v/>
      </c>
      <c r="O1877" s="12">
        <f>IF(M1877="","",ROUND(N1877-M1877,2))</f>
        <v/>
      </c>
      <c r="P1877" s="13">
        <f>IF(AND(A1877&lt;&gt;"",B1877&lt;&gt;""), A1877&amp;" · "&amp;B1877, "")</f>
        <v/>
      </c>
    </row>
    <row r="1878">
      <c r="A1878" s="6" t="inlineStr">
        <is>
          <t>FY27</t>
        </is>
      </c>
      <c r="B1878" s="6" t="inlineStr">
        <is>
          <t>May</t>
        </is>
      </c>
      <c r="C1878" s="6" t="inlineStr">
        <is>
          <t>Kerala</t>
        </is>
      </c>
      <c r="D1878" s="7" t="inlineStr">
        <is>
          <t>KL18S8035</t>
        </is>
      </c>
      <c r="E1878" s="7" t="inlineStr">
        <is>
          <t>MARUTI SUZUKI</t>
        </is>
      </c>
      <c r="F1878" s="7" t="inlineStr">
        <is>
          <t>Wagon R</t>
        </is>
      </c>
      <c r="G1878" s="7" t="inlineStr">
        <is>
          <t>SANOOP</t>
        </is>
      </c>
      <c r="H1878" s="7" t="inlineStr">
        <is>
          <t>Non-Captive</t>
        </is>
      </c>
      <c r="I1878" s="7" t="inlineStr">
        <is>
          <t>INDUS MARUTI</t>
        </is>
      </c>
      <c r="J1878" s="8" t="n"/>
      <c r="K1878" s="9" t="n">
        <v>124000</v>
      </c>
      <c r="L1878" s="10" t="n">
        <v>265000</v>
      </c>
      <c r="M1878" s="10" t="n">
        <v>4237.29</v>
      </c>
      <c r="N1878" s="11">
        <f>IF(M1878="","",ROUND(M1878*1.18,2))</f>
        <v/>
      </c>
      <c r="O1878" s="12">
        <f>IF(M1878="","",ROUND(N1878-M1878,2))</f>
        <v/>
      </c>
      <c r="P1878" s="13">
        <f>IF(AND(A1878&lt;&gt;"",B1878&lt;&gt;""), A1878&amp;" · "&amp;B1878, "")</f>
        <v/>
      </c>
    </row>
    <row r="1879">
      <c r="A1879" s="6" t="inlineStr">
        <is>
          <t>FY27</t>
        </is>
      </c>
      <c r="B1879" s="6" t="inlineStr">
        <is>
          <t>May</t>
        </is>
      </c>
      <c r="C1879" s="6" t="inlineStr">
        <is>
          <t>Kerala</t>
        </is>
      </c>
      <c r="D1879" s="7" t="inlineStr">
        <is>
          <t>KL20A8069</t>
        </is>
      </c>
      <c r="E1879" s="7" t="inlineStr">
        <is>
          <t>HYUNDAI</t>
        </is>
      </c>
      <c r="F1879" s="7" t="inlineStr">
        <is>
          <t>Santro</t>
        </is>
      </c>
      <c r="G1879" s="7" t="inlineStr">
        <is>
          <t>RAJESH</t>
        </is>
      </c>
      <c r="H1879" s="7" t="inlineStr">
        <is>
          <t>Non-Captive</t>
        </is>
      </c>
      <c r="I1879" s="7" t="inlineStr">
        <is>
          <t>KISHORE</t>
        </is>
      </c>
      <c r="J1879" s="8" t="n"/>
      <c r="K1879" s="9" t="n">
        <v>58100</v>
      </c>
      <c r="L1879" s="10" t="n">
        <v>70000</v>
      </c>
      <c r="M1879" s="10" t="n">
        <v>6779.66</v>
      </c>
      <c r="N1879" s="11">
        <f>IF(M1879="","",ROUND(M1879*1.18,2))</f>
        <v/>
      </c>
      <c r="O1879" s="12">
        <f>IF(M1879="","",ROUND(N1879-M1879,2))</f>
        <v/>
      </c>
      <c r="P1879" s="13">
        <f>IF(AND(A1879&lt;&gt;"",B1879&lt;&gt;""), A1879&amp;" · "&amp;B1879, "")</f>
        <v/>
      </c>
    </row>
    <row r="1880">
      <c r="A1880" s="6" t="inlineStr">
        <is>
          <t>FY27</t>
        </is>
      </c>
      <c r="B1880" s="6" t="inlineStr">
        <is>
          <t>May</t>
        </is>
      </c>
      <c r="C1880" s="6" t="inlineStr">
        <is>
          <t>Kerala</t>
        </is>
      </c>
      <c r="D1880" s="7" t="inlineStr">
        <is>
          <t>KL20H5085</t>
        </is>
      </c>
      <c r="E1880" s="7" t="inlineStr">
        <is>
          <t>TATA</t>
        </is>
      </c>
      <c r="F1880" s="7" t="inlineStr">
        <is>
          <t>Nano</t>
        </is>
      </c>
      <c r="G1880" s="7" t="inlineStr">
        <is>
          <t>ABHILASH</t>
        </is>
      </c>
      <c r="H1880" s="7" t="inlineStr">
        <is>
          <t>Non-Captive</t>
        </is>
      </c>
      <c r="I1880" s="7" t="inlineStr">
        <is>
          <t>SANTHOSH</t>
        </is>
      </c>
      <c r="J1880" s="8" t="n"/>
      <c r="K1880" s="9" t="n">
        <v>45000</v>
      </c>
      <c r="L1880" s="10" t="n">
        <v>40000</v>
      </c>
      <c r="M1880" s="10" t="n">
        <v>5932.2</v>
      </c>
      <c r="N1880" s="11">
        <f>IF(M1880="","",ROUND(M1880*1.18,2))</f>
        <v/>
      </c>
      <c r="O1880" s="12">
        <f>IF(M1880="","",ROUND(N1880-M1880,2))</f>
        <v/>
      </c>
      <c r="P1880" s="13">
        <f>IF(AND(A1880&lt;&gt;"",B1880&lt;&gt;""), A1880&amp;" · "&amp;B1880, "")</f>
        <v/>
      </c>
    </row>
    <row r="1881">
      <c r="A1881" s="6" t="inlineStr">
        <is>
          <t>FY27</t>
        </is>
      </c>
      <c r="B1881" s="6" t="inlineStr">
        <is>
          <t>May</t>
        </is>
      </c>
      <c r="C1881" s="6" t="inlineStr">
        <is>
          <t>Kerala</t>
        </is>
      </c>
      <c r="D1881" s="7" t="inlineStr">
        <is>
          <t>KL20R0137</t>
        </is>
      </c>
      <c r="E1881" s="7" t="inlineStr">
        <is>
          <t>HYUNDAI</t>
        </is>
      </c>
      <c r="F1881" s="7" t="inlineStr">
        <is>
          <t>Grand i10 Nios</t>
        </is>
      </c>
      <c r="G1881" s="7" t="inlineStr">
        <is>
          <t>MARVEL MOTORS</t>
        </is>
      </c>
      <c r="H1881" s="7" t="inlineStr">
        <is>
          <t>Non-Captive</t>
        </is>
      </c>
      <c r="I1881" s="7" t="inlineStr">
        <is>
          <t>LUXON TATA</t>
        </is>
      </c>
      <c r="J1881" s="8" t="n"/>
      <c r="K1881" s="9" t="n">
        <v>45600</v>
      </c>
      <c r="L1881" s="10" t="n">
        <v>427000</v>
      </c>
      <c r="M1881" s="10" t="n">
        <v>6779.66</v>
      </c>
      <c r="N1881" s="11">
        <f>IF(M1881="","",ROUND(M1881*1.18,2))</f>
        <v/>
      </c>
      <c r="O1881" s="12">
        <f>IF(M1881="","",ROUND(N1881-M1881,2))</f>
        <v/>
      </c>
      <c r="P1881" s="13">
        <f>IF(AND(A1881&lt;&gt;"",B1881&lt;&gt;""), A1881&amp;" · "&amp;B1881, "")</f>
        <v/>
      </c>
    </row>
    <row r="1882">
      <c r="A1882" s="6" t="inlineStr">
        <is>
          <t>FY27</t>
        </is>
      </c>
      <c r="B1882" s="6" t="inlineStr">
        <is>
          <t>May</t>
        </is>
      </c>
      <c r="C1882" s="6" t="inlineStr">
        <is>
          <t>Kerala</t>
        </is>
      </c>
      <c r="D1882" s="7" t="inlineStr">
        <is>
          <t>KL20U0111</t>
        </is>
      </c>
      <c r="E1882" s="7" t="inlineStr">
        <is>
          <t>MARUTI SUZUKI</t>
        </is>
      </c>
      <c r="F1882" s="7" t="inlineStr">
        <is>
          <t>Dzire</t>
        </is>
      </c>
      <c r="G1882" s="7" t="inlineStr">
        <is>
          <t>FORTUNE MG</t>
        </is>
      </c>
      <c r="H1882" s="7" t="inlineStr">
        <is>
          <t>Non-Captive</t>
        </is>
      </c>
      <c r="I1882" s="7" t="inlineStr">
        <is>
          <t>Autobot</t>
        </is>
      </c>
      <c r="J1882" s="8" t="n"/>
      <c r="K1882" s="9" t="n">
        <v>15500</v>
      </c>
      <c r="L1882" s="10" t="n">
        <v>820000</v>
      </c>
      <c r="M1882" s="10" t="n">
        <v>8474.58</v>
      </c>
      <c r="N1882" s="11">
        <f>IF(M1882="","",ROUND(M1882*1.18,2))</f>
        <v/>
      </c>
      <c r="O1882" s="12">
        <f>IF(M1882="","",ROUND(N1882-M1882,2))</f>
        <v/>
      </c>
      <c r="P1882" s="13">
        <f>IF(AND(A1882&lt;&gt;"",B1882&lt;&gt;""), A1882&amp;" · "&amp;B1882, "")</f>
        <v/>
      </c>
    </row>
    <row r="1883">
      <c r="A1883" s="6" t="inlineStr">
        <is>
          <t>FY27</t>
        </is>
      </c>
      <c r="B1883" s="6" t="inlineStr">
        <is>
          <t>May</t>
        </is>
      </c>
      <c r="C1883" s="6" t="inlineStr">
        <is>
          <t>Kerala</t>
        </is>
      </c>
      <c r="D1883" s="7" t="inlineStr">
        <is>
          <t>KL21Z1614</t>
        </is>
      </c>
      <c r="E1883" s="7" t="inlineStr">
        <is>
          <t>MARUTI SUZUKI</t>
        </is>
      </c>
      <c r="F1883" s="7" t="inlineStr">
        <is>
          <t>Dzire</t>
        </is>
      </c>
      <c r="G1883" s="7" t="inlineStr">
        <is>
          <t>VIJIL</t>
        </is>
      </c>
      <c r="H1883" s="7" t="inlineStr">
        <is>
          <t>Non-Captive</t>
        </is>
      </c>
      <c r="I1883" s="7" t="inlineStr">
        <is>
          <t>POPULAR MARUTI</t>
        </is>
      </c>
      <c r="J1883" s="8" t="n"/>
      <c r="K1883" s="9" t="n">
        <v>17800</v>
      </c>
      <c r="L1883" s="10" t="n">
        <v>560000</v>
      </c>
      <c r="M1883" s="10" t="n">
        <v>8474.58</v>
      </c>
      <c r="N1883" s="11">
        <f>IF(M1883="","",ROUND(M1883*1.18,2))</f>
        <v/>
      </c>
      <c r="O1883" s="12">
        <f>IF(M1883="","",ROUND(N1883-M1883,2))</f>
        <v/>
      </c>
      <c r="P1883" s="13">
        <f>IF(AND(A1883&lt;&gt;"",B1883&lt;&gt;""), A1883&amp;" · "&amp;B1883, "")</f>
        <v/>
      </c>
    </row>
    <row r="1884">
      <c r="A1884" s="6" t="inlineStr">
        <is>
          <t>FY27</t>
        </is>
      </c>
      <c r="B1884" s="6" t="inlineStr">
        <is>
          <t>May</t>
        </is>
      </c>
      <c r="C1884" s="6" t="inlineStr">
        <is>
          <t>Kerala</t>
        </is>
      </c>
      <c r="D1884" s="7" t="inlineStr">
        <is>
          <t>KL22K2661</t>
        </is>
      </c>
      <c r="E1884" s="7" t="inlineStr">
        <is>
          <t>DATSUN</t>
        </is>
      </c>
      <c r="F1884" s="7" t="inlineStr">
        <is>
          <t>Redi-GO</t>
        </is>
      </c>
      <c r="G1884" s="7" t="inlineStr">
        <is>
          <t>SHIVAKUMAR</t>
        </is>
      </c>
      <c r="H1884" s="7" t="inlineStr">
        <is>
          <t>Non-Captive</t>
        </is>
      </c>
      <c r="I1884" s="7" t="inlineStr">
        <is>
          <t>ABHISHEK</t>
        </is>
      </c>
      <c r="J1884" s="8" t="n"/>
      <c r="K1884" s="9" t="n">
        <v>31500</v>
      </c>
      <c r="L1884" s="10" t="n">
        <v>80000</v>
      </c>
      <c r="M1884" s="10" t="n">
        <v>6779.66</v>
      </c>
      <c r="N1884" s="11">
        <f>IF(M1884="","",ROUND(M1884*1.18,2))</f>
        <v/>
      </c>
      <c r="O1884" s="12">
        <f>IF(M1884="","",ROUND(N1884-M1884,2))</f>
        <v/>
      </c>
      <c r="P1884" s="13">
        <f>IF(AND(A1884&lt;&gt;"",B1884&lt;&gt;""), A1884&amp;" · "&amp;B1884, "")</f>
        <v/>
      </c>
    </row>
    <row r="1885">
      <c r="A1885" s="6" t="inlineStr">
        <is>
          <t>FY27</t>
        </is>
      </c>
      <c r="B1885" s="6" t="inlineStr">
        <is>
          <t>May</t>
        </is>
      </c>
      <c r="C1885" s="6" t="inlineStr">
        <is>
          <t>Kerala</t>
        </is>
      </c>
      <c r="D1885" s="7" t="inlineStr">
        <is>
          <t>KL24F6737</t>
        </is>
      </c>
      <c r="E1885" s="7" t="inlineStr">
        <is>
          <t>HYUNDAI</t>
        </is>
      </c>
      <c r="F1885" s="7" t="inlineStr">
        <is>
          <t>Eon</t>
        </is>
      </c>
      <c r="G1885" s="7" t="inlineStr">
        <is>
          <t>RENSON</t>
        </is>
      </c>
      <c r="H1885" s="7" t="inlineStr">
        <is>
          <t>Non-Captive</t>
        </is>
      </c>
      <c r="I1885" s="7" t="inlineStr">
        <is>
          <t>LUXON TATA</t>
        </is>
      </c>
      <c r="J1885" s="8" t="n"/>
      <c r="K1885" s="9" t="n">
        <v>91443</v>
      </c>
      <c r="L1885" s="10" t="n">
        <v>80000</v>
      </c>
      <c r="M1885" s="10" t="n">
        <v>4237.29</v>
      </c>
      <c r="N1885" s="11">
        <f>IF(M1885="","",ROUND(M1885*1.18,2))</f>
        <v/>
      </c>
      <c r="O1885" s="12">
        <f>IF(M1885="","",ROUND(N1885-M1885,2))</f>
        <v/>
      </c>
      <c r="P1885" s="13">
        <f>IF(AND(A1885&lt;&gt;"",B1885&lt;&gt;""), A1885&amp;" · "&amp;B1885, "")</f>
        <v/>
      </c>
    </row>
    <row r="1886">
      <c r="A1886" s="6" t="inlineStr">
        <is>
          <t>FY27</t>
        </is>
      </c>
      <c r="B1886" s="6" t="inlineStr">
        <is>
          <t>May</t>
        </is>
      </c>
      <c r="C1886" s="6" t="inlineStr">
        <is>
          <t>Kerala</t>
        </is>
      </c>
      <c r="D1886" s="7" t="inlineStr">
        <is>
          <t>KL24N4000</t>
        </is>
      </c>
      <c r="E1886" s="7" t="inlineStr">
        <is>
          <t>HYUNDAI</t>
        </is>
      </c>
      <c r="F1886" s="7" t="inlineStr">
        <is>
          <t>Creta</t>
        </is>
      </c>
      <c r="G1886" s="7" t="inlineStr">
        <is>
          <t>INDUS MARUTI</t>
        </is>
      </c>
      <c r="H1886" s="7" t="inlineStr">
        <is>
          <t>Non-Captive</t>
        </is>
      </c>
      <c r="I1886" s="7" t="inlineStr">
        <is>
          <t>AKHILNATH</t>
        </is>
      </c>
      <c r="J1886" s="8" t="n"/>
      <c r="K1886" s="9" t="n">
        <v>71000</v>
      </c>
      <c r="L1886" s="10" t="n">
        <v>690000</v>
      </c>
      <c r="M1886" s="10" t="n">
        <v>8474.58</v>
      </c>
      <c r="N1886" s="11">
        <f>IF(M1886="","",ROUND(M1886*1.18,2))</f>
        <v/>
      </c>
      <c r="O1886" s="12">
        <f>IF(M1886="","",ROUND(N1886-M1886,2))</f>
        <v/>
      </c>
      <c r="P1886" s="13">
        <f>IF(AND(A1886&lt;&gt;"",B1886&lt;&gt;""), A1886&amp;" · "&amp;B1886, "")</f>
        <v/>
      </c>
    </row>
    <row r="1887">
      <c r="A1887" s="6" t="inlineStr">
        <is>
          <t>FY27</t>
        </is>
      </c>
      <c r="B1887" s="6" t="inlineStr">
        <is>
          <t>May</t>
        </is>
      </c>
      <c r="C1887" s="6" t="inlineStr">
        <is>
          <t>Kerala</t>
        </is>
      </c>
      <c r="D1887" s="7" t="inlineStr">
        <is>
          <t>KL24R6008</t>
        </is>
      </c>
      <c r="E1887" s="7" t="inlineStr">
        <is>
          <t>HONDA</t>
        </is>
      </c>
      <c r="F1887" s="7" t="inlineStr">
        <is>
          <t>Amaze</t>
        </is>
      </c>
      <c r="G1887" s="7" t="inlineStr">
        <is>
          <t>INCHEON KIA</t>
        </is>
      </c>
      <c r="H1887" s="7" t="inlineStr">
        <is>
          <t>Non-Captive</t>
        </is>
      </c>
      <c r="I1887" s="7" t="inlineStr">
        <is>
          <t>RAMSHAD</t>
        </is>
      </c>
      <c r="J1887" s="8" t="n"/>
      <c r="K1887" s="9" t="n">
        <v>81000</v>
      </c>
      <c r="L1887" s="10" t="n">
        <v>410000</v>
      </c>
      <c r="M1887" s="10" t="n">
        <v>6779.66</v>
      </c>
      <c r="N1887" s="11">
        <f>IF(M1887="","",ROUND(M1887*1.18,2))</f>
        <v/>
      </c>
      <c r="O1887" s="12">
        <f>IF(M1887="","",ROUND(N1887-M1887,2))</f>
        <v/>
      </c>
      <c r="P1887" s="13">
        <f>IF(AND(A1887&lt;&gt;"",B1887&lt;&gt;""), A1887&amp;" · "&amp;B1887, "")</f>
        <v/>
      </c>
    </row>
    <row r="1888">
      <c r="A1888" s="6" t="inlineStr">
        <is>
          <t>FY27</t>
        </is>
      </c>
      <c r="B1888" s="6" t="inlineStr">
        <is>
          <t>May</t>
        </is>
      </c>
      <c r="C1888" s="6" t="inlineStr">
        <is>
          <t>Kerala</t>
        </is>
      </c>
      <c r="D1888" s="7" t="inlineStr">
        <is>
          <t>KL25B1902</t>
        </is>
      </c>
      <c r="E1888" s="7" t="inlineStr">
        <is>
          <t>MARUTI SUZUKI</t>
        </is>
      </c>
      <c r="F1888" s="7" t="inlineStr">
        <is>
          <t>Zen Estilo</t>
        </is>
      </c>
      <c r="G1888" s="7" t="inlineStr">
        <is>
          <t>JOHNSON</t>
        </is>
      </c>
      <c r="H1888" s="7" t="inlineStr">
        <is>
          <t>Non-Captive</t>
        </is>
      </c>
      <c r="I1888" s="7" t="inlineStr">
        <is>
          <t>INCHEON KIA</t>
        </is>
      </c>
      <c r="J1888" s="8" t="n"/>
      <c r="K1888" s="9" t="n">
        <v>65461</v>
      </c>
      <c r="L1888" s="10" t="n">
        <v>45000</v>
      </c>
      <c r="M1888" s="10" t="n">
        <v>5932.2</v>
      </c>
      <c r="N1888" s="11">
        <f>IF(M1888="","",ROUND(M1888*1.18,2))</f>
        <v/>
      </c>
      <c r="O1888" s="12">
        <f>IF(M1888="","",ROUND(N1888-M1888,2))</f>
        <v/>
      </c>
      <c r="P1888" s="13">
        <f>IF(AND(A1888&lt;&gt;"",B1888&lt;&gt;""), A1888&amp;" · "&amp;B1888, "")</f>
        <v/>
      </c>
    </row>
    <row r="1889">
      <c r="A1889" s="6" t="inlineStr">
        <is>
          <t>FY27</t>
        </is>
      </c>
      <c r="B1889" s="6" t="inlineStr">
        <is>
          <t>May</t>
        </is>
      </c>
      <c r="C1889" s="6" t="inlineStr">
        <is>
          <t>Kerala</t>
        </is>
      </c>
      <c r="D1889" s="7" t="inlineStr">
        <is>
          <t>KL25C2176</t>
        </is>
      </c>
      <c r="E1889" s="7" t="inlineStr">
        <is>
          <t>MARUTI SUZUKI</t>
        </is>
      </c>
      <c r="F1889" s="7" t="inlineStr">
        <is>
          <t>Alto</t>
        </is>
      </c>
      <c r="G1889" s="7" t="inlineStr">
        <is>
          <t>PRAJOD</t>
        </is>
      </c>
      <c r="H1889" s="7" t="inlineStr">
        <is>
          <t>Non-Captive</t>
        </is>
      </c>
      <c r="I1889" s="7" t="inlineStr">
        <is>
          <t>SHIVAKUMAR</t>
        </is>
      </c>
      <c r="J1889" s="8" t="n"/>
      <c r="K1889" s="9" t="n">
        <v>110000</v>
      </c>
      <c r="L1889" s="10" t="n">
        <v>60000</v>
      </c>
      <c r="M1889" s="10" t="n">
        <v>5084.75</v>
      </c>
      <c r="N1889" s="11">
        <f>IF(M1889="","",ROUND(M1889*1.18,2))</f>
        <v/>
      </c>
      <c r="O1889" s="12">
        <f>IF(M1889="","",ROUND(N1889-M1889,2))</f>
        <v/>
      </c>
      <c r="P1889" s="13">
        <f>IF(AND(A1889&lt;&gt;"",B1889&lt;&gt;""), A1889&amp;" · "&amp;B1889, "")</f>
        <v/>
      </c>
    </row>
    <row r="1890">
      <c r="A1890" s="6" t="inlineStr">
        <is>
          <t>FY27</t>
        </is>
      </c>
      <c r="B1890" s="6" t="inlineStr">
        <is>
          <t>May</t>
        </is>
      </c>
      <c r="C1890" s="6" t="inlineStr">
        <is>
          <t>Kerala</t>
        </is>
      </c>
      <c r="D1890" s="7" t="inlineStr">
        <is>
          <t>KL26M1979</t>
        </is>
      </c>
      <c r="E1890" s="7" t="inlineStr">
        <is>
          <t>TATA</t>
        </is>
      </c>
      <c r="F1890" s="7" t="inlineStr">
        <is>
          <t>Nexon</t>
        </is>
      </c>
      <c r="G1890" s="7" t="inlineStr">
        <is>
          <t>AUTOMOTIVE</t>
        </is>
      </c>
      <c r="H1890" s="7" t="inlineStr">
        <is>
          <t>Non-Captive</t>
        </is>
      </c>
      <c r="I1890" s="7" t="inlineStr">
        <is>
          <t>Autobot</t>
        </is>
      </c>
      <c r="J1890" s="8" t="n"/>
      <c r="K1890" s="9" t="n">
        <v>75144</v>
      </c>
      <c r="L1890" s="10" t="n">
        <v>560000</v>
      </c>
      <c r="M1890" s="10" t="n">
        <v>8474.58</v>
      </c>
      <c r="N1890" s="11">
        <f>IF(M1890="","",ROUND(M1890*1.18,2))</f>
        <v/>
      </c>
      <c r="O1890" s="12">
        <f>IF(M1890="","",ROUND(N1890-M1890,2))</f>
        <v/>
      </c>
      <c r="P1890" s="13">
        <f>IF(AND(A1890&lt;&gt;"",B1890&lt;&gt;""), A1890&amp;" · "&amp;B1890, "")</f>
        <v/>
      </c>
    </row>
    <row r="1891">
      <c r="A1891" s="6" t="inlineStr">
        <is>
          <t>FY27</t>
        </is>
      </c>
      <c r="B1891" s="6" t="inlineStr">
        <is>
          <t>May</t>
        </is>
      </c>
      <c r="C1891" s="6" t="inlineStr">
        <is>
          <t>Kerala</t>
        </is>
      </c>
      <c r="D1891" s="7" t="inlineStr">
        <is>
          <t>KL27D3926</t>
        </is>
      </c>
      <c r="E1891" s="7" t="inlineStr">
        <is>
          <t>MARUTI SUZUKI</t>
        </is>
      </c>
      <c r="F1891" s="7" t="inlineStr">
        <is>
          <t>Wagon R</t>
        </is>
      </c>
      <c r="G1891" s="7" t="inlineStr">
        <is>
          <t>AMRITH V CHANDY</t>
        </is>
      </c>
      <c r="H1891" s="7" t="inlineStr">
        <is>
          <t>Non-Captive</t>
        </is>
      </c>
      <c r="I1891" s="7" t="inlineStr">
        <is>
          <t>DREAM DRIVE</t>
        </is>
      </c>
      <c r="J1891" s="8" t="n"/>
      <c r="K1891" s="9" t="n">
        <v>78688</v>
      </c>
      <c r="L1891" s="10" t="n">
        <v>160000</v>
      </c>
      <c r="M1891" s="10" t="n">
        <v>9322.030000000001</v>
      </c>
      <c r="N1891" s="11">
        <f>IF(M1891="","",ROUND(M1891*1.18,2))</f>
        <v/>
      </c>
      <c r="O1891" s="12">
        <f>IF(M1891="","",ROUND(N1891-M1891,2))</f>
        <v/>
      </c>
      <c r="P1891" s="13">
        <f>IF(AND(A1891&lt;&gt;"",B1891&lt;&gt;""), A1891&amp;" · "&amp;B1891, "")</f>
        <v/>
      </c>
    </row>
    <row r="1892">
      <c r="A1892" s="6" t="inlineStr">
        <is>
          <t>FY27</t>
        </is>
      </c>
      <c r="B1892" s="6" t="inlineStr">
        <is>
          <t>May</t>
        </is>
      </c>
      <c r="C1892" s="6" t="inlineStr">
        <is>
          <t>Kerala</t>
        </is>
      </c>
      <c r="D1892" s="7" t="inlineStr">
        <is>
          <t>KL27J5862</t>
        </is>
      </c>
      <c r="E1892" s="7" t="inlineStr">
        <is>
          <t>RENAULT</t>
        </is>
      </c>
      <c r="F1892" s="7" t="inlineStr">
        <is>
          <t>Kwid</t>
        </is>
      </c>
      <c r="G1892" s="7" t="inlineStr">
        <is>
          <t>INDUS MARUTI</t>
        </is>
      </c>
      <c r="H1892" s="7" t="inlineStr">
        <is>
          <t>Non-Captive</t>
        </is>
      </c>
      <c r="I1892" s="7" t="inlineStr">
        <is>
          <t>MUHAMMED MUKTHAR</t>
        </is>
      </c>
      <c r="J1892" s="8" t="n"/>
      <c r="K1892" s="9" t="n">
        <v>103127</v>
      </c>
      <c r="L1892" s="10" t="n">
        <v>170000</v>
      </c>
      <c r="M1892" s="10" t="n">
        <v>9322.030000000001</v>
      </c>
      <c r="N1892" s="11">
        <f>IF(M1892="","",ROUND(M1892*1.18,2))</f>
        <v/>
      </c>
      <c r="O1892" s="12">
        <f>IF(M1892="","",ROUND(N1892-M1892,2))</f>
        <v/>
      </c>
      <c r="P1892" s="13">
        <f>IF(AND(A1892&lt;&gt;"",B1892&lt;&gt;""), A1892&amp;" · "&amp;B1892, "")</f>
        <v/>
      </c>
    </row>
    <row r="1893">
      <c r="A1893" s="6" t="inlineStr">
        <is>
          <t>FY27</t>
        </is>
      </c>
      <c r="B1893" s="6" t="inlineStr">
        <is>
          <t>May</t>
        </is>
      </c>
      <c r="C1893" s="6" t="inlineStr">
        <is>
          <t>Kerala</t>
        </is>
      </c>
      <c r="D1893" s="7" t="inlineStr">
        <is>
          <t>KL28B5032</t>
        </is>
      </c>
      <c r="E1893" s="7" t="inlineStr">
        <is>
          <t>HYUNDAI</t>
        </is>
      </c>
      <c r="F1893" s="7" t="inlineStr">
        <is>
          <t>Grand i10</t>
        </is>
      </c>
      <c r="G1893" s="7" t="inlineStr">
        <is>
          <t>AMRITH V CHANDY</t>
        </is>
      </c>
      <c r="H1893" s="7" t="inlineStr">
        <is>
          <t>Non-Captive</t>
        </is>
      </c>
      <c r="I1893" s="7" t="inlineStr">
        <is>
          <t>DREAM DRIVE</t>
        </is>
      </c>
      <c r="J1893" s="8" t="n"/>
      <c r="K1893" s="9" t="n">
        <v>96757</v>
      </c>
      <c r="L1893" s="10" t="n">
        <v>260000</v>
      </c>
      <c r="M1893" s="10" t="n">
        <v>8474.58</v>
      </c>
      <c r="N1893" s="11">
        <f>IF(M1893="","",ROUND(M1893*1.18,2))</f>
        <v/>
      </c>
      <c r="O1893" s="12">
        <f>IF(M1893="","",ROUND(N1893-M1893,2))</f>
        <v/>
      </c>
      <c r="P1893" s="13">
        <f>IF(AND(A1893&lt;&gt;"",B1893&lt;&gt;""), A1893&amp;" · "&amp;B1893, "")</f>
        <v/>
      </c>
    </row>
    <row r="1894">
      <c r="A1894" s="6" t="inlineStr">
        <is>
          <t>FY27</t>
        </is>
      </c>
      <c r="B1894" s="6" t="inlineStr">
        <is>
          <t>May</t>
        </is>
      </c>
      <c r="C1894" s="6" t="inlineStr">
        <is>
          <t>Kerala</t>
        </is>
      </c>
      <c r="D1894" s="7" t="inlineStr">
        <is>
          <t>KL32E8002</t>
        </is>
      </c>
      <c r="E1894" s="7" t="inlineStr">
        <is>
          <t>HYUNDAI</t>
        </is>
      </c>
      <c r="F1894" s="7" t="inlineStr">
        <is>
          <t>Verna</t>
        </is>
      </c>
      <c r="G1894" s="7" t="inlineStr">
        <is>
          <t>CLIND</t>
        </is>
      </c>
      <c r="H1894" s="7" t="inlineStr">
        <is>
          <t>Non-Captive</t>
        </is>
      </c>
      <c r="I1894" s="7" t="inlineStr">
        <is>
          <t>INCHEON KIA</t>
        </is>
      </c>
      <c r="J1894" s="8" t="n"/>
      <c r="K1894" s="9" t="n">
        <v>127000</v>
      </c>
      <c r="L1894" s="10" t="n">
        <v>203000</v>
      </c>
      <c r="M1894" s="10" t="n">
        <v>5932.2</v>
      </c>
      <c r="N1894" s="11">
        <f>IF(M1894="","",ROUND(M1894*1.18,2))</f>
        <v/>
      </c>
      <c r="O1894" s="12">
        <f>IF(M1894="","",ROUND(N1894-M1894,2))</f>
        <v/>
      </c>
      <c r="P1894" s="13">
        <f>IF(AND(A1894&lt;&gt;"",B1894&lt;&gt;""), A1894&amp;" · "&amp;B1894, "")</f>
        <v/>
      </c>
    </row>
    <row r="1895">
      <c r="A1895" s="6" t="inlineStr">
        <is>
          <t>FY27</t>
        </is>
      </c>
      <c r="B1895" s="6" t="inlineStr">
        <is>
          <t>May</t>
        </is>
      </c>
      <c r="C1895" s="6" t="inlineStr">
        <is>
          <t>Kerala</t>
        </is>
      </c>
      <c r="D1895" s="7" t="inlineStr">
        <is>
          <t>KL32K4060</t>
        </is>
      </c>
      <c r="E1895" s="7" t="inlineStr">
        <is>
          <t>RENAULT</t>
        </is>
      </c>
      <c r="F1895" s="7" t="inlineStr">
        <is>
          <t>Duster</t>
        </is>
      </c>
      <c r="G1895" s="7" t="inlineStr">
        <is>
          <t>KESHVIN HYUNDAI</t>
        </is>
      </c>
      <c r="H1895" s="7" t="inlineStr">
        <is>
          <t>Non-Captive</t>
        </is>
      </c>
      <c r="I1895" s="7" t="inlineStr">
        <is>
          <t>ABDUL SALAM K K</t>
        </is>
      </c>
      <c r="J1895" s="8" t="n"/>
      <c r="K1895" s="9" t="n">
        <v>134000</v>
      </c>
      <c r="L1895" s="10" t="n">
        <v>360000</v>
      </c>
      <c r="M1895" s="10" t="n">
        <v>11016.95</v>
      </c>
      <c r="N1895" s="11">
        <f>IF(M1895="","",ROUND(M1895*1.18,2))</f>
        <v/>
      </c>
      <c r="O1895" s="12">
        <f>IF(M1895="","",ROUND(N1895-M1895,2))</f>
        <v/>
      </c>
      <c r="P1895" s="13">
        <f>IF(AND(A1895&lt;&gt;"",B1895&lt;&gt;""), A1895&amp;" · "&amp;B1895, "")</f>
        <v/>
      </c>
    </row>
    <row r="1896">
      <c r="A1896" s="6" t="inlineStr">
        <is>
          <t>FY27</t>
        </is>
      </c>
      <c r="B1896" s="6" t="inlineStr">
        <is>
          <t>May</t>
        </is>
      </c>
      <c r="C1896" s="6" t="inlineStr">
        <is>
          <t>Kerala</t>
        </is>
      </c>
      <c r="D1896" s="7" t="inlineStr">
        <is>
          <t>KL32P5849</t>
        </is>
      </c>
      <c r="E1896" s="7" t="inlineStr">
        <is>
          <t>RENAULT</t>
        </is>
      </c>
      <c r="F1896" s="7" t="inlineStr">
        <is>
          <t>Duster</t>
        </is>
      </c>
      <c r="G1896" s="7" t="inlineStr">
        <is>
          <t>KESHVIN HYUNDAI</t>
        </is>
      </c>
      <c r="H1896" s="7" t="inlineStr">
        <is>
          <t>Non-Captive</t>
        </is>
      </c>
      <c r="I1896" s="7" t="inlineStr">
        <is>
          <t>ABDUL SALAM K K</t>
        </is>
      </c>
      <c r="J1896" s="8" t="n"/>
      <c r="K1896" s="9" t="n">
        <v>47088</v>
      </c>
      <c r="L1896" s="10" t="n">
        <v>540000</v>
      </c>
      <c r="M1896" s="10" t="n">
        <v>11016.95</v>
      </c>
      <c r="N1896" s="11">
        <f>IF(M1896="","",ROUND(M1896*1.18,2))</f>
        <v/>
      </c>
      <c r="O1896" s="12">
        <f>IF(M1896="","",ROUND(N1896-M1896,2))</f>
        <v/>
      </c>
      <c r="P1896" s="13">
        <f>IF(AND(A1896&lt;&gt;"",B1896&lt;&gt;""), A1896&amp;" · "&amp;B1896, "")</f>
        <v/>
      </c>
    </row>
    <row r="1897">
      <c r="A1897" s="6" t="inlineStr">
        <is>
          <t>FY27</t>
        </is>
      </c>
      <c r="B1897" s="6" t="inlineStr">
        <is>
          <t>May</t>
        </is>
      </c>
      <c r="C1897" s="6" t="inlineStr">
        <is>
          <t>Kerala</t>
        </is>
      </c>
      <c r="D1897" s="7" t="inlineStr">
        <is>
          <t>KL33C3406</t>
        </is>
      </c>
      <c r="E1897" s="7" t="inlineStr">
        <is>
          <t>MARUTI SUZUKI</t>
        </is>
      </c>
      <c r="F1897" s="7" t="inlineStr">
        <is>
          <t>Alto</t>
        </is>
      </c>
      <c r="G1897" s="7" t="inlineStr">
        <is>
          <t>MUHAMMED SHAJI</t>
        </is>
      </c>
      <c r="H1897" s="7" t="inlineStr">
        <is>
          <t>Non-Captive</t>
        </is>
      </c>
      <c r="I1897" s="7" t="inlineStr">
        <is>
          <t>DREAM DRIVE</t>
        </is>
      </c>
      <c r="J1897" s="8" t="n"/>
      <c r="K1897" s="9" t="n">
        <v>135676</v>
      </c>
      <c r="L1897" s="10" t="n">
        <v>104000</v>
      </c>
      <c r="M1897" s="10" t="n">
        <v>8474.58</v>
      </c>
      <c r="N1897" s="11">
        <f>IF(M1897="","",ROUND(M1897*1.18,2))</f>
        <v/>
      </c>
      <c r="O1897" s="12">
        <f>IF(M1897="","",ROUND(N1897-M1897,2))</f>
        <v/>
      </c>
      <c r="P1897" s="13">
        <f>IF(AND(A1897&lt;&gt;"",B1897&lt;&gt;""), A1897&amp;" · "&amp;B1897, "")</f>
        <v/>
      </c>
    </row>
    <row r="1898">
      <c r="A1898" s="6" t="inlineStr">
        <is>
          <t>FY27</t>
        </is>
      </c>
      <c r="B1898" s="6" t="inlineStr">
        <is>
          <t>May</t>
        </is>
      </c>
      <c r="C1898" s="6" t="inlineStr">
        <is>
          <t>Kerala</t>
        </is>
      </c>
      <c r="D1898" s="7" t="inlineStr">
        <is>
          <t>KL33H9951</t>
        </is>
      </c>
      <c r="E1898" s="7" t="inlineStr">
        <is>
          <t>HYUNDAI</t>
        </is>
      </c>
      <c r="F1898" s="7" t="inlineStr">
        <is>
          <t>Grand i10</t>
        </is>
      </c>
      <c r="G1898" s="7" t="inlineStr">
        <is>
          <t>ATHUL RAJ</t>
        </is>
      </c>
      <c r="H1898" s="7" t="inlineStr">
        <is>
          <t>Non-Captive</t>
        </is>
      </c>
      <c r="I1898" s="7" t="inlineStr">
        <is>
          <t>INDUS MARUTI</t>
        </is>
      </c>
      <c r="J1898" s="8" t="n"/>
      <c r="K1898" s="9" t="n">
        <v>54000</v>
      </c>
      <c r="L1898" s="10" t="n">
        <v>300000</v>
      </c>
      <c r="M1898" s="10" t="n">
        <v>4237.29</v>
      </c>
      <c r="N1898" s="11">
        <f>IF(M1898="","",ROUND(M1898*1.18,2))</f>
        <v/>
      </c>
      <c r="O1898" s="12">
        <f>IF(M1898="","",ROUND(N1898-M1898,2))</f>
        <v/>
      </c>
      <c r="P1898" s="13">
        <f>IF(AND(A1898&lt;&gt;"",B1898&lt;&gt;""), A1898&amp;" · "&amp;B1898, "")</f>
        <v/>
      </c>
    </row>
    <row r="1899">
      <c r="A1899" s="6" t="inlineStr">
        <is>
          <t>FY27</t>
        </is>
      </c>
      <c r="B1899" s="6" t="inlineStr">
        <is>
          <t>May</t>
        </is>
      </c>
      <c r="C1899" s="6" t="inlineStr">
        <is>
          <t>Kerala</t>
        </is>
      </c>
      <c r="D1899" s="7" t="inlineStr">
        <is>
          <t>KL33P3886</t>
        </is>
      </c>
      <c r="E1899" s="7" t="inlineStr">
        <is>
          <t>TATA</t>
        </is>
      </c>
      <c r="F1899" s="7" t="inlineStr">
        <is>
          <t>Tiago</t>
        </is>
      </c>
      <c r="G1899" s="7" t="inlineStr">
        <is>
          <t>GOKULAM TATA</t>
        </is>
      </c>
      <c r="H1899" s="7" t="inlineStr">
        <is>
          <t>Non-Captive</t>
        </is>
      </c>
      <c r="I1899" s="7" t="inlineStr">
        <is>
          <t>HORIZON CARS</t>
        </is>
      </c>
      <c r="J1899" s="8" t="n"/>
      <c r="K1899" s="9" t="n">
        <v>24000</v>
      </c>
      <c r="L1899" s="10" t="n">
        <v>417000</v>
      </c>
      <c r="M1899" s="10" t="n">
        <v>6779.66</v>
      </c>
      <c r="N1899" s="11">
        <f>IF(M1899="","",ROUND(M1899*1.18,2))</f>
        <v/>
      </c>
      <c r="O1899" s="12">
        <f>IF(M1899="","",ROUND(N1899-M1899,2))</f>
        <v/>
      </c>
      <c r="P1899" s="13">
        <f>IF(AND(A1899&lt;&gt;"",B1899&lt;&gt;""), A1899&amp;" · "&amp;B1899, "")</f>
        <v/>
      </c>
    </row>
    <row r="1900">
      <c r="A1900" s="6" t="inlineStr">
        <is>
          <t>FY27</t>
        </is>
      </c>
      <c r="B1900" s="6" t="inlineStr">
        <is>
          <t>May</t>
        </is>
      </c>
      <c r="C1900" s="6" t="inlineStr">
        <is>
          <t>Kerala</t>
        </is>
      </c>
      <c r="D1900" s="7" t="inlineStr">
        <is>
          <t>KL34D8180</t>
        </is>
      </c>
      <c r="E1900" s="7" t="inlineStr">
        <is>
          <t>RENAULT</t>
        </is>
      </c>
      <c r="F1900" s="7" t="inlineStr">
        <is>
          <t>Kwid</t>
        </is>
      </c>
      <c r="G1900" s="7" t="inlineStr">
        <is>
          <t>MAIJO MARUTI</t>
        </is>
      </c>
      <c r="H1900" s="7" t="inlineStr">
        <is>
          <t>Non-Captive</t>
        </is>
      </c>
      <c r="I1900" s="7" t="inlineStr">
        <is>
          <t>ABDUL SALAM K K</t>
        </is>
      </c>
      <c r="J1900" s="8" t="n"/>
      <c r="K1900" s="9" t="n">
        <v>74000</v>
      </c>
      <c r="L1900" s="10" t="n">
        <v>130000</v>
      </c>
      <c r="M1900" s="10" t="n">
        <v>8474.58</v>
      </c>
      <c r="N1900" s="11">
        <f>IF(M1900="","",ROUND(M1900*1.18,2))</f>
        <v/>
      </c>
      <c r="O1900" s="12">
        <f>IF(M1900="","",ROUND(N1900-M1900,2))</f>
        <v/>
      </c>
      <c r="P1900" s="13">
        <f>IF(AND(A1900&lt;&gt;"",B1900&lt;&gt;""), A1900&amp;" · "&amp;B1900, "")</f>
        <v/>
      </c>
    </row>
    <row r="1901">
      <c r="A1901" s="6" t="inlineStr">
        <is>
          <t>FY27</t>
        </is>
      </c>
      <c r="B1901" s="6" t="inlineStr">
        <is>
          <t>May</t>
        </is>
      </c>
      <c r="C1901" s="6" t="inlineStr">
        <is>
          <t>Kerala</t>
        </is>
      </c>
      <c r="D1901" s="7" t="inlineStr">
        <is>
          <t>KL36B6149</t>
        </is>
      </c>
      <c r="E1901" s="7" t="inlineStr">
        <is>
          <t>HYUNDAI</t>
        </is>
      </c>
      <c r="F1901" s="7" t="inlineStr">
        <is>
          <t>i20</t>
        </is>
      </c>
      <c r="G1901" s="7" t="inlineStr">
        <is>
          <t>POPULAR MARUTI</t>
        </is>
      </c>
      <c r="H1901" s="7" t="inlineStr">
        <is>
          <t>Non-Captive</t>
        </is>
      </c>
      <c r="I1901" s="7" t="inlineStr">
        <is>
          <t>JOSHY K U</t>
        </is>
      </c>
      <c r="J1901" s="8" t="n"/>
      <c r="K1901" s="9" t="n">
        <v>108246</v>
      </c>
      <c r="L1901" s="10" t="n">
        <v>75000</v>
      </c>
      <c r="M1901" s="10" t="n">
        <v>6779.66</v>
      </c>
      <c r="N1901" s="11">
        <f>IF(M1901="","",ROUND(M1901*1.18,2))</f>
        <v/>
      </c>
      <c r="O1901" s="12">
        <f>IF(M1901="","",ROUND(N1901-M1901,2))</f>
        <v/>
      </c>
      <c r="P1901" s="13">
        <f>IF(AND(A1901&lt;&gt;"",B1901&lt;&gt;""), A1901&amp;" · "&amp;B1901, "")</f>
        <v/>
      </c>
    </row>
    <row r="1902">
      <c r="A1902" s="6" t="inlineStr">
        <is>
          <t>FY27</t>
        </is>
      </c>
      <c r="B1902" s="6" t="inlineStr">
        <is>
          <t>May</t>
        </is>
      </c>
      <c r="C1902" s="6" t="inlineStr">
        <is>
          <t>Kerala</t>
        </is>
      </c>
      <c r="D1902" s="7" t="inlineStr">
        <is>
          <t>KL36B9175</t>
        </is>
      </c>
      <c r="E1902" s="7" t="inlineStr">
        <is>
          <t>MARUTI SUZUKI</t>
        </is>
      </c>
      <c r="F1902" s="7" t="inlineStr">
        <is>
          <t>Wagon R</t>
        </is>
      </c>
      <c r="G1902" s="7" t="inlineStr">
        <is>
          <t>POPULAR MARUTI</t>
        </is>
      </c>
      <c r="H1902" s="7" t="inlineStr">
        <is>
          <t>Non-Captive</t>
        </is>
      </c>
      <c r="I1902" s="7" t="inlineStr">
        <is>
          <t>SHARIK SHERIF</t>
        </is>
      </c>
      <c r="J1902" s="8" t="n"/>
      <c r="K1902" s="9" t="n">
        <v>44789</v>
      </c>
      <c r="L1902" s="10" t="n">
        <v>135000</v>
      </c>
      <c r="M1902" s="10" t="n">
        <v>10169.49</v>
      </c>
      <c r="N1902" s="11">
        <f>IF(M1902="","",ROUND(M1902*1.18,2))</f>
        <v/>
      </c>
      <c r="O1902" s="12">
        <f>IF(M1902="","",ROUND(N1902-M1902,2))</f>
        <v/>
      </c>
      <c r="P1902" s="13">
        <f>IF(AND(A1902&lt;&gt;"",B1902&lt;&gt;""), A1902&amp;" · "&amp;B1902, "")</f>
        <v/>
      </c>
    </row>
    <row r="1903">
      <c r="A1903" s="6" t="inlineStr">
        <is>
          <t>FY27</t>
        </is>
      </c>
      <c r="B1903" s="6" t="inlineStr">
        <is>
          <t>May</t>
        </is>
      </c>
      <c r="C1903" s="6" t="inlineStr">
        <is>
          <t>Kerala</t>
        </is>
      </c>
      <c r="D1903" s="7" t="inlineStr">
        <is>
          <t>KL36D5820</t>
        </is>
      </c>
      <c r="E1903" s="7" t="inlineStr">
        <is>
          <t>MARUTI SUZUKI</t>
        </is>
      </c>
      <c r="F1903" s="7" t="inlineStr">
        <is>
          <t>Alto</t>
        </is>
      </c>
      <c r="G1903" s="7" t="inlineStr">
        <is>
          <t>MAIJO MARUTI</t>
        </is>
      </c>
      <c r="H1903" s="7" t="inlineStr">
        <is>
          <t>Non-Captive</t>
        </is>
      </c>
      <c r="I1903" s="7" t="inlineStr">
        <is>
          <t>HUSSAIN O E</t>
        </is>
      </c>
      <c r="J1903" s="8" t="n"/>
      <c r="K1903" s="9" t="n">
        <v>41900</v>
      </c>
      <c r="L1903" s="10" t="n">
        <v>105000</v>
      </c>
      <c r="M1903" s="10" t="n">
        <v>8474.58</v>
      </c>
      <c r="N1903" s="11">
        <f>IF(M1903="","",ROUND(M1903*1.18,2))</f>
        <v/>
      </c>
      <c r="O1903" s="12">
        <f>IF(M1903="","",ROUND(N1903-M1903,2))</f>
        <v/>
      </c>
      <c r="P1903" s="13">
        <f>IF(AND(A1903&lt;&gt;"",B1903&lt;&gt;""), A1903&amp;" · "&amp;B1903, "")</f>
        <v/>
      </c>
    </row>
    <row r="1904">
      <c r="A1904" s="6" t="inlineStr">
        <is>
          <t>FY27</t>
        </is>
      </c>
      <c r="B1904" s="6" t="inlineStr">
        <is>
          <t>May</t>
        </is>
      </c>
      <c r="C1904" s="6" t="inlineStr">
        <is>
          <t>Kerala</t>
        </is>
      </c>
      <c r="D1904" s="7" t="inlineStr">
        <is>
          <t>KL38D4621</t>
        </is>
      </c>
      <c r="E1904" s="7" t="inlineStr">
        <is>
          <t>HYUNDAI</t>
        </is>
      </c>
      <c r="F1904" s="7" t="inlineStr">
        <is>
          <t>Eon</t>
        </is>
      </c>
      <c r="G1904" s="7" t="inlineStr">
        <is>
          <t>ABU THAHIR AITO CARS</t>
        </is>
      </c>
      <c r="H1904" s="7" t="inlineStr">
        <is>
          <t>Non-Captive</t>
        </is>
      </c>
      <c r="I1904" s="7" t="inlineStr">
        <is>
          <t>UCD NITHEESH</t>
        </is>
      </c>
      <c r="J1904" s="8" t="n">
        <v>2013</v>
      </c>
      <c r="K1904" s="9" t="n">
        <v>56000</v>
      </c>
      <c r="L1904" s="10" t="n">
        <v>150000</v>
      </c>
      <c r="M1904" s="10" t="n">
        <v>4237.29</v>
      </c>
      <c r="N1904" s="11">
        <f>IF(M1904="","",ROUND(M1904*1.18,2))</f>
        <v/>
      </c>
      <c r="O1904" s="12">
        <f>IF(M1904="","",ROUND(N1904-M1904,2))</f>
        <v/>
      </c>
      <c r="P1904" s="13">
        <f>IF(AND(A1904&lt;&gt;"",B1904&lt;&gt;""), A1904&amp;" · "&amp;B1904, "")</f>
        <v/>
      </c>
    </row>
    <row r="1905">
      <c r="A1905" s="6" t="inlineStr">
        <is>
          <t>FY27</t>
        </is>
      </c>
      <c r="B1905" s="6" t="inlineStr">
        <is>
          <t>May</t>
        </is>
      </c>
      <c r="C1905" s="6" t="inlineStr">
        <is>
          <t>Kerala</t>
        </is>
      </c>
      <c r="D1905" s="7" t="inlineStr">
        <is>
          <t>KL38K9417</t>
        </is>
      </c>
      <c r="E1905" s="7" t="inlineStr">
        <is>
          <t>TATA</t>
        </is>
      </c>
      <c r="F1905" s="7" t="inlineStr">
        <is>
          <t>Tiago EV</t>
        </is>
      </c>
      <c r="G1905" s="7" t="inlineStr">
        <is>
          <t>EVM CITROEN</t>
        </is>
      </c>
      <c r="H1905" s="7" t="inlineStr">
        <is>
          <t>Non-Captive</t>
        </is>
      </c>
      <c r="I1905" s="7" t="inlineStr">
        <is>
          <t>Aitos Cars</t>
        </is>
      </c>
      <c r="J1905" s="8" t="n"/>
      <c r="K1905" s="9" t="n">
        <v>59775</v>
      </c>
      <c r="L1905" s="10" t="n">
        <v>613000</v>
      </c>
      <c r="M1905" s="10" t="n">
        <v>10169.49</v>
      </c>
      <c r="N1905" s="11">
        <f>IF(M1905="","",ROUND(M1905*1.18,2))</f>
        <v/>
      </c>
      <c r="O1905" s="12">
        <f>IF(M1905="","",ROUND(N1905-M1905,2))</f>
        <v/>
      </c>
      <c r="P1905" s="13">
        <f>IF(AND(A1905&lt;&gt;"",B1905&lt;&gt;""), A1905&amp;" · "&amp;B1905, "")</f>
        <v/>
      </c>
    </row>
    <row r="1906">
      <c r="A1906" s="6" t="inlineStr">
        <is>
          <t>FY27</t>
        </is>
      </c>
      <c r="B1906" s="6" t="inlineStr">
        <is>
          <t>May</t>
        </is>
      </c>
      <c r="C1906" s="6" t="inlineStr">
        <is>
          <t>Kerala</t>
        </is>
      </c>
      <c r="D1906" s="7" t="inlineStr">
        <is>
          <t>KL39F1505</t>
        </is>
      </c>
      <c r="E1906" s="7" t="inlineStr">
        <is>
          <t>HONDA</t>
        </is>
      </c>
      <c r="F1906" s="7" t="inlineStr">
        <is>
          <t>Amaze</t>
        </is>
      </c>
      <c r="G1906" s="7" t="inlineStr">
        <is>
          <t>KESHVIN HYUNDAI</t>
        </is>
      </c>
      <c r="H1906" s="7" t="inlineStr">
        <is>
          <t>Non-Captive</t>
        </is>
      </c>
      <c r="I1906" s="7" t="inlineStr">
        <is>
          <t>RAFEEK T A</t>
        </is>
      </c>
      <c r="J1906" s="8" t="n"/>
      <c r="K1906" s="9" t="n">
        <v>124009</v>
      </c>
      <c r="L1906" s="10" t="n">
        <v>180000</v>
      </c>
      <c r="M1906" s="10" t="n">
        <v>8474.58</v>
      </c>
      <c r="N1906" s="11">
        <f>IF(M1906="","",ROUND(M1906*1.18,2))</f>
        <v/>
      </c>
      <c r="O1906" s="12">
        <f>IF(M1906="","",ROUND(N1906-M1906,2))</f>
        <v/>
      </c>
      <c r="P1906" s="13">
        <f>IF(AND(A1906&lt;&gt;"",B1906&lt;&gt;""), A1906&amp;" · "&amp;B1906, "")</f>
        <v/>
      </c>
    </row>
    <row r="1907">
      <c r="A1907" s="6" t="inlineStr">
        <is>
          <t>FY27</t>
        </is>
      </c>
      <c r="B1907" s="6" t="inlineStr">
        <is>
          <t>May</t>
        </is>
      </c>
      <c r="C1907" s="6" t="inlineStr">
        <is>
          <t>Kerala</t>
        </is>
      </c>
      <c r="D1907" s="7" t="inlineStr">
        <is>
          <t>KL39H5182</t>
        </is>
      </c>
      <c r="E1907" s="7" t="inlineStr">
        <is>
          <t>HYUNDAI</t>
        </is>
      </c>
      <c r="F1907" s="7" t="inlineStr">
        <is>
          <t>Eon</t>
        </is>
      </c>
      <c r="G1907" s="7" t="inlineStr">
        <is>
          <t>POPULAR HYUNDAI</t>
        </is>
      </c>
      <c r="H1907" s="7" t="inlineStr">
        <is>
          <t>Non-Captive</t>
        </is>
      </c>
      <c r="I1907" s="7" t="inlineStr">
        <is>
          <t>VTJ</t>
        </is>
      </c>
      <c r="J1907" s="8" t="n"/>
      <c r="K1907" s="9" t="n">
        <v>105208</v>
      </c>
      <c r="L1907" s="10" t="n">
        <v>91000</v>
      </c>
      <c r="M1907" s="10" t="n">
        <v>9322.030000000001</v>
      </c>
      <c r="N1907" s="11">
        <f>IF(M1907="","",ROUND(M1907*1.18,2))</f>
        <v/>
      </c>
      <c r="O1907" s="12">
        <f>IF(M1907="","",ROUND(N1907-M1907,2))</f>
        <v/>
      </c>
      <c r="P1907" s="13">
        <f>IF(AND(A1907&lt;&gt;"",B1907&lt;&gt;""), A1907&amp;" · "&amp;B1907, "")</f>
        <v/>
      </c>
    </row>
    <row r="1908">
      <c r="A1908" s="6" t="inlineStr">
        <is>
          <t>FY27</t>
        </is>
      </c>
      <c r="B1908" s="6" t="inlineStr">
        <is>
          <t>May</t>
        </is>
      </c>
      <c r="C1908" s="6" t="inlineStr">
        <is>
          <t>Kerala</t>
        </is>
      </c>
      <c r="D1908" s="7" t="inlineStr">
        <is>
          <t>KL39M2276</t>
        </is>
      </c>
      <c r="E1908" s="7" t="inlineStr">
        <is>
          <t>FORD</t>
        </is>
      </c>
      <c r="F1908" s="7" t="inlineStr">
        <is>
          <t>EcoSport</t>
        </is>
      </c>
      <c r="G1908" s="7" t="inlineStr">
        <is>
          <t>KVR TATA</t>
        </is>
      </c>
      <c r="H1908" s="7" t="inlineStr">
        <is>
          <t>Non-Captive</t>
        </is>
      </c>
      <c r="I1908" s="7" t="inlineStr">
        <is>
          <t>YAHIYA</t>
        </is>
      </c>
      <c r="J1908" s="8" t="n"/>
      <c r="K1908" s="9" t="n">
        <v>92000</v>
      </c>
      <c r="L1908" s="10" t="n">
        <v>560000</v>
      </c>
      <c r="M1908" s="10" t="n">
        <v>8474.58</v>
      </c>
      <c r="N1908" s="11">
        <f>IF(M1908="","",ROUND(M1908*1.18,2))</f>
        <v/>
      </c>
      <c r="O1908" s="12">
        <f>IF(M1908="","",ROUND(N1908-M1908,2))</f>
        <v/>
      </c>
      <c r="P1908" s="13">
        <f>IF(AND(A1908&lt;&gt;"",B1908&lt;&gt;""), A1908&amp;" · "&amp;B1908, "")</f>
        <v/>
      </c>
    </row>
    <row r="1909">
      <c r="A1909" s="6" t="inlineStr">
        <is>
          <t>FY27</t>
        </is>
      </c>
      <c r="B1909" s="6" t="inlineStr">
        <is>
          <t>May</t>
        </is>
      </c>
      <c r="C1909" s="6" t="inlineStr">
        <is>
          <t>Kerala</t>
        </is>
      </c>
      <c r="D1909" s="7" t="inlineStr">
        <is>
          <t>KL41S1117</t>
        </is>
      </c>
      <c r="E1909" s="7" t="inlineStr">
        <is>
          <t>MAHINDRA</t>
        </is>
      </c>
      <c r="F1909" s="7" t="inlineStr">
        <is>
          <t>Bolero</t>
        </is>
      </c>
      <c r="G1909" s="7" t="inlineStr">
        <is>
          <t>AUTOMOTIVE</t>
        </is>
      </c>
      <c r="H1909" s="7" t="inlineStr">
        <is>
          <t>Non-Captive</t>
        </is>
      </c>
      <c r="I1909" s="7" t="inlineStr">
        <is>
          <t>FABITH</t>
        </is>
      </c>
      <c r="J1909" s="8" t="n"/>
      <c r="K1909" s="9" t="n">
        <v>130815</v>
      </c>
      <c r="L1909" s="10" t="n">
        <v>515000</v>
      </c>
      <c r="M1909" s="10" t="n">
        <v>8474.58</v>
      </c>
      <c r="N1909" s="11">
        <f>IF(M1909="","",ROUND(M1909*1.18,2))</f>
        <v/>
      </c>
      <c r="O1909" s="12">
        <f>IF(M1909="","",ROUND(N1909-M1909,2))</f>
        <v/>
      </c>
      <c r="P1909" s="13">
        <f>IF(AND(A1909&lt;&gt;"",B1909&lt;&gt;""), A1909&amp;" · "&amp;B1909, "")</f>
        <v/>
      </c>
    </row>
    <row r="1910">
      <c r="A1910" s="6" t="inlineStr">
        <is>
          <t>FY27</t>
        </is>
      </c>
      <c r="B1910" s="6" t="inlineStr">
        <is>
          <t>May</t>
        </is>
      </c>
      <c r="C1910" s="6" t="inlineStr">
        <is>
          <t>Kerala</t>
        </is>
      </c>
      <c r="D1910" s="7" t="inlineStr">
        <is>
          <t>KL41T1195</t>
        </is>
      </c>
      <c r="E1910" s="7" t="inlineStr">
        <is>
          <t>TATA</t>
        </is>
      </c>
      <c r="F1910" s="7" t="inlineStr">
        <is>
          <t>Nexon</t>
        </is>
      </c>
      <c r="G1910" s="7" t="inlineStr">
        <is>
          <t>VOLKSWAGEN PHOENIX</t>
        </is>
      </c>
      <c r="H1910" s="7" t="inlineStr">
        <is>
          <t>Non-Captive</t>
        </is>
      </c>
      <c r="I1910" s="7" t="inlineStr">
        <is>
          <t>HORIZON CARS</t>
        </is>
      </c>
      <c r="J1910" s="8" t="n"/>
      <c r="K1910" s="9" t="n">
        <v>76000</v>
      </c>
      <c r="L1910" s="10" t="n">
        <v>590000</v>
      </c>
      <c r="M1910" s="10" t="n">
        <v>8474.58</v>
      </c>
      <c r="N1910" s="11">
        <f>IF(M1910="","",ROUND(M1910*1.18,2))</f>
        <v/>
      </c>
      <c r="O1910" s="12">
        <f>IF(M1910="","",ROUND(N1910-M1910,2))</f>
        <v/>
      </c>
      <c r="P1910" s="13">
        <f>IF(AND(A1910&lt;&gt;"",B1910&lt;&gt;""), A1910&amp;" · "&amp;B1910, "")</f>
        <v/>
      </c>
    </row>
    <row r="1911">
      <c r="A1911" s="6" t="inlineStr">
        <is>
          <t>FY27</t>
        </is>
      </c>
      <c r="B1911" s="6" t="inlineStr">
        <is>
          <t>May</t>
        </is>
      </c>
      <c r="C1911" s="6" t="inlineStr">
        <is>
          <t>Kerala</t>
        </is>
      </c>
      <c r="D1911" s="7" t="inlineStr">
        <is>
          <t>KL42E5883</t>
        </is>
      </c>
      <c r="E1911" s="7" t="inlineStr">
        <is>
          <t>FORD</t>
        </is>
      </c>
      <c r="F1911" s="7" t="inlineStr">
        <is>
          <t>Figo</t>
        </is>
      </c>
      <c r="G1911" s="7" t="inlineStr">
        <is>
          <t>CITROEN EVM</t>
        </is>
      </c>
      <c r="H1911" s="7" t="inlineStr">
        <is>
          <t>Non-Captive</t>
        </is>
      </c>
      <c r="I1911" s="7" t="inlineStr">
        <is>
          <t>HUSSAIN O E</t>
        </is>
      </c>
      <c r="J1911" s="8" t="n"/>
      <c r="K1911" s="9" t="n">
        <v>104954</v>
      </c>
      <c r="L1911" s="10" t="n">
        <v>55000</v>
      </c>
      <c r="M1911" s="10" t="n">
        <v>10169.49</v>
      </c>
      <c r="N1911" s="11">
        <f>IF(M1911="","",ROUND(M1911*1.18,2))</f>
        <v/>
      </c>
      <c r="O1911" s="12">
        <f>IF(M1911="","",ROUND(N1911-M1911,2))</f>
        <v/>
      </c>
      <c r="P1911" s="13">
        <f>IF(AND(A1911&lt;&gt;"",B1911&lt;&gt;""), A1911&amp;" · "&amp;B1911, "")</f>
        <v/>
      </c>
    </row>
    <row r="1912">
      <c r="A1912" s="6" t="inlineStr">
        <is>
          <t>FY27</t>
        </is>
      </c>
      <c r="B1912" s="6" t="inlineStr">
        <is>
          <t>May</t>
        </is>
      </c>
      <c r="C1912" s="6" t="inlineStr">
        <is>
          <t>Kerala</t>
        </is>
      </c>
      <c r="D1912" s="7" t="inlineStr">
        <is>
          <t>KL43F2744</t>
        </is>
      </c>
      <c r="E1912" s="7" t="inlineStr">
        <is>
          <t>MARUTI SUZUKI</t>
        </is>
      </c>
      <c r="F1912" s="7" t="inlineStr">
        <is>
          <t>Wagon R</t>
        </is>
      </c>
      <c r="G1912" s="7" t="inlineStr">
        <is>
          <t>CARS24</t>
        </is>
      </c>
      <c r="H1912" s="7" t="inlineStr">
        <is>
          <t>Non-Captive</t>
        </is>
      </c>
      <c r="I1912" s="7" t="inlineStr">
        <is>
          <t>RAFEEK T A</t>
        </is>
      </c>
      <c r="J1912" s="8" t="n"/>
      <c r="K1912" s="9" t="n">
        <v>119074</v>
      </c>
      <c r="L1912" s="10" t="n">
        <v>90000</v>
      </c>
      <c r="M1912" s="10" t="n">
        <v>8474.58</v>
      </c>
      <c r="N1912" s="11">
        <f>IF(M1912="","",ROUND(M1912*1.18,2))</f>
        <v/>
      </c>
      <c r="O1912" s="12">
        <f>IF(M1912="","",ROUND(N1912-M1912,2))</f>
        <v/>
      </c>
      <c r="P1912" s="13">
        <f>IF(AND(A1912&lt;&gt;"",B1912&lt;&gt;""), A1912&amp;" · "&amp;B1912, "")</f>
        <v/>
      </c>
    </row>
    <row r="1913">
      <c r="A1913" s="6" t="inlineStr">
        <is>
          <t>FY27</t>
        </is>
      </c>
      <c r="B1913" s="6" t="inlineStr">
        <is>
          <t>May</t>
        </is>
      </c>
      <c r="C1913" s="6" t="inlineStr">
        <is>
          <t>Kerala</t>
        </is>
      </c>
      <c r="D1913" s="7" t="inlineStr">
        <is>
          <t>KL43G9700</t>
        </is>
      </c>
      <c r="E1913" s="7" t="inlineStr">
        <is>
          <t>RENAULT</t>
        </is>
      </c>
      <c r="F1913" s="7" t="inlineStr">
        <is>
          <t>Duster</t>
        </is>
      </c>
      <c r="G1913" s="7" t="inlineStr">
        <is>
          <t>JISHNU PRIYAN</t>
        </is>
      </c>
      <c r="H1913" s="7" t="inlineStr">
        <is>
          <t>Non-Captive</t>
        </is>
      </c>
      <c r="I1913" s="7" t="inlineStr">
        <is>
          <t>DINESH P S</t>
        </is>
      </c>
      <c r="J1913" s="8" t="n"/>
      <c r="K1913" s="9" t="n">
        <v>221000</v>
      </c>
      <c r="L1913" s="10" t="n">
        <v>200000</v>
      </c>
      <c r="M1913" s="10" t="n">
        <v>10169.49</v>
      </c>
      <c r="N1913" s="11">
        <f>IF(M1913="","",ROUND(M1913*1.18,2))</f>
        <v/>
      </c>
      <c r="O1913" s="12">
        <f>IF(M1913="","",ROUND(N1913-M1913,2))</f>
        <v/>
      </c>
      <c r="P1913" s="13">
        <f>IF(AND(A1913&lt;&gt;"",B1913&lt;&gt;""), A1913&amp;" · "&amp;B1913, "")</f>
        <v/>
      </c>
    </row>
    <row r="1914">
      <c r="A1914" s="6" t="inlineStr">
        <is>
          <t>FY27</t>
        </is>
      </c>
      <c r="B1914" s="6" t="inlineStr">
        <is>
          <t>May</t>
        </is>
      </c>
      <c r="C1914" s="6" t="inlineStr">
        <is>
          <t>Kerala</t>
        </is>
      </c>
      <c r="D1914" s="7" t="inlineStr">
        <is>
          <t>KL43P2784</t>
        </is>
      </c>
      <c r="E1914" s="7" t="inlineStr">
        <is>
          <t>MARUTI SUZUKI</t>
        </is>
      </c>
      <c r="F1914" s="7" t="inlineStr">
        <is>
          <t>Wagon R</t>
        </is>
      </c>
      <c r="G1914" s="7" t="inlineStr">
        <is>
          <t>CARS24</t>
        </is>
      </c>
      <c r="H1914" s="7" t="inlineStr">
        <is>
          <t>Non-Captive</t>
        </is>
      </c>
      <c r="I1914" s="7" t="inlineStr">
        <is>
          <t>HAVEN MOTORS</t>
        </is>
      </c>
      <c r="J1914" s="8" t="n"/>
      <c r="K1914" s="9" t="n">
        <v>69800</v>
      </c>
      <c r="L1914" s="10" t="n">
        <v>460000</v>
      </c>
      <c r="M1914" s="10" t="n">
        <v>8474.58</v>
      </c>
      <c r="N1914" s="11">
        <f>IF(M1914="","",ROUND(M1914*1.18,2))</f>
        <v/>
      </c>
      <c r="O1914" s="12">
        <f>IF(M1914="","",ROUND(N1914-M1914,2))</f>
        <v/>
      </c>
      <c r="P1914" s="13">
        <f>IF(AND(A1914&lt;&gt;"",B1914&lt;&gt;""), A1914&amp;" · "&amp;B1914, "")</f>
        <v/>
      </c>
    </row>
    <row r="1915">
      <c r="A1915" s="6" t="inlineStr">
        <is>
          <t>FY27</t>
        </is>
      </c>
      <c r="B1915" s="6" t="inlineStr">
        <is>
          <t>May</t>
        </is>
      </c>
      <c r="C1915" s="6" t="inlineStr">
        <is>
          <t>Kerala</t>
        </is>
      </c>
      <c r="D1915" s="7" t="inlineStr">
        <is>
          <t>KL44E4315</t>
        </is>
      </c>
      <c r="E1915" s="7" t="inlineStr">
        <is>
          <t>RENAULT</t>
        </is>
      </c>
      <c r="F1915" s="7" t="inlineStr">
        <is>
          <t>Kwid</t>
        </is>
      </c>
      <c r="G1915" s="7" t="inlineStr">
        <is>
          <t>KESHVIN HYUNDAI</t>
        </is>
      </c>
      <c r="H1915" s="7" t="inlineStr">
        <is>
          <t>Non-Captive</t>
        </is>
      </c>
      <c r="I1915" s="7" t="inlineStr">
        <is>
          <t>ABDUL SALAM K K</t>
        </is>
      </c>
      <c r="J1915" s="8" t="n"/>
      <c r="K1915" s="9" t="n">
        <v>56852</v>
      </c>
      <c r="L1915" s="10" t="n">
        <v>170000</v>
      </c>
      <c r="M1915" s="10" t="n">
        <v>8474.58</v>
      </c>
      <c r="N1915" s="11">
        <f>IF(M1915="","",ROUND(M1915*1.18,2))</f>
        <v/>
      </c>
      <c r="O1915" s="12">
        <f>IF(M1915="","",ROUND(N1915-M1915,2))</f>
        <v/>
      </c>
      <c r="P1915" s="13">
        <f>IF(AND(A1915&lt;&gt;"",B1915&lt;&gt;""), A1915&amp;" · "&amp;B1915, "")</f>
        <v/>
      </c>
    </row>
    <row r="1916">
      <c r="A1916" s="6" t="inlineStr">
        <is>
          <t>FY27</t>
        </is>
      </c>
      <c r="B1916" s="6" t="inlineStr">
        <is>
          <t>May</t>
        </is>
      </c>
      <c r="C1916" s="6" t="inlineStr">
        <is>
          <t>Kerala</t>
        </is>
      </c>
      <c r="D1916" s="7" t="inlineStr">
        <is>
          <t>KL45C2175</t>
        </is>
      </c>
      <c r="E1916" s="7" t="inlineStr">
        <is>
          <t>TATA</t>
        </is>
      </c>
      <c r="F1916" s="7" t="inlineStr">
        <is>
          <t>Indica</t>
        </is>
      </c>
      <c r="G1916" s="7" t="inlineStr">
        <is>
          <t>POPULAR MARUTI</t>
        </is>
      </c>
      <c r="H1916" s="7" t="inlineStr">
        <is>
          <t>Non-Captive</t>
        </is>
      </c>
      <c r="I1916" s="7" t="inlineStr">
        <is>
          <t>Aitos Cars</t>
        </is>
      </c>
      <c r="J1916" s="8" t="n"/>
      <c r="K1916" s="9" t="n">
        <v>42000</v>
      </c>
      <c r="L1916" s="10" t="n">
        <v>50000</v>
      </c>
      <c r="M1916" s="10" t="n">
        <v>4237.29</v>
      </c>
      <c r="N1916" s="11">
        <f>IF(M1916="","",ROUND(M1916*1.18,2))</f>
        <v/>
      </c>
      <c r="O1916" s="12">
        <f>IF(M1916="","",ROUND(N1916-M1916,2))</f>
        <v/>
      </c>
      <c r="P1916" s="13">
        <f>IF(AND(A1916&lt;&gt;"",B1916&lt;&gt;""), A1916&amp;" · "&amp;B1916, "")</f>
        <v/>
      </c>
    </row>
    <row r="1917">
      <c r="A1917" s="6" t="inlineStr">
        <is>
          <t>FY27</t>
        </is>
      </c>
      <c r="B1917" s="6" t="inlineStr">
        <is>
          <t>May</t>
        </is>
      </c>
      <c r="C1917" s="6" t="inlineStr">
        <is>
          <t>Kerala</t>
        </is>
      </c>
      <c r="D1917" s="7" t="inlineStr">
        <is>
          <t>KL45L1892</t>
        </is>
      </c>
      <c r="E1917" s="7" t="inlineStr">
        <is>
          <t>HYUNDAI</t>
        </is>
      </c>
      <c r="F1917" s="7" t="inlineStr">
        <is>
          <t>Eon</t>
        </is>
      </c>
      <c r="G1917" s="7" t="inlineStr">
        <is>
          <t>EVM CITROEN</t>
        </is>
      </c>
      <c r="H1917" s="7" t="inlineStr">
        <is>
          <t>Non-Captive</t>
        </is>
      </c>
      <c r="I1917" s="7" t="inlineStr">
        <is>
          <t>Umesh Kumar T U</t>
        </is>
      </c>
      <c r="J1917" s="8" t="n"/>
      <c r="K1917" s="9" t="n">
        <v>84800</v>
      </c>
      <c r="L1917" s="10" t="n">
        <v>125000</v>
      </c>
      <c r="M1917" s="10" t="n">
        <v>8474.58</v>
      </c>
      <c r="N1917" s="11">
        <f>IF(M1917="","",ROUND(M1917*1.18,2))</f>
        <v/>
      </c>
      <c r="O1917" s="12">
        <f>IF(M1917="","",ROUND(N1917-M1917,2))</f>
        <v/>
      </c>
      <c r="P1917" s="13">
        <f>IF(AND(A1917&lt;&gt;"",B1917&lt;&gt;""), A1917&amp;" · "&amp;B1917, "")</f>
        <v/>
      </c>
    </row>
    <row r="1918">
      <c r="A1918" s="6" t="inlineStr">
        <is>
          <t>FY27</t>
        </is>
      </c>
      <c r="B1918" s="6" t="inlineStr">
        <is>
          <t>May</t>
        </is>
      </c>
      <c r="C1918" s="6" t="inlineStr">
        <is>
          <t>Kerala</t>
        </is>
      </c>
      <c r="D1918" s="7" t="inlineStr">
        <is>
          <t>KL45P1000</t>
        </is>
      </c>
      <c r="E1918" s="7" t="inlineStr">
        <is>
          <t>FORD</t>
        </is>
      </c>
      <c r="F1918" s="7" t="inlineStr">
        <is>
          <t>Figo</t>
        </is>
      </c>
      <c r="G1918" s="7" t="inlineStr">
        <is>
          <t>INCHEON KIA</t>
        </is>
      </c>
      <c r="H1918" s="7" t="inlineStr">
        <is>
          <t>Non-Captive</t>
        </is>
      </c>
      <c r="I1918" s="7" t="inlineStr">
        <is>
          <t>VTJ</t>
        </is>
      </c>
      <c r="J1918" s="8" t="n"/>
      <c r="K1918" s="9" t="n">
        <v>75000</v>
      </c>
      <c r="L1918" s="10" t="n">
        <v>195000</v>
      </c>
      <c r="M1918" s="10" t="n">
        <v>8474.58</v>
      </c>
      <c r="N1918" s="11">
        <f>IF(M1918="","",ROUND(M1918*1.18,2))</f>
        <v/>
      </c>
      <c r="O1918" s="12">
        <f>IF(M1918="","",ROUND(N1918-M1918,2))</f>
        <v/>
      </c>
      <c r="P1918" s="13">
        <f>IF(AND(A1918&lt;&gt;"",B1918&lt;&gt;""), A1918&amp;" · "&amp;B1918, "")</f>
        <v/>
      </c>
    </row>
    <row r="1919">
      <c r="A1919" s="6" t="inlineStr">
        <is>
          <t>FY27</t>
        </is>
      </c>
      <c r="B1919" s="6" t="inlineStr">
        <is>
          <t>May</t>
        </is>
      </c>
      <c r="C1919" s="6" t="inlineStr">
        <is>
          <t>Kerala</t>
        </is>
      </c>
      <c r="D1919" s="7" t="inlineStr">
        <is>
          <t>KL46N7160</t>
        </is>
      </c>
      <c r="E1919" s="7" t="inlineStr">
        <is>
          <t>DATSUN</t>
        </is>
      </c>
      <c r="F1919" s="7" t="inlineStr">
        <is>
          <t>Go Plus</t>
        </is>
      </c>
      <c r="G1919" s="7" t="inlineStr">
        <is>
          <t>PINNACLE WHEELS PVT LTD</t>
        </is>
      </c>
      <c r="H1919" s="7" t="inlineStr">
        <is>
          <t>Non-Captive</t>
        </is>
      </c>
      <c r="I1919" s="7" t="inlineStr">
        <is>
          <t>Umesh Kumar T U</t>
        </is>
      </c>
      <c r="J1919" s="8" t="n"/>
      <c r="K1919" s="9" t="n">
        <v>44500</v>
      </c>
      <c r="L1919" s="10" t="n">
        <v>155000</v>
      </c>
      <c r="M1919" s="10" t="n">
        <v>8474.58</v>
      </c>
      <c r="N1919" s="11">
        <f>IF(M1919="","",ROUND(M1919*1.18,2))</f>
        <v/>
      </c>
      <c r="O1919" s="12">
        <f>IF(M1919="","",ROUND(N1919-M1919,2))</f>
        <v/>
      </c>
      <c r="P1919" s="13">
        <f>IF(AND(A1919&lt;&gt;"",B1919&lt;&gt;""), A1919&amp;" · "&amp;B1919, "")</f>
        <v/>
      </c>
    </row>
    <row r="1920">
      <c r="A1920" s="6" t="inlineStr">
        <is>
          <t>FY27</t>
        </is>
      </c>
      <c r="B1920" s="6" t="inlineStr">
        <is>
          <t>May</t>
        </is>
      </c>
      <c r="C1920" s="6" t="inlineStr">
        <is>
          <t>Kerala</t>
        </is>
      </c>
      <c r="D1920" s="7" t="inlineStr">
        <is>
          <t>KL47A5192</t>
        </is>
      </c>
      <c r="E1920" s="7" t="inlineStr">
        <is>
          <t>HYUNDAI</t>
        </is>
      </c>
      <c r="F1920" s="7" t="inlineStr">
        <is>
          <t>i10</t>
        </is>
      </c>
      <c r="G1920" s="7" t="inlineStr">
        <is>
          <t>POPULAR HYUNDAI</t>
        </is>
      </c>
      <c r="H1920" s="7" t="inlineStr">
        <is>
          <t>Non-Captive</t>
        </is>
      </c>
      <c r="I1920" s="7" t="inlineStr">
        <is>
          <t>RAFEEK T A</t>
        </is>
      </c>
      <c r="J1920" s="8" t="n"/>
      <c r="K1920" s="9" t="n">
        <v>94057</v>
      </c>
      <c r="L1920" s="10" t="n">
        <v>63000</v>
      </c>
      <c r="M1920" s="10" t="n">
        <v>8474.58</v>
      </c>
      <c r="N1920" s="11">
        <f>IF(M1920="","",ROUND(M1920*1.18,2))</f>
        <v/>
      </c>
      <c r="O1920" s="12">
        <f>IF(M1920="","",ROUND(N1920-M1920,2))</f>
        <v/>
      </c>
      <c r="P1920" s="13">
        <f>IF(AND(A1920&lt;&gt;"",B1920&lt;&gt;""), A1920&amp;" · "&amp;B1920, "")</f>
        <v/>
      </c>
    </row>
    <row r="1921">
      <c r="A1921" s="6" t="inlineStr">
        <is>
          <t>FY27</t>
        </is>
      </c>
      <c r="B1921" s="6" t="inlineStr">
        <is>
          <t>May</t>
        </is>
      </c>
      <c r="C1921" s="6" t="inlineStr">
        <is>
          <t>Kerala</t>
        </is>
      </c>
      <c r="D1921" s="7" t="inlineStr">
        <is>
          <t>KL47C5259</t>
        </is>
      </c>
      <c r="E1921" s="7" t="inlineStr">
        <is>
          <t>MARUTI SUZUKI</t>
        </is>
      </c>
      <c r="F1921" s="7" t="inlineStr">
        <is>
          <t>Alto</t>
        </is>
      </c>
      <c r="G1921" s="7" t="inlineStr">
        <is>
          <t>POPULAR MARUTI</t>
        </is>
      </c>
      <c r="H1921" s="7" t="inlineStr">
        <is>
          <t>Non-Captive</t>
        </is>
      </c>
      <c r="I1921" s="7" t="inlineStr">
        <is>
          <t>RAFEEK T A</t>
        </is>
      </c>
      <c r="J1921" s="8" t="n"/>
      <c r="K1921" s="9" t="n">
        <v>62000</v>
      </c>
      <c r="L1921" s="10" t="n">
        <v>120000</v>
      </c>
      <c r="M1921" s="10" t="n">
        <v>8474.58</v>
      </c>
      <c r="N1921" s="11">
        <f>IF(M1921="","",ROUND(M1921*1.18,2))</f>
        <v/>
      </c>
      <c r="O1921" s="12">
        <f>IF(M1921="","",ROUND(N1921-M1921,2))</f>
        <v/>
      </c>
      <c r="P1921" s="13">
        <f>IF(AND(A1921&lt;&gt;"",B1921&lt;&gt;""), A1921&amp;" · "&amp;B1921, "")</f>
        <v/>
      </c>
    </row>
    <row r="1922">
      <c r="A1922" s="6" t="inlineStr">
        <is>
          <t>FY27</t>
        </is>
      </c>
      <c r="B1922" s="6" t="inlineStr">
        <is>
          <t>May</t>
        </is>
      </c>
      <c r="C1922" s="6" t="inlineStr">
        <is>
          <t>Kerala</t>
        </is>
      </c>
      <c r="D1922" s="7" t="inlineStr">
        <is>
          <t>KL47L5209</t>
        </is>
      </c>
      <c r="E1922" s="7" t="inlineStr">
        <is>
          <t>TATA</t>
        </is>
      </c>
      <c r="F1922" s="7" t="inlineStr">
        <is>
          <t>Punch</t>
        </is>
      </c>
      <c r="G1922" s="7" t="inlineStr">
        <is>
          <t>PHOENIX VOLKSWAGEN</t>
        </is>
      </c>
      <c r="H1922" s="7" t="inlineStr">
        <is>
          <t>Non-Captive</t>
        </is>
      </c>
      <c r="I1922" s="7" t="inlineStr">
        <is>
          <t>Aitos Cars</t>
        </is>
      </c>
      <c r="J1922" s="8" t="n"/>
      <c r="K1922" s="9" t="n">
        <v>17800</v>
      </c>
      <c r="L1922" s="10" t="n">
        <v>570000</v>
      </c>
      <c r="M1922" s="10" t="n">
        <v>8474.58</v>
      </c>
      <c r="N1922" s="11">
        <f>IF(M1922="","",ROUND(M1922*1.18,2))</f>
        <v/>
      </c>
      <c r="O1922" s="12">
        <f>IF(M1922="","",ROUND(N1922-M1922,2))</f>
        <v/>
      </c>
      <c r="P1922" s="13">
        <f>IF(AND(A1922&lt;&gt;"",B1922&lt;&gt;""), A1922&amp;" · "&amp;B1922, "")</f>
        <v/>
      </c>
    </row>
    <row r="1923">
      <c r="A1923" s="6" t="inlineStr">
        <is>
          <t>FY27</t>
        </is>
      </c>
      <c r="B1923" s="6" t="inlineStr">
        <is>
          <t>May</t>
        </is>
      </c>
      <c r="C1923" s="6" t="inlineStr">
        <is>
          <t>Kerala</t>
        </is>
      </c>
      <c r="D1923" s="7" t="inlineStr">
        <is>
          <t>KL48H9187</t>
        </is>
      </c>
      <c r="E1923" s="7" t="inlineStr">
        <is>
          <t>TATA</t>
        </is>
      </c>
      <c r="F1923" s="7" t="inlineStr">
        <is>
          <t>Nano</t>
        </is>
      </c>
      <c r="G1923" s="7" t="inlineStr">
        <is>
          <t>POPULAR HYUNDAI</t>
        </is>
      </c>
      <c r="H1923" s="7" t="inlineStr">
        <is>
          <t>Non-Captive</t>
        </is>
      </c>
      <c r="I1923" s="7" t="inlineStr">
        <is>
          <t>Aitos Cars</t>
        </is>
      </c>
      <c r="J1923" s="8" t="n"/>
      <c r="K1923" s="9" t="n">
        <v>55386</v>
      </c>
      <c r="L1923" s="10" t="n">
        <v>90000</v>
      </c>
      <c r="M1923" s="10" t="n">
        <v>8474.58</v>
      </c>
      <c r="N1923" s="11">
        <f>IF(M1923="","",ROUND(M1923*1.18,2))</f>
        <v/>
      </c>
      <c r="O1923" s="12">
        <f>IF(M1923="","",ROUND(N1923-M1923,2))</f>
        <v/>
      </c>
      <c r="P1923" s="13">
        <f>IF(AND(A1923&lt;&gt;"",B1923&lt;&gt;""), A1923&amp;" · "&amp;B1923, "")</f>
        <v/>
      </c>
    </row>
    <row r="1924">
      <c r="A1924" s="6" t="inlineStr">
        <is>
          <t>FY27</t>
        </is>
      </c>
      <c r="B1924" s="6" t="inlineStr">
        <is>
          <t>May</t>
        </is>
      </c>
      <c r="C1924" s="6" t="inlineStr">
        <is>
          <t>Kerala</t>
        </is>
      </c>
      <c r="D1924" s="7" t="inlineStr">
        <is>
          <t>KL51C4596</t>
        </is>
      </c>
      <c r="E1924" s="7" t="inlineStr">
        <is>
          <t>MARUTI SUZUKI</t>
        </is>
      </c>
      <c r="F1924" s="7" t="inlineStr">
        <is>
          <t>Swift</t>
        </is>
      </c>
      <c r="G1924" s="7" t="inlineStr">
        <is>
          <t>RATHEESH</t>
        </is>
      </c>
      <c r="H1924" s="7" t="inlineStr">
        <is>
          <t>Non-Captive</t>
        </is>
      </c>
      <c r="I1924" s="7" t="inlineStr">
        <is>
          <t>BIMAL</t>
        </is>
      </c>
      <c r="J1924" s="8" t="n"/>
      <c r="K1924" s="9" t="n">
        <v>99000</v>
      </c>
      <c r="L1924" s="10" t="n">
        <v>190000</v>
      </c>
      <c r="M1924" s="10" t="n">
        <v>8474.58</v>
      </c>
      <c r="N1924" s="11">
        <f>IF(M1924="","",ROUND(M1924*1.18,2))</f>
        <v/>
      </c>
      <c r="O1924" s="12">
        <f>IF(M1924="","",ROUND(N1924-M1924,2))</f>
        <v/>
      </c>
      <c r="P1924" s="13">
        <f>IF(AND(A1924&lt;&gt;"",B1924&lt;&gt;""), A1924&amp;" · "&amp;B1924, "")</f>
        <v/>
      </c>
    </row>
    <row r="1925">
      <c r="A1925" s="6" t="inlineStr">
        <is>
          <t>FY27</t>
        </is>
      </c>
      <c r="B1925" s="6" t="inlineStr">
        <is>
          <t>May</t>
        </is>
      </c>
      <c r="C1925" s="6" t="inlineStr">
        <is>
          <t>Kerala</t>
        </is>
      </c>
      <c r="D1925" s="7" t="inlineStr">
        <is>
          <t>KL51E6751</t>
        </is>
      </c>
      <c r="E1925" s="7" t="inlineStr">
        <is>
          <t>HYUNDAI</t>
        </is>
      </c>
      <c r="F1925" s="7" t="inlineStr">
        <is>
          <t>Eon</t>
        </is>
      </c>
      <c r="G1925" s="7" t="inlineStr">
        <is>
          <t>POPULAR MARUTI</t>
        </is>
      </c>
      <c r="H1925" s="7" t="inlineStr">
        <is>
          <t>Non-Captive</t>
        </is>
      </c>
      <c r="I1925" s="7" t="inlineStr">
        <is>
          <t>PRAVEEN</t>
        </is>
      </c>
      <c r="J1925" s="8" t="n"/>
      <c r="K1925" s="9" t="n">
        <v>62247</v>
      </c>
      <c r="L1925" s="10" t="n">
        <v>65000</v>
      </c>
      <c r="M1925" s="10" t="n">
        <v>8474.58</v>
      </c>
      <c r="N1925" s="11">
        <f>IF(M1925="","",ROUND(M1925*1.18,2))</f>
        <v/>
      </c>
      <c r="O1925" s="12">
        <f>IF(M1925="","",ROUND(N1925-M1925,2))</f>
        <v/>
      </c>
      <c r="P1925" s="13">
        <f>IF(AND(A1925&lt;&gt;"",B1925&lt;&gt;""), A1925&amp;" · "&amp;B1925, "")</f>
        <v/>
      </c>
    </row>
    <row r="1926">
      <c r="A1926" s="6" t="inlineStr">
        <is>
          <t>FY27</t>
        </is>
      </c>
      <c r="B1926" s="6" t="inlineStr">
        <is>
          <t>May</t>
        </is>
      </c>
      <c r="C1926" s="6" t="inlineStr">
        <is>
          <t>Kerala</t>
        </is>
      </c>
      <c r="D1926" s="7" t="inlineStr">
        <is>
          <t>KL52F9121</t>
        </is>
      </c>
      <c r="E1926" s="7" t="inlineStr">
        <is>
          <t>MARUTI SUZUKI</t>
        </is>
      </c>
      <c r="F1926" s="7" t="inlineStr">
        <is>
          <t>Swift</t>
        </is>
      </c>
      <c r="G1926" s="7" t="inlineStr">
        <is>
          <t>RATHEESH</t>
        </is>
      </c>
      <c r="H1926" s="7" t="inlineStr">
        <is>
          <t>Non-Captive</t>
        </is>
      </c>
      <c r="I1926" s="7" t="inlineStr">
        <is>
          <t>POPULAR MARUTI</t>
        </is>
      </c>
      <c r="J1926" s="8" t="n"/>
      <c r="K1926" s="9" t="n">
        <v>107000</v>
      </c>
      <c r="L1926" s="10" t="n">
        <v>230000</v>
      </c>
      <c r="M1926" s="10" t="n">
        <v>8474.58</v>
      </c>
      <c r="N1926" s="11">
        <f>IF(M1926="","",ROUND(M1926*1.18,2))</f>
        <v/>
      </c>
      <c r="O1926" s="12">
        <f>IF(M1926="","",ROUND(N1926-M1926,2))</f>
        <v/>
      </c>
      <c r="P1926" s="13">
        <f>IF(AND(A1926&lt;&gt;"",B1926&lt;&gt;""), A1926&amp;" · "&amp;B1926, "")</f>
        <v/>
      </c>
    </row>
    <row r="1927">
      <c r="A1927" s="6" t="inlineStr">
        <is>
          <t>FY27</t>
        </is>
      </c>
      <c r="B1927" s="6" t="inlineStr">
        <is>
          <t>May</t>
        </is>
      </c>
      <c r="C1927" s="6" t="inlineStr">
        <is>
          <t>Kerala</t>
        </is>
      </c>
      <c r="D1927" s="7" t="inlineStr">
        <is>
          <t>KL52P5976</t>
        </is>
      </c>
      <c r="E1927" s="7" t="inlineStr">
        <is>
          <t>MAHINDRA</t>
        </is>
      </c>
      <c r="F1927" s="7" t="inlineStr">
        <is>
          <t>KUV100</t>
        </is>
      </c>
      <c r="G1927" s="7" t="inlineStr">
        <is>
          <t>PINNACLE WHEELS PVT LTD</t>
        </is>
      </c>
      <c r="H1927" s="7" t="inlineStr">
        <is>
          <t>Non-Captive</t>
        </is>
      </c>
      <c r="I1927" s="7" t="inlineStr">
        <is>
          <t>VTJ</t>
        </is>
      </c>
      <c r="J1927" s="8" t="n"/>
      <c r="K1927" s="9" t="n">
        <v>44241</v>
      </c>
      <c r="L1927" s="10" t="n">
        <v>205000</v>
      </c>
      <c r="M1927" s="10" t="n">
        <v>8474.58</v>
      </c>
      <c r="N1927" s="11">
        <f>IF(M1927="","",ROUND(M1927*1.18,2))</f>
        <v/>
      </c>
      <c r="O1927" s="12">
        <f>IF(M1927="","",ROUND(N1927-M1927,2))</f>
        <v/>
      </c>
      <c r="P1927" s="13">
        <f>IF(AND(A1927&lt;&gt;"",B1927&lt;&gt;""), A1927&amp;" · "&amp;B1927, "")</f>
        <v/>
      </c>
    </row>
    <row r="1928">
      <c r="A1928" s="6" t="inlineStr">
        <is>
          <t>FY27</t>
        </is>
      </c>
      <c r="B1928" s="6" t="inlineStr">
        <is>
          <t>May</t>
        </is>
      </c>
      <c r="C1928" s="6" t="inlineStr">
        <is>
          <t>Kerala</t>
        </is>
      </c>
      <c r="D1928" s="7" t="inlineStr">
        <is>
          <t>KL55AH9881</t>
        </is>
      </c>
      <c r="E1928" s="7" t="inlineStr">
        <is>
          <t>TATA</t>
        </is>
      </c>
      <c r="F1928" s="7" t="inlineStr">
        <is>
          <t>Punch</t>
        </is>
      </c>
      <c r="G1928" s="7" t="inlineStr">
        <is>
          <t>LUXON TATA</t>
        </is>
      </c>
      <c r="H1928" s="7" t="inlineStr">
        <is>
          <t>Non-Captive</t>
        </is>
      </c>
      <c r="I1928" s="7" t="inlineStr">
        <is>
          <t>YAHIYA</t>
        </is>
      </c>
      <c r="J1928" s="8" t="n"/>
      <c r="K1928" s="9" t="n">
        <v>23000</v>
      </c>
      <c r="L1928" s="10" t="n">
        <v>560000</v>
      </c>
      <c r="M1928" s="10" t="n">
        <v>8474.58</v>
      </c>
      <c r="N1928" s="11">
        <f>IF(M1928="","",ROUND(M1928*1.18,2))</f>
        <v/>
      </c>
      <c r="O1928" s="12">
        <f>IF(M1928="","",ROUND(N1928-M1928,2))</f>
        <v/>
      </c>
      <c r="P1928" s="13">
        <f>IF(AND(A1928&lt;&gt;"",B1928&lt;&gt;""), A1928&amp;" · "&amp;B1928, "")</f>
        <v/>
      </c>
    </row>
    <row r="1929">
      <c r="A1929" s="6" t="inlineStr">
        <is>
          <t>FY27</t>
        </is>
      </c>
      <c r="B1929" s="6" t="inlineStr">
        <is>
          <t>May</t>
        </is>
      </c>
      <c r="C1929" s="6" t="inlineStr">
        <is>
          <t>Kerala</t>
        </is>
      </c>
      <c r="D1929" s="7" t="inlineStr">
        <is>
          <t>KL55E2688</t>
        </is>
      </c>
      <c r="E1929" s="7" t="inlineStr">
        <is>
          <t>MARUTI SUZUKI</t>
        </is>
      </c>
      <c r="F1929" s="7" t="inlineStr">
        <is>
          <t>Alto</t>
        </is>
      </c>
      <c r="G1929" s="7" t="inlineStr">
        <is>
          <t>DELUX MOTORS</t>
        </is>
      </c>
      <c r="H1929" s="7" t="inlineStr">
        <is>
          <t>Non-Captive</t>
        </is>
      </c>
      <c r="I1929" s="7" t="inlineStr">
        <is>
          <t>POPULAR MARUTI</t>
        </is>
      </c>
      <c r="J1929" s="8" t="n"/>
      <c r="K1929" s="9" t="n">
        <v>110000</v>
      </c>
      <c r="L1929" s="10" t="n">
        <v>45000</v>
      </c>
      <c r="M1929" s="10" t="n">
        <v>13559.32</v>
      </c>
      <c r="N1929" s="11">
        <f>IF(M1929="","",ROUND(M1929*1.18,2))</f>
        <v/>
      </c>
      <c r="O1929" s="12">
        <f>IF(M1929="","",ROUND(N1929-M1929,2))</f>
        <v/>
      </c>
      <c r="P1929" s="13">
        <f>IF(AND(A1929&lt;&gt;"",B1929&lt;&gt;""), A1929&amp;" · "&amp;B1929, "")</f>
        <v/>
      </c>
    </row>
    <row r="1930">
      <c r="A1930" s="6" t="inlineStr">
        <is>
          <t>FY27</t>
        </is>
      </c>
      <c r="B1930" s="6" t="inlineStr">
        <is>
          <t>May</t>
        </is>
      </c>
      <c r="C1930" s="6" t="inlineStr">
        <is>
          <t>Kerala</t>
        </is>
      </c>
      <c r="D1930" s="7" t="inlineStr">
        <is>
          <t>KL55P9929</t>
        </is>
      </c>
      <c r="E1930" s="7" t="inlineStr">
        <is>
          <t>MARUTI SUZUKI</t>
        </is>
      </c>
      <c r="F1930" s="7" t="inlineStr">
        <is>
          <t>Alto</t>
        </is>
      </c>
      <c r="G1930" s="7" t="inlineStr">
        <is>
          <t>NIZAB</t>
        </is>
      </c>
      <c r="H1930" s="7" t="inlineStr">
        <is>
          <t>Non-Captive</t>
        </is>
      </c>
      <c r="I1930" s="7" t="inlineStr">
        <is>
          <t>POPULAR MARUTI</t>
        </is>
      </c>
      <c r="J1930" s="8" t="n"/>
      <c r="K1930" s="9" t="n">
        <v>96000</v>
      </c>
      <c r="L1930" s="10" t="n">
        <v>120000</v>
      </c>
      <c r="M1930" s="10" t="n">
        <v>12711.86</v>
      </c>
      <c r="N1930" s="11">
        <f>IF(M1930="","",ROUND(M1930*1.18,2))</f>
        <v/>
      </c>
      <c r="O1930" s="12">
        <f>IF(M1930="","",ROUND(N1930-M1930,2))</f>
        <v/>
      </c>
      <c r="P1930" s="13">
        <f>IF(AND(A1930&lt;&gt;"",B1930&lt;&gt;""), A1930&amp;" · "&amp;B1930, "")</f>
        <v/>
      </c>
    </row>
    <row r="1931">
      <c r="A1931" s="6" t="inlineStr">
        <is>
          <t>FY27</t>
        </is>
      </c>
      <c r="B1931" s="6" t="inlineStr">
        <is>
          <t>May</t>
        </is>
      </c>
      <c r="C1931" s="6" t="inlineStr">
        <is>
          <t>Kerala</t>
        </is>
      </c>
      <c r="D1931" s="7" t="inlineStr">
        <is>
          <t>KL56A1600</t>
        </is>
      </c>
      <c r="E1931" s="7" t="inlineStr">
        <is>
          <t>TOYOTA</t>
        </is>
      </c>
      <c r="F1931" s="7" t="inlineStr">
        <is>
          <t>Innova</t>
        </is>
      </c>
      <c r="G1931" s="7" t="inlineStr">
        <is>
          <t>SAFARNAS</t>
        </is>
      </c>
      <c r="H1931" s="7" t="inlineStr">
        <is>
          <t>Non-Captive</t>
        </is>
      </c>
      <c r="I1931" s="7" t="inlineStr">
        <is>
          <t>SANTHOSH</t>
        </is>
      </c>
      <c r="J1931" s="8" t="n"/>
      <c r="K1931" s="9" t="n">
        <v>320000</v>
      </c>
      <c r="L1931" s="10" t="n">
        <v>250000</v>
      </c>
      <c r="M1931" s="10" t="n">
        <v>4237.29</v>
      </c>
      <c r="N1931" s="11">
        <f>IF(M1931="","",ROUND(M1931*1.18,2))</f>
        <v/>
      </c>
      <c r="O1931" s="12">
        <f>IF(M1931="","",ROUND(N1931-M1931,2))</f>
        <v/>
      </c>
      <c r="P1931" s="13">
        <f>IF(AND(A1931&lt;&gt;"",B1931&lt;&gt;""), A1931&amp;" · "&amp;B1931, "")</f>
        <v/>
      </c>
    </row>
    <row r="1932">
      <c r="A1932" s="6" t="inlineStr">
        <is>
          <t>FY27</t>
        </is>
      </c>
      <c r="B1932" s="6" t="inlineStr">
        <is>
          <t>May</t>
        </is>
      </c>
      <c r="C1932" s="6" t="inlineStr">
        <is>
          <t>Kerala</t>
        </is>
      </c>
      <c r="D1932" s="7" t="inlineStr">
        <is>
          <t>KL56B7485</t>
        </is>
      </c>
      <c r="E1932" s="7" t="inlineStr">
        <is>
          <t>MARUTI SUZUKI</t>
        </is>
      </c>
      <c r="F1932" s="7" t="inlineStr">
        <is>
          <t>Alto</t>
        </is>
      </c>
      <c r="G1932" s="7" t="inlineStr">
        <is>
          <t>HAMSA</t>
        </is>
      </c>
      <c r="H1932" s="7" t="inlineStr">
        <is>
          <t>Non-Captive</t>
        </is>
      </c>
      <c r="I1932" s="7" t="inlineStr">
        <is>
          <t>EVM</t>
        </is>
      </c>
      <c r="J1932" s="8" t="n"/>
      <c r="K1932" s="9" t="n">
        <v>92000</v>
      </c>
      <c r="L1932" s="10" t="n">
        <v>105000</v>
      </c>
      <c r="M1932" s="10" t="n">
        <v>4237.29</v>
      </c>
      <c r="N1932" s="11">
        <f>IF(M1932="","",ROUND(M1932*1.18,2))</f>
        <v/>
      </c>
      <c r="O1932" s="12">
        <f>IF(M1932="","",ROUND(N1932-M1932,2))</f>
        <v/>
      </c>
      <c r="P1932" s="13">
        <f>IF(AND(A1932&lt;&gt;"",B1932&lt;&gt;""), A1932&amp;" · "&amp;B1932, "")</f>
        <v/>
      </c>
    </row>
    <row r="1933">
      <c r="A1933" s="6" t="inlineStr">
        <is>
          <t>FY27</t>
        </is>
      </c>
      <c r="B1933" s="6" t="inlineStr">
        <is>
          <t>May</t>
        </is>
      </c>
      <c r="C1933" s="6" t="inlineStr">
        <is>
          <t>Kerala</t>
        </is>
      </c>
      <c r="D1933" s="7" t="inlineStr">
        <is>
          <t>KL56V0343</t>
        </is>
      </c>
      <c r="E1933" s="7" t="inlineStr">
        <is>
          <t>MARUTI SUZUKI</t>
        </is>
      </c>
      <c r="F1933" s="7" t="inlineStr">
        <is>
          <t>Swift</t>
        </is>
      </c>
      <c r="G1933" s="7" t="inlineStr">
        <is>
          <t>HAMSA</t>
        </is>
      </c>
      <c r="H1933" s="7" t="inlineStr">
        <is>
          <t>Non-Captive</t>
        </is>
      </c>
      <c r="I1933" s="7" t="inlineStr">
        <is>
          <t>BIMAL</t>
        </is>
      </c>
      <c r="J1933" s="8" t="n"/>
      <c r="K1933" s="9" t="n">
        <v>55000</v>
      </c>
      <c r="L1933" s="10" t="n">
        <v>400000</v>
      </c>
      <c r="M1933" s="10" t="n">
        <v>4237.29</v>
      </c>
      <c r="N1933" s="11">
        <f>IF(M1933="","",ROUND(M1933*1.18,2))</f>
        <v/>
      </c>
      <c r="O1933" s="12">
        <f>IF(M1933="","",ROUND(N1933-M1933,2))</f>
        <v/>
      </c>
      <c r="P1933" s="13">
        <f>IF(AND(A1933&lt;&gt;"",B1933&lt;&gt;""), A1933&amp;" · "&amp;B1933, "")</f>
        <v/>
      </c>
    </row>
    <row r="1934">
      <c r="A1934" s="6" t="inlineStr">
        <is>
          <t>FY27</t>
        </is>
      </c>
      <c r="B1934" s="6" t="inlineStr">
        <is>
          <t>May</t>
        </is>
      </c>
      <c r="C1934" s="6" t="inlineStr">
        <is>
          <t>Kerala</t>
        </is>
      </c>
      <c r="D1934" s="7" t="inlineStr">
        <is>
          <t>KL57F6284</t>
        </is>
      </c>
      <c r="E1934" s="7" t="inlineStr">
        <is>
          <t>MARUTI SUZUKI</t>
        </is>
      </c>
      <c r="F1934" s="7" t="inlineStr">
        <is>
          <t>Dzire</t>
        </is>
      </c>
      <c r="G1934" s="7" t="inlineStr">
        <is>
          <t>UNAISE</t>
        </is>
      </c>
      <c r="H1934" s="7" t="inlineStr">
        <is>
          <t>Non-Captive</t>
        </is>
      </c>
      <c r="I1934" s="7" t="inlineStr">
        <is>
          <t>UCD NOUSHAD</t>
        </is>
      </c>
      <c r="J1934" s="8" t="n"/>
      <c r="K1934" s="9" t="n">
        <v>142000</v>
      </c>
      <c r="L1934" s="10" t="n">
        <v>243000</v>
      </c>
      <c r="M1934" s="10" t="n">
        <v>5932.2</v>
      </c>
      <c r="N1934" s="11">
        <f>IF(M1934="","",ROUND(M1934*1.18,2))</f>
        <v/>
      </c>
      <c r="O1934" s="12">
        <f>IF(M1934="","",ROUND(N1934-M1934,2))</f>
        <v/>
      </c>
      <c r="P1934" s="13">
        <f>IF(AND(A1934&lt;&gt;"",B1934&lt;&gt;""), A1934&amp;" · "&amp;B1934, "")</f>
        <v/>
      </c>
    </row>
    <row r="1935">
      <c r="A1935" s="6" t="inlineStr">
        <is>
          <t>FY27</t>
        </is>
      </c>
      <c r="B1935" s="6" t="inlineStr">
        <is>
          <t>May</t>
        </is>
      </c>
      <c r="C1935" s="6" t="inlineStr">
        <is>
          <t>Kerala</t>
        </is>
      </c>
      <c r="D1935" s="7" t="inlineStr">
        <is>
          <t>KL57L3023</t>
        </is>
      </c>
      <c r="E1935" s="7" t="inlineStr">
        <is>
          <t>TATA</t>
        </is>
      </c>
      <c r="F1935" s="7" t="inlineStr">
        <is>
          <t>Nano</t>
        </is>
      </c>
      <c r="G1935" s="7" t="inlineStr">
        <is>
          <t>SAFARNAS</t>
        </is>
      </c>
      <c r="H1935" s="7" t="inlineStr">
        <is>
          <t>Non-Captive</t>
        </is>
      </c>
      <c r="I1935" s="7" t="inlineStr">
        <is>
          <t>POPULAR MARUTI</t>
        </is>
      </c>
      <c r="J1935" s="8" t="n"/>
      <c r="K1935" s="9" t="n">
        <v>100000</v>
      </c>
      <c r="L1935" s="10" t="n">
        <v>33000</v>
      </c>
      <c r="M1935" s="10" t="n">
        <v>4237.29</v>
      </c>
      <c r="N1935" s="11">
        <f>IF(M1935="","",ROUND(M1935*1.18,2))</f>
        <v/>
      </c>
      <c r="O1935" s="12">
        <f>IF(M1935="","",ROUND(N1935-M1935,2))</f>
        <v/>
      </c>
      <c r="P1935" s="13">
        <f>IF(AND(A1935&lt;&gt;"",B1935&lt;&gt;""), A1935&amp;" · "&amp;B1935, "")</f>
        <v/>
      </c>
    </row>
    <row r="1936">
      <c r="A1936" s="6" t="inlineStr">
        <is>
          <t>FY27</t>
        </is>
      </c>
      <c r="B1936" s="6" t="inlineStr">
        <is>
          <t>May</t>
        </is>
      </c>
      <c r="C1936" s="6" t="inlineStr">
        <is>
          <t>Kerala</t>
        </is>
      </c>
      <c r="D1936" s="7" t="inlineStr">
        <is>
          <t>KL57U6373</t>
        </is>
      </c>
      <c r="E1936" s="7" t="inlineStr">
        <is>
          <t>JEEP</t>
        </is>
      </c>
      <c r="F1936" s="7" t="inlineStr">
        <is>
          <t>Compass</t>
        </is>
      </c>
      <c r="G1936" s="7" t="inlineStr">
        <is>
          <t>GARAGE CARS</t>
        </is>
      </c>
      <c r="H1936" s="7" t="inlineStr">
        <is>
          <t>Non-Captive</t>
        </is>
      </c>
      <c r="I1936" s="7" t="inlineStr">
        <is>
          <t>MOTOEXCHANGE</t>
        </is>
      </c>
      <c r="J1936" s="8" t="n"/>
      <c r="K1936" s="9" t="n">
        <v>100000</v>
      </c>
      <c r="L1936" s="10" t="n">
        <v>835000</v>
      </c>
      <c r="M1936" s="10" t="n">
        <v>4237.29</v>
      </c>
      <c r="N1936" s="11">
        <f>IF(M1936="","",ROUND(M1936*1.18,2))</f>
        <v/>
      </c>
      <c r="O1936" s="12">
        <f>IF(M1936="","",ROUND(N1936-M1936,2))</f>
        <v/>
      </c>
      <c r="P1936" s="13">
        <f>IF(AND(A1936&lt;&gt;"",B1936&lt;&gt;""), A1936&amp;" · "&amp;B1936, "")</f>
        <v/>
      </c>
    </row>
    <row r="1937">
      <c r="A1937" s="6" t="inlineStr">
        <is>
          <t>FY27</t>
        </is>
      </c>
      <c r="B1937" s="6" t="inlineStr">
        <is>
          <t>May</t>
        </is>
      </c>
      <c r="C1937" s="6" t="inlineStr">
        <is>
          <t>Kerala</t>
        </is>
      </c>
      <c r="D1937" s="7" t="inlineStr">
        <is>
          <t>KL587329</t>
        </is>
      </c>
      <c r="E1937" s="7" t="inlineStr">
        <is>
          <t>MARUTI SUZUKI</t>
        </is>
      </c>
      <c r="F1937" s="7" t="inlineStr">
        <is>
          <t>Swift</t>
        </is>
      </c>
      <c r="G1937" s="7" t="inlineStr">
        <is>
          <t>NIDEESH MOHAN</t>
        </is>
      </c>
      <c r="H1937" s="7" t="inlineStr">
        <is>
          <t>Non-Captive</t>
        </is>
      </c>
      <c r="I1937" s="7" t="inlineStr">
        <is>
          <t>POPULAR</t>
        </is>
      </c>
      <c r="J1937" s="8" t="n"/>
      <c r="K1937" s="9" t="n">
        <v>158000</v>
      </c>
      <c r="L1937" s="10" t="n">
        <v>60000</v>
      </c>
      <c r="M1937" s="10" t="n">
        <v>4237.29</v>
      </c>
      <c r="N1937" s="11">
        <f>IF(M1937="","",ROUND(M1937*1.18,2))</f>
        <v/>
      </c>
      <c r="O1937" s="12">
        <f>IF(M1937="","",ROUND(N1937-M1937,2))</f>
        <v/>
      </c>
      <c r="P1937" s="13">
        <f>IF(AND(A1937&lt;&gt;"",B1937&lt;&gt;""), A1937&amp;" · "&amp;B1937, "")</f>
        <v/>
      </c>
    </row>
    <row r="1938">
      <c r="A1938" s="6" t="inlineStr">
        <is>
          <t>FY27</t>
        </is>
      </c>
      <c r="B1938" s="6" t="inlineStr">
        <is>
          <t>May</t>
        </is>
      </c>
      <c r="C1938" s="6" t="inlineStr">
        <is>
          <t>Kerala</t>
        </is>
      </c>
      <c r="D1938" s="7" t="inlineStr">
        <is>
          <t>KL58A4187</t>
        </is>
      </c>
      <c r="E1938" s="7" t="inlineStr">
        <is>
          <t>MARUTI SUZUKI</t>
        </is>
      </c>
      <c r="F1938" s="7" t="inlineStr">
        <is>
          <t>Wagon R</t>
        </is>
      </c>
      <c r="G1938" s="7" t="inlineStr">
        <is>
          <t>NITHEESH MOHAN</t>
        </is>
      </c>
      <c r="H1938" s="7" t="inlineStr">
        <is>
          <t>Non-Captive</t>
        </is>
      </c>
      <c r="I1938" s="7" t="inlineStr">
        <is>
          <t>INDUS MARUTI</t>
        </is>
      </c>
      <c r="J1938" s="8" t="n"/>
      <c r="K1938" s="9" t="n">
        <v>124000</v>
      </c>
      <c r="L1938" s="10" t="n">
        <v>45000</v>
      </c>
      <c r="M1938" s="10" t="n">
        <v>4237.29</v>
      </c>
      <c r="N1938" s="11">
        <f>IF(M1938="","",ROUND(M1938*1.18,2))</f>
        <v/>
      </c>
      <c r="O1938" s="12">
        <f>IF(M1938="","",ROUND(N1938-M1938,2))</f>
        <v/>
      </c>
      <c r="P1938" s="13">
        <f>IF(AND(A1938&lt;&gt;"",B1938&lt;&gt;""), A1938&amp;" · "&amp;B1938, "")</f>
        <v/>
      </c>
    </row>
    <row r="1939">
      <c r="A1939" s="6" t="inlineStr">
        <is>
          <t>FY27</t>
        </is>
      </c>
      <c r="B1939" s="6" t="inlineStr">
        <is>
          <t>May</t>
        </is>
      </c>
      <c r="C1939" s="6" t="inlineStr">
        <is>
          <t>Kerala</t>
        </is>
      </c>
      <c r="D1939" s="7" t="inlineStr">
        <is>
          <t>KL58AE8768</t>
        </is>
      </c>
      <c r="E1939" s="7" t="inlineStr">
        <is>
          <t>RENAULT</t>
        </is>
      </c>
      <c r="F1939" s="7" t="inlineStr">
        <is>
          <t>Kwid</t>
        </is>
      </c>
      <c r="G1939" s="7" t="inlineStr">
        <is>
          <t>KANNUR PLATINUM</t>
        </is>
      </c>
      <c r="H1939" s="7" t="inlineStr">
        <is>
          <t>Non-Captive</t>
        </is>
      </c>
      <c r="I1939" s="7" t="inlineStr">
        <is>
          <t>ARJID</t>
        </is>
      </c>
      <c r="J1939" s="8" t="n"/>
      <c r="K1939" s="9" t="n">
        <v>39000</v>
      </c>
      <c r="L1939" s="10" t="n">
        <v>315000</v>
      </c>
      <c r="M1939" s="10" t="n">
        <v>5932.2</v>
      </c>
      <c r="N1939" s="11">
        <f>IF(M1939="","",ROUND(M1939*1.18,2))</f>
        <v/>
      </c>
      <c r="O1939" s="12">
        <f>IF(M1939="","",ROUND(N1939-M1939,2))</f>
        <v/>
      </c>
      <c r="P1939" s="13">
        <f>IF(AND(A1939&lt;&gt;"",B1939&lt;&gt;""), A1939&amp;" · "&amp;B1939, "")</f>
        <v/>
      </c>
    </row>
    <row r="1940">
      <c r="A1940" s="6" t="inlineStr">
        <is>
          <t>FY27</t>
        </is>
      </c>
      <c r="B1940" s="6" t="inlineStr">
        <is>
          <t>May</t>
        </is>
      </c>
      <c r="C1940" s="6" t="inlineStr">
        <is>
          <t>Kerala</t>
        </is>
      </c>
      <c r="D1940" s="7" t="inlineStr">
        <is>
          <t>KL58AH7958</t>
        </is>
      </c>
      <c r="E1940" s="7" t="inlineStr">
        <is>
          <t>MARUTI SUZUKI</t>
        </is>
      </c>
      <c r="F1940" s="7" t="inlineStr">
        <is>
          <t>Swift</t>
        </is>
      </c>
      <c r="G1940" s="7" t="inlineStr">
        <is>
          <t>NIDEESH</t>
        </is>
      </c>
      <c r="H1940" s="7" t="inlineStr">
        <is>
          <t>Non-Captive</t>
        </is>
      </c>
      <c r="I1940" s="7" t="inlineStr">
        <is>
          <t>KVR TATA</t>
        </is>
      </c>
      <c r="J1940" s="8" t="n"/>
      <c r="K1940" s="9" t="n">
        <v>40000</v>
      </c>
      <c r="L1940" s="10" t="n">
        <v>615000</v>
      </c>
      <c r="M1940" s="10" t="n">
        <v>4237.29</v>
      </c>
      <c r="N1940" s="11">
        <f>IF(M1940="","",ROUND(M1940*1.18,2))</f>
        <v/>
      </c>
      <c r="O1940" s="12">
        <f>IF(M1940="","",ROUND(N1940-M1940,2))</f>
        <v/>
      </c>
      <c r="P1940" s="13">
        <f>IF(AND(A1940&lt;&gt;"",B1940&lt;&gt;""), A1940&amp;" · "&amp;B1940, "")</f>
        <v/>
      </c>
    </row>
    <row r="1941">
      <c r="A1941" s="6" t="inlineStr">
        <is>
          <t>FY27</t>
        </is>
      </c>
      <c r="B1941" s="6" t="inlineStr">
        <is>
          <t>May</t>
        </is>
      </c>
      <c r="C1941" s="6" t="inlineStr">
        <is>
          <t>Kerala</t>
        </is>
      </c>
      <c r="D1941" s="7" t="inlineStr">
        <is>
          <t>KL58B6344</t>
        </is>
      </c>
      <c r="E1941" s="7" t="inlineStr">
        <is>
          <t>MARUTI SUZUKI</t>
        </is>
      </c>
      <c r="F1941" s="7" t="inlineStr">
        <is>
          <t>Wagon R</t>
        </is>
      </c>
      <c r="G1941" s="7" t="inlineStr">
        <is>
          <t>UMARALI</t>
        </is>
      </c>
      <c r="H1941" s="7" t="inlineStr">
        <is>
          <t>Non-Captive</t>
        </is>
      </c>
      <c r="I1941" s="7" t="inlineStr">
        <is>
          <t>MARVEL</t>
        </is>
      </c>
      <c r="J1941" s="8" t="n"/>
      <c r="K1941" s="9" t="n">
        <v>61000</v>
      </c>
      <c r="L1941" s="10" t="n">
        <v>105000</v>
      </c>
      <c r="M1941" s="10" t="n">
        <v>4237.29</v>
      </c>
      <c r="N1941" s="11">
        <f>IF(M1941="","",ROUND(M1941*1.18,2))</f>
        <v/>
      </c>
      <c r="O1941" s="12">
        <f>IF(M1941="","",ROUND(N1941-M1941,2))</f>
        <v/>
      </c>
      <c r="P1941" s="13">
        <f>IF(AND(A1941&lt;&gt;"",B1941&lt;&gt;""), A1941&amp;" · "&amp;B1941, "")</f>
        <v/>
      </c>
    </row>
    <row r="1942">
      <c r="A1942" s="6" t="inlineStr">
        <is>
          <t>FY27</t>
        </is>
      </c>
      <c r="B1942" s="6" t="inlineStr">
        <is>
          <t>May</t>
        </is>
      </c>
      <c r="C1942" s="6" t="inlineStr">
        <is>
          <t>Kerala</t>
        </is>
      </c>
      <c r="D1942" s="7" t="inlineStr">
        <is>
          <t>KL58E0124</t>
        </is>
      </c>
      <c r="E1942" s="7" t="inlineStr">
        <is>
          <t>MARUTI SUZUKI</t>
        </is>
      </c>
      <c r="F1942" s="7" t="inlineStr">
        <is>
          <t>Wagon R</t>
        </is>
      </c>
      <c r="G1942" s="7" t="inlineStr">
        <is>
          <t>VASIL AUTOBOT</t>
        </is>
      </c>
      <c r="H1942" s="7" t="inlineStr">
        <is>
          <t>Non-Captive</t>
        </is>
      </c>
      <c r="I1942" s="7" t="inlineStr">
        <is>
          <t>UCD NIDIHIN</t>
        </is>
      </c>
      <c r="J1942" s="8" t="n"/>
      <c r="K1942" s="9" t="n">
        <v>59000</v>
      </c>
      <c r="L1942" s="10" t="n">
        <v>150000</v>
      </c>
      <c r="M1942" s="10" t="n">
        <v>8474.58</v>
      </c>
      <c r="N1942" s="11">
        <f>IF(M1942="","",ROUND(M1942*1.18,2))</f>
        <v/>
      </c>
      <c r="O1942" s="12">
        <f>IF(M1942="","",ROUND(N1942-M1942,2))</f>
        <v/>
      </c>
      <c r="P1942" s="13">
        <f>IF(AND(A1942&lt;&gt;"",B1942&lt;&gt;""), A1942&amp;" · "&amp;B1942, "")</f>
        <v/>
      </c>
    </row>
    <row r="1943">
      <c r="A1943" s="6" t="inlineStr">
        <is>
          <t>FY27</t>
        </is>
      </c>
      <c r="B1943" s="6" t="inlineStr">
        <is>
          <t>May</t>
        </is>
      </c>
      <c r="C1943" s="6" t="inlineStr">
        <is>
          <t>Kerala</t>
        </is>
      </c>
      <c r="D1943" s="7" t="inlineStr">
        <is>
          <t>KL58G7722</t>
        </is>
      </c>
      <c r="E1943" s="7" t="inlineStr">
        <is>
          <t>HONDA</t>
        </is>
      </c>
      <c r="F1943" s="7" t="inlineStr">
        <is>
          <t>City</t>
        </is>
      </c>
      <c r="G1943" s="7" t="inlineStr">
        <is>
          <t>CARS24</t>
        </is>
      </c>
      <c r="H1943" s="7" t="inlineStr">
        <is>
          <t>Non-Captive</t>
        </is>
      </c>
      <c r="I1943" s="7" t="inlineStr">
        <is>
          <t>SHAMSUDEEN C E</t>
        </is>
      </c>
      <c r="J1943" s="8" t="n"/>
      <c r="K1943" s="9" t="n">
        <v>72649</v>
      </c>
      <c r="L1943" s="10" t="n">
        <v>178000</v>
      </c>
      <c r="M1943" s="10" t="n">
        <v>10169.49</v>
      </c>
      <c r="N1943" s="11">
        <f>IF(M1943="","",ROUND(M1943*1.18,2))</f>
        <v/>
      </c>
      <c r="O1943" s="12">
        <f>IF(M1943="","",ROUND(N1943-M1943,2))</f>
        <v/>
      </c>
      <c r="P1943" s="13">
        <f>IF(AND(A1943&lt;&gt;"",B1943&lt;&gt;""), A1943&amp;" · "&amp;B1943, "")</f>
        <v/>
      </c>
    </row>
    <row r="1944">
      <c r="A1944" s="6" t="inlineStr">
        <is>
          <t>FY27</t>
        </is>
      </c>
      <c r="B1944" s="6" t="inlineStr">
        <is>
          <t>May</t>
        </is>
      </c>
      <c r="C1944" s="6" t="inlineStr">
        <is>
          <t>Kerala</t>
        </is>
      </c>
      <c r="D1944" s="7" t="inlineStr">
        <is>
          <t>KL58Q9263</t>
        </is>
      </c>
      <c r="E1944" s="7" t="inlineStr">
        <is>
          <t>MARUTI SUZUKI</t>
        </is>
      </c>
      <c r="F1944" s="7" t="inlineStr">
        <is>
          <t>Swift</t>
        </is>
      </c>
      <c r="G1944" s="7" t="inlineStr">
        <is>
          <t>NITHEESH MOHAN</t>
        </is>
      </c>
      <c r="H1944" s="7" t="inlineStr">
        <is>
          <t>Non-Captive</t>
        </is>
      </c>
      <c r="I1944" s="7" t="inlineStr">
        <is>
          <t>INDUS MARUTI</t>
        </is>
      </c>
      <c r="J1944" s="8" t="n"/>
      <c r="K1944" s="9" t="n">
        <v>160000</v>
      </c>
      <c r="L1944" s="10" t="n">
        <v>230000</v>
      </c>
      <c r="M1944" s="10" t="n">
        <v>8474.58</v>
      </c>
      <c r="N1944" s="11">
        <f>IF(M1944="","",ROUND(M1944*1.18,2))</f>
        <v/>
      </c>
      <c r="O1944" s="12">
        <f>IF(M1944="","",ROUND(N1944-M1944,2))</f>
        <v/>
      </c>
      <c r="P1944" s="13">
        <f>IF(AND(A1944&lt;&gt;"",B1944&lt;&gt;""), A1944&amp;" · "&amp;B1944, "")</f>
        <v/>
      </c>
    </row>
    <row r="1945">
      <c r="A1945" s="6" t="inlineStr">
        <is>
          <t>FY27</t>
        </is>
      </c>
      <c r="B1945" s="6" t="inlineStr">
        <is>
          <t>May</t>
        </is>
      </c>
      <c r="C1945" s="6" t="inlineStr">
        <is>
          <t>Kerala</t>
        </is>
      </c>
      <c r="D1945" s="7" t="inlineStr">
        <is>
          <t>KL58V9077</t>
        </is>
      </c>
      <c r="E1945" s="7" t="inlineStr">
        <is>
          <t>MARUTI SUZUKI</t>
        </is>
      </c>
      <c r="F1945" s="7" t="inlineStr">
        <is>
          <t>Alto</t>
        </is>
      </c>
      <c r="G1945" s="7" t="inlineStr">
        <is>
          <t>NITHEESH</t>
        </is>
      </c>
      <c r="H1945" s="7" t="inlineStr">
        <is>
          <t>Non-Captive</t>
        </is>
      </c>
      <c r="I1945" s="7" t="inlineStr">
        <is>
          <t>INDUS MARUTI</t>
        </is>
      </c>
      <c r="J1945" s="8" t="n"/>
      <c r="K1945" s="9" t="n">
        <v>68000</v>
      </c>
      <c r="L1945" s="10" t="n">
        <v>165000</v>
      </c>
      <c r="M1945" s="10" t="n">
        <v>4237.29</v>
      </c>
      <c r="N1945" s="11">
        <f>IF(M1945="","",ROUND(M1945*1.18,2))</f>
        <v/>
      </c>
      <c r="O1945" s="12">
        <f>IF(M1945="","",ROUND(N1945-M1945,2))</f>
        <v/>
      </c>
      <c r="P1945" s="13">
        <f>IF(AND(A1945&lt;&gt;"",B1945&lt;&gt;""), A1945&amp;" · "&amp;B1945, "")</f>
        <v/>
      </c>
    </row>
    <row r="1946">
      <c r="A1946" s="6" t="inlineStr">
        <is>
          <t>FY27</t>
        </is>
      </c>
      <c r="B1946" s="6" t="inlineStr">
        <is>
          <t>May</t>
        </is>
      </c>
      <c r="C1946" s="6" t="inlineStr">
        <is>
          <t>Kerala</t>
        </is>
      </c>
      <c r="D1946" s="7" t="inlineStr">
        <is>
          <t>KL58W0491</t>
        </is>
      </c>
      <c r="E1946" s="7" t="inlineStr">
        <is>
          <t>MARUTI SUZUKI</t>
        </is>
      </c>
      <c r="F1946" s="7" t="inlineStr">
        <is>
          <t>Vitara Brezza</t>
        </is>
      </c>
      <c r="G1946" s="7" t="inlineStr">
        <is>
          <t>SANOOP</t>
        </is>
      </c>
      <c r="H1946" s="7" t="inlineStr">
        <is>
          <t>Non-Captive</t>
        </is>
      </c>
      <c r="I1946" s="7" t="inlineStr">
        <is>
          <t>AMANA TOYOTA</t>
        </is>
      </c>
      <c r="J1946" s="8" t="n"/>
      <c r="K1946" s="9" t="n">
        <v>97000</v>
      </c>
      <c r="L1946" s="10" t="n">
        <v>600000</v>
      </c>
      <c r="M1946" s="10" t="n">
        <v>5084.75</v>
      </c>
      <c r="N1946" s="11">
        <f>IF(M1946="","",ROUND(M1946*1.18,2))</f>
        <v/>
      </c>
      <c r="O1946" s="12">
        <f>IF(M1946="","",ROUND(N1946-M1946,2))</f>
        <v/>
      </c>
      <c r="P1946" s="13">
        <f>IF(AND(A1946&lt;&gt;"",B1946&lt;&gt;""), A1946&amp;" · "&amp;B1946, "")</f>
        <v/>
      </c>
    </row>
    <row r="1947">
      <c r="A1947" s="6" t="inlineStr">
        <is>
          <t>FY27</t>
        </is>
      </c>
      <c r="B1947" s="6" t="inlineStr">
        <is>
          <t>May</t>
        </is>
      </c>
      <c r="C1947" s="6" t="inlineStr">
        <is>
          <t>Kerala</t>
        </is>
      </c>
      <c r="D1947" s="7" t="inlineStr">
        <is>
          <t>KL58X9251</t>
        </is>
      </c>
      <c r="E1947" s="7" t="inlineStr">
        <is>
          <t>MARUTI SUZUKI</t>
        </is>
      </c>
      <c r="F1947" s="7" t="inlineStr">
        <is>
          <t>Alto</t>
        </is>
      </c>
      <c r="G1947" s="7" t="inlineStr">
        <is>
          <t>SANOOP</t>
        </is>
      </c>
      <c r="H1947" s="7" t="inlineStr">
        <is>
          <t>Non-Captive</t>
        </is>
      </c>
      <c r="I1947" s="7" t="inlineStr">
        <is>
          <t>UCD MITHUN</t>
        </is>
      </c>
      <c r="J1947" s="8" t="n"/>
      <c r="K1947" s="9" t="n">
        <v>40000</v>
      </c>
      <c r="L1947" s="10" t="n">
        <v>250000</v>
      </c>
      <c r="M1947" s="10" t="n">
        <v>4237.29</v>
      </c>
      <c r="N1947" s="11">
        <f>IF(M1947="","",ROUND(M1947*1.18,2))</f>
        <v/>
      </c>
      <c r="O1947" s="12">
        <f>IF(M1947="","",ROUND(N1947-M1947,2))</f>
        <v/>
      </c>
      <c r="P1947" s="13">
        <f>IF(AND(A1947&lt;&gt;"",B1947&lt;&gt;""), A1947&amp;" · "&amp;B1947, "")</f>
        <v/>
      </c>
    </row>
    <row r="1948">
      <c r="A1948" s="6" t="inlineStr">
        <is>
          <t>FY27</t>
        </is>
      </c>
      <c r="B1948" s="6" t="inlineStr">
        <is>
          <t>May</t>
        </is>
      </c>
      <c r="C1948" s="6" t="inlineStr">
        <is>
          <t>Kerala</t>
        </is>
      </c>
      <c r="D1948" s="7" t="inlineStr">
        <is>
          <t>KL58Y314</t>
        </is>
      </c>
      <c r="E1948" s="7" t="inlineStr">
        <is>
          <t>MARUTI SUZUKI</t>
        </is>
      </c>
      <c r="F1948" s="7" t="inlineStr">
        <is>
          <t>Celerio</t>
        </is>
      </c>
      <c r="G1948" s="7" t="inlineStr">
        <is>
          <t>PRAJOSH</t>
        </is>
      </c>
      <c r="H1948" s="7" t="inlineStr">
        <is>
          <t>Non-Captive</t>
        </is>
      </c>
      <c r="I1948" s="7" t="inlineStr">
        <is>
          <t>BIMAL</t>
        </is>
      </c>
      <c r="J1948" s="8" t="n"/>
      <c r="K1948" s="9" t="n">
        <v>55000</v>
      </c>
      <c r="L1948" s="10" t="n">
        <v>380000</v>
      </c>
      <c r="M1948" s="10" t="n">
        <v>5084.75</v>
      </c>
      <c r="N1948" s="11">
        <f>IF(M1948="","",ROUND(M1948*1.18,2))</f>
        <v/>
      </c>
      <c r="O1948" s="12">
        <f>IF(M1948="","",ROUND(N1948-M1948,2))</f>
        <v/>
      </c>
      <c r="P1948" s="13">
        <f>IF(AND(A1948&lt;&gt;"",B1948&lt;&gt;""), A1948&amp;" · "&amp;B1948, "")</f>
        <v/>
      </c>
    </row>
    <row r="1949">
      <c r="A1949" s="6" t="inlineStr">
        <is>
          <t>FY27</t>
        </is>
      </c>
      <c r="B1949" s="6" t="inlineStr">
        <is>
          <t>May</t>
        </is>
      </c>
      <c r="C1949" s="6" t="inlineStr">
        <is>
          <t>Kerala</t>
        </is>
      </c>
      <c r="D1949" s="7" t="inlineStr">
        <is>
          <t>KL58Y9480</t>
        </is>
      </c>
      <c r="E1949" s="7" t="inlineStr">
        <is>
          <t>DATSUN</t>
        </is>
      </c>
      <c r="F1949" s="7" t="inlineStr">
        <is>
          <t>Go Plus</t>
        </is>
      </c>
      <c r="G1949" s="7" t="inlineStr">
        <is>
          <t>SANOOP</t>
        </is>
      </c>
      <c r="H1949" s="7" t="inlineStr">
        <is>
          <t>Non-Captive</t>
        </is>
      </c>
      <c r="I1949" s="7" t="inlineStr">
        <is>
          <t>MARVEL CARS</t>
        </is>
      </c>
      <c r="J1949" s="8" t="n"/>
      <c r="K1949" s="9" t="n">
        <v>59000</v>
      </c>
      <c r="L1949" s="10" t="n">
        <v>130000</v>
      </c>
      <c r="M1949" s="10" t="n">
        <v>4237.29</v>
      </c>
      <c r="N1949" s="11">
        <f>IF(M1949="","",ROUND(M1949*1.18,2))</f>
        <v/>
      </c>
      <c r="O1949" s="12">
        <f>IF(M1949="","",ROUND(N1949-M1949,2))</f>
        <v/>
      </c>
      <c r="P1949" s="13">
        <f>IF(AND(A1949&lt;&gt;"",B1949&lt;&gt;""), A1949&amp;" · "&amp;B1949, "")</f>
        <v/>
      </c>
    </row>
    <row r="1950">
      <c r="A1950" s="6" t="inlineStr">
        <is>
          <t>FY27</t>
        </is>
      </c>
      <c r="B1950" s="6" t="inlineStr">
        <is>
          <t>May</t>
        </is>
      </c>
      <c r="C1950" s="6" t="inlineStr">
        <is>
          <t>Kerala</t>
        </is>
      </c>
      <c r="D1950" s="7" t="inlineStr">
        <is>
          <t>KL59G3993</t>
        </is>
      </c>
      <c r="E1950" s="7" t="inlineStr">
        <is>
          <t>MARUTI SUZUKI</t>
        </is>
      </c>
      <c r="F1950" s="7" t="inlineStr">
        <is>
          <t>Alto</t>
        </is>
      </c>
      <c r="G1950" s="7" t="inlineStr">
        <is>
          <t>SAJITH</t>
        </is>
      </c>
      <c r="H1950" s="7" t="inlineStr">
        <is>
          <t>Non-Captive</t>
        </is>
      </c>
      <c r="I1950" s="7" t="inlineStr">
        <is>
          <t>POPULAR MARUTI</t>
        </is>
      </c>
      <c r="J1950" s="8" t="n"/>
      <c r="K1950" s="9" t="n">
        <v>98000</v>
      </c>
      <c r="L1950" s="10" t="n">
        <v>125000</v>
      </c>
      <c r="M1950" s="10" t="n">
        <v>8474.58</v>
      </c>
      <c r="N1950" s="11">
        <f>IF(M1950="","",ROUND(M1950*1.18,2))</f>
        <v/>
      </c>
      <c r="O1950" s="12">
        <f>IF(M1950="","",ROUND(N1950-M1950,2))</f>
        <v/>
      </c>
      <c r="P1950" s="13">
        <f>IF(AND(A1950&lt;&gt;"",B1950&lt;&gt;""), A1950&amp;" · "&amp;B1950, "")</f>
        <v/>
      </c>
    </row>
    <row r="1951">
      <c r="A1951" s="6" t="inlineStr">
        <is>
          <t>FY27</t>
        </is>
      </c>
      <c r="B1951" s="6" t="inlineStr">
        <is>
          <t>May</t>
        </is>
      </c>
      <c r="C1951" s="6" t="inlineStr">
        <is>
          <t>Kerala</t>
        </is>
      </c>
      <c r="D1951" s="7" t="inlineStr">
        <is>
          <t>KL59G8036</t>
        </is>
      </c>
      <c r="E1951" s="7" t="inlineStr">
        <is>
          <t>MARUTI SUZUKI</t>
        </is>
      </c>
      <c r="F1951" s="7" t="inlineStr">
        <is>
          <t>Wagon R</t>
        </is>
      </c>
      <c r="G1951" s="7" t="inlineStr">
        <is>
          <t>SHAJEE CARS</t>
        </is>
      </c>
      <c r="H1951" s="7" t="inlineStr">
        <is>
          <t>Non-Captive</t>
        </is>
      </c>
      <c r="I1951" s="7" t="inlineStr">
        <is>
          <t>POPULAR MARUTI</t>
        </is>
      </c>
      <c r="J1951" s="8" t="n"/>
      <c r="K1951" s="9" t="n">
        <v>77000</v>
      </c>
      <c r="L1951" s="10" t="n">
        <v>200000</v>
      </c>
      <c r="M1951" s="10" t="n">
        <v>8474.58</v>
      </c>
      <c r="N1951" s="11">
        <f>IF(M1951="","",ROUND(M1951*1.18,2))</f>
        <v/>
      </c>
      <c r="O1951" s="12">
        <f>IF(M1951="","",ROUND(N1951-M1951,2))</f>
        <v/>
      </c>
      <c r="P1951" s="13">
        <f>IF(AND(A1951&lt;&gt;"",B1951&lt;&gt;""), A1951&amp;" · "&amp;B1951, "")</f>
        <v/>
      </c>
    </row>
    <row r="1952">
      <c r="A1952" s="6" t="inlineStr">
        <is>
          <t>FY27</t>
        </is>
      </c>
      <c r="B1952" s="6" t="inlineStr">
        <is>
          <t>May</t>
        </is>
      </c>
      <c r="C1952" s="6" t="inlineStr">
        <is>
          <t>Kerala</t>
        </is>
      </c>
      <c r="D1952" s="7" t="inlineStr">
        <is>
          <t>KL59H3826</t>
        </is>
      </c>
      <c r="E1952" s="7" t="inlineStr">
        <is>
          <t>HYUNDAI</t>
        </is>
      </c>
      <c r="F1952" s="7" t="inlineStr">
        <is>
          <t>i10</t>
        </is>
      </c>
      <c r="G1952" s="7" t="inlineStr">
        <is>
          <t>SABITH</t>
        </is>
      </c>
      <c r="H1952" s="7" t="inlineStr">
        <is>
          <t>Non-Captive</t>
        </is>
      </c>
      <c r="I1952" s="7" t="inlineStr">
        <is>
          <t>APCO HYUNDAI</t>
        </is>
      </c>
      <c r="J1952" s="8" t="n"/>
      <c r="K1952" s="9" t="n">
        <v>100000</v>
      </c>
      <c r="L1952" s="10" t="n">
        <v>90000</v>
      </c>
      <c r="M1952" s="10" t="n">
        <v>4237.29</v>
      </c>
      <c r="N1952" s="11">
        <f>IF(M1952="","",ROUND(M1952*1.18,2))</f>
        <v/>
      </c>
      <c r="O1952" s="12">
        <f>IF(M1952="","",ROUND(N1952-M1952,2))</f>
        <v/>
      </c>
      <c r="P1952" s="13">
        <f>IF(AND(A1952&lt;&gt;"",B1952&lt;&gt;""), A1952&amp;" · "&amp;B1952, "")</f>
        <v/>
      </c>
    </row>
    <row r="1953">
      <c r="A1953" s="6" t="inlineStr">
        <is>
          <t>FY27</t>
        </is>
      </c>
      <c r="B1953" s="6" t="inlineStr">
        <is>
          <t>May</t>
        </is>
      </c>
      <c r="C1953" s="6" t="inlineStr">
        <is>
          <t>Kerala</t>
        </is>
      </c>
      <c r="D1953" s="7" t="inlineStr">
        <is>
          <t>KL59H7542</t>
        </is>
      </c>
      <c r="E1953" s="7" t="inlineStr">
        <is>
          <t>MARUTI SUZUKI</t>
        </is>
      </c>
      <c r="F1953" s="7" t="inlineStr">
        <is>
          <t>800</t>
        </is>
      </c>
      <c r="G1953" s="7" t="inlineStr">
        <is>
          <t>NADIR</t>
        </is>
      </c>
      <c r="H1953" s="7" t="inlineStr">
        <is>
          <t>Non-Captive</t>
        </is>
      </c>
      <c r="I1953" s="7" t="inlineStr">
        <is>
          <t>INDUS MARUTI</t>
        </is>
      </c>
      <c r="J1953" s="8" t="n"/>
      <c r="K1953" s="9" t="n">
        <v>85000</v>
      </c>
      <c r="L1953" s="10" t="n">
        <v>95000</v>
      </c>
      <c r="M1953" s="10" t="n">
        <v>4237.29</v>
      </c>
      <c r="N1953" s="11">
        <f>IF(M1953="","",ROUND(M1953*1.18,2))</f>
        <v/>
      </c>
      <c r="O1953" s="12">
        <f>IF(M1953="","",ROUND(N1953-M1953,2))</f>
        <v/>
      </c>
      <c r="P1953" s="13">
        <f>IF(AND(A1953&lt;&gt;"",B1953&lt;&gt;""), A1953&amp;" · "&amp;B1953, "")</f>
        <v/>
      </c>
    </row>
    <row r="1954">
      <c r="A1954" s="6" t="inlineStr">
        <is>
          <t>FY27</t>
        </is>
      </c>
      <c r="B1954" s="6" t="inlineStr">
        <is>
          <t>May</t>
        </is>
      </c>
      <c r="C1954" s="6" t="inlineStr">
        <is>
          <t>Kerala</t>
        </is>
      </c>
      <c r="D1954" s="7" t="inlineStr">
        <is>
          <t>KL60B4801</t>
        </is>
      </c>
      <c r="E1954" s="7" t="inlineStr">
        <is>
          <t>HYUNDAI</t>
        </is>
      </c>
      <c r="F1954" s="7" t="inlineStr">
        <is>
          <t>i10</t>
        </is>
      </c>
      <c r="G1954" s="7" t="inlineStr">
        <is>
          <t>PRAJOSH</t>
        </is>
      </c>
      <c r="H1954" s="7" t="inlineStr">
        <is>
          <t>Non-Captive</t>
        </is>
      </c>
      <c r="I1954" s="7" t="inlineStr">
        <is>
          <t>KVR TATA</t>
        </is>
      </c>
      <c r="J1954" s="8" t="n"/>
      <c r="K1954" s="9" t="n">
        <v>120000</v>
      </c>
      <c r="L1954" s="10" t="n">
        <v>80000</v>
      </c>
      <c r="M1954" s="10" t="n">
        <v>5932.2</v>
      </c>
      <c r="N1954" s="11">
        <f>IF(M1954="","",ROUND(M1954*1.18,2))</f>
        <v/>
      </c>
      <c r="O1954" s="12">
        <f>IF(M1954="","",ROUND(N1954-M1954,2))</f>
        <v/>
      </c>
      <c r="P1954" s="13">
        <f>IF(AND(A1954&lt;&gt;"",B1954&lt;&gt;""), A1954&amp;" · "&amp;B1954, "")</f>
        <v/>
      </c>
    </row>
    <row r="1955">
      <c r="A1955" s="6" t="inlineStr">
        <is>
          <t>FY27</t>
        </is>
      </c>
      <c r="B1955" s="6" t="inlineStr">
        <is>
          <t>May</t>
        </is>
      </c>
      <c r="C1955" s="6" t="inlineStr">
        <is>
          <t>Kerala</t>
        </is>
      </c>
      <c r="D1955" s="7" t="inlineStr">
        <is>
          <t>KL60F3018</t>
        </is>
      </c>
      <c r="E1955" s="7" t="inlineStr">
        <is>
          <t>MARUTI SUZUKI</t>
        </is>
      </c>
      <c r="F1955" s="7" t="inlineStr">
        <is>
          <t>Alto</t>
        </is>
      </c>
      <c r="G1955" s="7" t="inlineStr">
        <is>
          <t>SHAJEE CARS</t>
        </is>
      </c>
      <c r="H1955" s="7" t="inlineStr">
        <is>
          <t>Non-Captive</t>
        </is>
      </c>
      <c r="I1955" s="7" t="inlineStr">
        <is>
          <t>POPULAR MARUTI</t>
        </is>
      </c>
      <c r="J1955" s="8" t="n"/>
      <c r="K1955" s="9" t="n">
        <v>190000</v>
      </c>
      <c r="L1955" s="10" t="n">
        <v>115000</v>
      </c>
      <c r="M1955" s="10" t="n">
        <v>10169.49</v>
      </c>
      <c r="N1955" s="11">
        <f>IF(M1955="","",ROUND(M1955*1.18,2))</f>
        <v/>
      </c>
      <c r="O1955" s="12">
        <f>IF(M1955="","",ROUND(N1955-M1955,2))</f>
        <v/>
      </c>
      <c r="P1955" s="13">
        <f>IF(AND(A1955&lt;&gt;"",B1955&lt;&gt;""), A1955&amp;" · "&amp;B1955, "")</f>
        <v/>
      </c>
    </row>
    <row r="1956">
      <c r="A1956" s="6" t="inlineStr">
        <is>
          <t>FY27</t>
        </is>
      </c>
      <c r="B1956" s="6" t="inlineStr">
        <is>
          <t>May</t>
        </is>
      </c>
      <c r="C1956" s="6" t="inlineStr">
        <is>
          <t>Kerala</t>
        </is>
      </c>
      <c r="D1956" s="7" t="inlineStr">
        <is>
          <t>KL60G3279</t>
        </is>
      </c>
      <c r="E1956" s="7" t="inlineStr">
        <is>
          <t>MARUTI SUZUKI</t>
        </is>
      </c>
      <c r="F1956" s="7" t="inlineStr">
        <is>
          <t>Swift</t>
        </is>
      </c>
      <c r="G1956" s="7" t="inlineStr">
        <is>
          <t>MARVEL MOTORS</t>
        </is>
      </c>
      <c r="H1956" s="7" t="inlineStr">
        <is>
          <t>Non-Captive</t>
        </is>
      </c>
      <c r="I1956" s="7" t="inlineStr">
        <is>
          <t>POPULAR MARUTI</t>
        </is>
      </c>
      <c r="J1956" s="8" t="n"/>
      <c r="K1956" s="9" t="n">
        <v>89000</v>
      </c>
      <c r="L1956" s="10" t="n">
        <v>250000</v>
      </c>
      <c r="M1956" s="10" t="n">
        <v>8474.58</v>
      </c>
      <c r="N1956" s="11">
        <f>IF(M1956="","",ROUND(M1956*1.18,2))</f>
        <v/>
      </c>
      <c r="O1956" s="12">
        <f>IF(M1956="","",ROUND(N1956-M1956,2))</f>
        <v/>
      </c>
      <c r="P1956" s="13">
        <f>IF(AND(A1956&lt;&gt;"",B1956&lt;&gt;""), A1956&amp;" · "&amp;B1956, "")</f>
        <v/>
      </c>
    </row>
    <row r="1957">
      <c r="A1957" s="6" t="inlineStr">
        <is>
          <t>FY27</t>
        </is>
      </c>
      <c r="B1957" s="6" t="inlineStr">
        <is>
          <t>May</t>
        </is>
      </c>
      <c r="C1957" s="6" t="inlineStr">
        <is>
          <t>Kerala</t>
        </is>
      </c>
      <c r="D1957" s="7" t="inlineStr">
        <is>
          <t>KL60R8996</t>
        </is>
      </c>
      <c r="E1957" s="7" t="inlineStr">
        <is>
          <t>RENAULT</t>
        </is>
      </c>
      <c r="F1957" s="7" t="inlineStr">
        <is>
          <t>Triber</t>
        </is>
      </c>
      <c r="G1957" s="7" t="inlineStr">
        <is>
          <t>ISMAIL FARHAN</t>
        </is>
      </c>
      <c r="H1957" s="7" t="inlineStr">
        <is>
          <t>Non-Captive</t>
        </is>
      </c>
      <c r="I1957" s="7" t="inlineStr">
        <is>
          <t>UCD REJU</t>
        </is>
      </c>
      <c r="J1957" s="8" t="n"/>
      <c r="K1957" s="9" t="n">
        <v>66000</v>
      </c>
      <c r="L1957" s="10" t="n">
        <v>400000</v>
      </c>
      <c r="M1957" s="10" t="n">
        <v>8474.58</v>
      </c>
      <c r="N1957" s="11">
        <f>IF(M1957="","",ROUND(M1957*1.18,2))</f>
        <v/>
      </c>
      <c r="O1957" s="12">
        <f>IF(M1957="","",ROUND(N1957-M1957,2))</f>
        <v/>
      </c>
      <c r="P1957" s="13">
        <f>IF(AND(A1957&lt;&gt;"",B1957&lt;&gt;""), A1957&amp;" · "&amp;B1957, "")</f>
        <v/>
      </c>
    </row>
    <row r="1958">
      <c r="A1958" s="6" t="inlineStr">
        <is>
          <t>FY27</t>
        </is>
      </c>
      <c r="B1958" s="6" t="inlineStr">
        <is>
          <t>May</t>
        </is>
      </c>
      <c r="C1958" s="6" t="inlineStr">
        <is>
          <t>Kerala</t>
        </is>
      </c>
      <c r="D1958" s="7" t="inlineStr">
        <is>
          <t>KL627926</t>
        </is>
      </c>
      <c r="E1958" s="7" t="inlineStr">
        <is>
          <t>NISSAN</t>
        </is>
      </c>
      <c r="F1958" s="7" t="inlineStr">
        <is>
          <t>Sunny</t>
        </is>
      </c>
      <c r="G1958" s="7" t="inlineStr">
        <is>
          <t>POPULAR MARUTI</t>
        </is>
      </c>
      <c r="H1958" s="7" t="inlineStr">
        <is>
          <t>Non-Captive</t>
        </is>
      </c>
      <c r="I1958" s="7" t="inlineStr">
        <is>
          <t>Aitos Cars</t>
        </is>
      </c>
      <c r="J1958" s="8" t="n"/>
      <c r="K1958" s="9" t="n">
        <v>86821</v>
      </c>
      <c r="L1958" s="10" t="n">
        <v>75000</v>
      </c>
      <c r="M1958" s="10" t="n">
        <v>12711.86</v>
      </c>
      <c r="N1958" s="11">
        <f>IF(M1958="","",ROUND(M1958*1.18,2))</f>
        <v/>
      </c>
      <c r="O1958" s="12">
        <f>IF(M1958="","",ROUND(N1958-M1958,2))</f>
        <v/>
      </c>
      <c r="P1958" s="13">
        <f>IF(AND(A1958&lt;&gt;"",B1958&lt;&gt;""), A1958&amp;" · "&amp;B1958, "")</f>
        <v/>
      </c>
    </row>
    <row r="1959">
      <c r="A1959" s="6" t="inlineStr">
        <is>
          <t>FY27</t>
        </is>
      </c>
      <c r="B1959" s="6" t="inlineStr">
        <is>
          <t>May</t>
        </is>
      </c>
      <c r="C1959" s="6" t="inlineStr">
        <is>
          <t>Kerala</t>
        </is>
      </c>
      <c r="D1959" s="7" t="inlineStr">
        <is>
          <t>KL63H5001</t>
        </is>
      </c>
      <c r="E1959" s="7" t="inlineStr">
        <is>
          <t>MAHINDRA</t>
        </is>
      </c>
      <c r="F1959" s="7" t="inlineStr">
        <is>
          <t>XUV300</t>
        </is>
      </c>
      <c r="G1959" s="7" t="inlineStr">
        <is>
          <t>MARVEL MOTORS</t>
        </is>
      </c>
      <c r="H1959" s="7" t="inlineStr">
        <is>
          <t>Non-Captive</t>
        </is>
      </c>
      <c r="I1959" s="7" t="inlineStr">
        <is>
          <t>ERAM MAHINDRA</t>
        </is>
      </c>
      <c r="J1959" s="8" t="n"/>
      <c r="K1959" s="9" t="n">
        <v>114000</v>
      </c>
      <c r="L1959" s="10" t="n">
        <v>590000</v>
      </c>
      <c r="M1959" s="10" t="n">
        <v>8474.58</v>
      </c>
      <c r="N1959" s="11">
        <f>IF(M1959="","",ROUND(M1959*1.18,2))</f>
        <v/>
      </c>
      <c r="O1959" s="12">
        <f>IF(M1959="","",ROUND(N1959-M1959,2))</f>
        <v/>
      </c>
      <c r="P1959" s="13">
        <f>IF(AND(A1959&lt;&gt;"",B1959&lt;&gt;""), A1959&amp;" · "&amp;B1959, "")</f>
        <v/>
      </c>
    </row>
    <row r="1960">
      <c r="A1960" s="6" t="inlineStr">
        <is>
          <t>FY27</t>
        </is>
      </c>
      <c r="B1960" s="6" t="inlineStr">
        <is>
          <t>May</t>
        </is>
      </c>
      <c r="C1960" s="6" t="inlineStr">
        <is>
          <t>Kerala</t>
        </is>
      </c>
      <c r="D1960" s="7" t="inlineStr">
        <is>
          <t>KL63J8915</t>
        </is>
      </c>
      <c r="E1960" s="7" t="inlineStr">
        <is>
          <t>TOYOTA</t>
        </is>
      </c>
      <c r="F1960" s="7" t="inlineStr">
        <is>
          <t>Glanza</t>
        </is>
      </c>
      <c r="G1960" s="7" t="inlineStr">
        <is>
          <t>AUTOMOTIVE</t>
        </is>
      </c>
      <c r="H1960" s="7" t="inlineStr">
        <is>
          <t>Non-Captive</t>
        </is>
      </c>
      <c r="I1960" s="7" t="inlineStr">
        <is>
          <t>Autobot</t>
        </is>
      </c>
      <c r="J1960" s="8" t="n"/>
      <c r="K1960" s="9" t="n">
        <v>11000</v>
      </c>
      <c r="L1960" s="10" t="n">
        <v>840000</v>
      </c>
      <c r="M1960" s="10" t="n">
        <v>8474.58</v>
      </c>
      <c r="N1960" s="11">
        <f>IF(M1960="","",ROUND(M1960*1.18,2))</f>
        <v/>
      </c>
      <c r="O1960" s="12">
        <f>IF(M1960="","",ROUND(N1960-M1960,2))</f>
        <v/>
      </c>
      <c r="P1960" s="13">
        <f>IF(AND(A1960&lt;&gt;"",B1960&lt;&gt;""), A1960&amp;" · "&amp;B1960, "")</f>
        <v/>
      </c>
    </row>
    <row r="1961">
      <c r="A1961" s="6" t="inlineStr">
        <is>
          <t>FY27</t>
        </is>
      </c>
      <c r="B1961" s="6" t="inlineStr">
        <is>
          <t>May</t>
        </is>
      </c>
      <c r="C1961" s="6" t="inlineStr">
        <is>
          <t>Kerala</t>
        </is>
      </c>
      <c r="D1961" s="7" t="inlineStr">
        <is>
          <t>KL64E0159</t>
        </is>
      </c>
      <c r="E1961" s="7" t="inlineStr">
        <is>
          <t>MARUTI SUZUKI</t>
        </is>
      </c>
      <c r="F1961" s="7" t="inlineStr">
        <is>
          <t>Dzire</t>
        </is>
      </c>
      <c r="G1961" s="7" t="inlineStr">
        <is>
          <t>PINNACLE WHEELS PVT LTD</t>
        </is>
      </c>
      <c r="H1961" s="7" t="inlineStr">
        <is>
          <t>Non-Captive</t>
        </is>
      </c>
      <c r="I1961" s="7" t="inlineStr">
        <is>
          <t>Aitos Cars</t>
        </is>
      </c>
      <c r="J1961" s="8" t="n"/>
      <c r="K1961" s="9" t="n">
        <v>60797</v>
      </c>
      <c r="L1961" s="10" t="n">
        <v>324000</v>
      </c>
      <c r="M1961" s="10" t="n">
        <v>13559.32</v>
      </c>
      <c r="N1961" s="11">
        <f>IF(M1961="","",ROUND(M1961*1.18,2))</f>
        <v/>
      </c>
      <c r="O1961" s="12">
        <f>IF(M1961="","",ROUND(N1961-M1961,2))</f>
        <v/>
      </c>
      <c r="P1961" s="13">
        <f>IF(AND(A1961&lt;&gt;"",B1961&lt;&gt;""), A1961&amp;" · "&amp;B1961, "")</f>
        <v/>
      </c>
    </row>
    <row r="1962">
      <c r="A1962" s="6" t="inlineStr">
        <is>
          <t>FY27</t>
        </is>
      </c>
      <c r="B1962" s="6" t="inlineStr">
        <is>
          <t>May</t>
        </is>
      </c>
      <c r="C1962" s="6" t="inlineStr">
        <is>
          <t>Kerala</t>
        </is>
      </c>
      <c r="D1962" s="7" t="inlineStr">
        <is>
          <t>KL64M2770</t>
        </is>
      </c>
      <c r="E1962" s="7" t="inlineStr">
        <is>
          <t>KIA</t>
        </is>
      </c>
      <c r="F1962" s="7" t="inlineStr">
        <is>
          <t>Seltos</t>
        </is>
      </c>
      <c r="G1962" s="7" t="inlineStr">
        <is>
          <t>AUTOMOTIVE</t>
        </is>
      </c>
      <c r="H1962" s="7" t="inlineStr">
        <is>
          <t>Non-Captive</t>
        </is>
      </c>
      <c r="I1962" s="7" t="inlineStr">
        <is>
          <t>KAPS CARS</t>
        </is>
      </c>
      <c r="J1962" s="8" t="n"/>
      <c r="K1962" s="9" t="n">
        <v>12000</v>
      </c>
      <c r="L1962" s="10" t="n">
        <v>1240000</v>
      </c>
      <c r="M1962" s="10" t="n">
        <v>8474.58</v>
      </c>
      <c r="N1962" s="11">
        <f>IF(M1962="","",ROUND(M1962*1.18,2))</f>
        <v/>
      </c>
      <c r="O1962" s="12">
        <f>IF(M1962="","",ROUND(N1962-M1962,2))</f>
        <v/>
      </c>
      <c r="P1962" s="13">
        <f>IF(AND(A1962&lt;&gt;"",B1962&lt;&gt;""), A1962&amp;" · "&amp;B1962, "")</f>
        <v/>
      </c>
    </row>
    <row r="1963">
      <c r="A1963" s="6" t="inlineStr">
        <is>
          <t>FY27</t>
        </is>
      </c>
      <c r="B1963" s="6" t="inlineStr">
        <is>
          <t>May</t>
        </is>
      </c>
      <c r="C1963" s="6" t="inlineStr">
        <is>
          <t>Kerala</t>
        </is>
      </c>
      <c r="D1963" s="7" t="inlineStr">
        <is>
          <t>KL711677</t>
        </is>
      </c>
      <c r="E1963" s="7" t="inlineStr">
        <is>
          <t>MARUTI SUZUKI</t>
        </is>
      </c>
      <c r="F1963" s="7" t="inlineStr">
        <is>
          <t>Swift</t>
        </is>
      </c>
      <c r="G1963" s="7" t="inlineStr">
        <is>
          <t>VASIL AUTOBOT</t>
        </is>
      </c>
      <c r="H1963" s="7" t="inlineStr">
        <is>
          <t>Non-Captive</t>
        </is>
      </c>
      <c r="I1963" s="7" t="inlineStr">
        <is>
          <t>BIMAL</t>
        </is>
      </c>
      <c r="J1963" s="8" t="n"/>
      <c r="K1963" s="9" t="n">
        <v>74000</v>
      </c>
      <c r="L1963" s="10" t="n">
        <v>540000</v>
      </c>
      <c r="M1963" s="10" t="n">
        <v>8474.58</v>
      </c>
      <c r="N1963" s="11">
        <f>IF(M1963="","",ROUND(M1963*1.18,2))</f>
        <v/>
      </c>
      <c r="O1963" s="12">
        <f>IF(M1963="","",ROUND(N1963-M1963,2))</f>
        <v/>
      </c>
      <c r="P1963" s="13">
        <f>IF(AND(A1963&lt;&gt;"",B1963&lt;&gt;""), A1963&amp;" · "&amp;B1963, "")</f>
        <v/>
      </c>
    </row>
    <row r="1964">
      <c r="A1964" s="6" t="inlineStr">
        <is>
          <t>FY27</t>
        </is>
      </c>
      <c r="B1964" s="6" t="inlineStr">
        <is>
          <t>May</t>
        </is>
      </c>
      <c r="C1964" s="6" t="inlineStr">
        <is>
          <t>Kerala</t>
        </is>
      </c>
      <c r="D1964" s="7" t="inlineStr">
        <is>
          <t>KL71D1677</t>
        </is>
      </c>
      <c r="E1964" s="7" t="inlineStr">
        <is>
          <t>MARUTI SUZUKI</t>
        </is>
      </c>
      <c r="F1964" s="7" t="inlineStr">
        <is>
          <t>Ritz</t>
        </is>
      </c>
      <c r="G1964" s="7" t="inlineStr">
        <is>
          <t>AUTOTRUST ARJID</t>
        </is>
      </c>
      <c r="H1964" s="7" t="inlineStr">
        <is>
          <t>Non-Captive</t>
        </is>
      </c>
      <c r="I1964" s="7" t="inlineStr">
        <is>
          <t>BIMAL</t>
        </is>
      </c>
      <c r="J1964" s="8" t="n"/>
      <c r="K1964" s="9" t="n">
        <v>160000</v>
      </c>
      <c r="L1964" s="10" t="n">
        <v>100000</v>
      </c>
      <c r="M1964" s="10" t="n">
        <v>4237.29</v>
      </c>
      <c r="N1964" s="11">
        <f>IF(M1964="","",ROUND(M1964*1.18,2))</f>
        <v/>
      </c>
      <c r="O1964" s="12">
        <f>IF(M1964="","",ROUND(N1964-M1964,2))</f>
        <v/>
      </c>
      <c r="P1964" s="13">
        <f>IF(AND(A1964&lt;&gt;"",B1964&lt;&gt;""), A1964&amp;" · "&amp;B1964, "")</f>
        <v/>
      </c>
    </row>
    <row r="1965">
      <c r="A1965" s="6" t="inlineStr">
        <is>
          <t>FY27</t>
        </is>
      </c>
      <c r="B1965" s="6" t="inlineStr">
        <is>
          <t>May</t>
        </is>
      </c>
      <c r="C1965" s="6" t="inlineStr">
        <is>
          <t>Kerala</t>
        </is>
      </c>
      <c r="D1965" s="7" t="inlineStr">
        <is>
          <t>KL78B7502</t>
        </is>
      </c>
      <c r="E1965" s="7" t="inlineStr">
        <is>
          <t>HYUNDAI</t>
        </is>
      </c>
      <c r="F1965" s="7" t="inlineStr">
        <is>
          <t>Grand i10 Nios</t>
        </is>
      </c>
      <c r="G1965" s="7" t="inlineStr">
        <is>
          <t>PRAJOSH</t>
        </is>
      </c>
      <c r="H1965" s="7" t="inlineStr">
        <is>
          <t>Non-Captive</t>
        </is>
      </c>
      <c r="I1965" s="7" t="inlineStr">
        <is>
          <t>INDUS MARUTI</t>
        </is>
      </c>
      <c r="J1965" s="8" t="n"/>
      <c r="K1965" s="9" t="n">
        <v>14000</v>
      </c>
      <c r="L1965" s="10" t="n">
        <v>462000</v>
      </c>
      <c r="M1965" s="10" t="n">
        <v>5932.2</v>
      </c>
      <c r="N1965" s="11">
        <f>IF(M1965="","",ROUND(M1965*1.18,2))</f>
        <v/>
      </c>
      <c r="O1965" s="12">
        <f>IF(M1965="","",ROUND(N1965-M1965,2))</f>
        <v/>
      </c>
      <c r="P1965" s="13">
        <f>IF(AND(A1965&lt;&gt;"",B1965&lt;&gt;""), A1965&amp;" · "&amp;B1965, "")</f>
        <v/>
      </c>
    </row>
    <row r="1966">
      <c r="A1966" s="6" t="inlineStr">
        <is>
          <t>FY27</t>
        </is>
      </c>
      <c r="B1966" s="6" t="inlineStr">
        <is>
          <t>May</t>
        </is>
      </c>
      <c r="C1966" s="6" t="inlineStr">
        <is>
          <t>Kerala</t>
        </is>
      </c>
      <c r="D1966" s="7" t="inlineStr">
        <is>
          <t>PY035995</t>
        </is>
      </c>
      <c r="E1966" s="7" t="inlineStr">
        <is>
          <t>HONDA</t>
        </is>
      </c>
      <c r="F1966" s="7" t="inlineStr">
        <is>
          <t>Amaze</t>
        </is>
      </c>
      <c r="G1966" s="7" t="inlineStr">
        <is>
          <t>SANOOP</t>
        </is>
      </c>
      <c r="H1966" s="7" t="inlineStr">
        <is>
          <t>Non-Captive</t>
        </is>
      </c>
      <c r="I1966" s="7" t="inlineStr">
        <is>
          <t>MARVEL CARS</t>
        </is>
      </c>
      <c r="J1966" s="8" t="n"/>
      <c r="K1966" s="9" t="n">
        <v>68000</v>
      </c>
      <c r="L1966" s="10" t="n">
        <v>230000</v>
      </c>
      <c r="M1966" s="10" t="n">
        <v>5084.75</v>
      </c>
      <c r="N1966" s="11">
        <f>IF(M1966="","",ROUND(M1966*1.18,2))</f>
        <v/>
      </c>
      <c r="O1966" s="12">
        <f>IF(M1966="","",ROUND(N1966-M1966,2))</f>
        <v/>
      </c>
      <c r="P1966" s="13">
        <f>IF(AND(A1966&lt;&gt;"",B1966&lt;&gt;""), A1966&amp;" · "&amp;B1966, "")</f>
        <v/>
      </c>
    </row>
    <row r="1967">
      <c r="A1967" s="6" t="inlineStr">
        <is>
          <t>FY27</t>
        </is>
      </c>
      <c r="B1967" s="6" t="inlineStr">
        <is>
          <t>May</t>
        </is>
      </c>
      <c r="C1967" s="6" t="inlineStr">
        <is>
          <t>TN</t>
        </is>
      </c>
      <c r="D1967" s="7" t="inlineStr">
        <is>
          <t>AP09BB8254</t>
        </is>
      </c>
      <c r="E1967" s="7" t="inlineStr">
        <is>
          <t>MARUTI SUZUKI</t>
        </is>
      </c>
      <c r="F1967" s="7" t="inlineStr">
        <is>
          <t>Zen</t>
        </is>
      </c>
      <c r="G1967" s="7" t="inlineStr">
        <is>
          <t>HARSHA</t>
        </is>
      </c>
      <c r="H1967" s="7" t="inlineStr">
        <is>
          <t>Non-Captive</t>
        </is>
      </c>
      <c r="I1967" s="7" t="inlineStr">
        <is>
          <t>Nirmal Cars</t>
        </is>
      </c>
      <c r="J1967" s="8" t="n">
        <v>2006</v>
      </c>
      <c r="K1967" s="9" t="n">
        <v>82714</v>
      </c>
      <c r="L1967" s="10" t="n">
        <v>55000</v>
      </c>
      <c r="M1967" s="10" t="n">
        <v>4237.29</v>
      </c>
      <c r="N1967" s="11">
        <f>IF(M1967="","",ROUND(M1967*1.18,2))</f>
        <v/>
      </c>
      <c r="O1967" s="12">
        <f>IF(M1967="","",ROUND(N1967-M1967,2))</f>
        <v/>
      </c>
      <c r="P1967" s="13">
        <f>IF(AND(A1967&lt;&gt;"",B1967&lt;&gt;""), A1967&amp;" · "&amp;B1967, "")</f>
        <v/>
      </c>
    </row>
    <row r="1968">
      <c r="A1968" s="6" t="inlineStr">
        <is>
          <t>FY27</t>
        </is>
      </c>
      <c r="B1968" s="6" t="inlineStr">
        <is>
          <t>May</t>
        </is>
      </c>
      <c r="C1968" s="6" t="inlineStr">
        <is>
          <t>TN</t>
        </is>
      </c>
      <c r="D1968" s="7" t="inlineStr">
        <is>
          <t>KA03MQ1678</t>
        </is>
      </c>
      <c r="E1968" s="7" t="inlineStr">
        <is>
          <t>HONDA</t>
        </is>
      </c>
      <c r="F1968" s="7" t="inlineStr">
        <is>
          <t>Brio</t>
        </is>
      </c>
      <c r="G1968" s="7" t="inlineStr">
        <is>
          <t>KHIVRAJ MOTOR</t>
        </is>
      </c>
      <c r="H1968" s="7" t="inlineStr">
        <is>
          <t>Non-Captive</t>
        </is>
      </c>
      <c r="I1968" s="7" t="inlineStr">
        <is>
          <t>TSM</t>
        </is>
      </c>
      <c r="J1968" s="8" t="n">
        <v>2012</v>
      </c>
      <c r="K1968" s="9" t="n">
        <v>48122</v>
      </c>
      <c r="L1968" s="10" t="n">
        <v>155000</v>
      </c>
      <c r="M1968" s="10" t="n">
        <v>3389.83</v>
      </c>
      <c r="N1968" s="11">
        <f>IF(M1968="","",ROUND(M1968*1.18,2))</f>
        <v/>
      </c>
      <c r="O1968" s="12">
        <f>IF(M1968="","",ROUND(N1968-M1968,2))</f>
        <v/>
      </c>
      <c r="P1968" s="13">
        <f>IF(AND(A1968&lt;&gt;"",B1968&lt;&gt;""), A1968&amp;" · "&amp;B1968, "")</f>
        <v/>
      </c>
    </row>
    <row r="1969">
      <c r="A1969" s="6" t="inlineStr">
        <is>
          <t>FY27</t>
        </is>
      </c>
      <c r="B1969" s="6" t="inlineStr">
        <is>
          <t>May</t>
        </is>
      </c>
      <c r="C1969" s="6" t="inlineStr">
        <is>
          <t>TN</t>
        </is>
      </c>
      <c r="D1969" s="7" t="inlineStr">
        <is>
          <t>KA51MC9891</t>
        </is>
      </c>
      <c r="E1969" s="7" t="inlineStr">
        <is>
          <t>MARUTI SUZUKI</t>
        </is>
      </c>
      <c r="F1969" s="7" t="inlineStr">
        <is>
          <t>Dzire</t>
        </is>
      </c>
      <c r="G1969" s="7" t="inlineStr">
        <is>
          <t>KHIVRAJ MOTOR</t>
        </is>
      </c>
      <c r="H1969" s="7" t="inlineStr">
        <is>
          <t>Non-Captive</t>
        </is>
      </c>
      <c r="I1969" s="7" t="inlineStr">
        <is>
          <t>Thiya Cars</t>
        </is>
      </c>
      <c r="J1969" s="8" t="n">
        <v>2011</v>
      </c>
      <c r="K1969" s="9" t="n">
        <v>76949</v>
      </c>
      <c r="L1969" s="10" t="n">
        <v>120000</v>
      </c>
      <c r="M1969" s="10" t="n">
        <v>4237.29</v>
      </c>
      <c r="N1969" s="11">
        <f>IF(M1969="","",ROUND(M1969*1.18,2))</f>
        <v/>
      </c>
      <c r="O1969" s="12">
        <f>IF(M1969="","",ROUND(N1969-M1969,2))</f>
        <v/>
      </c>
      <c r="P1969" s="13">
        <f>IF(AND(A1969&lt;&gt;"",B1969&lt;&gt;""), A1969&amp;" · "&amp;B1969, "")</f>
        <v/>
      </c>
    </row>
    <row r="1970">
      <c r="A1970" s="6" t="inlineStr">
        <is>
          <t>FY27</t>
        </is>
      </c>
      <c r="B1970" s="6" t="inlineStr">
        <is>
          <t>May</t>
        </is>
      </c>
      <c r="C1970" s="6" t="inlineStr">
        <is>
          <t>TN</t>
        </is>
      </c>
      <c r="D1970" s="7" t="inlineStr">
        <is>
          <t>KL01BM3416</t>
        </is>
      </c>
      <c r="E1970" s="7" t="inlineStr">
        <is>
          <t>HONDA</t>
        </is>
      </c>
      <c r="F1970" s="7" t="inlineStr">
        <is>
          <t>Amaze</t>
        </is>
      </c>
      <c r="G1970" s="7" t="inlineStr">
        <is>
          <t>NIPPON MOTOR CORPORATION PVT LTD</t>
        </is>
      </c>
      <c r="H1970" s="7" t="inlineStr">
        <is>
          <t>Non-Captive</t>
        </is>
      </c>
      <c r="I1970" s="7" t="inlineStr">
        <is>
          <t>Popular Thrissur</t>
        </is>
      </c>
      <c r="J1970" s="8" t="n">
        <v>2013</v>
      </c>
      <c r="K1970" s="9" t="n">
        <v>34565</v>
      </c>
      <c r="L1970" s="10" t="n">
        <v>160000</v>
      </c>
      <c r="M1970" s="10" t="n">
        <v>5000</v>
      </c>
      <c r="N1970" s="11">
        <f>IF(M1970="","",ROUND(M1970*1.18,2))</f>
        <v/>
      </c>
      <c r="O1970" s="12">
        <f>IF(M1970="","",ROUND(N1970-M1970,2))</f>
        <v/>
      </c>
      <c r="P1970" s="13">
        <f>IF(AND(A1970&lt;&gt;"",B1970&lt;&gt;""), A1970&amp;" · "&amp;B1970, "")</f>
        <v/>
      </c>
    </row>
    <row r="1971">
      <c r="A1971" s="6" t="inlineStr">
        <is>
          <t>FY27</t>
        </is>
      </c>
      <c r="B1971" s="6" t="inlineStr">
        <is>
          <t>May</t>
        </is>
      </c>
      <c r="C1971" s="6" t="inlineStr">
        <is>
          <t>TN</t>
        </is>
      </c>
      <c r="D1971" s="7" t="inlineStr">
        <is>
          <t>KL01BU8937</t>
        </is>
      </c>
      <c r="E1971" s="7" t="inlineStr">
        <is>
          <t>HONDA</t>
        </is>
      </c>
      <c r="F1971" s="7" t="inlineStr">
        <is>
          <t>City</t>
        </is>
      </c>
      <c r="G1971" s="7" t="inlineStr">
        <is>
          <t>NIPPON MOTOR CORPORATION PVT LTD</t>
        </is>
      </c>
      <c r="H1971" s="7" t="inlineStr">
        <is>
          <t>Non-Captive</t>
        </is>
      </c>
      <c r="I1971" s="7" t="inlineStr">
        <is>
          <t>SHAMNAD AH</t>
        </is>
      </c>
      <c r="J1971" s="8" t="n">
        <v>2015</v>
      </c>
      <c r="K1971" s="9" t="n">
        <v>110830</v>
      </c>
      <c r="L1971" s="10" t="n">
        <v>180000</v>
      </c>
      <c r="M1971" s="10" t="n">
        <v>5000</v>
      </c>
      <c r="N1971" s="11">
        <f>IF(M1971="","",ROUND(M1971*1.18,2))</f>
        <v/>
      </c>
      <c r="O1971" s="12">
        <f>IF(M1971="","",ROUND(N1971-M1971,2))</f>
        <v/>
      </c>
      <c r="P1971" s="13">
        <f>IF(AND(A1971&lt;&gt;"",B1971&lt;&gt;""), A1971&amp;" · "&amp;B1971, "")</f>
        <v/>
      </c>
    </row>
    <row r="1972">
      <c r="A1972" s="6" t="inlineStr">
        <is>
          <t>FY27</t>
        </is>
      </c>
      <c r="B1972" s="6" t="inlineStr">
        <is>
          <t>May</t>
        </is>
      </c>
      <c r="C1972" s="6" t="inlineStr">
        <is>
          <t>TN</t>
        </is>
      </c>
      <c r="D1972" s="7" t="inlineStr">
        <is>
          <t>KL01BY7994</t>
        </is>
      </c>
      <c r="E1972" s="7" t="inlineStr">
        <is>
          <t>MARUTI SUZUKI</t>
        </is>
      </c>
      <c r="F1972" s="7" t="inlineStr">
        <is>
          <t>Alto</t>
        </is>
      </c>
      <c r="G1972" s="7" t="inlineStr">
        <is>
          <t>DERIK MOTORS PRIVATE LIMITED</t>
        </is>
      </c>
      <c r="H1972" s="7" t="inlineStr">
        <is>
          <t>Non-Captive</t>
        </is>
      </c>
      <c r="I1972" s="7" t="inlineStr">
        <is>
          <t>Popular Thrissur</t>
        </is>
      </c>
      <c r="J1972" s="8" t="n">
        <v>2016</v>
      </c>
      <c r="K1972" s="9" t="n">
        <v>34291</v>
      </c>
      <c r="L1972" s="10" t="n">
        <v>190000</v>
      </c>
      <c r="M1972" s="10" t="n">
        <v>5000</v>
      </c>
      <c r="N1972" s="11">
        <f>IF(M1972="","",ROUND(M1972*1.18,2))</f>
        <v/>
      </c>
      <c r="O1972" s="12">
        <f>IF(M1972="","",ROUND(N1972-M1972,2))</f>
        <v/>
      </c>
      <c r="P1972" s="13">
        <f>IF(AND(A1972&lt;&gt;"",B1972&lt;&gt;""), A1972&amp;" · "&amp;B1972, "")</f>
        <v/>
      </c>
    </row>
    <row r="1973">
      <c r="A1973" s="6" t="inlineStr">
        <is>
          <t>FY27</t>
        </is>
      </c>
      <c r="B1973" s="6" t="inlineStr">
        <is>
          <t>May</t>
        </is>
      </c>
      <c r="C1973" s="6" t="inlineStr">
        <is>
          <t>TN</t>
        </is>
      </c>
      <c r="D1973" s="7" t="inlineStr">
        <is>
          <t>KL01CB4430</t>
        </is>
      </c>
      <c r="E1973" s="7" t="inlineStr">
        <is>
          <t>MARUTI SUZUKI</t>
        </is>
      </c>
      <c r="F1973" s="7" t="inlineStr">
        <is>
          <t>Wagon R</t>
        </is>
      </c>
      <c r="G1973" s="7" t="inlineStr">
        <is>
          <t>NIPPON MOTOR CORPORATION PVT LTD</t>
        </is>
      </c>
      <c r="H1973" s="7" t="inlineStr">
        <is>
          <t>Non-Captive</t>
        </is>
      </c>
      <c r="I1973" s="7" t="inlineStr">
        <is>
          <t>Popular Alleppy</t>
        </is>
      </c>
      <c r="J1973" s="8" t="n">
        <v>2017</v>
      </c>
      <c r="K1973" s="9" t="n">
        <v>33415</v>
      </c>
      <c r="L1973" s="10" t="n">
        <v>180000</v>
      </c>
      <c r="M1973" s="10" t="n">
        <v>5000</v>
      </c>
      <c r="N1973" s="11">
        <f>IF(M1973="","",ROUND(M1973*1.18,2))</f>
        <v/>
      </c>
      <c r="O1973" s="12">
        <f>IF(M1973="","",ROUND(N1973-M1973,2))</f>
        <v/>
      </c>
      <c r="P1973" s="13">
        <f>IF(AND(A1973&lt;&gt;"",B1973&lt;&gt;""), A1973&amp;" · "&amp;B1973, "")</f>
        <v/>
      </c>
    </row>
    <row r="1974">
      <c r="A1974" s="6" t="inlineStr">
        <is>
          <t>FY27</t>
        </is>
      </c>
      <c r="B1974" s="6" t="inlineStr">
        <is>
          <t>May</t>
        </is>
      </c>
      <c r="C1974" s="6" t="inlineStr">
        <is>
          <t>TN</t>
        </is>
      </c>
      <c r="D1974" s="7" t="inlineStr">
        <is>
          <t>KL01CH1704</t>
        </is>
      </c>
      <c r="E1974" s="7" t="inlineStr">
        <is>
          <t>MARUTI SUZUKI</t>
        </is>
      </c>
      <c r="F1974" s="7" t="inlineStr">
        <is>
          <t>Celerio</t>
        </is>
      </c>
      <c r="G1974" s="7" t="inlineStr">
        <is>
          <t>KAIRALI TOYOTA</t>
        </is>
      </c>
      <c r="H1974" s="7" t="inlineStr">
        <is>
          <t>Non-Captive</t>
        </is>
      </c>
      <c r="I1974" s="7" t="inlineStr">
        <is>
          <t>Popular Thrissur</t>
        </is>
      </c>
      <c r="J1974" s="8" t="n">
        <v>2018</v>
      </c>
      <c r="K1974" s="9" t="n">
        <v>51658</v>
      </c>
      <c r="L1974" s="10" t="n">
        <v>170000</v>
      </c>
      <c r="M1974" s="10" t="n">
        <v>5000</v>
      </c>
      <c r="N1974" s="11">
        <f>IF(M1974="","",ROUND(M1974*1.18,2))</f>
        <v/>
      </c>
      <c r="O1974" s="12">
        <f>IF(M1974="","",ROUND(N1974-M1974,2))</f>
        <v/>
      </c>
      <c r="P1974" s="13">
        <f>IF(AND(A1974&lt;&gt;"",B1974&lt;&gt;""), A1974&amp;" · "&amp;B1974, "")</f>
        <v/>
      </c>
    </row>
    <row r="1975">
      <c r="A1975" s="6" t="inlineStr">
        <is>
          <t>FY27</t>
        </is>
      </c>
      <c r="B1975" s="6" t="inlineStr">
        <is>
          <t>May</t>
        </is>
      </c>
      <c r="C1975" s="6" t="inlineStr">
        <is>
          <t>TN</t>
        </is>
      </c>
      <c r="D1975" s="7" t="inlineStr">
        <is>
          <t>KL01CH8014</t>
        </is>
      </c>
      <c r="E1975" s="7" t="inlineStr">
        <is>
          <t>MARUTI SUZUKI</t>
        </is>
      </c>
      <c r="F1975" s="7" t="inlineStr">
        <is>
          <t>Celerio</t>
        </is>
      </c>
      <c r="G1975" s="7" t="inlineStr">
        <is>
          <t>INDEL MOTOR CORPORATION</t>
        </is>
      </c>
      <c r="H1975" s="7" t="inlineStr">
        <is>
          <t>Non-Captive</t>
        </is>
      </c>
      <c r="I1975" s="7" t="inlineStr">
        <is>
          <t>Popular Thrissur</t>
        </is>
      </c>
      <c r="J1975" s="8" t="n">
        <v>2018</v>
      </c>
      <c r="K1975" s="9" t="n">
        <v>25674</v>
      </c>
      <c r="L1975" s="10" t="n">
        <v>170000</v>
      </c>
      <c r="M1975" s="10" t="n">
        <v>5000</v>
      </c>
      <c r="N1975" s="11">
        <f>IF(M1975="","",ROUND(M1975*1.18,2))</f>
        <v/>
      </c>
      <c r="O1975" s="12">
        <f>IF(M1975="","",ROUND(N1975-M1975,2))</f>
        <v/>
      </c>
      <c r="P1975" s="13">
        <f>IF(AND(A1975&lt;&gt;"",B1975&lt;&gt;""), A1975&amp;" · "&amp;B1975, "")</f>
        <v/>
      </c>
    </row>
    <row r="1976">
      <c r="A1976" s="6" t="inlineStr">
        <is>
          <t>FY27</t>
        </is>
      </c>
      <c r="B1976" s="6" t="inlineStr">
        <is>
          <t>May</t>
        </is>
      </c>
      <c r="C1976" s="6" t="inlineStr">
        <is>
          <t>TN</t>
        </is>
      </c>
      <c r="D1976" s="7" t="inlineStr">
        <is>
          <t>KL01CL9285</t>
        </is>
      </c>
      <c r="E1976" s="7" t="inlineStr">
        <is>
          <t>MARUTI SUZUKI</t>
        </is>
      </c>
      <c r="F1976" s="7" t="inlineStr">
        <is>
          <t>Celerio</t>
        </is>
      </c>
      <c r="G1976" s="7" t="inlineStr">
        <is>
          <t>GENUINE CARS</t>
        </is>
      </c>
      <c r="H1976" s="7" t="inlineStr">
        <is>
          <t>Non-Captive</t>
        </is>
      </c>
      <c r="I1976" s="7" t="inlineStr">
        <is>
          <t>Popular Alleppy</t>
        </is>
      </c>
      <c r="J1976" s="8" t="n">
        <v>2019</v>
      </c>
      <c r="K1976" s="9" t="n">
        <v>19538</v>
      </c>
      <c r="L1976" s="10" t="n">
        <v>190000</v>
      </c>
      <c r="M1976" s="10" t="n">
        <v>5000</v>
      </c>
      <c r="N1976" s="11">
        <f>IF(M1976="","",ROUND(M1976*1.18,2))</f>
        <v/>
      </c>
      <c r="O1976" s="12">
        <f>IF(M1976="","",ROUND(N1976-M1976,2))</f>
        <v/>
      </c>
      <c r="P1976" s="13">
        <f>IF(AND(A1976&lt;&gt;"",B1976&lt;&gt;""), A1976&amp;" · "&amp;B1976, "")</f>
        <v/>
      </c>
    </row>
    <row r="1977">
      <c r="A1977" s="6" t="inlineStr">
        <is>
          <t>FY27</t>
        </is>
      </c>
      <c r="B1977" s="6" t="inlineStr">
        <is>
          <t>May</t>
        </is>
      </c>
      <c r="C1977" s="6" t="inlineStr">
        <is>
          <t>TN</t>
        </is>
      </c>
      <c r="D1977" s="7" t="inlineStr">
        <is>
          <t>KL01CQ1801</t>
        </is>
      </c>
      <c r="E1977" s="7" t="inlineStr">
        <is>
          <t>TATA</t>
        </is>
      </c>
      <c r="F1977" s="7" t="inlineStr">
        <is>
          <t>Altroz</t>
        </is>
      </c>
      <c r="G1977" s="7" t="inlineStr">
        <is>
          <t>INDEL MOTOR CORPORATION</t>
        </is>
      </c>
      <c r="H1977" s="7" t="inlineStr">
        <is>
          <t>Non-Captive</t>
        </is>
      </c>
      <c r="I1977" s="7" t="inlineStr">
        <is>
          <t>Popular Thrissur</t>
        </is>
      </c>
      <c r="J1977" s="8" t="n">
        <v>2020</v>
      </c>
      <c r="K1977" s="9" t="n">
        <v>54310</v>
      </c>
      <c r="L1977" s="10" t="n">
        <v>175000</v>
      </c>
      <c r="M1977" s="10" t="n">
        <v>5000</v>
      </c>
      <c r="N1977" s="11">
        <f>IF(M1977="","",ROUND(M1977*1.18,2))</f>
        <v/>
      </c>
      <c r="O1977" s="12">
        <f>IF(M1977="","",ROUND(N1977-M1977,2))</f>
        <v/>
      </c>
      <c r="P1977" s="13">
        <f>IF(AND(A1977&lt;&gt;"",B1977&lt;&gt;""), A1977&amp;" · "&amp;B1977, "")</f>
        <v/>
      </c>
    </row>
    <row r="1978">
      <c r="A1978" s="6" t="inlineStr">
        <is>
          <t>FY27</t>
        </is>
      </c>
      <c r="B1978" s="6" t="inlineStr">
        <is>
          <t>May</t>
        </is>
      </c>
      <c r="C1978" s="6" t="inlineStr">
        <is>
          <t>TN</t>
        </is>
      </c>
      <c r="D1978" s="7" t="inlineStr">
        <is>
          <t>KL01CR7129</t>
        </is>
      </c>
      <c r="E1978" s="7" t="inlineStr">
        <is>
          <t>RENAULT</t>
        </is>
      </c>
      <c r="F1978" s="7" t="inlineStr">
        <is>
          <t>Kwid</t>
        </is>
      </c>
      <c r="G1978" s="7" t="inlineStr">
        <is>
          <t>MAXX MOTORS</t>
        </is>
      </c>
      <c r="H1978" s="7" t="inlineStr">
        <is>
          <t>Non-Captive</t>
        </is>
      </c>
      <c r="I1978" s="7" t="inlineStr">
        <is>
          <t>Popular Thrissur</t>
        </is>
      </c>
      <c r="J1978" s="8" t="n">
        <v>2021</v>
      </c>
      <c r="K1978" s="9" t="n">
        <v>40679</v>
      </c>
      <c r="L1978" s="10" t="n">
        <v>180000</v>
      </c>
      <c r="M1978" s="10" t="n">
        <v>5000</v>
      </c>
      <c r="N1978" s="11">
        <f>IF(M1978="","",ROUND(M1978*1.18,2))</f>
        <v/>
      </c>
      <c r="O1978" s="12">
        <f>IF(M1978="","",ROUND(N1978-M1978,2))</f>
        <v/>
      </c>
      <c r="P1978" s="13">
        <f>IF(AND(A1978&lt;&gt;"",B1978&lt;&gt;""), A1978&amp;" · "&amp;B1978, "")</f>
        <v/>
      </c>
    </row>
    <row r="1979">
      <c r="A1979" s="6" t="inlineStr">
        <is>
          <t>FY27</t>
        </is>
      </c>
      <c r="B1979" s="6" t="inlineStr">
        <is>
          <t>May</t>
        </is>
      </c>
      <c r="C1979" s="6" t="inlineStr">
        <is>
          <t>TN</t>
        </is>
      </c>
      <c r="D1979" s="7" t="inlineStr">
        <is>
          <t>KL01CS3802</t>
        </is>
      </c>
      <c r="E1979" s="7" t="inlineStr">
        <is>
          <t>MARUTI SUZUKI</t>
        </is>
      </c>
      <c r="F1979" s="7" t="inlineStr">
        <is>
          <t>Baleno</t>
        </is>
      </c>
      <c r="G1979" s="7" t="inlineStr">
        <is>
          <t>INDEL MOTOR CORPORATION</t>
        </is>
      </c>
      <c r="H1979" s="7" t="inlineStr">
        <is>
          <t>Non-Captive</t>
        </is>
      </c>
      <c r="I1979" s="7" t="inlineStr">
        <is>
          <t>Popular Thrissur</t>
        </is>
      </c>
      <c r="J1979" s="8" t="n">
        <v>2021</v>
      </c>
      <c r="K1979" s="9" t="n">
        <v>76528</v>
      </c>
      <c r="L1979" s="10" t="n">
        <v>190000</v>
      </c>
      <c r="M1979" s="10" t="n">
        <v>5000</v>
      </c>
      <c r="N1979" s="11">
        <f>IF(M1979="","",ROUND(M1979*1.18,2))</f>
        <v/>
      </c>
      <c r="O1979" s="12">
        <f>IF(M1979="","",ROUND(N1979-M1979,2))</f>
        <v/>
      </c>
      <c r="P1979" s="13">
        <f>IF(AND(A1979&lt;&gt;"",B1979&lt;&gt;""), A1979&amp;" · "&amp;B1979, "")</f>
        <v/>
      </c>
    </row>
    <row r="1980">
      <c r="A1980" s="6" t="inlineStr">
        <is>
          <t>FY27</t>
        </is>
      </c>
      <c r="B1980" s="6" t="inlineStr">
        <is>
          <t>May</t>
        </is>
      </c>
      <c r="C1980" s="6" t="inlineStr">
        <is>
          <t>TN</t>
        </is>
      </c>
      <c r="D1980" s="7" t="inlineStr">
        <is>
          <t>KL02AS3043</t>
        </is>
      </c>
      <c r="E1980" s="7" t="inlineStr">
        <is>
          <t>MARUTI SUZUKI</t>
        </is>
      </c>
      <c r="F1980" s="7" t="inlineStr">
        <is>
          <t>Dzire</t>
        </is>
      </c>
      <c r="G1980" s="7" t="inlineStr">
        <is>
          <t>INDEL MOTOR CORPORATION</t>
        </is>
      </c>
      <c r="H1980" s="7" t="inlineStr">
        <is>
          <t>Non-Captive</t>
        </is>
      </c>
      <c r="I1980" s="7" t="inlineStr">
        <is>
          <t>Popular Thrissur</t>
        </is>
      </c>
      <c r="J1980" s="8" t="n">
        <v>2014</v>
      </c>
      <c r="K1980" s="9" t="n">
        <v>65371</v>
      </c>
      <c r="L1980" s="10" t="n">
        <v>170000</v>
      </c>
      <c r="M1980" s="10" t="n">
        <v>5000</v>
      </c>
      <c r="N1980" s="11">
        <f>IF(M1980="","",ROUND(M1980*1.18,2))</f>
        <v/>
      </c>
      <c r="O1980" s="12">
        <f>IF(M1980="","",ROUND(N1980-M1980,2))</f>
        <v/>
      </c>
      <c r="P1980" s="13">
        <f>IF(AND(A1980&lt;&gt;"",B1980&lt;&gt;""), A1980&amp;" · "&amp;B1980, "")</f>
        <v/>
      </c>
    </row>
    <row r="1981">
      <c r="A1981" s="6" t="inlineStr">
        <is>
          <t>FY27</t>
        </is>
      </c>
      <c r="B1981" s="6" t="inlineStr">
        <is>
          <t>May</t>
        </is>
      </c>
      <c r="C1981" s="6" t="inlineStr">
        <is>
          <t>TN</t>
        </is>
      </c>
      <c r="D1981" s="7" t="inlineStr">
        <is>
          <t>KL02BL6949</t>
        </is>
      </c>
      <c r="E1981" s="7" t="inlineStr">
        <is>
          <t>MARUTI SUZUKI</t>
        </is>
      </c>
      <c r="F1981" s="7" t="inlineStr">
        <is>
          <t>XL6</t>
        </is>
      </c>
      <c r="G1981" s="7" t="inlineStr">
        <is>
          <t>GENUINE CARS</t>
        </is>
      </c>
      <c r="H1981" s="7" t="inlineStr">
        <is>
          <t>Non-Captive</t>
        </is>
      </c>
      <c r="I1981" s="7" t="inlineStr">
        <is>
          <t>Popular Alleppy</t>
        </is>
      </c>
      <c r="J1981" s="8" t="n">
        <v>2020</v>
      </c>
      <c r="K1981" s="9" t="n">
        <v>36423</v>
      </c>
      <c r="L1981" s="10" t="n">
        <v>180000</v>
      </c>
      <c r="M1981" s="10" t="n">
        <v>5000</v>
      </c>
      <c r="N1981" s="11">
        <f>IF(M1981="","",ROUND(M1981*1.18,2))</f>
        <v/>
      </c>
      <c r="O1981" s="12">
        <f>IF(M1981="","",ROUND(N1981-M1981,2))</f>
        <v/>
      </c>
      <c r="P1981" s="13">
        <f>IF(AND(A1981&lt;&gt;"",B1981&lt;&gt;""), A1981&amp;" · "&amp;B1981, "")</f>
        <v/>
      </c>
    </row>
    <row r="1982">
      <c r="A1982" s="6" t="inlineStr">
        <is>
          <t>FY27</t>
        </is>
      </c>
      <c r="B1982" s="6" t="inlineStr">
        <is>
          <t>May</t>
        </is>
      </c>
      <c r="C1982" s="6" t="inlineStr">
        <is>
          <t>TN</t>
        </is>
      </c>
      <c r="D1982" s="7" t="inlineStr">
        <is>
          <t>KL07BR8354</t>
        </is>
      </c>
      <c r="E1982" s="7" t="inlineStr">
        <is>
          <t>FORD</t>
        </is>
      </c>
      <c r="F1982" s="7" t="inlineStr">
        <is>
          <t>Freestyle</t>
        </is>
      </c>
      <c r="G1982" s="7" t="inlineStr">
        <is>
          <t>MM MOTOR</t>
        </is>
      </c>
      <c r="H1982" s="7" t="inlineStr">
        <is>
          <t>Non-Captive</t>
        </is>
      </c>
      <c r="I1982" s="7" t="inlineStr">
        <is>
          <t>Thiya Cars</t>
        </is>
      </c>
      <c r="J1982" s="8" t="n">
        <v>2011</v>
      </c>
      <c r="K1982" s="9" t="n">
        <v>102580</v>
      </c>
      <c r="L1982" s="10" t="n">
        <v>108000</v>
      </c>
      <c r="M1982" s="10" t="n">
        <v>3389.83</v>
      </c>
      <c r="N1982" s="11">
        <f>IF(M1982="","",ROUND(M1982*1.18,2))</f>
        <v/>
      </c>
      <c r="O1982" s="12">
        <f>IF(M1982="","",ROUND(N1982-M1982,2))</f>
        <v/>
      </c>
      <c r="P1982" s="13">
        <f>IF(AND(A1982&lt;&gt;"",B1982&lt;&gt;""), A1982&amp;" · "&amp;B1982, "")</f>
        <v/>
      </c>
    </row>
    <row r="1983">
      <c r="A1983" s="6" t="inlineStr">
        <is>
          <t>FY27</t>
        </is>
      </c>
      <c r="B1983" s="6" t="inlineStr">
        <is>
          <t>May</t>
        </is>
      </c>
      <c r="C1983" s="6" t="inlineStr">
        <is>
          <t>TN</t>
        </is>
      </c>
      <c r="D1983" s="7" t="inlineStr">
        <is>
          <t>KL22M2843</t>
        </is>
      </c>
      <c r="E1983" s="7" t="inlineStr">
        <is>
          <t>MARUTI SUZUKI</t>
        </is>
      </c>
      <c r="F1983" s="7" t="inlineStr">
        <is>
          <t>Dzire</t>
        </is>
      </c>
      <c r="G1983" s="7" t="inlineStr">
        <is>
          <t>NIPPON MOTOR CORPORATION PVT LTD</t>
        </is>
      </c>
      <c r="H1983" s="7" t="inlineStr">
        <is>
          <t>Non-Captive</t>
        </is>
      </c>
      <c r="I1983" s="7" t="inlineStr">
        <is>
          <t>Popular Thrissur</t>
        </is>
      </c>
      <c r="J1983" s="8" t="n">
        <v>2018</v>
      </c>
      <c r="K1983" s="9" t="n">
        <v>47177</v>
      </c>
      <c r="L1983" s="10" t="n">
        <v>180000</v>
      </c>
      <c r="M1983" s="10" t="n">
        <v>5000</v>
      </c>
      <c r="N1983" s="11">
        <f>IF(M1983="","",ROUND(M1983*1.18,2))</f>
        <v/>
      </c>
      <c r="O1983" s="12">
        <f>IF(M1983="","",ROUND(N1983-M1983,2))</f>
        <v/>
      </c>
      <c r="P1983" s="13">
        <f>IF(AND(A1983&lt;&gt;"",B1983&lt;&gt;""), A1983&amp;" · "&amp;B1983, "")</f>
        <v/>
      </c>
    </row>
    <row r="1984">
      <c r="A1984" s="6" t="inlineStr">
        <is>
          <t>FY27</t>
        </is>
      </c>
      <c r="B1984" s="6" t="inlineStr">
        <is>
          <t>May</t>
        </is>
      </c>
      <c r="C1984" s="6" t="inlineStr">
        <is>
          <t>TN</t>
        </is>
      </c>
      <c r="D1984" s="7" t="inlineStr">
        <is>
          <t>KL22N6123</t>
        </is>
      </c>
      <c r="E1984" s="7" t="inlineStr">
        <is>
          <t>MARUTI SUZUKI</t>
        </is>
      </c>
      <c r="F1984" s="7" t="inlineStr">
        <is>
          <t>Wagon R</t>
        </is>
      </c>
      <c r="G1984" s="7" t="inlineStr">
        <is>
          <t>NBT AUTOCORP INDIA PRIVATE LIMITED</t>
        </is>
      </c>
      <c r="H1984" s="7" t="inlineStr">
        <is>
          <t>Non-Captive</t>
        </is>
      </c>
      <c r="I1984" s="7" t="inlineStr">
        <is>
          <t>Popular Thrissur</t>
        </is>
      </c>
      <c r="J1984" s="8" t="n">
        <v>2019</v>
      </c>
      <c r="K1984" s="9" t="n">
        <v>42347</v>
      </c>
      <c r="L1984" s="10" t="n">
        <v>180000</v>
      </c>
      <c r="M1984" s="10" t="n">
        <v>5000</v>
      </c>
      <c r="N1984" s="11">
        <f>IF(M1984="","",ROUND(M1984*1.18,2))</f>
        <v/>
      </c>
      <c r="O1984" s="12">
        <f>IF(M1984="","",ROUND(N1984-M1984,2))</f>
        <v/>
      </c>
      <c r="P1984" s="13">
        <f>IF(AND(A1984&lt;&gt;"",B1984&lt;&gt;""), A1984&amp;" · "&amp;B1984, "")</f>
        <v/>
      </c>
    </row>
    <row r="1985">
      <c r="A1985" s="6" t="inlineStr">
        <is>
          <t>FY27</t>
        </is>
      </c>
      <c r="B1985" s="6" t="inlineStr">
        <is>
          <t>May</t>
        </is>
      </c>
      <c r="C1985" s="6" t="inlineStr">
        <is>
          <t>TN</t>
        </is>
      </c>
      <c r="D1985" s="7" t="inlineStr">
        <is>
          <t>KL74A8927</t>
        </is>
      </c>
      <c r="E1985" s="7" t="inlineStr">
        <is>
          <t>MARUTI SUZUKI</t>
        </is>
      </c>
      <c r="F1985" s="7" t="inlineStr">
        <is>
          <t>Dzire</t>
        </is>
      </c>
      <c r="G1985" s="7" t="inlineStr">
        <is>
          <t>NIPPON MOTOR CORPORATION PVT LTD</t>
        </is>
      </c>
      <c r="H1985" s="7" t="inlineStr">
        <is>
          <t>Non-Captive</t>
        </is>
      </c>
      <c r="I1985" s="7" t="inlineStr">
        <is>
          <t>Popular Thrissur</t>
        </is>
      </c>
      <c r="J1985" s="8" t="n">
        <v>2020</v>
      </c>
      <c r="K1985" s="9" t="n">
        <v>36590</v>
      </c>
      <c r="L1985" s="10" t="n">
        <v>170000</v>
      </c>
      <c r="M1985" s="10" t="n">
        <v>5000</v>
      </c>
      <c r="N1985" s="11">
        <f>IF(M1985="","",ROUND(M1985*1.18,2))</f>
        <v/>
      </c>
      <c r="O1985" s="12">
        <f>IF(M1985="","",ROUND(N1985-M1985,2))</f>
        <v/>
      </c>
      <c r="P1985" s="13">
        <f>IF(AND(A1985&lt;&gt;"",B1985&lt;&gt;""), A1985&amp;" · "&amp;B1985, "")</f>
        <v/>
      </c>
    </row>
    <row r="1986">
      <c r="A1986" s="6" t="inlineStr">
        <is>
          <t>FY27</t>
        </is>
      </c>
      <c r="B1986" s="6" t="inlineStr">
        <is>
          <t>May</t>
        </is>
      </c>
      <c r="C1986" s="6" t="inlineStr">
        <is>
          <t>TN</t>
        </is>
      </c>
      <c r="D1986" s="7" t="inlineStr">
        <is>
          <t>TN01AA5423</t>
        </is>
      </c>
      <c r="E1986" s="7" t="inlineStr">
        <is>
          <t>MARUTI SUZUKI</t>
        </is>
      </c>
      <c r="F1986" s="7" t="inlineStr">
        <is>
          <t>Swift</t>
        </is>
      </c>
      <c r="G1986" s="7" t="inlineStr">
        <is>
          <t>KHIVRAJ MOTOR</t>
        </is>
      </c>
      <c r="H1986" s="7" t="inlineStr">
        <is>
          <t>Non-Captive</t>
        </is>
      </c>
      <c r="I1986" s="7" t="inlineStr">
        <is>
          <t>Shree Shan Motor</t>
        </is>
      </c>
      <c r="J1986" s="8" t="n">
        <v>2006</v>
      </c>
      <c r="K1986" s="9" t="n">
        <v>114761</v>
      </c>
      <c r="L1986" s="10" t="n">
        <v>60000</v>
      </c>
      <c r="M1986" s="10" t="n">
        <v>3389.83</v>
      </c>
      <c r="N1986" s="11">
        <f>IF(M1986="","",ROUND(M1986*1.18,2))</f>
        <v/>
      </c>
      <c r="O1986" s="12">
        <f>IF(M1986="","",ROUND(N1986-M1986,2))</f>
        <v/>
      </c>
      <c r="P1986" s="13">
        <f>IF(AND(A1986&lt;&gt;"",B1986&lt;&gt;""), A1986&amp;" · "&amp;B1986, "")</f>
        <v/>
      </c>
    </row>
    <row r="1987">
      <c r="A1987" s="6" t="inlineStr">
        <is>
          <t>FY27</t>
        </is>
      </c>
      <c r="B1987" s="6" t="inlineStr">
        <is>
          <t>May</t>
        </is>
      </c>
      <c r="C1987" s="6" t="inlineStr">
        <is>
          <t>TN</t>
        </is>
      </c>
      <c r="D1987" s="7" t="inlineStr">
        <is>
          <t>TN01AD2742</t>
        </is>
      </c>
      <c r="E1987" s="7" t="inlineStr">
        <is>
          <t>TOYOTA</t>
        </is>
      </c>
      <c r="F1987" s="7" t="inlineStr">
        <is>
          <t>Camry</t>
        </is>
      </c>
      <c r="G1987" s="7" t="inlineStr">
        <is>
          <t>CAR HUB</t>
        </is>
      </c>
      <c r="H1987" s="7" t="inlineStr">
        <is>
          <t>Non-Captive</t>
        </is>
      </c>
      <c r="I1987" s="7" t="inlineStr">
        <is>
          <t>Nirmal Cars</t>
        </is>
      </c>
      <c r="J1987" s="8" t="n">
        <v>2007</v>
      </c>
      <c r="K1987" s="9" t="n">
        <v>117107</v>
      </c>
      <c r="L1987" s="10" t="n">
        <v>148000</v>
      </c>
      <c r="M1987" s="10" t="n">
        <v>3389.83</v>
      </c>
      <c r="N1987" s="11">
        <f>IF(M1987="","",ROUND(M1987*1.18,2))</f>
        <v/>
      </c>
      <c r="O1987" s="12">
        <f>IF(M1987="","",ROUND(N1987-M1987,2))</f>
        <v/>
      </c>
      <c r="P1987" s="13">
        <f>IF(AND(A1987&lt;&gt;"",B1987&lt;&gt;""), A1987&amp;" · "&amp;B1987, "")</f>
        <v/>
      </c>
    </row>
    <row r="1988">
      <c r="A1988" s="6" t="inlineStr">
        <is>
          <t>FY27</t>
        </is>
      </c>
      <c r="B1988" s="6" t="inlineStr">
        <is>
          <t>May</t>
        </is>
      </c>
      <c r="C1988" s="6" t="inlineStr">
        <is>
          <t>TN</t>
        </is>
      </c>
      <c r="D1988" s="7" t="inlineStr">
        <is>
          <t>TN01AE2144</t>
        </is>
      </c>
      <c r="E1988" s="7" t="inlineStr">
        <is>
          <t>FORD</t>
        </is>
      </c>
      <c r="F1988" s="7" t="inlineStr">
        <is>
          <t>Figo</t>
        </is>
      </c>
      <c r="G1988" s="7" t="inlineStr">
        <is>
          <t>POPULAR VEHICLES</t>
        </is>
      </c>
      <c r="H1988" s="7" t="inlineStr">
        <is>
          <t>Non-Captive</t>
        </is>
      </c>
      <c r="I1988" s="7" t="inlineStr">
        <is>
          <t>Grid 33</t>
        </is>
      </c>
      <c r="J1988" s="8" t="n">
        <v>2007</v>
      </c>
      <c r="K1988" s="9" t="n">
        <v>99999</v>
      </c>
      <c r="L1988" s="10" t="n">
        <v>80000</v>
      </c>
      <c r="M1988" s="10" t="n">
        <v>4237.29</v>
      </c>
      <c r="N1988" s="11">
        <f>IF(M1988="","",ROUND(M1988*1.18,2))</f>
        <v/>
      </c>
      <c r="O1988" s="12">
        <f>IF(M1988="","",ROUND(N1988-M1988,2))</f>
        <v/>
      </c>
      <c r="P1988" s="13">
        <f>IF(AND(A1988&lt;&gt;"",B1988&lt;&gt;""), A1988&amp;" · "&amp;B1988, "")</f>
        <v/>
      </c>
    </row>
    <row r="1989">
      <c r="A1989" s="6" t="inlineStr">
        <is>
          <t>FY27</t>
        </is>
      </c>
      <c r="B1989" s="6" t="inlineStr">
        <is>
          <t>May</t>
        </is>
      </c>
      <c r="C1989" s="6" t="inlineStr">
        <is>
          <t>TN</t>
        </is>
      </c>
      <c r="D1989" s="7" t="inlineStr">
        <is>
          <t>TN01AK7291</t>
        </is>
      </c>
      <c r="E1989" s="7" t="inlineStr">
        <is>
          <t>HYUNDAI</t>
        </is>
      </c>
      <c r="F1989" s="7" t="inlineStr">
        <is>
          <t>Verna</t>
        </is>
      </c>
      <c r="G1989" s="7" t="inlineStr">
        <is>
          <t>KHIVRAJ MOTOR</t>
        </is>
      </c>
      <c r="H1989" s="7" t="inlineStr">
        <is>
          <t>Non-Captive</t>
        </is>
      </c>
      <c r="I1989" s="7" t="inlineStr">
        <is>
          <t>Grid 33</t>
        </is>
      </c>
      <c r="J1989" s="8" t="n">
        <v>2010</v>
      </c>
      <c r="K1989" s="9" t="n">
        <v>69519</v>
      </c>
      <c r="L1989" s="10" t="n">
        <v>70000</v>
      </c>
      <c r="M1989" s="10" t="n">
        <v>4237.29</v>
      </c>
      <c r="N1989" s="11">
        <f>IF(M1989="","",ROUND(M1989*1.18,2))</f>
        <v/>
      </c>
      <c r="O1989" s="12">
        <f>IF(M1989="","",ROUND(N1989-M1989,2))</f>
        <v/>
      </c>
      <c r="P1989" s="13">
        <f>IF(AND(A1989&lt;&gt;"",B1989&lt;&gt;""), A1989&amp;" · "&amp;B1989, "")</f>
        <v/>
      </c>
    </row>
    <row r="1990">
      <c r="A1990" s="6" t="inlineStr">
        <is>
          <t>FY27</t>
        </is>
      </c>
      <c r="B1990" s="6" t="inlineStr">
        <is>
          <t>May</t>
        </is>
      </c>
      <c r="C1990" s="6" t="inlineStr">
        <is>
          <t>TN</t>
        </is>
      </c>
      <c r="D1990" s="7" t="inlineStr">
        <is>
          <t>TN01AP1122</t>
        </is>
      </c>
      <c r="E1990" s="7" t="inlineStr">
        <is>
          <t>SKODA</t>
        </is>
      </c>
      <c r="F1990" s="7" t="inlineStr">
        <is>
          <t>Laura</t>
        </is>
      </c>
      <c r="G1990" s="7" t="inlineStr">
        <is>
          <t>SENTHIL CARS</t>
        </is>
      </c>
      <c r="H1990" s="7" t="inlineStr">
        <is>
          <t>Non-Captive</t>
        </is>
      </c>
      <c r="I1990" s="7" t="inlineStr">
        <is>
          <t>Thiya Cars</t>
        </is>
      </c>
      <c r="J1990" s="8" t="n">
        <v>2011</v>
      </c>
      <c r="K1990" s="9" t="n">
        <v>51130</v>
      </c>
      <c r="L1990" s="10" t="n">
        <v>100000</v>
      </c>
      <c r="M1990" s="10" t="n">
        <v>3389.83</v>
      </c>
      <c r="N1990" s="11">
        <f>IF(M1990="","",ROUND(M1990*1.18,2))</f>
        <v/>
      </c>
      <c r="O1990" s="12">
        <f>IF(M1990="","",ROUND(N1990-M1990,2))</f>
        <v/>
      </c>
      <c r="P1990" s="13">
        <f>IF(AND(A1990&lt;&gt;"",B1990&lt;&gt;""), A1990&amp;" · "&amp;B1990, "")</f>
        <v/>
      </c>
    </row>
    <row r="1991">
      <c r="A1991" s="6" t="inlineStr">
        <is>
          <t>FY27</t>
        </is>
      </c>
      <c r="B1991" s="6" t="inlineStr">
        <is>
          <t>May</t>
        </is>
      </c>
      <c r="C1991" s="6" t="inlineStr">
        <is>
          <t>TN</t>
        </is>
      </c>
      <c r="D1991" s="7" t="inlineStr">
        <is>
          <t>TN01AP2777</t>
        </is>
      </c>
      <c r="E1991" s="7" t="inlineStr">
        <is>
          <t>MARUTI SUZUKI</t>
        </is>
      </c>
      <c r="F1991" s="7" t="inlineStr">
        <is>
          <t>Alto K10</t>
        </is>
      </c>
      <c r="G1991" s="7" t="inlineStr">
        <is>
          <t>SURIYAKUMAR</t>
        </is>
      </c>
      <c r="H1991" s="7" t="inlineStr">
        <is>
          <t>Non-Captive</t>
        </is>
      </c>
      <c r="I1991" s="7" t="inlineStr">
        <is>
          <t>Mahathi Cars</t>
        </is>
      </c>
      <c r="J1991" s="8" t="n">
        <v>2011</v>
      </c>
      <c r="K1991" s="9" t="n">
        <v>0</v>
      </c>
      <c r="L1991" s="10" t="n">
        <v>50000</v>
      </c>
      <c r="M1991" s="10" t="n">
        <v>4237.29</v>
      </c>
      <c r="N1991" s="11">
        <f>IF(M1991="","",ROUND(M1991*1.18,2))</f>
        <v/>
      </c>
      <c r="O1991" s="12">
        <f>IF(M1991="","",ROUND(N1991-M1991,2))</f>
        <v/>
      </c>
      <c r="P1991" s="13">
        <f>IF(AND(A1991&lt;&gt;"",B1991&lt;&gt;""), A1991&amp;" · "&amp;B1991, "")</f>
        <v/>
      </c>
    </row>
    <row r="1992">
      <c r="A1992" s="6" t="inlineStr">
        <is>
          <t>FY27</t>
        </is>
      </c>
      <c r="B1992" s="6" t="inlineStr">
        <is>
          <t>May</t>
        </is>
      </c>
      <c r="C1992" s="6" t="inlineStr">
        <is>
          <t>TN</t>
        </is>
      </c>
      <c r="D1992" s="7" t="inlineStr">
        <is>
          <t>TN01AQ9625</t>
        </is>
      </c>
      <c r="E1992" s="7" t="inlineStr">
        <is>
          <t>CHEVROLET</t>
        </is>
      </c>
      <c r="F1992" s="7" t="inlineStr">
        <is>
          <t>Beat</t>
        </is>
      </c>
      <c r="G1992" s="7" t="inlineStr">
        <is>
          <t>KHIVRAJ MOTOR</t>
        </is>
      </c>
      <c r="H1992" s="7" t="inlineStr">
        <is>
          <t>Non-Captive</t>
        </is>
      </c>
      <c r="I1992" s="7" t="inlineStr">
        <is>
          <t>Nirmal Cars</t>
        </is>
      </c>
      <c r="J1992" s="8" t="n">
        <v>2012</v>
      </c>
      <c r="K1992" s="9" t="n">
        <v>75551</v>
      </c>
      <c r="L1992" s="10" t="n">
        <v>126000</v>
      </c>
      <c r="M1992" s="10" t="n">
        <v>4237.29</v>
      </c>
      <c r="N1992" s="11">
        <f>IF(M1992="","",ROUND(M1992*1.18,2))</f>
        <v/>
      </c>
      <c r="O1992" s="12">
        <f>IF(M1992="","",ROUND(N1992-M1992,2))</f>
        <v/>
      </c>
      <c r="P1992" s="13">
        <f>IF(AND(A1992&lt;&gt;"",B1992&lt;&gt;""), A1992&amp;" · "&amp;B1992, "")</f>
        <v/>
      </c>
    </row>
    <row r="1993">
      <c r="A1993" s="6" t="inlineStr">
        <is>
          <t>FY27</t>
        </is>
      </c>
      <c r="B1993" s="6" t="inlineStr">
        <is>
          <t>May</t>
        </is>
      </c>
      <c r="C1993" s="6" t="inlineStr">
        <is>
          <t>TN</t>
        </is>
      </c>
      <c r="D1993" s="7" t="inlineStr">
        <is>
          <t>TN01AR3143</t>
        </is>
      </c>
      <c r="E1993" s="7" t="inlineStr">
        <is>
          <t>FORD</t>
        </is>
      </c>
      <c r="F1993" s="7" t="inlineStr">
        <is>
          <t>Figo</t>
        </is>
      </c>
      <c r="G1993" s="7" t="inlineStr">
        <is>
          <t>EXCHANGE ROTN</t>
        </is>
      </c>
      <c r="H1993" s="7" t="inlineStr">
        <is>
          <t>Captive</t>
        </is>
      </c>
      <c r="I1993" s="7" t="inlineStr">
        <is>
          <t>Ashwin cars</t>
        </is>
      </c>
      <c r="J1993" s="8" t="n">
        <v>2012</v>
      </c>
      <c r="K1993" s="9" t="n">
        <v>157724</v>
      </c>
      <c r="L1993" s="10" t="n">
        <v>90000</v>
      </c>
      <c r="M1993" s="10" t="n">
        <v>4237.29</v>
      </c>
      <c r="N1993" s="11">
        <f>IF(M1993="","",ROUND(M1993*1.18,2))</f>
        <v/>
      </c>
      <c r="O1993" s="12">
        <f>IF(M1993="","",ROUND(N1993-M1993,2))</f>
        <v/>
      </c>
      <c r="P1993" s="13">
        <f>IF(AND(A1993&lt;&gt;"",B1993&lt;&gt;""), A1993&amp;" · "&amp;B1993, "")</f>
        <v/>
      </c>
    </row>
    <row r="1994">
      <c r="A1994" s="6" t="inlineStr">
        <is>
          <t>FY27</t>
        </is>
      </c>
      <c r="B1994" s="6" t="inlineStr">
        <is>
          <t>May</t>
        </is>
      </c>
      <c r="C1994" s="6" t="inlineStr">
        <is>
          <t>TN</t>
        </is>
      </c>
      <c r="D1994" s="7" t="inlineStr">
        <is>
          <t>TN01AS1470</t>
        </is>
      </c>
      <c r="E1994" s="7" t="inlineStr">
        <is>
          <t>MARUTI SUZUKI</t>
        </is>
      </c>
      <c r="F1994" s="7" t="inlineStr">
        <is>
          <t>Ritz</t>
        </is>
      </c>
      <c r="G1994" s="7" t="inlineStr">
        <is>
          <t>CARS INDIA</t>
        </is>
      </c>
      <c r="H1994" s="7" t="inlineStr">
        <is>
          <t>Non-Captive</t>
        </is>
      </c>
      <c r="I1994" s="7" t="inlineStr">
        <is>
          <t>Nirmal Cars</t>
        </is>
      </c>
      <c r="J1994" s="8" t="n">
        <v>2011</v>
      </c>
      <c r="K1994" s="9" t="n">
        <v>89778</v>
      </c>
      <c r="L1994" s="10" t="n">
        <v>135000</v>
      </c>
      <c r="M1994" s="10" t="n">
        <v>4237.29</v>
      </c>
      <c r="N1994" s="11">
        <f>IF(M1994="","",ROUND(M1994*1.18,2))</f>
        <v/>
      </c>
      <c r="O1994" s="12">
        <f>IF(M1994="","",ROUND(N1994-M1994,2))</f>
        <v/>
      </c>
      <c r="P1994" s="13">
        <f>IF(AND(A1994&lt;&gt;"",B1994&lt;&gt;""), A1994&amp;" · "&amp;B1994, "")</f>
        <v/>
      </c>
    </row>
    <row r="1995">
      <c r="A1995" s="6" t="inlineStr">
        <is>
          <t>FY27</t>
        </is>
      </c>
      <c r="B1995" s="6" t="inlineStr">
        <is>
          <t>May</t>
        </is>
      </c>
      <c r="C1995" s="6" t="inlineStr">
        <is>
          <t>TN</t>
        </is>
      </c>
      <c r="D1995" s="7" t="inlineStr">
        <is>
          <t>TN01AU1901</t>
        </is>
      </c>
      <c r="E1995" s="7" t="inlineStr">
        <is>
          <t>NISSAN</t>
        </is>
      </c>
      <c r="F1995" s="7" t="inlineStr">
        <is>
          <t>Micra</t>
        </is>
      </c>
      <c r="G1995" s="7" t="inlineStr">
        <is>
          <t>STEER AUTO TECHNOLOGIES PRIVATE LIMITED</t>
        </is>
      </c>
      <c r="H1995" s="7" t="inlineStr">
        <is>
          <t>Non-Captive</t>
        </is>
      </c>
      <c r="I1995" s="7" t="inlineStr">
        <is>
          <t>Thiya Cars</t>
        </is>
      </c>
      <c r="J1995" s="8" t="n">
        <v>2013</v>
      </c>
      <c r="K1995" s="9" t="n">
        <v>70231</v>
      </c>
      <c r="L1995" s="10" t="n">
        <v>120000</v>
      </c>
      <c r="M1995" s="10" t="n">
        <v>4237.29</v>
      </c>
      <c r="N1995" s="11">
        <f>IF(M1995="","",ROUND(M1995*1.18,2))</f>
        <v/>
      </c>
      <c r="O1995" s="12">
        <f>IF(M1995="","",ROUND(N1995-M1995,2))</f>
        <v/>
      </c>
      <c r="P1995" s="13">
        <f>IF(AND(A1995&lt;&gt;"",B1995&lt;&gt;""), A1995&amp;" · "&amp;B1995, "")</f>
        <v/>
      </c>
    </row>
    <row r="1996">
      <c r="A1996" s="6" t="inlineStr">
        <is>
          <t>FY27</t>
        </is>
      </c>
      <c r="B1996" s="6" t="inlineStr">
        <is>
          <t>May</t>
        </is>
      </c>
      <c r="C1996" s="6" t="inlineStr">
        <is>
          <t>TN</t>
        </is>
      </c>
      <c r="D1996" s="7" t="inlineStr">
        <is>
          <t>TN01AV4336</t>
        </is>
      </c>
      <c r="E1996" s="7" t="inlineStr">
        <is>
          <t>TATA</t>
        </is>
      </c>
      <c r="F1996" s="7" t="inlineStr">
        <is>
          <t>Indica</t>
        </is>
      </c>
      <c r="G1996" s="7" t="inlineStr">
        <is>
          <t>STEER AUTO TECHNOLOGIES PRIVATE LIMITED</t>
        </is>
      </c>
      <c r="H1996" s="7" t="inlineStr">
        <is>
          <t>Non-Captive</t>
        </is>
      </c>
      <c r="I1996" s="7" t="inlineStr">
        <is>
          <t>Thiya Cars</t>
        </is>
      </c>
      <c r="J1996" s="8" t="n">
        <v>2013</v>
      </c>
      <c r="K1996" s="9" t="n">
        <v>58749</v>
      </c>
      <c r="L1996" s="10" t="n">
        <v>110000</v>
      </c>
      <c r="M1996" s="10" t="n">
        <v>4237.29</v>
      </c>
      <c r="N1996" s="11">
        <f>IF(M1996="","",ROUND(M1996*1.18,2))</f>
        <v/>
      </c>
      <c r="O1996" s="12">
        <f>IF(M1996="","",ROUND(N1996-M1996,2))</f>
        <v/>
      </c>
      <c r="P1996" s="13">
        <f>IF(AND(A1996&lt;&gt;"",B1996&lt;&gt;""), A1996&amp;" · "&amp;B1996, "")</f>
        <v/>
      </c>
    </row>
    <row r="1997">
      <c r="A1997" s="6" t="inlineStr">
        <is>
          <t>FY27</t>
        </is>
      </c>
      <c r="B1997" s="6" t="inlineStr">
        <is>
          <t>May</t>
        </is>
      </c>
      <c r="C1997" s="6" t="inlineStr">
        <is>
          <t>TN</t>
        </is>
      </c>
      <c r="D1997" s="7" t="inlineStr">
        <is>
          <t>TN01AV6822</t>
        </is>
      </c>
      <c r="E1997" s="7" t="inlineStr">
        <is>
          <t>HONDA</t>
        </is>
      </c>
      <c r="F1997" s="7" t="inlineStr">
        <is>
          <t>CR-V</t>
        </is>
      </c>
      <c r="G1997" s="7" t="inlineStr">
        <is>
          <t>EXCHANGE ROTN</t>
        </is>
      </c>
      <c r="H1997" s="7" t="inlineStr">
        <is>
          <t>Captive</t>
        </is>
      </c>
      <c r="I1997" s="7" t="inlineStr">
        <is>
          <t>Sai Cars</t>
        </is>
      </c>
      <c r="J1997" s="8" t="n">
        <v>2013</v>
      </c>
      <c r="K1997" s="9" t="n">
        <v>111667</v>
      </c>
      <c r="L1997" s="10" t="n">
        <v>300000</v>
      </c>
      <c r="M1997" s="10" t="n">
        <v>8474.58</v>
      </c>
      <c r="N1997" s="11">
        <f>IF(M1997="","",ROUND(M1997*1.18,2))</f>
        <v/>
      </c>
      <c r="O1997" s="12">
        <f>IF(M1997="","",ROUND(N1997-M1997,2))</f>
        <v/>
      </c>
      <c r="P1997" s="13">
        <f>IF(AND(A1997&lt;&gt;"",B1997&lt;&gt;""), A1997&amp;" · "&amp;B1997, "")</f>
        <v/>
      </c>
    </row>
    <row r="1998">
      <c r="A1998" s="6" t="inlineStr">
        <is>
          <t>FY27</t>
        </is>
      </c>
      <c r="B1998" s="6" t="inlineStr">
        <is>
          <t>May</t>
        </is>
      </c>
      <c r="C1998" s="6" t="inlineStr">
        <is>
          <t>TN</t>
        </is>
      </c>
      <c r="D1998" s="7" t="inlineStr">
        <is>
          <t>TN01AZ5721</t>
        </is>
      </c>
      <c r="E1998" s="7" t="inlineStr">
        <is>
          <t>MARUTI SUZUKI</t>
        </is>
      </c>
      <c r="F1998" s="7" t="inlineStr">
        <is>
          <t>Alto</t>
        </is>
      </c>
      <c r="G1998" s="7" t="inlineStr">
        <is>
          <t>TRUST ON WHEELS</t>
        </is>
      </c>
      <c r="H1998" s="7" t="inlineStr">
        <is>
          <t>Non-Captive</t>
        </is>
      </c>
      <c r="I1998" s="7" t="inlineStr">
        <is>
          <t>Thiya Cars</t>
        </is>
      </c>
      <c r="J1998" s="8" t="n">
        <v>2016</v>
      </c>
      <c r="K1998" s="9" t="n">
        <v>82806</v>
      </c>
      <c r="L1998" s="10" t="n">
        <v>110000</v>
      </c>
      <c r="M1998" s="10" t="n">
        <v>4237.29</v>
      </c>
      <c r="N1998" s="11">
        <f>IF(M1998="","",ROUND(M1998*1.18,2))</f>
        <v/>
      </c>
      <c r="O1998" s="12">
        <f>IF(M1998="","",ROUND(N1998-M1998,2))</f>
        <v/>
      </c>
      <c r="P1998" s="13">
        <f>IF(AND(A1998&lt;&gt;"",B1998&lt;&gt;""), A1998&amp;" · "&amp;B1998, "")</f>
        <v/>
      </c>
    </row>
    <row r="1999">
      <c r="A1999" s="6" t="inlineStr">
        <is>
          <t>FY27</t>
        </is>
      </c>
      <c r="B1999" s="6" t="inlineStr">
        <is>
          <t>May</t>
        </is>
      </c>
      <c r="C1999" s="6" t="inlineStr">
        <is>
          <t>TN</t>
        </is>
      </c>
      <c r="D1999" s="7" t="inlineStr">
        <is>
          <t>TN01BD9231</t>
        </is>
      </c>
      <c r="E1999" s="7" t="inlineStr">
        <is>
          <t>SKODA</t>
        </is>
      </c>
      <c r="F1999" s="7" t="inlineStr">
        <is>
          <t>Octavia</t>
        </is>
      </c>
      <c r="G1999" s="7" t="inlineStr">
        <is>
          <t>CASTLE TRADERS HONDA</t>
        </is>
      </c>
      <c r="H1999" s="7" t="inlineStr">
        <is>
          <t>Non-Captive</t>
        </is>
      </c>
      <c r="I1999" s="7" t="inlineStr">
        <is>
          <t>car Hub</t>
        </is>
      </c>
      <c r="J1999" s="8" t="n">
        <v>2018</v>
      </c>
      <c r="K1999" s="9" t="n">
        <v>42625</v>
      </c>
      <c r="L1999" s="10" t="n">
        <v>820000</v>
      </c>
      <c r="M1999" s="10" t="n">
        <v>12711.86</v>
      </c>
      <c r="N1999" s="11">
        <f>IF(M1999="","",ROUND(M1999*1.18,2))</f>
        <v/>
      </c>
      <c r="O1999" s="12">
        <f>IF(M1999="","",ROUND(N1999-M1999,2))</f>
        <v/>
      </c>
      <c r="P1999" s="13">
        <f>IF(AND(A1999&lt;&gt;"",B1999&lt;&gt;""), A1999&amp;" · "&amp;B1999, "")</f>
        <v/>
      </c>
    </row>
    <row r="2000">
      <c r="A2000" s="6" t="inlineStr">
        <is>
          <t>FY27</t>
        </is>
      </c>
      <c r="B2000" s="6" t="inlineStr">
        <is>
          <t>May</t>
        </is>
      </c>
      <c r="C2000" s="6" t="inlineStr">
        <is>
          <t>TN</t>
        </is>
      </c>
      <c r="D2000" s="7" t="inlineStr">
        <is>
          <t>TN01BF1441</t>
        </is>
      </c>
      <c r="E2000" s="7" t="inlineStr">
        <is>
          <t>HONDA</t>
        </is>
      </c>
      <c r="F2000" s="7" t="inlineStr">
        <is>
          <t>Amaze</t>
        </is>
      </c>
      <c r="G2000" s="7" t="inlineStr">
        <is>
          <t>EXCHANGE ROTN</t>
        </is>
      </c>
      <c r="H2000" s="7" t="inlineStr">
        <is>
          <t>Captive</t>
        </is>
      </c>
      <c r="I2000" s="7" t="inlineStr">
        <is>
          <t>Gugha Cars</t>
        </is>
      </c>
      <c r="J2000" s="8" t="n">
        <v>2018</v>
      </c>
      <c r="K2000" s="9" t="n">
        <v>85779</v>
      </c>
      <c r="L2000" s="10" t="n">
        <v>465000</v>
      </c>
      <c r="M2000" s="10" t="n">
        <v>16949.15</v>
      </c>
      <c r="N2000" s="11">
        <f>IF(M2000="","",ROUND(M2000*1.18,2))</f>
        <v/>
      </c>
      <c r="O2000" s="12">
        <f>IF(M2000="","",ROUND(N2000-M2000,2))</f>
        <v/>
      </c>
      <c r="P2000" s="13">
        <f>IF(AND(A2000&lt;&gt;"",B2000&lt;&gt;""), A2000&amp;" · "&amp;B2000, "")</f>
        <v/>
      </c>
    </row>
    <row r="2001">
      <c r="A2001" s="6" t="inlineStr">
        <is>
          <t>FY27</t>
        </is>
      </c>
      <c r="B2001" s="6" t="inlineStr">
        <is>
          <t>May</t>
        </is>
      </c>
      <c r="C2001" s="6" t="inlineStr">
        <is>
          <t>TN</t>
        </is>
      </c>
      <c r="D2001" s="7" t="inlineStr">
        <is>
          <t>TN01BR8609</t>
        </is>
      </c>
      <c r="E2001" s="7" t="inlineStr">
        <is>
          <t>HONDA</t>
        </is>
      </c>
      <c r="F2001" s="7" t="inlineStr">
        <is>
          <t>City</t>
        </is>
      </c>
      <c r="G2001" s="7" t="inlineStr">
        <is>
          <t>CASTLE TRADERS HONDA</t>
        </is>
      </c>
      <c r="H2001" s="7" t="inlineStr">
        <is>
          <t>Non-Captive</t>
        </is>
      </c>
      <c r="I2001" s="7" t="inlineStr">
        <is>
          <t>TSM</t>
        </is>
      </c>
      <c r="J2001" s="8" t="n">
        <v>2023</v>
      </c>
      <c r="K2001" s="9" t="n">
        <v>87344</v>
      </c>
      <c r="L2001" s="10" t="n">
        <v>1120000</v>
      </c>
      <c r="M2001" s="10" t="n">
        <v>7627.12</v>
      </c>
      <c r="N2001" s="11">
        <f>IF(M2001="","",ROUND(M2001*1.18,2))</f>
        <v/>
      </c>
      <c r="O2001" s="12">
        <f>IF(M2001="","",ROUND(N2001-M2001,2))</f>
        <v/>
      </c>
      <c r="P2001" s="13">
        <f>IF(AND(A2001&lt;&gt;"",B2001&lt;&gt;""), A2001&amp;" · "&amp;B2001, "")</f>
        <v/>
      </c>
    </row>
    <row r="2002">
      <c r="A2002" s="6" t="inlineStr">
        <is>
          <t>FY27</t>
        </is>
      </c>
      <c r="B2002" s="6" t="inlineStr">
        <is>
          <t>May</t>
        </is>
      </c>
      <c r="C2002" s="6" t="inlineStr">
        <is>
          <t>TN</t>
        </is>
      </c>
      <c r="D2002" s="7" t="inlineStr">
        <is>
          <t>TN02AE7660</t>
        </is>
      </c>
      <c r="E2002" s="7" t="inlineStr">
        <is>
          <t>HYUNDAI</t>
        </is>
      </c>
      <c r="F2002" s="7" t="inlineStr">
        <is>
          <t>Santro</t>
        </is>
      </c>
      <c r="G2002" s="7" t="inlineStr">
        <is>
          <t>KHIVRAJ MOTOR</t>
        </is>
      </c>
      <c r="H2002" s="7" t="inlineStr">
        <is>
          <t>Non-Captive</t>
        </is>
      </c>
      <c r="I2002" s="7" t="inlineStr">
        <is>
          <t>Shree Shan Motor</t>
        </is>
      </c>
      <c r="J2002" s="8" t="n">
        <v>2008</v>
      </c>
      <c r="K2002" s="9" t="n">
        <v>23304</v>
      </c>
      <c r="L2002" s="10" t="n">
        <v>65000</v>
      </c>
      <c r="M2002" s="10" t="n">
        <v>3389.83</v>
      </c>
      <c r="N2002" s="11">
        <f>IF(M2002="","",ROUND(M2002*1.18,2))</f>
        <v/>
      </c>
      <c r="O2002" s="12">
        <f>IF(M2002="","",ROUND(N2002-M2002,2))</f>
        <v/>
      </c>
      <c r="P2002" s="13">
        <f>IF(AND(A2002&lt;&gt;"",B2002&lt;&gt;""), A2002&amp;" · "&amp;B2002, "")</f>
        <v/>
      </c>
    </row>
    <row r="2003">
      <c r="A2003" s="6" t="inlineStr">
        <is>
          <t>FY27</t>
        </is>
      </c>
      <c r="B2003" s="6" t="inlineStr">
        <is>
          <t>May</t>
        </is>
      </c>
      <c r="C2003" s="6" t="inlineStr">
        <is>
          <t>TN</t>
        </is>
      </c>
      <c r="D2003" s="7" t="inlineStr">
        <is>
          <t>TN02AM8562</t>
        </is>
      </c>
      <c r="E2003" s="7" t="inlineStr">
        <is>
          <t>MARUTI SUZUKI</t>
        </is>
      </c>
      <c r="F2003" s="7" t="inlineStr">
        <is>
          <t>Wagon R</t>
        </is>
      </c>
      <c r="G2003" s="7" t="inlineStr">
        <is>
          <t>KHIVRAJ MOTOR</t>
        </is>
      </c>
      <c r="H2003" s="7" t="inlineStr">
        <is>
          <t>Non-Captive</t>
        </is>
      </c>
      <c r="I2003" s="7" t="inlineStr">
        <is>
          <t>Nirmal Cars</t>
        </is>
      </c>
      <c r="J2003" s="8" t="n">
        <v>2010</v>
      </c>
      <c r="K2003" s="9" t="n">
        <v>119755</v>
      </c>
      <c r="L2003" s="10" t="n">
        <v>130000</v>
      </c>
      <c r="M2003" s="10" t="n">
        <v>4237.29</v>
      </c>
      <c r="N2003" s="11">
        <f>IF(M2003="","",ROUND(M2003*1.18,2))</f>
        <v/>
      </c>
      <c r="O2003" s="12">
        <f>IF(M2003="","",ROUND(N2003-M2003,2))</f>
        <v/>
      </c>
      <c r="P2003" s="13">
        <f>IF(AND(A2003&lt;&gt;"",B2003&lt;&gt;""), A2003&amp;" · "&amp;B2003, "")</f>
        <v/>
      </c>
    </row>
    <row r="2004">
      <c r="A2004" s="6" t="inlineStr">
        <is>
          <t>FY27</t>
        </is>
      </c>
      <c r="B2004" s="6" t="inlineStr">
        <is>
          <t>May</t>
        </is>
      </c>
      <c r="C2004" s="6" t="inlineStr">
        <is>
          <t>TN</t>
        </is>
      </c>
      <c r="D2004" s="7" t="inlineStr">
        <is>
          <t>TN02AQ2940</t>
        </is>
      </c>
      <c r="E2004" s="7" t="inlineStr">
        <is>
          <t>MARUTI SUZUKI</t>
        </is>
      </c>
      <c r="F2004" s="7" t="inlineStr">
        <is>
          <t>Zen Estilo</t>
        </is>
      </c>
      <c r="G2004" s="7" t="inlineStr">
        <is>
          <t>PRODUCTIVITY ELEMENTS PRIVATE LIMITED</t>
        </is>
      </c>
      <c r="H2004" s="7" t="inlineStr">
        <is>
          <t>Non-Captive</t>
        </is>
      </c>
      <c r="I2004" s="7" t="inlineStr">
        <is>
          <t>Thiya Cars</t>
        </is>
      </c>
      <c r="J2004" s="8" t="n">
        <v>2010</v>
      </c>
      <c r="K2004" s="9" t="n">
        <v>120204</v>
      </c>
      <c r="L2004" s="10" t="n">
        <v>108000</v>
      </c>
      <c r="M2004" s="10" t="n">
        <v>3389.83</v>
      </c>
      <c r="N2004" s="11">
        <f>IF(M2004="","",ROUND(M2004*1.18,2))</f>
        <v/>
      </c>
      <c r="O2004" s="12">
        <f>IF(M2004="","",ROUND(N2004-M2004,2))</f>
        <v/>
      </c>
      <c r="P2004" s="13">
        <f>IF(AND(A2004&lt;&gt;"",B2004&lt;&gt;""), A2004&amp;" · "&amp;B2004, "")</f>
        <v/>
      </c>
    </row>
    <row r="2005">
      <c r="A2005" s="6" t="inlineStr">
        <is>
          <t>FY27</t>
        </is>
      </c>
      <c r="B2005" s="6" t="inlineStr">
        <is>
          <t>May</t>
        </is>
      </c>
      <c r="C2005" s="6" t="inlineStr">
        <is>
          <t>TN</t>
        </is>
      </c>
      <c r="D2005" s="7" t="inlineStr">
        <is>
          <t>TN02AR3280</t>
        </is>
      </c>
      <c r="E2005" s="7" t="inlineStr">
        <is>
          <t>MARUTI SUZUKI</t>
        </is>
      </c>
      <c r="F2005" s="7" t="inlineStr">
        <is>
          <t>Ritz</t>
        </is>
      </c>
      <c r="G2005" s="7" t="inlineStr">
        <is>
          <t>KHIVRAJ MOTOR</t>
        </is>
      </c>
      <c r="H2005" s="7" t="inlineStr">
        <is>
          <t>Non-Captive</t>
        </is>
      </c>
      <c r="I2005" s="7" t="inlineStr">
        <is>
          <t>Grid 33</t>
        </is>
      </c>
      <c r="J2005" s="8" t="n">
        <v>2011</v>
      </c>
      <c r="K2005" s="9" t="n">
        <v>68686</v>
      </c>
      <c r="L2005" s="10" t="n">
        <v>75000</v>
      </c>
      <c r="M2005" s="10" t="n">
        <v>4237.29</v>
      </c>
      <c r="N2005" s="11">
        <f>IF(M2005="","",ROUND(M2005*1.18,2))</f>
        <v/>
      </c>
      <c r="O2005" s="12">
        <f>IF(M2005="","",ROUND(N2005-M2005,2))</f>
        <v/>
      </c>
      <c r="P2005" s="13">
        <f>IF(AND(A2005&lt;&gt;"",B2005&lt;&gt;""), A2005&amp;" · "&amp;B2005, "")</f>
        <v/>
      </c>
    </row>
    <row r="2006">
      <c r="A2006" s="6" t="inlineStr">
        <is>
          <t>FY27</t>
        </is>
      </c>
      <c r="B2006" s="6" t="inlineStr">
        <is>
          <t>May</t>
        </is>
      </c>
      <c r="C2006" s="6" t="inlineStr">
        <is>
          <t>TN</t>
        </is>
      </c>
      <c r="D2006" s="7" t="inlineStr">
        <is>
          <t>TN02AT0667</t>
        </is>
      </c>
      <c r="E2006" s="7" t="inlineStr">
        <is>
          <t>HYUNDAI</t>
        </is>
      </c>
      <c r="F2006" s="7" t="inlineStr">
        <is>
          <t>i10</t>
        </is>
      </c>
      <c r="G2006" s="7" t="inlineStr">
        <is>
          <t>FPL AUTOMOBILES PRIVATE LIMITED</t>
        </is>
      </c>
      <c r="H2006" s="7" t="inlineStr">
        <is>
          <t>Non-Captive</t>
        </is>
      </c>
      <c r="I2006" s="7" t="inlineStr">
        <is>
          <t>TSM</t>
        </is>
      </c>
      <c r="J2006" s="8" t="n">
        <v>2011</v>
      </c>
      <c r="K2006" s="9" t="n">
        <v>74046</v>
      </c>
      <c r="L2006" s="10" t="n">
        <v>154000</v>
      </c>
      <c r="M2006" s="10" t="n">
        <v>3389.83</v>
      </c>
      <c r="N2006" s="11">
        <f>IF(M2006="","",ROUND(M2006*1.18,2))</f>
        <v/>
      </c>
      <c r="O2006" s="12">
        <f>IF(M2006="","",ROUND(N2006-M2006,2))</f>
        <v/>
      </c>
      <c r="P2006" s="13">
        <f>IF(AND(A2006&lt;&gt;"",B2006&lt;&gt;""), A2006&amp;" · "&amp;B2006, "")</f>
        <v/>
      </c>
    </row>
    <row r="2007">
      <c r="A2007" s="6" t="inlineStr">
        <is>
          <t>FY27</t>
        </is>
      </c>
      <c r="B2007" s="6" t="inlineStr">
        <is>
          <t>May</t>
        </is>
      </c>
      <c r="C2007" s="6" t="inlineStr">
        <is>
          <t>TN</t>
        </is>
      </c>
      <c r="D2007" s="7" t="inlineStr">
        <is>
          <t>TN02AU4271</t>
        </is>
      </c>
      <c r="E2007" s="7" t="inlineStr">
        <is>
          <t>HONDA</t>
        </is>
      </c>
      <c r="F2007" s="7" t="inlineStr">
        <is>
          <t>Brio</t>
        </is>
      </c>
      <c r="G2007" s="7" t="inlineStr">
        <is>
          <t>KHIVRAJ MOTOR</t>
        </is>
      </c>
      <c r="H2007" s="7" t="inlineStr">
        <is>
          <t>Non-Captive</t>
        </is>
      </c>
      <c r="I2007" s="7" t="inlineStr">
        <is>
          <t>Thiya Cars</t>
        </is>
      </c>
      <c r="J2007" s="8" t="n">
        <v>2012</v>
      </c>
      <c r="K2007" s="9" t="n">
        <v>108432</v>
      </c>
      <c r="L2007" s="10" t="n">
        <v>100000</v>
      </c>
      <c r="M2007" s="10" t="n">
        <v>3389.83</v>
      </c>
      <c r="N2007" s="11">
        <f>IF(M2007="","",ROUND(M2007*1.18,2))</f>
        <v/>
      </c>
      <c r="O2007" s="12">
        <f>IF(M2007="","",ROUND(N2007-M2007,2))</f>
        <v/>
      </c>
      <c r="P2007" s="13">
        <f>IF(AND(A2007&lt;&gt;"",B2007&lt;&gt;""), A2007&amp;" · "&amp;B2007, "")</f>
        <v/>
      </c>
    </row>
    <row r="2008">
      <c r="A2008" s="6" t="inlineStr">
        <is>
          <t>FY27</t>
        </is>
      </c>
      <c r="B2008" s="6" t="inlineStr">
        <is>
          <t>May</t>
        </is>
      </c>
      <c r="C2008" s="6" t="inlineStr">
        <is>
          <t>TN</t>
        </is>
      </c>
      <c r="D2008" s="7" t="inlineStr">
        <is>
          <t>TN02AU9718</t>
        </is>
      </c>
      <c r="E2008" s="7" t="inlineStr">
        <is>
          <t>MARUTI SUZUKI</t>
        </is>
      </c>
      <c r="F2008" s="7" t="inlineStr">
        <is>
          <t>Ritz</t>
        </is>
      </c>
      <c r="G2008" s="7" t="inlineStr">
        <is>
          <t>INDUS</t>
        </is>
      </c>
      <c r="H2008" s="7" t="inlineStr">
        <is>
          <t>Non-Captive</t>
        </is>
      </c>
      <c r="I2008" s="7" t="inlineStr">
        <is>
          <t>Nirmal Cars</t>
        </is>
      </c>
      <c r="J2008" s="8" t="n">
        <v>2012</v>
      </c>
      <c r="K2008" s="9" t="n">
        <v>92962</v>
      </c>
      <c r="L2008" s="10" t="n">
        <v>140000</v>
      </c>
      <c r="M2008" s="10" t="n">
        <v>3389.83</v>
      </c>
      <c r="N2008" s="11">
        <f>IF(M2008="","",ROUND(M2008*1.18,2))</f>
        <v/>
      </c>
      <c r="O2008" s="12">
        <f>IF(M2008="","",ROUND(N2008-M2008,2))</f>
        <v/>
      </c>
      <c r="P2008" s="13">
        <f>IF(AND(A2008&lt;&gt;"",B2008&lt;&gt;""), A2008&amp;" · "&amp;B2008, "")</f>
        <v/>
      </c>
    </row>
    <row r="2009">
      <c r="A2009" s="6" t="inlineStr">
        <is>
          <t>FY27</t>
        </is>
      </c>
      <c r="B2009" s="6" t="inlineStr">
        <is>
          <t>May</t>
        </is>
      </c>
      <c r="C2009" s="6" t="inlineStr">
        <is>
          <t>TN</t>
        </is>
      </c>
      <c r="D2009" s="7" t="inlineStr">
        <is>
          <t>TN02AU9785</t>
        </is>
      </c>
      <c r="E2009" s="7" t="inlineStr">
        <is>
          <t>MARUTI SUZUKI</t>
        </is>
      </c>
      <c r="F2009" s="7" t="inlineStr">
        <is>
          <t>Alto</t>
        </is>
      </c>
      <c r="G2009" s="7" t="inlineStr">
        <is>
          <t>CRESCO CARS</t>
        </is>
      </c>
      <c r="H2009" s="7" t="inlineStr">
        <is>
          <t>Non-Captive</t>
        </is>
      </c>
      <c r="I2009" s="7" t="inlineStr">
        <is>
          <t>Nirmal Cars</t>
        </is>
      </c>
      <c r="J2009" s="8" t="n">
        <v>2012</v>
      </c>
      <c r="K2009" s="9" t="n">
        <v>64181</v>
      </c>
      <c r="L2009" s="10" t="n">
        <v>132000</v>
      </c>
      <c r="M2009" s="10" t="n">
        <v>4237.29</v>
      </c>
      <c r="N2009" s="11">
        <f>IF(M2009="","",ROUND(M2009*1.18,2))</f>
        <v/>
      </c>
      <c r="O2009" s="12">
        <f>IF(M2009="","",ROUND(N2009-M2009,2))</f>
        <v/>
      </c>
      <c r="P2009" s="13">
        <f>IF(AND(A2009&lt;&gt;"",B2009&lt;&gt;""), A2009&amp;" · "&amp;B2009, "")</f>
        <v/>
      </c>
    </row>
    <row r="2010">
      <c r="A2010" s="6" t="inlineStr">
        <is>
          <t>FY27</t>
        </is>
      </c>
      <c r="B2010" s="6" t="inlineStr">
        <is>
          <t>May</t>
        </is>
      </c>
      <c r="C2010" s="6" t="inlineStr">
        <is>
          <t>TN</t>
        </is>
      </c>
      <c r="D2010" s="7" t="inlineStr">
        <is>
          <t>TN02AV6939</t>
        </is>
      </c>
      <c r="E2010" s="7" t="inlineStr">
        <is>
          <t>SKODA</t>
        </is>
      </c>
      <c r="F2010" s="7" t="inlineStr">
        <is>
          <t>Laura</t>
        </is>
      </c>
      <c r="G2010" s="7" t="inlineStr">
        <is>
          <t>LANSON QCARS PRIVATE LIMITED</t>
        </is>
      </c>
      <c r="H2010" s="7" t="inlineStr">
        <is>
          <t>Non-Captive</t>
        </is>
      </c>
      <c r="I2010" s="7" t="inlineStr">
        <is>
          <t>Thiya Cars</t>
        </is>
      </c>
      <c r="J2010" s="8" t="n">
        <v>2012</v>
      </c>
      <c r="K2010" s="9" t="n">
        <v>118931</v>
      </c>
      <c r="L2010" s="10" t="n">
        <v>108000</v>
      </c>
      <c r="M2010" s="10" t="n">
        <v>3389.83</v>
      </c>
      <c r="N2010" s="11">
        <f>IF(M2010="","",ROUND(M2010*1.18,2))</f>
        <v/>
      </c>
      <c r="O2010" s="12">
        <f>IF(M2010="","",ROUND(N2010-M2010,2))</f>
        <v/>
      </c>
      <c r="P2010" s="13">
        <f>IF(AND(A2010&lt;&gt;"",B2010&lt;&gt;""), A2010&amp;" · "&amp;B2010, "")</f>
        <v/>
      </c>
    </row>
    <row r="2011">
      <c r="A2011" s="6" t="inlineStr">
        <is>
          <t>FY27</t>
        </is>
      </c>
      <c r="B2011" s="6" t="inlineStr">
        <is>
          <t>May</t>
        </is>
      </c>
      <c r="C2011" s="6" t="inlineStr">
        <is>
          <t>TN</t>
        </is>
      </c>
      <c r="D2011" s="7" t="inlineStr">
        <is>
          <t>TN02AY4012</t>
        </is>
      </c>
      <c r="E2011" s="7" t="inlineStr">
        <is>
          <t>MARUTI SUZUKI</t>
        </is>
      </c>
      <c r="F2011" s="7" t="inlineStr">
        <is>
          <t>A-Star</t>
        </is>
      </c>
      <c r="G2011" s="7" t="inlineStr">
        <is>
          <t>EPIC TOYOTA</t>
        </is>
      </c>
      <c r="H2011" s="7" t="inlineStr">
        <is>
          <t>Non-Captive</t>
        </is>
      </c>
      <c r="I2011" s="7" t="inlineStr">
        <is>
          <t>Nirmal Cars</t>
        </is>
      </c>
      <c r="J2011" s="8" t="n">
        <v>2013</v>
      </c>
      <c r="K2011" s="9" t="n">
        <v>88519</v>
      </c>
      <c r="L2011" s="10" t="n">
        <v>140000</v>
      </c>
      <c r="M2011" s="10" t="n">
        <v>3389.83</v>
      </c>
      <c r="N2011" s="11">
        <f>IF(M2011="","",ROUND(M2011*1.18,2))</f>
        <v/>
      </c>
      <c r="O2011" s="12">
        <f>IF(M2011="","",ROUND(N2011-M2011,2))</f>
        <v/>
      </c>
      <c r="P2011" s="13">
        <f>IF(AND(A2011&lt;&gt;"",B2011&lt;&gt;""), A2011&amp;" · "&amp;B2011, "")</f>
        <v/>
      </c>
    </row>
    <row r="2012">
      <c r="A2012" s="6" t="inlineStr">
        <is>
          <t>FY27</t>
        </is>
      </c>
      <c r="B2012" s="6" t="inlineStr">
        <is>
          <t>May</t>
        </is>
      </c>
      <c r="C2012" s="6" t="inlineStr">
        <is>
          <t>TN</t>
        </is>
      </c>
      <c r="D2012" s="7" t="inlineStr">
        <is>
          <t>TN02AY5330</t>
        </is>
      </c>
      <c r="E2012" s="7" t="inlineStr">
        <is>
          <t>NISSAN</t>
        </is>
      </c>
      <c r="F2012" s="7" t="inlineStr">
        <is>
          <t>Micra</t>
        </is>
      </c>
      <c r="G2012" s="7" t="inlineStr">
        <is>
          <t>CRESCO CARS</t>
        </is>
      </c>
      <c r="H2012" s="7" t="inlineStr">
        <is>
          <t>Non-Captive</t>
        </is>
      </c>
      <c r="I2012" s="7" t="inlineStr">
        <is>
          <t>Nirmal Cars</t>
        </is>
      </c>
      <c r="J2012" s="8" t="n">
        <v>2013</v>
      </c>
      <c r="K2012" s="9" t="n">
        <v>75518</v>
      </c>
      <c r="L2012" s="10" t="n">
        <v>148000</v>
      </c>
      <c r="M2012" s="10" t="n">
        <v>3389.83</v>
      </c>
      <c r="N2012" s="11">
        <f>IF(M2012="","",ROUND(M2012*1.18,2))</f>
        <v/>
      </c>
      <c r="O2012" s="12">
        <f>IF(M2012="","",ROUND(N2012-M2012,2))</f>
        <v/>
      </c>
      <c r="P2012" s="13">
        <f>IF(AND(A2012&lt;&gt;"",B2012&lt;&gt;""), A2012&amp;" · "&amp;B2012, "")</f>
        <v/>
      </c>
    </row>
    <row r="2013">
      <c r="A2013" s="6" t="inlineStr">
        <is>
          <t>FY27</t>
        </is>
      </c>
      <c r="B2013" s="6" t="inlineStr">
        <is>
          <t>May</t>
        </is>
      </c>
      <c r="C2013" s="6" t="inlineStr">
        <is>
          <t>TN</t>
        </is>
      </c>
      <c r="D2013" s="7" t="inlineStr">
        <is>
          <t>TN02BF0279</t>
        </is>
      </c>
      <c r="E2013" s="7" t="inlineStr">
        <is>
          <t>MARUTI SUZUKI</t>
        </is>
      </c>
      <c r="F2013" s="7" t="inlineStr">
        <is>
          <t>Alto K10</t>
        </is>
      </c>
      <c r="G2013" s="7" t="inlineStr">
        <is>
          <t>KHIVRAJ MOTOR</t>
        </is>
      </c>
      <c r="H2013" s="7" t="inlineStr">
        <is>
          <t>Non-Captive</t>
        </is>
      </c>
      <c r="I2013" s="7" t="inlineStr">
        <is>
          <t>Varadhrajan cars</t>
        </is>
      </c>
      <c r="J2013" s="8" t="n">
        <v>2015</v>
      </c>
      <c r="K2013" s="9" t="n">
        <v>28796</v>
      </c>
      <c r="L2013" s="10" t="n">
        <v>86000</v>
      </c>
      <c r="M2013" s="10" t="n">
        <v>4237.29</v>
      </c>
      <c r="N2013" s="11">
        <f>IF(M2013="","",ROUND(M2013*1.18,2))</f>
        <v/>
      </c>
      <c r="O2013" s="12">
        <f>IF(M2013="","",ROUND(N2013-M2013,2))</f>
        <v/>
      </c>
      <c r="P2013" s="13">
        <f>IF(AND(A2013&lt;&gt;"",B2013&lt;&gt;""), A2013&amp;" · "&amp;B2013, "")</f>
        <v/>
      </c>
    </row>
    <row r="2014">
      <c r="A2014" s="6" t="inlineStr">
        <is>
          <t>FY27</t>
        </is>
      </c>
      <c r="B2014" s="6" t="inlineStr">
        <is>
          <t>May</t>
        </is>
      </c>
      <c r="C2014" s="6" t="inlineStr">
        <is>
          <t>TN</t>
        </is>
      </c>
      <c r="D2014" s="7" t="inlineStr">
        <is>
          <t>TN02BU6244</t>
        </is>
      </c>
      <c r="E2014" s="7" t="inlineStr">
        <is>
          <t>HONDA</t>
        </is>
      </c>
      <c r="F2014" s="7" t="inlineStr">
        <is>
          <t>City</t>
        </is>
      </c>
      <c r="G2014" s="7" t="inlineStr">
        <is>
          <t>EXCHANGE CHENNAI</t>
        </is>
      </c>
      <c r="H2014" s="7" t="inlineStr">
        <is>
          <t>Captive</t>
        </is>
      </c>
      <c r="I2014" s="7" t="inlineStr">
        <is>
          <t>Grid 33</t>
        </is>
      </c>
      <c r="J2014" s="8" t="n">
        <v>2021</v>
      </c>
      <c r="K2014" s="9" t="n">
        <v>69085</v>
      </c>
      <c r="L2014" s="10" t="n">
        <v>750000</v>
      </c>
      <c r="M2014" s="10" t="n">
        <v>8474.58</v>
      </c>
      <c r="N2014" s="11">
        <f>IF(M2014="","",ROUND(M2014*1.18,2))</f>
        <v/>
      </c>
      <c r="O2014" s="12">
        <f>IF(M2014="","",ROUND(N2014-M2014,2))</f>
        <v/>
      </c>
      <c r="P2014" s="13">
        <f>IF(AND(A2014&lt;&gt;"",B2014&lt;&gt;""), A2014&amp;" · "&amp;B2014, "")</f>
        <v/>
      </c>
    </row>
    <row r="2015">
      <c r="A2015" s="6" t="inlineStr">
        <is>
          <t>FY27</t>
        </is>
      </c>
      <c r="B2015" s="6" t="inlineStr">
        <is>
          <t>May</t>
        </is>
      </c>
      <c r="C2015" s="6" t="inlineStr">
        <is>
          <t>TN</t>
        </is>
      </c>
      <c r="D2015" s="7" t="inlineStr">
        <is>
          <t>TN02BW0094</t>
        </is>
      </c>
      <c r="E2015" s="7" t="inlineStr">
        <is>
          <t>HYUNDAI</t>
        </is>
      </c>
      <c r="F2015" s="7" t="inlineStr">
        <is>
          <t>i10</t>
        </is>
      </c>
      <c r="G2015" s="7" t="inlineStr">
        <is>
          <t>EXCHANGE CHENNAI</t>
        </is>
      </c>
      <c r="H2015" s="7" t="inlineStr">
        <is>
          <t>Captive</t>
        </is>
      </c>
      <c r="I2015" s="7" t="inlineStr">
        <is>
          <t>Santhosh Cars</t>
        </is>
      </c>
      <c r="J2015" s="8" t="n">
        <v>2022</v>
      </c>
      <c r="K2015" s="9" t="n">
        <v>27189</v>
      </c>
      <c r="L2015" s="10" t="n">
        <v>505000</v>
      </c>
      <c r="M2015" s="10" t="n">
        <v>8474.58</v>
      </c>
      <c r="N2015" s="11">
        <f>IF(M2015="","",ROUND(M2015*1.18,2))</f>
        <v/>
      </c>
      <c r="O2015" s="12">
        <f>IF(M2015="","",ROUND(N2015-M2015,2))</f>
        <v/>
      </c>
      <c r="P2015" s="13">
        <f>IF(AND(A2015&lt;&gt;"",B2015&lt;&gt;""), A2015&amp;" · "&amp;B2015, "")</f>
        <v/>
      </c>
    </row>
    <row r="2016">
      <c r="A2016" s="6" t="inlineStr">
        <is>
          <t>FY27</t>
        </is>
      </c>
      <c r="B2016" s="6" t="inlineStr">
        <is>
          <t>May</t>
        </is>
      </c>
      <c r="C2016" s="6" t="inlineStr">
        <is>
          <t>TN</t>
        </is>
      </c>
      <c r="D2016" s="7" t="inlineStr">
        <is>
          <t>TN02CC9528</t>
        </is>
      </c>
      <c r="E2016" s="7" t="inlineStr">
        <is>
          <t>TATA</t>
        </is>
      </c>
      <c r="F2016" s="7" t="inlineStr">
        <is>
          <t>Altroz</t>
        </is>
      </c>
      <c r="G2016" s="7" t="inlineStr">
        <is>
          <t>CASTLE TRADERS HONDA</t>
        </is>
      </c>
      <c r="H2016" s="7" t="inlineStr">
        <is>
          <t>Non-Captive</t>
        </is>
      </c>
      <c r="I2016" s="7" t="inlineStr">
        <is>
          <t>Grid 33</t>
        </is>
      </c>
      <c r="J2016" s="8" t="n">
        <v>2024</v>
      </c>
      <c r="K2016" s="9" t="n">
        <v>14763</v>
      </c>
      <c r="L2016" s="10" t="n">
        <v>675000</v>
      </c>
      <c r="M2016" s="10" t="n">
        <v>8474.58</v>
      </c>
      <c r="N2016" s="11">
        <f>IF(M2016="","",ROUND(M2016*1.18,2))</f>
        <v/>
      </c>
      <c r="O2016" s="12">
        <f>IF(M2016="","",ROUND(N2016-M2016,2))</f>
        <v/>
      </c>
      <c r="P2016" s="13">
        <f>IF(AND(A2016&lt;&gt;"",B2016&lt;&gt;""), A2016&amp;" · "&amp;B2016, "")</f>
        <v/>
      </c>
    </row>
    <row r="2017">
      <c r="A2017" s="6" t="inlineStr">
        <is>
          <t>FY27</t>
        </is>
      </c>
      <c r="B2017" s="6" t="inlineStr">
        <is>
          <t>May</t>
        </is>
      </c>
      <c r="C2017" s="6" t="inlineStr">
        <is>
          <t>TN</t>
        </is>
      </c>
      <c r="D2017" s="7" t="inlineStr">
        <is>
          <t>TN02V3376</t>
        </is>
      </c>
      <c r="E2017" s="7" t="inlineStr">
        <is>
          <t>HONDA</t>
        </is>
      </c>
      <c r="F2017" s="7" t="inlineStr">
        <is>
          <t>&lt;NA&gt;</t>
        </is>
      </c>
      <c r="G2017" s="7" t="inlineStr">
        <is>
          <t>STEER AUTO TECHNOLOGIES PRIVATE LIMITED</t>
        </is>
      </c>
      <c r="H2017" s="7" t="inlineStr">
        <is>
          <t>Non-Captive</t>
        </is>
      </c>
      <c r="I2017" s="7" t="inlineStr">
        <is>
          <t>S2 Cars</t>
        </is>
      </c>
      <c r="J2017" s="8" t="n">
        <v>2005</v>
      </c>
      <c r="K2017" s="9" t="n">
        <v>114290</v>
      </c>
      <c r="L2017" s="10" t="n">
        <v>50000</v>
      </c>
      <c r="M2017" s="10" t="n">
        <v>2542.37</v>
      </c>
      <c r="N2017" s="11">
        <f>IF(M2017="","",ROUND(M2017*1.18,2))</f>
        <v/>
      </c>
      <c r="O2017" s="12">
        <f>IF(M2017="","",ROUND(N2017-M2017,2))</f>
        <v/>
      </c>
      <c r="P2017" s="13">
        <f>IF(AND(A2017&lt;&gt;"",B2017&lt;&gt;""), A2017&amp;" · "&amp;B2017, "")</f>
        <v/>
      </c>
    </row>
    <row r="2018">
      <c r="A2018" s="6" t="inlineStr">
        <is>
          <t>FY27</t>
        </is>
      </c>
      <c r="B2018" s="6" t="inlineStr">
        <is>
          <t>May</t>
        </is>
      </c>
      <c r="C2018" s="6" t="inlineStr">
        <is>
          <t>TN</t>
        </is>
      </c>
      <c r="D2018" s="7" t="inlineStr">
        <is>
          <t>TN03H5873</t>
        </is>
      </c>
      <c r="E2018" s="7" t="inlineStr">
        <is>
          <t>MARUTI SUZUKI</t>
        </is>
      </c>
      <c r="F2018" s="7" t="inlineStr">
        <is>
          <t>Ritz</t>
        </is>
      </c>
      <c r="G2018" s="7" t="inlineStr">
        <is>
          <t>KHIVRAJ MOTOR</t>
        </is>
      </c>
      <c r="H2018" s="7" t="inlineStr">
        <is>
          <t>Non-Captive</t>
        </is>
      </c>
      <c r="I2018" s="7" t="inlineStr">
        <is>
          <t>Pine Autos</t>
        </is>
      </c>
      <c r="J2018" s="8" t="n">
        <v>2012</v>
      </c>
      <c r="K2018" s="9" t="n">
        <v>6201</v>
      </c>
      <c r="L2018" s="10" t="n">
        <v>214500</v>
      </c>
      <c r="M2018" s="10" t="n">
        <v>6355.93</v>
      </c>
      <c r="N2018" s="11">
        <f>IF(M2018="","",ROUND(M2018*1.18,2))</f>
        <v/>
      </c>
      <c r="O2018" s="12">
        <f>IF(M2018="","",ROUND(N2018-M2018,2))</f>
        <v/>
      </c>
      <c r="P2018" s="13">
        <f>IF(AND(A2018&lt;&gt;"",B2018&lt;&gt;""), A2018&amp;" · "&amp;B2018, "")</f>
        <v/>
      </c>
    </row>
    <row r="2019">
      <c r="A2019" s="6" t="inlineStr">
        <is>
          <t>FY27</t>
        </is>
      </c>
      <c r="B2019" s="6" t="inlineStr">
        <is>
          <t>May</t>
        </is>
      </c>
      <c r="C2019" s="6" t="inlineStr">
        <is>
          <t>TN</t>
        </is>
      </c>
      <c r="D2019" s="7" t="inlineStr">
        <is>
          <t>TN03H7888</t>
        </is>
      </c>
      <c r="E2019" s="7" t="inlineStr">
        <is>
          <t>CHEVROLET</t>
        </is>
      </c>
      <c r="F2019" s="7" t="inlineStr">
        <is>
          <t>Beat</t>
        </is>
      </c>
      <c r="G2019" s="7" t="inlineStr">
        <is>
          <t>KHIVRAJ MOTOR</t>
        </is>
      </c>
      <c r="H2019" s="7" t="inlineStr">
        <is>
          <t>Non-Captive</t>
        </is>
      </c>
      <c r="I2019" s="7" t="inlineStr">
        <is>
          <t>Shree Shan Motor</t>
        </is>
      </c>
      <c r="J2019" s="8" t="n">
        <v>2012</v>
      </c>
      <c r="K2019" s="9" t="n">
        <v>117991</v>
      </c>
      <c r="L2019" s="10" t="n">
        <v>60000</v>
      </c>
      <c r="M2019" s="10" t="n">
        <v>3389.83</v>
      </c>
      <c r="N2019" s="11">
        <f>IF(M2019="","",ROUND(M2019*1.18,2))</f>
        <v/>
      </c>
      <c r="O2019" s="12">
        <f>IF(M2019="","",ROUND(N2019-M2019,2))</f>
        <v/>
      </c>
      <c r="P2019" s="13">
        <f>IF(AND(A2019&lt;&gt;"",B2019&lt;&gt;""), A2019&amp;" · "&amp;B2019, "")</f>
        <v/>
      </c>
    </row>
    <row r="2020">
      <c r="A2020" s="6" t="inlineStr">
        <is>
          <t>FY27</t>
        </is>
      </c>
      <c r="B2020" s="6" t="inlineStr">
        <is>
          <t>May</t>
        </is>
      </c>
      <c r="C2020" s="6" t="inlineStr">
        <is>
          <t>TN</t>
        </is>
      </c>
      <c r="D2020" s="7" t="inlineStr">
        <is>
          <t>TN03J8305</t>
        </is>
      </c>
      <c r="E2020" s="7" t="inlineStr">
        <is>
          <t>NISSAN</t>
        </is>
      </c>
      <c r="F2020" s="7" t="inlineStr">
        <is>
          <t>Micra</t>
        </is>
      </c>
      <c r="G2020" s="7" t="inlineStr">
        <is>
          <t>CARS INDIA</t>
        </is>
      </c>
      <c r="H2020" s="7" t="inlineStr">
        <is>
          <t>Non-Captive</t>
        </is>
      </c>
      <c r="I2020" s="7" t="inlineStr">
        <is>
          <t>Thiya Cars</t>
        </is>
      </c>
      <c r="J2020" s="8" t="n">
        <v>2012</v>
      </c>
      <c r="K2020" s="9" t="n">
        <v>90045</v>
      </c>
      <c r="L2020" s="10" t="n">
        <v>94000</v>
      </c>
      <c r="M2020" s="10" t="n">
        <v>3389.83</v>
      </c>
      <c r="N2020" s="11">
        <f>IF(M2020="","",ROUND(M2020*1.18,2))</f>
        <v/>
      </c>
      <c r="O2020" s="12">
        <f>IF(M2020="","",ROUND(N2020-M2020,2))</f>
        <v/>
      </c>
      <c r="P2020" s="13">
        <f>IF(AND(A2020&lt;&gt;"",B2020&lt;&gt;""), A2020&amp;" · "&amp;B2020, "")</f>
        <v/>
      </c>
    </row>
    <row r="2021">
      <c r="A2021" s="6" t="inlineStr">
        <is>
          <t>FY27</t>
        </is>
      </c>
      <c r="B2021" s="6" t="inlineStr">
        <is>
          <t>May</t>
        </is>
      </c>
      <c r="C2021" s="6" t="inlineStr">
        <is>
          <t>TN</t>
        </is>
      </c>
      <c r="D2021" s="7" t="inlineStr">
        <is>
          <t>TN04AB1224</t>
        </is>
      </c>
      <c r="E2021" s="7" t="inlineStr">
        <is>
          <t>HYUNDAI</t>
        </is>
      </c>
      <c r="F2021" s="7" t="inlineStr">
        <is>
          <t>Santro</t>
        </is>
      </c>
      <c r="G2021" s="7" t="inlineStr">
        <is>
          <t>EXCHANGE CHENNAI</t>
        </is>
      </c>
      <c r="H2021" s="7" t="inlineStr">
        <is>
          <t>Captive</t>
        </is>
      </c>
      <c r="I2021" s="7" t="inlineStr">
        <is>
          <t>S2 Cars</t>
        </is>
      </c>
      <c r="J2021" s="8" t="n">
        <v>2007</v>
      </c>
      <c r="K2021" s="9" t="n">
        <v>71019</v>
      </c>
      <c r="L2021" s="10" t="n">
        <v>85000</v>
      </c>
      <c r="M2021" s="10" t="n">
        <v>4237.29</v>
      </c>
      <c r="N2021" s="11">
        <f>IF(M2021="","",ROUND(M2021*1.18,2))</f>
        <v/>
      </c>
      <c r="O2021" s="12">
        <f>IF(M2021="","",ROUND(N2021-M2021,2))</f>
        <v/>
      </c>
      <c r="P2021" s="13">
        <f>IF(AND(A2021&lt;&gt;"",B2021&lt;&gt;""), A2021&amp;" · "&amp;B2021, "")</f>
        <v/>
      </c>
    </row>
    <row r="2022">
      <c r="A2022" s="6" t="inlineStr">
        <is>
          <t>FY27</t>
        </is>
      </c>
      <c r="B2022" s="6" t="inlineStr">
        <is>
          <t>May</t>
        </is>
      </c>
      <c r="C2022" s="6" t="inlineStr">
        <is>
          <t>TN</t>
        </is>
      </c>
      <c r="D2022" s="7" t="inlineStr">
        <is>
          <t>TN04AJ6640</t>
        </is>
      </c>
      <c r="E2022" s="7" t="inlineStr">
        <is>
          <t>CHEVROLET</t>
        </is>
      </c>
      <c r="F2022" s="7" t="inlineStr">
        <is>
          <t>Beat</t>
        </is>
      </c>
      <c r="G2022" s="7" t="inlineStr">
        <is>
          <t>STEER AUTO TECHNOLOGIES PRIVATE LIMITED</t>
        </is>
      </c>
      <c r="H2022" s="7" t="inlineStr">
        <is>
          <t>Non-Captive</t>
        </is>
      </c>
      <c r="I2022" s="7" t="inlineStr">
        <is>
          <t>Santhosh Cars</t>
        </is>
      </c>
      <c r="J2022" s="8" t="n">
        <v>2012</v>
      </c>
      <c r="K2022" s="9" t="n">
        <v>70253</v>
      </c>
      <c r="L2022" s="10" t="n">
        <v>100000</v>
      </c>
      <c r="M2022" s="10" t="n">
        <v>4237.29</v>
      </c>
      <c r="N2022" s="11">
        <f>IF(M2022="","",ROUND(M2022*1.18,2))</f>
        <v/>
      </c>
      <c r="O2022" s="12">
        <f>IF(M2022="","",ROUND(N2022-M2022,2))</f>
        <v/>
      </c>
      <c r="P2022" s="13">
        <f>IF(AND(A2022&lt;&gt;"",B2022&lt;&gt;""), A2022&amp;" · "&amp;B2022, "")</f>
        <v/>
      </c>
    </row>
    <row r="2023">
      <c r="A2023" s="6" t="inlineStr">
        <is>
          <t>FY27</t>
        </is>
      </c>
      <c r="B2023" s="6" t="inlineStr">
        <is>
          <t>May</t>
        </is>
      </c>
      <c r="C2023" s="6" t="inlineStr">
        <is>
          <t>TN</t>
        </is>
      </c>
      <c r="D2023" s="7" t="inlineStr">
        <is>
          <t>TN04AK6059</t>
        </is>
      </c>
      <c r="E2023" s="7" t="inlineStr">
        <is>
          <t>MARUTI SUZUKI</t>
        </is>
      </c>
      <c r="F2023" s="7" t="inlineStr">
        <is>
          <t>Swift</t>
        </is>
      </c>
      <c r="G2023" s="7" t="inlineStr">
        <is>
          <t>EXCHANGE ROTN</t>
        </is>
      </c>
      <c r="H2023" s="7" t="inlineStr">
        <is>
          <t>Captive</t>
        </is>
      </c>
      <c r="I2023" s="7" t="inlineStr">
        <is>
          <t>YUGA DHEERAN CARS</t>
        </is>
      </c>
      <c r="J2023" s="8" t="n">
        <v>2012</v>
      </c>
      <c r="K2023" s="9" t="n">
        <v>73074</v>
      </c>
      <c r="L2023" s="10" t="n">
        <v>200000</v>
      </c>
      <c r="M2023" s="10" t="n">
        <v>8474.58</v>
      </c>
      <c r="N2023" s="11">
        <f>IF(M2023="","",ROUND(M2023*1.18,2))</f>
        <v/>
      </c>
      <c r="O2023" s="12">
        <f>IF(M2023="","",ROUND(N2023-M2023,2))</f>
        <v/>
      </c>
      <c r="P2023" s="13">
        <f>IF(AND(A2023&lt;&gt;"",B2023&lt;&gt;""), A2023&amp;" · "&amp;B2023, "")</f>
        <v/>
      </c>
    </row>
    <row r="2024">
      <c r="A2024" s="6" t="inlineStr">
        <is>
          <t>FY27</t>
        </is>
      </c>
      <c r="B2024" s="6" t="inlineStr">
        <is>
          <t>May</t>
        </is>
      </c>
      <c r="C2024" s="6" t="inlineStr">
        <is>
          <t>TN</t>
        </is>
      </c>
      <c r="D2024" s="7" t="inlineStr">
        <is>
          <t>TN04AL8685</t>
        </is>
      </c>
      <c r="E2024" s="7" t="inlineStr">
        <is>
          <t>HONDA</t>
        </is>
      </c>
      <c r="F2024" s="7" t="inlineStr">
        <is>
          <t>Brio</t>
        </is>
      </c>
      <c r="G2024" s="7" t="inlineStr">
        <is>
          <t>EXCHANGE CHENNAI</t>
        </is>
      </c>
      <c r="H2024" s="7" t="inlineStr">
        <is>
          <t>Captive</t>
        </is>
      </c>
      <c r="I2024" s="7" t="inlineStr">
        <is>
          <t>Santhosh Cars</t>
        </is>
      </c>
      <c r="J2024" s="8" t="n">
        <v>2013</v>
      </c>
      <c r="K2024" s="9" t="n">
        <v>87559</v>
      </c>
      <c r="L2024" s="10" t="n">
        <v>160000</v>
      </c>
      <c r="M2024" s="10" t="n">
        <v>8474.58</v>
      </c>
      <c r="N2024" s="11">
        <f>IF(M2024="","",ROUND(M2024*1.18,2))</f>
        <v/>
      </c>
      <c r="O2024" s="12">
        <f>IF(M2024="","",ROUND(N2024-M2024,2))</f>
        <v/>
      </c>
      <c r="P2024" s="13">
        <f>IF(AND(A2024&lt;&gt;"",B2024&lt;&gt;""), A2024&amp;" · "&amp;B2024, "")</f>
        <v/>
      </c>
    </row>
    <row r="2025">
      <c r="A2025" s="6" t="inlineStr">
        <is>
          <t>FY27</t>
        </is>
      </c>
      <c r="B2025" s="6" t="inlineStr">
        <is>
          <t>May</t>
        </is>
      </c>
      <c r="C2025" s="6" t="inlineStr">
        <is>
          <t>TN</t>
        </is>
      </c>
      <c r="D2025" s="7" t="inlineStr">
        <is>
          <t>TN04AM2820</t>
        </is>
      </c>
      <c r="E2025" s="7" t="inlineStr">
        <is>
          <t>HYUNDAI</t>
        </is>
      </c>
      <c r="F2025" s="7" t="inlineStr">
        <is>
          <t>Verna</t>
        </is>
      </c>
      <c r="G2025" s="7" t="inlineStr">
        <is>
          <t>KHIVRAJ MOTOR</t>
        </is>
      </c>
      <c r="H2025" s="7" t="inlineStr">
        <is>
          <t>Non-Captive</t>
        </is>
      </c>
      <c r="I2025" s="7" t="inlineStr">
        <is>
          <t>Thiya Cars</t>
        </is>
      </c>
      <c r="J2025" s="8" t="n">
        <v>2013</v>
      </c>
      <c r="K2025" s="9" t="n">
        <v>116047</v>
      </c>
      <c r="L2025" s="10" t="n">
        <v>297500</v>
      </c>
      <c r="M2025" s="10" t="n">
        <v>6355.93</v>
      </c>
      <c r="N2025" s="11">
        <f>IF(M2025="","",ROUND(M2025*1.18,2))</f>
        <v/>
      </c>
      <c r="O2025" s="12">
        <f>IF(M2025="","",ROUND(N2025-M2025,2))</f>
        <v/>
      </c>
      <c r="P2025" s="13">
        <f>IF(AND(A2025&lt;&gt;"",B2025&lt;&gt;""), A2025&amp;" · "&amp;B2025, "")</f>
        <v/>
      </c>
    </row>
    <row r="2026">
      <c r="A2026" s="6" t="inlineStr">
        <is>
          <t>FY27</t>
        </is>
      </c>
      <c r="B2026" s="6" t="inlineStr">
        <is>
          <t>May</t>
        </is>
      </c>
      <c r="C2026" s="6" t="inlineStr">
        <is>
          <t>TN</t>
        </is>
      </c>
      <c r="D2026" s="7" t="inlineStr">
        <is>
          <t>TN04AQ5217</t>
        </is>
      </c>
      <c r="E2026" s="7" t="inlineStr">
        <is>
          <t>MARUTI SUZUKI</t>
        </is>
      </c>
      <c r="F2026" s="7" t="inlineStr">
        <is>
          <t>Alto</t>
        </is>
      </c>
      <c r="G2026" s="7" t="inlineStr">
        <is>
          <t>KHIVRAJ MOTOR</t>
        </is>
      </c>
      <c r="H2026" s="7" t="inlineStr">
        <is>
          <t>Non-Captive</t>
        </is>
      </c>
      <c r="I2026" s="7" t="inlineStr">
        <is>
          <t>AS Cars Gopi</t>
        </is>
      </c>
      <c r="J2026" s="8" t="n">
        <v>2015</v>
      </c>
      <c r="K2026" s="9" t="n">
        <v>107000</v>
      </c>
      <c r="L2026" s="10" t="n">
        <v>169000</v>
      </c>
      <c r="M2026" s="10" t="n">
        <v>5847.46</v>
      </c>
      <c r="N2026" s="11">
        <f>IF(M2026="","",ROUND(M2026*1.18,2))</f>
        <v/>
      </c>
      <c r="O2026" s="12">
        <f>IF(M2026="","",ROUND(N2026-M2026,2))</f>
        <v/>
      </c>
      <c r="P2026" s="13">
        <f>IF(AND(A2026&lt;&gt;"",B2026&lt;&gt;""), A2026&amp;" · "&amp;B2026, "")</f>
        <v/>
      </c>
    </row>
    <row r="2027">
      <c r="A2027" s="6" t="inlineStr">
        <is>
          <t>FY27</t>
        </is>
      </c>
      <c r="B2027" s="6" t="inlineStr">
        <is>
          <t>May</t>
        </is>
      </c>
      <c r="C2027" s="6" t="inlineStr">
        <is>
          <t>TN</t>
        </is>
      </c>
      <c r="D2027" s="7" t="inlineStr">
        <is>
          <t>TN05AC4234</t>
        </is>
      </c>
      <c r="E2027" s="7" t="inlineStr">
        <is>
          <t>CHEVROLET</t>
        </is>
      </c>
      <c r="F2027" s="7" t="inlineStr">
        <is>
          <t>Spark</t>
        </is>
      </c>
      <c r="G2027" s="7" t="inlineStr">
        <is>
          <t>SHREE THIYA CARS</t>
        </is>
      </c>
      <c r="H2027" s="7" t="inlineStr">
        <is>
          <t>Non-Captive</t>
        </is>
      </c>
      <c r="I2027" s="7" t="inlineStr">
        <is>
          <t>Shree Shan Motor</t>
        </is>
      </c>
      <c r="J2027" s="8" t="n">
        <v>2009</v>
      </c>
      <c r="K2027" s="9" t="n">
        <v>75030</v>
      </c>
      <c r="L2027" s="10" t="n">
        <v>65000</v>
      </c>
      <c r="M2027" s="10" t="n">
        <v>3389.83</v>
      </c>
      <c r="N2027" s="11">
        <f>IF(M2027="","",ROUND(M2027*1.18,2))</f>
        <v/>
      </c>
      <c r="O2027" s="12">
        <f>IF(M2027="","",ROUND(N2027-M2027,2))</f>
        <v/>
      </c>
      <c r="P2027" s="13">
        <f>IF(AND(A2027&lt;&gt;"",B2027&lt;&gt;""), A2027&amp;" · "&amp;B2027, "")</f>
        <v/>
      </c>
    </row>
    <row r="2028">
      <c r="A2028" s="6" t="inlineStr">
        <is>
          <t>FY27</t>
        </is>
      </c>
      <c r="B2028" s="6" t="inlineStr">
        <is>
          <t>May</t>
        </is>
      </c>
      <c r="C2028" s="6" t="inlineStr">
        <is>
          <t>TN</t>
        </is>
      </c>
      <c r="D2028" s="7" t="inlineStr">
        <is>
          <t>TN05AK5585</t>
        </is>
      </c>
      <c r="E2028" s="7" t="inlineStr">
        <is>
          <t>NISSAN</t>
        </is>
      </c>
      <c r="F2028" s="7" t="inlineStr">
        <is>
          <t>Micra</t>
        </is>
      </c>
      <c r="G2028" s="7" t="inlineStr">
        <is>
          <t>CRESCO CARS</t>
        </is>
      </c>
      <c r="H2028" s="7" t="inlineStr">
        <is>
          <t>Non-Captive</t>
        </is>
      </c>
      <c r="I2028" s="7" t="inlineStr">
        <is>
          <t>Nirmal Cars</t>
        </is>
      </c>
      <c r="J2028" s="8" t="n">
        <v>2011</v>
      </c>
      <c r="K2028" s="9" t="n">
        <v>77280</v>
      </c>
      <c r="L2028" s="10" t="n">
        <v>130000</v>
      </c>
      <c r="M2028" s="10" t="n">
        <v>4237.29</v>
      </c>
      <c r="N2028" s="11">
        <f>IF(M2028="","",ROUND(M2028*1.18,2))</f>
        <v/>
      </c>
      <c r="O2028" s="12">
        <f>IF(M2028="","",ROUND(N2028-M2028,2))</f>
        <v/>
      </c>
      <c r="P2028" s="13">
        <f>IF(AND(A2028&lt;&gt;"",B2028&lt;&gt;""), A2028&amp;" · "&amp;B2028, "")</f>
        <v/>
      </c>
    </row>
    <row r="2029">
      <c r="A2029" s="6" t="inlineStr">
        <is>
          <t>FY27</t>
        </is>
      </c>
      <c r="B2029" s="6" t="inlineStr">
        <is>
          <t>May</t>
        </is>
      </c>
      <c r="C2029" s="6" t="inlineStr">
        <is>
          <t>TN</t>
        </is>
      </c>
      <c r="D2029" s="7" t="inlineStr">
        <is>
          <t>TN05AM8275</t>
        </is>
      </c>
      <c r="E2029" s="7" t="inlineStr">
        <is>
          <t>HYUNDAI</t>
        </is>
      </c>
      <c r="F2029" s="7" t="inlineStr">
        <is>
          <t>Santro</t>
        </is>
      </c>
      <c r="G2029" s="7" t="inlineStr">
        <is>
          <t>PRODUCTIVITY ELEMENTS PRIVATE LIMITED</t>
        </is>
      </c>
      <c r="H2029" s="7" t="inlineStr">
        <is>
          <t>Non-Captive</t>
        </is>
      </c>
      <c r="I2029" s="7" t="inlineStr">
        <is>
          <t>Santhosh Cars</t>
        </is>
      </c>
      <c r="J2029" s="8" t="n">
        <v>2011</v>
      </c>
      <c r="K2029" s="9" t="n">
        <v>45216</v>
      </c>
      <c r="L2029" s="10" t="n">
        <v>100000</v>
      </c>
      <c r="M2029" s="10" t="n">
        <v>4237.29</v>
      </c>
      <c r="N2029" s="11">
        <f>IF(M2029="","",ROUND(M2029*1.18,2))</f>
        <v/>
      </c>
      <c r="O2029" s="12">
        <f>IF(M2029="","",ROUND(N2029-M2029,2))</f>
        <v/>
      </c>
      <c r="P2029" s="13">
        <f>IF(AND(A2029&lt;&gt;"",B2029&lt;&gt;""), A2029&amp;" · "&amp;B2029, "")</f>
        <v/>
      </c>
    </row>
    <row r="2030">
      <c r="A2030" s="6" t="inlineStr">
        <is>
          <t>FY27</t>
        </is>
      </c>
      <c r="B2030" s="6" t="inlineStr">
        <is>
          <t>May</t>
        </is>
      </c>
      <c r="C2030" s="6" t="inlineStr">
        <is>
          <t>TN</t>
        </is>
      </c>
      <c r="D2030" s="7" t="inlineStr">
        <is>
          <t>TN05AQ8875</t>
        </is>
      </c>
      <c r="E2030" s="7" t="inlineStr">
        <is>
          <t>FORD</t>
        </is>
      </c>
      <c r="F2030" s="7" t="inlineStr">
        <is>
          <t>Figo</t>
        </is>
      </c>
      <c r="G2030" s="7" t="inlineStr">
        <is>
          <t>KHIVRAJ MOTOR</t>
        </is>
      </c>
      <c r="H2030" s="7" t="inlineStr">
        <is>
          <t>Non-Captive</t>
        </is>
      </c>
      <c r="I2030" s="7" t="inlineStr">
        <is>
          <t>Santhosh Cars</t>
        </is>
      </c>
      <c r="J2030" s="8" t="n">
        <v>2012</v>
      </c>
      <c r="K2030" s="9" t="n">
        <v>70591</v>
      </c>
      <c r="L2030" s="10" t="n">
        <v>100000</v>
      </c>
      <c r="M2030" s="10" t="n">
        <v>4237.29</v>
      </c>
      <c r="N2030" s="11">
        <f>IF(M2030="","",ROUND(M2030*1.18,2))</f>
        <v/>
      </c>
      <c r="O2030" s="12">
        <f>IF(M2030="","",ROUND(N2030-M2030,2))</f>
        <v/>
      </c>
      <c r="P2030" s="13">
        <f>IF(AND(A2030&lt;&gt;"",B2030&lt;&gt;""), A2030&amp;" · "&amp;B2030, "")</f>
        <v/>
      </c>
    </row>
    <row r="2031">
      <c r="A2031" s="6" t="inlineStr">
        <is>
          <t>FY27</t>
        </is>
      </c>
      <c r="B2031" s="6" t="inlineStr">
        <is>
          <t>May</t>
        </is>
      </c>
      <c r="C2031" s="6" t="inlineStr">
        <is>
          <t>TN</t>
        </is>
      </c>
      <c r="D2031" s="7" t="inlineStr">
        <is>
          <t>TN05AS0392</t>
        </is>
      </c>
      <c r="E2031" s="7" t="inlineStr">
        <is>
          <t>HYUNDAI</t>
        </is>
      </c>
      <c r="F2031" s="7" t="inlineStr">
        <is>
          <t>Eon</t>
        </is>
      </c>
      <c r="G2031" s="7" t="inlineStr">
        <is>
          <t>KHIVRAJ MOTOR</t>
        </is>
      </c>
      <c r="H2031" s="7" t="inlineStr">
        <is>
          <t>Non-Captive</t>
        </is>
      </c>
      <c r="I2031" s="7" t="inlineStr">
        <is>
          <t>S2 Cars</t>
        </is>
      </c>
      <c r="J2031" s="8" t="n">
        <v>2013</v>
      </c>
      <c r="K2031" s="9" t="n">
        <v>6714</v>
      </c>
      <c r="L2031" s="10" t="n">
        <v>155000</v>
      </c>
      <c r="M2031" s="10" t="n">
        <v>5084.75</v>
      </c>
      <c r="N2031" s="11">
        <f>IF(M2031="","",ROUND(M2031*1.18,2))</f>
        <v/>
      </c>
      <c r="O2031" s="12">
        <f>IF(M2031="","",ROUND(N2031-M2031,2))</f>
        <v/>
      </c>
      <c r="P2031" s="13">
        <f>IF(AND(A2031&lt;&gt;"",B2031&lt;&gt;""), A2031&amp;" · "&amp;B2031, "")</f>
        <v/>
      </c>
    </row>
    <row r="2032">
      <c r="A2032" s="6" t="inlineStr">
        <is>
          <t>FY27</t>
        </is>
      </c>
      <c r="B2032" s="6" t="inlineStr">
        <is>
          <t>May</t>
        </is>
      </c>
      <c r="C2032" s="6" t="inlineStr">
        <is>
          <t>TN</t>
        </is>
      </c>
      <c r="D2032" s="7" t="inlineStr">
        <is>
          <t>TN05AS6345</t>
        </is>
      </c>
      <c r="E2032" s="7" t="inlineStr">
        <is>
          <t>MARUTI SUZUKI</t>
        </is>
      </c>
      <c r="F2032" s="7" t="inlineStr">
        <is>
          <t>Alto</t>
        </is>
      </c>
      <c r="G2032" s="7" t="inlineStr">
        <is>
          <t>CRESCO CARS</t>
        </is>
      </c>
      <c r="H2032" s="7" t="inlineStr">
        <is>
          <t>Non-Captive</t>
        </is>
      </c>
      <c r="I2032" s="7" t="inlineStr">
        <is>
          <t>Nirmal Cars</t>
        </is>
      </c>
      <c r="J2032" s="8" t="n">
        <v>2013</v>
      </c>
      <c r="K2032" s="9" t="n">
        <v>38870</v>
      </c>
      <c r="L2032" s="10" t="n">
        <v>128000</v>
      </c>
      <c r="M2032" s="10" t="n">
        <v>4237.29</v>
      </c>
      <c r="N2032" s="11">
        <f>IF(M2032="","",ROUND(M2032*1.18,2))</f>
        <v/>
      </c>
      <c r="O2032" s="12">
        <f>IF(M2032="","",ROUND(N2032-M2032,2))</f>
        <v/>
      </c>
      <c r="P2032" s="13">
        <f>IF(AND(A2032&lt;&gt;"",B2032&lt;&gt;""), A2032&amp;" · "&amp;B2032, "")</f>
        <v/>
      </c>
    </row>
    <row r="2033">
      <c r="A2033" s="6" t="inlineStr">
        <is>
          <t>FY27</t>
        </is>
      </c>
      <c r="B2033" s="6" t="inlineStr">
        <is>
          <t>May</t>
        </is>
      </c>
      <c r="C2033" s="6" t="inlineStr">
        <is>
          <t>TN</t>
        </is>
      </c>
      <c r="D2033" s="7" t="inlineStr">
        <is>
          <t>TN05AX6656</t>
        </is>
      </c>
      <c r="E2033" s="7" t="inlineStr">
        <is>
          <t>MARUTI SUZUKI</t>
        </is>
      </c>
      <c r="F2033" s="7" t="inlineStr">
        <is>
          <t>Alto</t>
        </is>
      </c>
      <c r="G2033" s="7" t="inlineStr">
        <is>
          <t>HARSHA</t>
        </is>
      </c>
      <c r="H2033" s="7" t="inlineStr">
        <is>
          <t>Non-Captive</t>
        </is>
      </c>
      <c r="I2033" s="7" t="inlineStr">
        <is>
          <t>Nirmal Cars</t>
        </is>
      </c>
      <c r="J2033" s="8" t="n">
        <v>2014</v>
      </c>
      <c r="K2033" s="9" t="n">
        <v>70707</v>
      </c>
      <c r="L2033" s="10" t="n">
        <v>144000</v>
      </c>
      <c r="M2033" s="10" t="n">
        <v>3389.83</v>
      </c>
      <c r="N2033" s="11">
        <f>IF(M2033="","",ROUND(M2033*1.18,2))</f>
        <v/>
      </c>
      <c r="O2033" s="12">
        <f>IF(M2033="","",ROUND(N2033-M2033,2))</f>
        <v/>
      </c>
      <c r="P2033" s="13">
        <f>IF(AND(A2033&lt;&gt;"",B2033&lt;&gt;""), A2033&amp;" · "&amp;B2033, "")</f>
        <v/>
      </c>
    </row>
    <row r="2034">
      <c r="A2034" s="6" t="inlineStr">
        <is>
          <t>FY27</t>
        </is>
      </c>
      <c r="B2034" s="6" t="inlineStr">
        <is>
          <t>May</t>
        </is>
      </c>
      <c r="C2034" s="6" t="inlineStr">
        <is>
          <t>TN</t>
        </is>
      </c>
      <c r="D2034" s="7" t="inlineStr">
        <is>
          <t>TN05AY7254</t>
        </is>
      </c>
      <c r="E2034" s="7" t="inlineStr">
        <is>
          <t>FIAT</t>
        </is>
      </c>
      <c r="F2034" s="7" t="inlineStr">
        <is>
          <t>Linea</t>
        </is>
      </c>
      <c r="G2034" s="7" t="inlineStr">
        <is>
          <t>SVM CARS PRIVATE LIMITED</t>
        </is>
      </c>
      <c r="H2034" s="7" t="inlineStr">
        <is>
          <t>Non-Captive</t>
        </is>
      </c>
      <c r="I2034" s="7" t="inlineStr">
        <is>
          <t>TSM</t>
        </is>
      </c>
      <c r="J2034" s="8" t="n">
        <v>2014</v>
      </c>
      <c r="K2034" s="9" t="n">
        <v>69052</v>
      </c>
      <c r="L2034" s="10" t="n">
        <v>160000</v>
      </c>
      <c r="M2034" s="10" t="n">
        <v>4237.29</v>
      </c>
      <c r="N2034" s="11">
        <f>IF(M2034="","",ROUND(M2034*1.18,2))</f>
        <v/>
      </c>
      <c r="O2034" s="12">
        <f>IF(M2034="","",ROUND(N2034-M2034,2))</f>
        <v/>
      </c>
      <c r="P2034" s="13">
        <f>IF(AND(A2034&lt;&gt;"",B2034&lt;&gt;""), A2034&amp;" · "&amp;B2034, "")</f>
        <v/>
      </c>
    </row>
    <row r="2035">
      <c r="A2035" s="6" t="inlineStr">
        <is>
          <t>FY27</t>
        </is>
      </c>
      <c r="B2035" s="6" t="inlineStr">
        <is>
          <t>May</t>
        </is>
      </c>
      <c r="C2035" s="6" t="inlineStr">
        <is>
          <t>TN</t>
        </is>
      </c>
      <c r="D2035" s="7" t="inlineStr">
        <is>
          <t>TN06B0814</t>
        </is>
      </c>
      <c r="E2035" s="7" t="inlineStr">
        <is>
          <t>HYUNDAI</t>
        </is>
      </c>
      <c r="F2035" s="7" t="inlineStr">
        <is>
          <t>Santro</t>
        </is>
      </c>
      <c r="G2035" s="7" t="inlineStr">
        <is>
          <t>PPS MOTORS PRIVATE LTD</t>
        </is>
      </c>
      <c r="H2035" s="7" t="inlineStr">
        <is>
          <t>Non-Captive</t>
        </is>
      </c>
      <c r="I2035" s="7" t="inlineStr">
        <is>
          <t>Thiya Cars</t>
        </is>
      </c>
      <c r="J2035" s="8" t="n">
        <v>2010</v>
      </c>
      <c r="K2035" s="9" t="n">
        <v>132795</v>
      </c>
      <c r="L2035" s="10" t="n">
        <v>100000</v>
      </c>
      <c r="M2035" s="10" t="n">
        <v>3389.83</v>
      </c>
      <c r="N2035" s="11">
        <f>IF(M2035="","",ROUND(M2035*1.18,2))</f>
        <v/>
      </c>
      <c r="O2035" s="12">
        <f>IF(M2035="","",ROUND(N2035-M2035,2))</f>
        <v/>
      </c>
      <c r="P2035" s="13">
        <f>IF(AND(A2035&lt;&gt;"",B2035&lt;&gt;""), A2035&amp;" · "&amp;B2035, "")</f>
        <v/>
      </c>
    </row>
    <row r="2036">
      <c r="A2036" s="6" t="inlineStr">
        <is>
          <t>FY27</t>
        </is>
      </c>
      <c r="B2036" s="6" t="inlineStr">
        <is>
          <t>May</t>
        </is>
      </c>
      <c r="C2036" s="6" t="inlineStr">
        <is>
          <t>TN</t>
        </is>
      </c>
      <c r="D2036" s="7" t="inlineStr">
        <is>
          <t>TN06B3071</t>
        </is>
      </c>
      <c r="E2036" s="7" t="inlineStr">
        <is>
          <t>HYUNDAI</t>
        </is>
      </c>
      <c r="F2036" s="7" t="inlineStr">
        <is>
          <t>i10</t>
        </is>
      </c>
      <c r="G2036" s="7" t="inlineStr">
        <is>
          <t>NIRMAL</t>
        </is>
      </c>
      <c r="H2036" s="7" t="inlineStr">
        <is>
          <t>Non-Captive</t>
        </is>
      </c>
      <c r="I2036" s="7" t="inlineStr">
        <is>
          <t>TSM</t>
        </is>
      </c>
      <c r="J2036" s="8" t="n">
        <v>2010</v>
      </c>
      <c r="K2036" s="9" t="n">
        <v>50629</v>
      </c>
      <c r="L2036" s="10" t="n">
        <v>160000</v>
      </c>
      <c r="M2036" s="10" t="n">
        <v>4237.29</v>
      </c>
      <c r="N2036" s="11">
        <f>IF(M2036="","",ROUND(M2036*1.18,2))</f>
        <v/>
      </c>
      <c r="O2036" s="12">
        <f>IF(M2036="","",ROUND(N2036-M2036,2))</f>
        <v/>
      </c>
      <c r="P2036" s="13">
        <f>IF(AND(A2036&lt;&gt;"",B2036&lt;&gt;""), A2036&amp;" · "&amp;B2036, "")</f>
        <v/>
      </c>
    </row>
    <row r="2037">
      <c r="A2037" s="6" t="inlineStr">
        <is>
          <t>FY27</t>
        </is>
      </c>
      <c r="B2037" s="6" t="inlineStr">
        <is>
          <t>May</t>
        </is>
      </c>
      <c r="C2037" s="6" t="inlineStr">
        <is>
          <t>TN</t>
        </is>
      </c>
      <c r="D2037" s="7" t="inlineStr">
        <is>
          <t>TN06D7607</t>
        </is>
      </c>
      <c r="E2037" s="7" t="inlineStr">
        <is>
          <t>MARUTI SUZUKI</t>
        </is>
      </c>
      <c r="F2037" s="7" t="inlineStr">
        <is>
          <t>Alto K10</t>
        </is>
      </c>
      <c r="G2037" s="7" t="inlineStr">
        <is>
          <t>KHIVRAJ MOTOR</t>
        </is>
      </c>
      <c r="H2037" s="7" t="inlineStr">
        <is>
          <t>Non-Captive</t>
        </is>
      </c>
      <c r="I2037" s="7" t="inlineStr">
        <is>
          <t>Grid 33</t>
        </is>
      </c>
      <c r="J2037" s="8" t="n">
        <v>2011</v>
      </c>
      <c r="K2037" s="9" t="n">
        <v>75326</v>
      </c>
      <c r="L2037" s="10" t="n">
        <v>75000</v>
      </c>
      <c r="M2037" s="10" t="n">
        <v>4237.29</v>
      </c>
      <c r="N2037" s="11">
        <f>IF(M2037="","",ROUND(M2037*1.18,2))</f>
        <v/>
      </c>
      <c r="O2037" s="12">
        <f>IF(M2037="","",ROUND(N2037-M2037,2))</f>
        <v/>
      </c>
      <c r="P2037" s="13">
        <f>IF(AND(A2037&lt;&gt;"",B2037&lt;&gt;""), A2037&amp;" · "&amp;B2037, "")</f>
        <v/>
      </c>
    </row>
    <row r="2038">
      <c r="A2038" s="6" t="inlineStr">
        <is>
          <t>FY27</t>
        </is>
      </c>
      <c r="B2038" s="6" t="inlineStr">
        <is>
          <t>May</t>
        </is>
      </c>
      <c r="C2038" s="6" t="inlineStr">
        <is>
          <t>TN</t>
        </is>
      </c>
      <c r="D2038" s="7" t="inlineStr">
        <is>
          <t>TN06E5472</t>
        </is>
      </c>
      <c r="E2038" s="7" t="inlineStr">
        <is>
          <t>HYUNDAI</t>
        </is>
      </c>
      <c r="F2038" s="7" t="inlineStr">
        <is>
          <t>i10</t>
        </is>
      </c>
      <c r="G2038" s="7" t="inlineStr">
        <is>
          <t>CRESCO CARS</t>
        </is>
      </c>
      <c r="H2038" s="7" t="inlineStr">
        <is>
          <t>Non-Captive</t>
        </is>
      </c>
      <c r="I2038" s="7" t="inlineStr">
        <is>
          <t>TSM</t>
        </is>
      </c>
      <c r="J2038" s="8" t="n">
        <v>2011</v>
      </c>
      <c r="K2038" s="9" t="n">
        <v>57041</v>
      </c>
      <c r="L2038" s="10" t="n">
        <v>150000</v>
      </c>
      <c r="M2038" s="10" t="n">
        <v>3389.83</v>
      </c>
      <c r="N2038" s="11">
        <f>IF(M2038="","",ROUND(M2038*1.18,2))</f>
        <v/>
      </c>
      <c r="O2038" s="12">
        <f>IF(M2038="","",ROUND(N2038-M2038,2))</f>
        <v/>
      </c>
      <c r="P2038" s="13">
        <f>IF(AND(A2038&lt;&gt;"",B2038&lt;&gt;""), A2038&amp;" · "&amp;B2038, "")</f>
        <v/>
      </c>
    </row>
    <row r="2039">
      <c r="A2039" s="6" t="inlineStr">
        <is>
          <t>FY27</t>
        </is>
      </c>
      <c r="B2039" s="6" t="inlineStr">
        <is>
          <t>May</t>
        </is>
      </c>
      <c r="C2039" s="6" t="inlineStr">
        <is>
          <t>TN</t>
        </is>
      </c>
      <c r="D2039" s="7" t="inlineStr">
        <is>
          <t>TN06E7256</t>
        </is>
      </c>
      <c r="E2039" s="7" t="inlineStr">
        <is>
          <t>CHEVROLET</t>
        </is>
      </c>
      <c r="F2039" s="7" t="inlineStr">
        <is>
          <t>Beat</t>
        </is>
      </c>
      <c r="G2039" s="7" t="inlineStr">
        <is>
          <t>PRODUCTIVITY ELEMENTS PRIVATE LIMITED</t>
        </is>
      </c>
      <c r="H2039" s="7" t="inlineStr">
        <is>
          <t>Non-Captive</t>
        </is>
      </c>
      <c r="I2039" s="7" t="inlineStr">
        <is>
          <t>Grid 33</t>
        </is>
      </c>
      <c r="J2039" s="8" t="n">
        <v>2011</v>
      </c>
      <c r="K2039" s="9" t="n">
        <v>60100</v>
      </c>
      <c r="L2039" s="10" t="n">
        <v>80000</v>
      </c>
      <c r="M2039" s="10" t="n">
        <v>4237.29</v>
      </c>
      <c r="N2039" s="11">
        <f>IF(M2039="","",ROUND(M2039*1.18,2))</f>
        <v/>
      </c>
      <c r="O2039" s="12">
        <f>IF(M2039="","",ROUND(N2039-M2039,2))</f>
        <v/>
      </c>
      <c r="P2039" s="13">
        <f>IF(AND(A2039&lt;&gt;"",B2039&lt;&gt;""), A2039&amp;" · "&amp;B2039, "")</f>
        <v/>
      </c>
    </row>
    <row r="2040">
      <c r="A2040" s="6" t="inlineStr">
        <is>
          <t>FY27</t>
        </is>
      </c>
      <c r="B2040" s="6" t="inlineStr">
        <is>
          <t>May</t>
        </is>
      </c>
      <c r="C2040" s="6" t="inlineStr">
        <is>
          <t>TN</t>
        </is>
      </c>
      <c r="D2040" s="7" t="inlineStr">
        <is>
          <t>TN06F6229</t>
        </is>
      </c>
      <c r="E2040" s="7" t="inlineStr">
        <is>
          <t>RENAULT</t>
        </is>
      </c>
      <c r="F2040" s="7" t="inlineStr">
        <is>
          <t>Pulse</t>
        </is>
      </c>
      <c r="G2040" s="7" t="inlineStr">
        <is>
          <t>INDUS</t>
        </is>
      </c>
      <c r="H2040" s="7" t="inlineStr">
        <is>
          <t>Non-Captive</t>
        </is>
      </c>
      <c r="I2040" s="7" t="inlineStr">
        <is>
          <t>Thiya Cars</t>
        </is>
      </c>
      <c r="J2040" s="8" t="n">
        <v>2012</v>
      </c>
      <c r="K2040" s="9" t="n">
        <v>104980</v>
      </c>
      <c r="L2040" s="10" t="n">
        <v>110000</v>
      </c>
      <c r="M2040" s="10" t="n">
        <v>3389.83</v>
      </c>
      <c r="N2040" s="11">
        <f>IF(M2040="","",ROUND(M2040*1.18,2))</f>
        <v/>
      </c>
      <c r="O2040" s="12">
        <f>IF(M2040="","",ROUND(N2040-M2040,2))</f>
        <v/>
      </c>
      <c r="P2040" s="13">
        <f>IF(AND(A2040&lt;&gt;"",B2040&lt;&gt;""), A2040&amp;" · "&amp;B2040, "")</f>
        <v/>
      </c>
    </row>
    <row r="2041">
      <c r="A2041" s="6" t="inlineStr">
        <is>
          <t>FY27</t>
        </is>
      </c>
      <c r="B2041" s="6" t="inlineStr">
        <is>
          <t>May</t>
        </is>
      </c>
      <c r="C2041" s="6" t="inlineStr">
        <is>
          <t>TN</t>
        </is>
      </c>
      <c r="D2041" s="7" t="inlineStr">
        <is>
          <t>TN06H3913</t>
        </is>
      </c>
      <c r="E2041" s="7" t="inlineStr">
        <is>
          <t>FIAT</t>
        </is>
      </c>
      <c r="F2041" s="7" t="inlineStr">
        <is>
          <t>Punto</t>
        </is>
      </c>
      <c r="G2041" s="7" t="inlineStr">
        <is>
          <t>EXCHANGE ROTN</t>
        </is>
      </c>
      <c r="H2041" s="7" t="inlineStr">
        <is>
          <t>Captive</t>
        </is>
      </c>
      <c r="I2041" s="7" t="inlineStr">
        <is>
          <t>Ashwin cars</t>
        </is>
      </c>
      <c r="J2041" s="8" t="n">
        <v>2012</v>
      </c>
      <c r="K2041" s="9" t="n">
        <v>177830</v>
      </c>
      <c r="L2041" s="10" t="n">
        <v>68000</v>
      </c>
      <c r="M2041" s="10" t="n">
        <v>4237.29</v>
      </c>
      <c r="N2041" s="11">
        <f>IF(M2041="","",ROUND(M2041*1.18,2))</f>
        <v/>
      </c>
      <c r="O2041" s="12">
        <f>IF(M2041="","",ROUND(N2041-M2041,2))</f>
        <v/>
      </c>
      <c r="P2041" s="13">
        <f>IF(AND(A2041&lt;&gt;"",B2041&lt;&gt;""), A2041&amp;" · "&amp;B2041, "")</f>
        <v/>
      </c>
    </row>
    <row r="2042">
      <c r="A2042" s="6" t="inlineStr">
        <is>
          <t>FY27</t>
        </is>
      </c>
      <c r="B2042" s="6" t="inlineStr">
        <is>
          <t>May</t>
        </is>
      </c>
      <c r="C2042" s="6" t="inlineStr">
        <is>
          <t>TN</t>
        </is>
      </c>
      <c r="D2042" s="7" t="inlineStr">
        <is>
          <t>TN06L0682</t>
        </is>
      </c>
      <c r="E2042" s="7" t="inlineStr">
        <is>
          <t>MARUTI SUZUKI</t>
        </is>
      </c>
      <c r="F2042" s="7" t="inlineStr">
        <is>
          <t>Alto</t>
        </is>
      </c>
      <c r="G2042" s="7" t="inlineStr">
        <is>
          <t>KHIVRAJ MOTOR</t>
        </is>
      </c>
      <c r="H2042" s="7" t="inlineStr">
        <is>
          <t>Non-Captive</t>
        </is>
      </c>
      <c r="I2042" s="7" t="inlineStr">
        <is>
          <t>Thiya Cars</t>
        </is>
      </c>
      <c r="J2042" s="8" t="n">
        <v>2014</v>
      </c>
      <c r="K2042" s="9" t="n">
        <v>43161</v>
      </c>
      <c r="L2042" s="10" t="n">
        <v>144000</v>
      </c>
      <c r="M2042" s="10" t="n">
        <v>3389.83</v>
      </c>
      <c r="N2042" s="11">
        <f>IF(M2042="","",ROUND(M2042*1.18,2))</f>
        <v/>
      </c>
      <c r="O2042" s="12">
        <f>IF(M2042="","",ROUND(N2042-M2042,2))</f>
        <v/>
      </c>
      <c r="P2042" s="13">
        <f>IF(AND(A2042&lt;&gt;"",B2042&lt;&gt;""), A2042&amp;" · "&amp;B2042, "")</f>
        <v/>
      </c>
    </row>
    <row r="2043">
      <c r="A2043" s="6" t="inlineStr">
        <is>
          <t>FY27</t>
        </is>
      </c>
      <c r="B2043" s="6" t="inlineStr">
        <is>
          <t>May</t>
        </is>
      </c>
      <c r="C2043" s="6" t="inlineStr">
        <is>
          <t>TN</t>
        </is>
      </c>
      <c r="D2043" s="7" t="inlineStr">
        <is>
          <t>TN06L3865</t>
        </is>
      </c>
      <c r="E2043" s="7" t="inlineStr">
        <is>
          <t>DATSUN</t>
        </is>
      </c>
      <c r="F2043" s="7" t="inlineStr">
        <is>
          <t>Redi-GO</t>
        </is>
      </c>
      <c r="G2043" s="7" t="inlineStr">
        <is>
          <t>INDUS</t>
        </is>
      </c>
      <c r="H2043" s="7" t="inlineStr">
        <is>
          <t>Non-Captive</t>
        </is>
      </c>
      <c r="I2043" s="7" t="inlineStr">
        <is>
          <t>Thiya Cars</t>
        </is>
      </c>
      <c r="J2043" s="8" t="n">
        <v>2014</v>
      </c>
      <c r="K2043" s="9" t="n">
        <v>134433</v>
      </c>
      <c r="L2043" s="10" t="n">
        <v>120000</v>
      </c>
      <c r="M2043" s="10" t="n">
        <v>4237.29</v>
      </c>
      <c r="N2043" s="11">
        <f>IF(M2043="","",ROUND(M2043*1.18,2))</f>
        <v/>
      </c>
      <c r="O2043" s="12">
        <f>IF(M2043="","",ROUND(N2043-M2043,2))</f>
        <v/>
      </c>
      <c r="P2043" s="13">
        <f>IF(AND(A2043&lt;&gt;"",B2043&lt;&gt;""), A2043&amp;" · "&amp;B2043, "")</f>
        <v/>
      </c>
    </row>
    <row r="2044">
      <c r="A2044" s="6" t="inlineStr">
        <is>
          <t>FY27</t>
        </is>
      </c>
      <c r="B2044" s="6" t="inlineStr">
        <is>
          <t>May</t>
        </is>
      </c>
      <c r="C2044" s="6" t="inlineStr">
        <is>
          <t>TN</t>
        </is>
      </c>
      <c r="D2044" s="7" t="inlineStr">
        <is>
          <t>TN06Z7112</t>
        </is>
      </c>
      <c r="E2044" s="7" t="inlineStr">
        <is>
          <t>MARUTI SUZUKI</t>
        </is>
      </c>
      <c r="F2044" s="7" t="inlineStr">
        <is>
          <t>Wagon R</t>
        </is>
      </c>
      <c r="G2044" s="7" t="inlineStr">
        <is>
          <t>KHIVRAJ MOTOR</t>
        </is>
      </c>
      <c r="H2044" s="7" t="inlineStr">
        <is>
          <t>Non-Captive</t>
        </is>
      </c>
      <c r="I2044" s="7" t="inlineStr">
        <is>
          <t>Lanson Toyota</t>
        </is>
      </c>
      <c r="J2044" s="8" t="n">
        <v>2020</v>
      </c>
      <c r="K2044" s="9" t="n">
        <v>62373</v>
      </c>
      <c r="L2044" s="10" t="n">
        <v>402500</v>
      </c>
      <c r="M2044" s="10" t="n">
        <v>6355.93</v>
      </c>
      <c r="N2044" s="11">
        <f>IF(M2044="","",ROUND(M2044*1.18,2))</f>
        <v/>
      </c>
      <c r="O2044" s="12">
        <f>IF(M2044="","",ROUND(N2044-M2044,2))</f>
        <v/>
      </c>
      <c r="P2044" s="13">
        <f>IF(AND(A2044&lt;&gt;"",B2044&lt;&gt;""), A2044&amp;" · "&amp;B2044, "")</f>
        <v/>
      </c>
    </row>
    <row r="2045">
      <c r="A2045" s="6" t="inlineStr">
        <is>
          <t>FY27</t>
        </is>
      </c>
      <c r="B2045" s="6" t="inlineStr">
        <is>
          <t>May</t>
        </is>
      </c>
      <c r="C2045" s="6" t="inlineStr">
        <is>
          <t>TN</t>
        </is>
      </c>
      <c r="D2045" s="7" t="inlineStr">
        <is>
          <t>TN07AL2017</t>
        </is>
      </c>
      <c r="E2045" s="7" t="inlineStr">
        <is>
          <t>HYUNDAI</t>
        </is>
      </c>
      <c r="F2045" s="7" t="inlineStr">
        <is>
          <t>Santro</t>
        </is>
      </c>
      <c r="G2045" s="7" t="inlineStr">
        <is>
          <t>KHIVRAJ MOTOR</t>
        </is>
      </c>
      <c r="H2045" s="7" t="inlineStr">
        <is>
          <t>Non-Captive</t>
        </is>
      </c>
      <c r="I2045" s="7" t="inlineStr">
        <is>
          <t>Grid 33</t>
        </is>
      </c>
      <c r="J2045" s="8" t="n">
        <v>2007</v>
      </c>
      <c r="K2045" s="9" t="n">
        <v>136031</v>
      </c>
      <c r="L2045" s="10" t="n">
        <v>90000</v>
      </c>
      <c r="M2045" s="10" t="n">
        <v>4237.29</v>
      </c>
      <c r="N2045" s="11">
        <f>IF(M2045="","",ROUND(M2045*1.18,2))</f>
        <v/>
      </c>
      <c r="O2045" s="12">
        <f>IF(M2045="","",ROUND(N2045-M2045,2))</f>
        <v/>
      </c>
      <c r="P2045" s="13">
        <f>IF(AND(A2045&lt;&gt;"",B2045&lt;&gt;""), A2045&amp;" · "&amp;B2045, "")</f>
        <v/>
      </c>
    </row>
    <row r="2046">
      <c r="A2046" s="6" t="inlineStr">
        <is>
          <t>FY27</t>
        </is>
      </c>
      <c r="B2046" s="6" t="inlineStr">
        <is>
          <t>May</t>
        </is>
      </c>
      <c r="C2046" s="6" t="inlineStr">
        <is>
          <t>TN</t>
        </is>
      </c>
      <c r="D2046" s="7" t="inlineStr">
        <is>
          <t>TN07AS7911</t>
        </is>
      </c>
      <c r="E2046" s="7" t="inlineStr">
        <is>
          <t>MARUTI SUZUKI</t>
        </is>
      </c>
      <c r="F2046" s="7" t="inlineStr">
        <is>
          <t>Swift</t>
        </is>
      </c>
      <c r="G2046" s="7" t="inlineStr">
        <is>
          <t>KHIVRAJ MOTOR</t>
        </is>
      </c>
      <c r="H2046" s="7" t="inlineStr">
        <is>
          <t>Non-Captive</t>
        </is>
      </c>
      <c r="I2046" s="7" t="inlineStr">
        <is>
          <t>Nirmal Cars</t>
        </is>
      </c>
      <c r="J2046" s="8" t="n">
        <v>2007</v>
      </c>
      <c r="K2046" s="9" t="n">
        <v>70138</v>
      </c>
      <c r="L2046" s="10" t="n">
        <v>130000</v>
      </c>
      <c r="M2046" s="10" t="n">
        <v>4237.29</v>
      </c>
      <c r="N2046" s="11">
        <f>IF(M2046="","",ROUND(M2046*1.18,2))</f>
        <v/>
      </c>
      <c r="O2046" s="12">
        <f>IF(M2046="","",ROUND(N2046-M2046,2))</f>
        <v/>
      </c>
      <c r="P2046" s="13">
        <f>IF(AND(A2046&lt;&gt;"",B2046&lt;&gt;""), A2046&amp;" · "&amp;B2046, "")</f>
        <v/>
      </c>
    </row>
    <row r="2047">
      <c r="A2047" s="6" t="inlineStr">
        <is>
          <t>FY27</t>
        </is>
      </c>
      <c r="B2047" s="6" t="inlineStr">
        <is>
          <t>May</t>
        </is>
      </c>
      <c r="C2047" s="6" t="inlineStr">
        <is>
          <t>TN</t>
        </is>
      </c>
      <c r="D2047" s="7" t="inlineStr">
        <is>
          <t>TN07AT0792</t>
        </is>
      </c>
      <c r="E2047" s="7" t="inlineStr">
        <is>
          <t>MARUTI SUZUKI</t>
        </is>
      </c>
      <c r="F2047" s="7" t="inlineStr">
        <is>
          <t>Wagon R</t>
        </is>
      </c>
      <c r="G2047" s="7" t="inlineStr">
        <is>
          <t>KHIVRAJ MOTOR</t>
        </is>
      </c>
      <c r="H2047" s="7" t="inlineStr">
        <is>
          <t>Non-Captive</t>
        </is>
      </c>
      <c r="I2047" s="7" t="inlineStr">
        <is>
          <t>Santhosh Cars</t>
        </is>
      </c>
      <c r="J2047" s="8" t="n">
        <v>2006</v>
      </c>
      <c r="K2047" s="9" t="n">
        <v>116145</v>
      </c>
      <c r="L2047" s="10" t="n">
        <v>100000</v>
      </c>
      <c r="M2047" s="10" t="n">
        <v>4237.29</v>
      </c>
      <c r="N2047" s="11">
        <f>IF(M2047="","",ROUND(M2047*1.18,2))</f>
        <v/>
      </c>
      <c r="O2047" s="12">
        <f>IF(M2047="","",ROUND(N2047-M2047,2))</f>
        <v/>
      </c>
      <c r="P2047" s="13">
        <f>IF(AND(A2047&lt;&gt;"",B2047&lt;&gt;""), A2047&amp;" · "&amp;B2047, "")</f>
        <v/>
      </c>
    </row>
    <row r="2048">
      <c r="A2048" s="6" t="inlineStr">
        <is>
          <t>FY27</t>
        </is>
      </c>
      <c r="B2048" s="6" t="inlineStr">
        <is>
          <t>May</t>
        </is>
      </c>
      <c r="C2048" s="6" t="inlineStr">
        <is>
          <t>TN</t>
        </is>
      </c>
      <c r="D2048" s="7" t="inlineStr">
        <is>
          <t>TN07AU0684</t>
        </is>
      </c>
      <c r="E2048" s="7" t="inlineStr">
        <is>
          <t>MARUTI SUZUKI</t>
        </is>
      </c>
      <c r="F2048" s="7" t="inlineStr">
        <is>
          <t>Alto</t>
        </is>
      </c>
      <c r="G2048" s="7" t="inlineStr">
        <is>
          <t>KHIVRAJ MOTOR</t>
        </is>
      </c>
      <c r="H2048" s="7" t="inlineStr">
        <is>
          <t>Non-Captive</t>
        </is>
      </c>
      <c r="I2048" s="7" t="inlineStr">
        <is>
          <t>S2 Cars</t>
        </is>
      </c>
      <c r="J2048" s="8" t="n">
        <v>2006</v>
      </c>
      <c r="K2048" s="9" t="n">
        <v>32661</v>
      </c>
      <c r="L2048" s="10" t="n">
        <v>70000</v>
      </c>
      <c r="M2048" s="10" t="n">
        <v>4237.29</v>
      </c>
      <c r="N2048" s="11">
        <f>IF(M2048="","",ROUND(M2048*1.18,2))</f>
        <v/>
      </c>
      <c r="O2048" s="12">
        <f>IF(M2048="","",ROUND(N2048-M2048,2))</f>
        <v/>
      </c>
      <c r="P2048" s="13">
        <f>IF(AND(A2048&lt;&gt;"",B2048&lt;&gt;""), A2048&amp;" · "&amp;B2048, "")</f>
        <v/>
      </c>
    </row>
    <row r="2049">
      <c r="A2049" s="6" t="inlineStr">
        <is>
          <t>FY27</t>
        </is>
      </c>
      <c r="B2049" s="6" t="inlineStr">
        <is>
          <t>May</t>
        </is>
      </c>
      <c r="C2049" s="6" t="inlineStr">
        <is>
          <t>TN</t>
        </is>
      </c>
      <c r="D2049" s="7" t="inlineStr">
        <is>
          <t>TN07BE5826</t>
        </is>
      </c>
      <c r="E2049" s="7" t="inlineStr">
        <is>
          <t>MARUTI SUZUKI</t>
        </is>
      </c>
      <c r="F2049" s="7" t="inlineStr">
        <is>
          <t>Ritz</t>
        </is>
      </c>
      <c r="G2049" s="7" t="inlineStr">
        <is>
          <t>KHIVRAJ MOTOR</t>
        </is>
      </c>
      <c r="H2049" s="7" t="inlineStr">
        <is>
          <t>Non-Captive</t>
        </is>
      </c>
      <c r="I2049" s="7" t="inlineStr">
        <is>
          <t>Thiya Cars</t>
        </is>
      </c>
      <c r="J2049" s="8" t="n">
        <v>2009</v>
      </c>
      <c r="K2049" s="9" t="n">
        <v>43224</v>
      </c>
      <c r="L2049" s="10" t="n">
        <v>110000</v>
      </c>
      <c r="M2049" s="10" t="n">
        <v>3389.83</v>
      </c>
      <c r="N2049" s="11">
        <f>IF(M2049="","",ROUND(M2049*1.18,2))</f>
        <v/>
      </c>
      <c r="O2049" s="12">
        <f>IF(M2049="","",ROUND(N2049-M2049,2))</f>
        <v/>
      </c>
      <c r="P2049" s="13">
        <f>IF(AND(A2049&lt;&gt;"",B2049&lt;&gt;""), A2049&amp;" · "&amp;B2049, "")</f>
        <v/>
      </c>
    </row>
    <row r="2050">
      <c r="A2050" s="6" t="inlineStr">
        <is>
          <t>FY27</t>
        </is>
      </c>
      <c r="B2050" s="6" t="inlineStr">
        <is>
          <t>May</t>
        </is>
      </c>
      <c r="C2050" s="6" t="inlineStr">
        <is>
          <t>TN</t>
        </is>
      </c>
      <c r="D2050" s="7" t="inlineStr">
        <is>
          <t>TN07BF1229</t>
        </is>
      </c>
      <c r="E2050" s="7" t="inlineStr">
        <is>
          <t>MARUTI SUZUKI</t>
        </is>
      </c>
      <c r="F2050" s="7" t="inlineStr">
        <is>
          <t>A-Star</t>
        </is>
      </c>
      <c r="G2050" s="7" t="inlineStr">
        <is>
          <t>SVM CARS PRIVATE LIMITED</t>
        </is>
      </c>
      <c r="H2050" s="7" t="inlineStr">
        <is>
          <t>Non-Captive</t>
        </is>
      </c>
      <c r="I2050" s="7" t="inlineStr">
        <is>
          <t>Grid 33</t>
        </is>
      </c>
      <c r="J2050" s="8" t="n">
        <v>2010</v>
      </c>
      <c r="K2050" s="9" t="n">
        <v>50387</v>
      </c>
      <c r="L2050" s="10" t="n">
        <v>100000</v>
      </c>
      <c r="M2050" s="10" t="n">
        <v>5084.75</v>
      </c>
      <c r="N2050" s="11">
        <f>IF(M2050="","",ROUND(M2050*1.18,2))</f>
        <v/>
      </c>
      <c r="O2050" s="12">
        <f>IF(M2050="","",ROUND(N2050-M2050,2))</f>
        <v/>
      </c>
      <c r="P2050" s="13">
        <f>IF(AND(A2050&lt;&gt;"",B2050&lt;&gt;""), A2050&amp;" · "&amp;B2050, "")</f>
        <v/>
      </c>
    </row>
    <row r="2051">
      <c r="A2051" s="6" t="inlineStr">
        <is>
          <t>FY27</t>
        </is>
      </c>
      <c r="B2051" s="6" t="inlineStr">
        <is>
          <t>May</t>
        </is>
      </c>
      <c r="C2051" s="6" t="inlineStr">
        <is>
          <t>TN</t>
        </is>
      </c>
      <c r="D2051" s="7" t="inlineStr">
        <is>
          <t>TN07BF1802</t>
        </is>
      </c>
      <c r="E2051" s="7" t="inlineStr">
        <is>
          <t>MARUTI SUZUKI</t>
        </is>
      </c>
      <c r="F2051" s="7" t="inlineStr">
        <is>
          <t>Alto</t>
        </is>
      </c>
      <c r="G2051" s="7" t="inlineStr">
        <is>
          <t>CRESCO CARS</t>
        </is>
      </c>
      <c r="H2051" s="7" t="inlineStr">
        <is>
          <t>Non-Captive</t>
        </is>
      </c>
      <c r="I2051" s="7" t="inlineStr">
        <is>
          <t>Santhosh Cars</t>
        </is>
      </c>
      <c r="J2051" s="8" t="n">
        <v>2010</v>
      </c>
      <c r="K2051" s="9" t="n">
        <v>85751</v>
      </c>
      <c r="L2051" s="10" t="n">
        <v>100000</v>
      </c>
      <c r="M2051" s="10" t="n">
        <v>4237.29</v>
      </c>
      <c r="N2051" s="11">
        <f>IF(M2051="","",ROUND(M2051*1.18,2))</f>
        <v/>
      </c>
      <c r="O2051" s="12">
        <f>IF(M2051="","",ROUND(N2051-M2051,2))</f>
        <v/>
      </c>
      <c r="P2051" s="13">
        <f>IF(AND(A2051&lt;&gt;"",B2051&lt;&gt;""), A2051&amp;" · "&amp;B2051, "")</f>
        <v/>
      </c>
    </row>
    <row r="2052">
      <c r="A2052" s="6" t="inlineStr">
        <is>
          <t>FY27</t>
        </is>
      </c>
      <c r="B2052" s="6" t="inlineStr">
        <is>
          <t>May</t>
        </is>
      </c>
      <c r="C2052" s="6" t="inlineStr">
        <is>
          <t>TN</t>
        </is>
      </c>
      <c r="D2052" s="7" t="inlineStr">
        <is>
          <t>TN07BH8088</t>
        </is>
      </c>
      <c r="E2052" s="7" t="inlineStr">
        <is>
          <t>MARUTI SUZUKI</t>
        </is>
      </c>
      <c r="F2052" s="7" t="inlineStr">
        <is>
          <t>Swift</t>
        </is>
      </c>
      <c r="G2052" s="7" t="inlineStr">
        <is>
          <t>ATHEN MARUTI</t>
        </is>
      </c>
      <c r="H2052" s="7" t="inlineStr">
        <is>
          <t>Non-Captive</t>
        </is>
      </c>
      <c r="I2052" s="7" t="inlineStr">
        <is>
          <t>Thiya Cars</t>
        </is>
      </c>
      <c r="J2052" s="8" t="n">
        <v>2010</v>
      </c>
      <c r="K2052" s="9" t="n">
        <v>220061</v>
      </c>
      <c r="L2052" s="10" t="n">
        <v>120000</v>
      </c>
      <c r="M2052" s="10" t="n">
        <v>4237.29</v>
      </c>
      <c r="N2052" s="11">
        <f>IF(M2052="","",ROUND(M2052*1.18,2))</f>
        <v/>
      </c>
      <c r="O2052" s="12">
        <f>IF(M2052="","",ROUND(N2052-M2052,2))</f>
        <v/>
      </c>
      <c r="P2052" s="13">
        <f>IF(AND(A2052&lt;&gt;"",B2052&lt;&gt;""), A2052&amp;" · "&amp;B2052, "")</f>
        <v/>
      </c>
    </row>
    <row r="2053">
      <c r="A2053" s="6" t="inlineStr">
        <is>
          <t>FY27</t>
        </is>
      </c>
      <c r="B2053" s="6" t="inlineStr">
        <is>
          <t>May</t>
        </is>
      </c>
      <c r="C2053" s="6" t="inlineStr">
        <is>
          <t>TN</t>
        </is>
      </c>
      <c r="D2053" s="7" t="inlineStr">
        <is>
          <t>TN07BJ0529</t>
        </is>
      </c>
      <c r="E2053" s="7" t="inlineStr">
        <is>
          <t>HYUNDAI</t>
        </is>
      </c>
      <c r="F2053" s="7" t="inlineStr">
        <is>
          <t>i20</t>
        </is>
      </c>
      <c r="G2053" s="7" t="inlineStr">
        <is>
          <t>CRESCO CARS</t>
        </is>
      </c>
      <c r="H2053" s="7" t="inlineStr">
        <is>
          <t>Non-Captive</t>
        </is>
      </c>
      <c r="I2053" s="7" t="inlineStr">
        <is>
          <t>Nirmal Cars</t>
        </is>
      </c>
      <c r="J2053" s="8" t="n">
        <v>2010</v>
      </c>
      <c r="K2053" s="9" t="n">
        <v>54199</v>
      </c>
      <c r="L2053" s="10" t="n">
        <v>140000</v>
      </c>
      <c r="M2053" s="10" t="n">
        <v>4237.29</v>
      </c>
      <c r="N2053" s="11">
        <f>IF(M2053="","",ROUND(M2053*1.18,2))</f>
        <v/>
      </c>
      <c r="O2053" s="12">
        <f>IF(M2053="","",ROUND(N2053-M2053,2))</f>
        <v/>
      </c>
      <c r="P2053" s="13">
        <f>IF(AND(A2053&lt;&gt;"",B2053&lt;&gt;""), A2053&amp;" · "&amp;B2053, "")</f>
        <v/>
      </c>
    </row>
    <row r="2054">
      <c r="A2054" s="6" t="inlineStr">
        <is>
          <t>FY27</t>
        </is>
      </c>
      <c r="B2054" s="6" t="inlineStr">
        <is>
          <t>May</t>
        </is>
      </c>
      <c r="C2054" s="6" t="inlineStr">
        <is>
          <t>TN</t>
        </is>
      </c>
      <c r="D2054" s="7" t="inlineStr">
        <is>
          <t>TN07BJ2187</t>
        </is>
      </c>
      <c r="E2054" s="7" t="inlineStr">
        <is>
          <t>HYUNDAI</t>
        </is>
      </c>
      <c r="F2054" s="7" t="inlineStr">
        <is>
          <t>i20</t>
        </is>
      </c>
      <c r="G2054" s="7" t="inlineStr">
        <is>
          <t>PRODUCTIVITY ELEMENTS PRIVATE LIMITED</t>
        </is>
      </c>
      <c r="H2054" s="7" t="inlineStr">
        <is>
          <t>Non-Captive</t>
        </is>
      </c>
      <c r="I2054" s="7" t="inlineStr">
        <is>
          <t>Nirmal Cars</t>
        </is>
      </c>
      <c r="J2054" s="8" t="n">
        <v>2010</v>
      </c>
      <c r="K2054" s="9" t="n">
        <v>104931</v>
      </c>
      <c r="L2054" s="10" t="n">
        <v>145000</v>
      </c>
      <c r="M2054" s="10" t="n">
        <v>3389.83</v>
      </c>
      <c r="N2054" s="11">
        <f>IF(M2054="","",ROUND(M2054*1.18,2))</f>
        <v/>
      </c>
      <c r="O2054" s="12">
        <f>IF(M2054="","",ROUND(N2054-M2054,2))</f>
        <v/>
      </c>
      <c r="P2054" s="13">
        <f>IF(AND(A2054&lt;&gt;"",B2054&lt;&gt;""), A2054&amp;" · "&amp;B2054, "")</f>
        <v/>
      </c>
    </row>
    <row r="2055">
      <c r="A2055" s="6" t="inlineStr">
        <is>
          <t>FY27</t>
        </is>
      </c>
      <c r="B2055" s="6" t="inlineStr">
        <is>
          <t>May</t>
        </is>
      </c>
      <c r="C2055" s="6" t="inlineStr">
        <is>
          <t>TN</t>
        </is>
      </c>
      <c r="D2055" s="7" t="inlineStr">
        <is>
          <t>TN07BJ6867</t>
        </is>
      </c>
      <c r="E2055" s="7" t="inlineStr">
        <is>
          <t>MARUTI SUZUKI</t>
        </is>
      </c>
      <c r="F2055" s="7" t="inlineStr">
        <is>
          <t>Ritz</t>
        </is>
      </c>
      <c r="G2055" s="7" t="inlineStr">
        <is>
          <t>STEER AUTO TECHNOLOGIES PRIVATE LIMITED</t>
        </is>
      </c>
      <c r="H2055" s="7" t="inlineStr">
        <is>
          <t>Non-Captive</t>
        </is>
      </c>
      <c r="I2055" s="7" t="inlineStr">
        <is>
          <t>Thiya Cars</t>
        </is>
      </c>
      <c r="J2055" s="8" t="n">
        <v>2010</v>
      </c>
      <c r="K2055" s="9" t="n">
        <v>107196</v>
      </c>
      <c r="L2055" s="10" t="n">
        <v>110000</v>
      </c>
      <c r="M2055" s="10" t="n">
        <v>4237.29</v>
      </c>
      <c r="N2055" s="11">
        <f>IF(M2055="","",ROUND(M2055*1.18,2))</f>
        <v/>
      </c>
      <c r="O2055" s="12">
        <f>IF(M2055="","",ROUND(N2055-M2055,2))</f>
        <v/>
      </c>
      <c r="P2055" s="13">
        <f>IF(AND(A2055&lt;&gt;"",B2055&lt;&gt;""), A2055&amp;" · "&amp;B2055, "")</f>
        <v/>
      </c>
    </row>
    <row r="2056">
      <c r="A2056" s="6" t="inlineStr">
        <is>
          <t>FY27</t>
        </is>
      </c>
      <c r="B2056" s="6" t="inlineStr">
        <is>
          <t>May</t>
        </is>
      </c>
      <c r="C2056" s="6" t="inlineStr">
        <is>
          <t>TN</t>
        </is>
      </c>
      <c r="D2056" s="7" t="inlineStr">
        <is>
          <t>TN07BJ7503</t>
        </is>
      </c>
      <c r="E2056" s="7" t="inlineStr">
        <is>
          <t>MARUTI SUZUKI</t>
        </is>
      </c>
      <c r="F2056" s="7" t="inlineStr">
        <is>
          <t>Ritz</t>
        </is>
      </c>
      <c r="G2056" s="7" t="inlineStr">
        <is>
          <t>AIE CARS PRIVATE LIMITED</t>
        </is>
      </c>
      <c r="H2056" s="7" t="inlineStr">
        <is>
          <t>Non-Captive</t>
        </is>
      </c>
      <c r="I2056" s="7" t="inlineStr">
        <is>
          <t>Nirmal Cars</t>
        </is>
      </c>
      <c r="J2056" s="8" t="n">
        <v>2010</v>
      </c>
      <c r="K2056" s="9" t="n">
        <v>119188</v>
      </c>
      <c r="L2056" s="10" t="n">
        <v>144000</v>
      </c>
      <c r="M2056" s="10" t="n">
        <v>3389.83</v>
      </c>
      <c r="N2056" s="11">
        <f>IF(M2056="","",ROUND(M2056*1.18,2))</f>
        <v/>
      </c>
      <c r="O2056" s="12">
        <f>IF(M2056="","",ROUND(N2056-M2056,2))</f>
        <v/>
      </c>
      <c r="P2056" s="13">
        <f>IF(AND(A2056&lt;&gt;"",B2056&lt;&gt;""), A2056&amp;" · "&amp;B2056, "")</f>
        <v/>
      </c>
    </row>
    <row r="2057">
      <c r="A2057" s="6" t="inlineStr">
        <is>
          <t>FY27</t>
        </is>
      </c>
      <c r="B2057" s="6" t="inlineStr">
        <is>
          <t>May</t>
        </is>
      </c>
      <c r="C2057" s="6" t="inlineStr">
        <is>
          <t>TN</t>
        </is>
      </c>
      <c r="D2057" s="7" t="inlineStr">
        <is>
          <t>TN07BL4476</t>
        </is>
      </c>
      <c r="E2057" s="7" t="inlineStr">
        <is>
          <t>MARUTI SUZUKI</t>
        </is>
      </c>
      <c r="F2057" s="7" t="inlineStr">
        <is>
          <t>Ritz</t>
        </is>
      </c>
      <c r="G2057" s="7" t="inlineStr">
        <is>
          <t>PRODUCTIVITY ELEMENTS PRIVATE LIMITED</t>
        </is>
      </c>
      <c r="H2057" s="7" t="inlineStr">
        <is>
          <t>Non-Captive</t>
        </is>
      </c>
      <c r="I2057" s="7" t="inlineStr">
        <is>
          <t>TSM</t>
        </is>
      </c>
      <c r="J2057" s="8" t="n">
        <v>2011</v>
      </c>
      <c r="K2057" s="9" t="n">
        <v>1177</v>
      </c>
      <c r="L2057" s="10" t="n">
        <v>150000</v>
      </c>
      <c r="M2057" s="10" t="n">
        <v>3389.83</v>
      </c>
      <c r="N2057" s="11">
        <f>IF(M2057="","",ROUND(M2057*1.18,2))</f>
        <v/>
      </c>
      <c r="O2057" s="12">
        <f>IF(M2057="","",ROUND(N2057-M2057,2))</f>
        <v/>
      </c>
      <c r="P2057" s="13">
        <f>IF(AND(A2057&lt;&gt;"",B2057&lt;&gt;""), A2057&amp;" · "&amp;B2057, "")</f>
        <v/>
      </c>
    </row>
    <row r="2058">
      <c r="A2058" s="6" t="inlineStr">
        <is>
          <t>FY27</t>
        </is>
      </c>
      <c r="B2058" s="6" t="inlineStr">
        <is>
          <t>May</t>
        </is>
      </c>
      <c r="C2058" s="6" t="inlineStr">
        <is>
          <t>TN</t>
        </is>
      </c>
      <c r="D2058" s="7" t="inlineStr">
        <is>
          <t>TN07BR4789</t>
        </is>
      </c>
      <c r="E2058" s="7" t="inlineStr">
        <is>
          <t>FORD</t>
        </is>
      </c>
      <c r="F2058" s="7" t="inlineStr">
        <is>
          <t>Fiesta Classic</t>
        </is>
      </c>
      <c r="G2058" s="7" t="inlineStr">
        <is>
          <t>FPL AUTOMOBILES PRIVATE LIMITED</t>
        </is>
      </c>
      <c r="H2058" s="7" t="inlineStr">
        <is>
          <t>Non-Captive</t>
        </is>
      </c>
      <c r="I2058" s="7" t="inlineStr">
        <is>
          <t>Nirmal Cars</t>
        </is>
      </c>
      <c r="J2058" s="8" t="n">
        <v>2012</v>
      </c>
      <c r="K2058" s="9" t="n">
        <v>67797</v>
      </c>
      <c r="L2058" s="10" t="n">
        <v>128000</v>
      </c>
      <c r="M2058" s="10" t="n">
        <v>4237.29</v>
      </c>
      <c r="N2058" s="11">
        <f>IF(M2058="","",ROUND(M2058*1.18,2))</f>
        <v/>
      </c>
      <c r="O2058" s="12">
        <f>IF(M2058="","",ROUND(N2058-M2058,2))</f>
        <v/>
      </c>
      <c r="P2058" s="13">
        <f>IF(AND(A2058&lt;&gt;"",B2058&lt;&gt;""), A2058&amp;" · "&amp;B2058, "")</f>
        <v/>
      </c>
    </row>
    <row r="2059">
      <c r="A2059" s="6" t="inlineStr">
        <is>
          <t>FY27</t>
        </is>
      </c>
      <c r="B2059" s="6" t="inlineStr">
        <is>
          <t>May</t>
        </is>
      </c>
      <c r="C2059" s="6" t="inlineStr">
        <is>
          <t>TN</t>
        </is>
      </c>
      <c r="D2059" s="7" t="inlineStr">
        <is>
          <t>TN07BX7119</t>
        </is>
      </c>
      <c r="E2059" s="7" t="inlineStr">
        <is>
          <t>HONDA</t>
        </is>
      </c>
      <c r="F2059" s="7" t="inlineStr">
        <is>
          <t>Amaze</t>
        </is>
      </c>
      <c r="G2059" s="7" t="inlineStr">
        <is>
          <t>EXCHANGE CHENNAI</t>
        </is>
      </c>
      <c r="H2059" s="7" t="inlineStr">
        <is>
          <t>Captive</t>
        </is>
      </c>
      <c r="I2059" s="7" t="inlineStr">
        <is>
          <t>Santhosh Cars</t>
        </is>
      </c>
      <c r="J2059" s="8" t="n">
        <v>2014</v>
      </c>
      <c r="K2059" s="9" t="n">
        <v>158887</v>
      </c>
      <c r="L2059" s="10" t="n">
        <v>210000</v>
      </c>
      <c r="M2059" s="10" t="n">
        <v>8474.58</v>
      </c>
      <c r="N2059" s="11">
        <f>IF(M2059="","",ROUND(M2059*1.18,2))</f>
        <v/>
      </c>
      <c r="O2059" s="12">
        <f>IF(M2059="","",ROUND(N2059-M2059,2))</f>
        <v/>
      </c>
      <c r="P2059" s="13">
        <f>IF(AND(A2059&lt;&gt;"",B2059&lt;&gt;""), A2059&amp;" · "&amp;B2059, "")</f>
        <v/>
      </c>
    </row>
    <row r="2060">
      <c r="A2060" s="6" t="inlineStr">
        <is>
          <t>FY27</t>
        </is>
      </c>
      <c r="B2060" s="6" t="inlineStr">
        <is>
          <t>May</t>
        </is>
      </c>
      <c r="C2060" s="6" t="inlineStr">
        <is>
          <t>TN</t>
        </is>
      </c>
      <c r="D2060" s="7" t="inlineStr">
        <is>
          <t>TN07CF4030</t>
        </is>
      </c>
      <c r="E2060" s="7" t="inlineStr">
        <is>
          <t>HONDA</t>
        </is>
      </c>
      <c r="F2060" s="7" t="inlineStr">
        <is>
          <t>Amaze</t>
        </is>
      </c>
      <c r="G2060" s="7" t="inlineStr">
        <is>
          <t>CASTLE TRADERS HONDA</t>
        </is>
      </c>
      <c r="H2060" s="7" t="inlineStr">
        <is>
          <t>Non-Captive</t>
        </is>
      </c>
      <c r="I2060" s="7" t="inlineStr">
        <is>
          <t>Shree Shan Motor</t>
        </is>
      </c>
      <c r="J2060" s="8" t="n"/>
      <c r="K2060" s="9" t="n"/>
      <c r="L2060" s="10" t="n">
        <v>160000</v>
      </c>
      <c r="M2060" s="10" t="n">
        <v>4237.29</v>
      </c>
      <c r="N2060" s="11">
        <f>IF(M2060="","",ROUND(M2060*1.18,2))</f>
        <v/>
      </c>
      <c r="O2060" s="12">
        <f>IF(M2060="","",ROUND(N2060-M2060,2))</f>
        <v/>
      </c>
      <c r="P2060" s="13">
        <f>IF(AND(A2060&lt;&gt;"",B2060&lt;&gt;""), A2060&amp;" · "&amp;B2060, "")</f>
        <v/>
      </c>
    </row>
    <row r="2061">
      <c r="A2061" s="6" t="inlineStr">
        <is>
          <t>FY27</t>
        </is>
      </c>
      <c r="B2061" s="6" t="inlineStr">
        <is>
          <t>May</t>
        </is>
      </c>
      <c r="C2061" s="6" t="inlineStr">
        <is>
          <t>TN</t>
        </is>
      </c>
      <c r="D2061" s="7" t="inlineStr">
        <is>
          <t>TN07CH6696</t>
        </is>
      </c>
      <c r="E2061" s="7" t="inlineStr">
        <is>
          <t>MARUTI SUZUKI</t>
        </is>
      </c>
      <c r="F2061" s="7" t="inlineStr">
        <is>
          <t>Wagon R</t>
        </is>
      </c>
      <c r="G2061" s="7" t="inlineStr">
        <is>
          <t>EXCHANGE CHENNAI</t>
        </is>
      </c>
      <c r="H2061" s="7" t="inlineStr">
        <is>
          <t>Captive</t>
        </is>
      </c>
      <c r="I2061" s="7" t="inlineStr">
        <is>
          <t>Grid 33</t>
        </is>
      </c>
      <c r="J2061" s="8" t="n">
        <v>2016</v>
      </c>
      <c r="K2061" s="9" t="n">
        <v>17174</v>
      </c>
      <c r="L2061" s="10" t="n">
        <v>325000</v>
      </c>
      <c r="M2061" s="10" t="n">
        <v>8474.58</v>
      </c>
      <c r="N2061" s="11">
        <f>IF(M2061="","",ROUND(M2061*1.18,2))</f>
        <v/>
      </c>
      <c r="O2061" s="12">
        <f>IF(M2061="","",ROUND(N2061-M2061,2))</f>
        <v/>
      </c>
      <c r="P2061" s="13">
        <f>IF(AND(A2061&lt;&gt;"",B2061&lt;&gt;""), A2061&amp;" · "&amp;B2061, "")</f>
        <v/>
      </c>
    </row>
    <row r="2062">
      <c r="A2062" s="6" t="inlineStr">
        <is>
          <t>FY27</t>
        </is>
      </c>
      <c r="B2062" s="6" t="inlineStr">
        <is>
          <t>May</t>
        </is>
      </c>
      <c r="C2062" s="6" t="inlineStr">
        <is>
          <t>TN</t>
        </is>
      </c>
      <c r="D2062" s="7" t="inlineStr">
        <is>
          <t>TN07DH4641</t>
        </is>
      </c>
      <c r="E2062" s="7" t="inlineStr">
        <is>
          <t>MARUTI SUZUKI</t>
        </is>
      </c>
      <c r="F2062" s="7" t="inlineStr">
        <is>
          <t>Alto K10</t>
        </is>
      </c>
      <c r="G2062" s="7" t="inlineStr">
        <is>
          <t>KHIVRAJ MOTOR</t>
        </is>
      </c>
      <c r="H2062" s="7" t="inlineStr">
        <is>
          <t>Non-Captive</t>
        </is>
      </c>
      <c r="I2062" s="7" t="inlineStr">
        <is>
          <t>Cars24</t>
        </is>
      </c>
      <c r="J2062" s="8" t="n">
        <v>2024</v>
      </c>
      <c r="K2062" s="9" t="n">
        <v>18769</v>
      </c>
      <c r="L2062" s="10" t="n">
        <v>400000</v>
      </c>
      <c r="M2062" s="10" t="n">
        <v>7627.12</v>
      </c>
      <c r="N2062" s="11">
        <f>IF(M2062="","",ROUND(M2062*1.18,2))</f>
        <v/>
      </c>
      <c r="O2062" s="12">
        <f>IF(M2062="","",ROUND(N2062-M2062,2))</f>
        <v/>
      </c>
      <c r="P2062" s="13">
        <f>IF(AND(A2062&lt;&gt;"",B2062&lt;&gt;""), A2062&amp;" · "&amp;B2062, "")</f>
        <v/>
      </c>
    </row>
    <row r="2063">
      <c r="A2063" s="6" t="inlineStr">
        <is>
          <t>FY27</t>
        </is>
      </c>
      <c r="B2063" s="6" t="inlineStr">
        <is>
          <t>May</t>
        </is>
      </c>
      <c r="C2063" s="6" t="inlineStr">
        <is>
          <t>TN</t>
        </is>
      </c>
      <c r="D2063" s="7" t="inlineStr">
        <is>
          <t>TN09AL6078</t>
        </is>
      </c>
      <c r="E2063" s="7" t="inlineStr">
        <is>
          <t>MARUTI SUZUKI</t>
        </is>
      </c>
      <c r="F2063" s="7" t="inlineStr">
        <is>
          <t>Wagon R</t>
        </is>
      </c>
      <c r="G2063" s="7" t="inlineStr">
        <is>
          <t>KSM AUTO CONSULTING</t>
        </is>
      </c>
      <c r="H2063" s="7" t="inlineStr">
        <is>
          <t>Non-Captive</t>
        </is>
      </c>
      <c r="I2063" s="7" t="inlineStr">
        <is>
          <t>Nirmal Cars</t>
        </is>
      </c>
      <c r="J2063" s="8" t="n">
        <v>2005</v>
      </c>
      <c r="K2063" s="9" t="n">
        <v>88448</v>
      </c>
      <c r="L2063" s="10" t="n">
        <v>50000</v>
      </c>
      <c r="M2063" s="10" t="n">
        <v>4237.29</v>
      </c>
      <c r="N2063" s="11">
        <f>IF(M2063="","",ROUND(M2063*1.18,2))</f>
        <v/>
      </c>
      <c r="O2063" s="12">
        <f>IF(M2063="","",ROUND(N2063-M2063,2))</f>
        <v/>
      </c>
      <c r="P2063" s="13">
        <f>IF(AND(A2063&lt;&gt;"",B2063&lt;&gt;""), A2063&amp;" · "&amp;B2063, "")</f>
        <v/>
      </c>
    </row>
    <row r="2064">
      <c r="A2064" s="6" t="inlineStr">
        <is>
          <t>FY27</t>
        </is>
      </c>
      <c r="B2064" s="6" t="inlineStr">
        <is>
          <t>May</t>
        </is>
      </c>
      <c r="C2064" s="6" t="inlineStr">
        <is>
          <t>TN</t>
        </is>
      </c>
      <c r="D2064" s="7" t="inlineStr">
        <is>
          <t>TN09AW0739</t>
        </is>
      </c>
      <c r="E2064" s="7" t="inlineStr">
        <is>
          <t>MAHINDRA</t>
        </is>
      </c>
      <c r="F2064" s="7" t="inlineStr">
        <is>
          <t>Verito</t>
        </is>
      </c>
      <c r="G2064" s="7" t="inlineStr">
        <is>
          <t>KHIVRAJ MOTOR</t>
        </is>
      </c>
      <c r="H2064" s="7" t="inlineStr">
        <is>
          <t>Non-Captive</t>
        </is>
      </c>
      <c r="I2064" s="7" t="inlineStr">
        <is>
          <t>Pine Autos</t>
        </is>
      </c>
      <c r="J2064" s="8" t="n">
        <v>2008</v>
      </c>
      <c r="K2064" s="9" t="n">
        <v>114731</v>
      </c>
      <c r="L2064" s="10" t="n">
        <v>100000</v>
      </c>
      <c r="M2064" s="10" t="n">
        <v>4237.29</v>
      </c>
      <c r="N2064" s="11">
        <f>IF(M2064="","",ROUND(M2064*1.18,2))</f>
        <v/>
      </c>
      <c r="O2064" s="12">
        <f>IF(M2064="","",ROUND(N2064-M2064,2))</f>
        <v/>
      </c>
      <c r="P2064" s="13">
        <f>IF(AND(A2064&lt;&gt;"",B2064&lt;&gt;""), A2064&amp;" · "&amp;B2064, "")</f>
        <v/>
      </c>
    </row>
    <row r="2065">
      <c r="A2065" s="6" t="inlineStr">
        <is>
          <t>FY27</t>
        </is>
      </c>
      <c r="B2065" s="6" t="inlineStr">
        <is>
          <t>May</t>
        </is>
      </c>
      <c r="C2065" s="6" t="inlineStr">
        <is>
          <t>TN</t>
        </is>
      </c>
      <c r="D2065" s="7" t="inlineStr">
        <is>
          <t>TN09AW2965</t>
        </is>
      </c>
      <c r="E2065" s="7" t="inlineStr">
        <is>
          <t>MARUTI SUZUKI</t>
        </is>
      </c>
      <c r="F2065" s="7" t="inlineStr">
        <is>
          <t>Zen</t>
        </is>
      </c>
      <c r="G2065" s="7" t="inlineStr">
        <is>
          <t>CRESCO CARS</t>
        </is>
      </c>
      <c r="H2065" s="7" t="inlineStr">
        <is>
          <t>Non-Captive</t>
        </is>
      </c>
      <c r="I2065" s="7" t="inlineStr">
        <is>
          <t>Santhosh Cars</t>
        </is>
      </c>
      <c r="J2065" s="8" t="n">
        <v>2008</v>
      </c>
      <c r="K2065" s="9" t="n">
        <v>132136</v>
      </c>
      <c r="L2065" s="10" t="n">
        <v>100000</v>
      </c>
      <c r="M2065" s="10" t="n">
        <v>4237.29</v>
      </c>
      <c r="N2065" s="11">
        <f>IF(M2065="","",ROUND(M2065*1.18,2))</f>
        <v/>
      </c>
      <c r="O2065" s="12">
        <f>IF(M2065="","",ROUND(N2065-M2065,2))</f>
        <v/>
      </c>
      <c r="P2065" s="13">
        <f>IF(AND(A2065&lt;&gt;"",B2065&lt;&gt;""), A2065&amp;" · "&amp;B2065, "")</f>
        <v/>
      </c>
    </row>
    <row r="2066">
      <c r="A2066" s="6" t="inlineStr">
        <is>
          <t>FY27</t>
        </is>
      </c>
      <c r="B2066" s="6" t="inlineStr">
        <is>
          <t>May</t>
        </is>
      </c>
      <c r="C2066" s="6" t="inlineStr">
        <is>
          <t>TN</t>
        </is>
      </c>
      <c r="D2066" s="7" t="inlineStr">
        <is>
          <t>TN09AX3893</t>
        </is>
      </c>
      <c r="E2066" s="7" t="inlineStr">
        <is>
          <t>MAHINDRA</t>
        </is>
      </c>
      <c r="F2066" s="7" t="inlineStr">
        <is>
          <t>Verito</t>
        </is>
      </c>
      <c r="G2066" s="7" t="inlineStr">
        <is>
          <t>STEER AUTO TECHNOLOGIES PRIVATE LIMITED</t>
        </is>
      </c>
      <c r="H2066" s="7" t="inlineStr">
        <is>
          <t>Non-Captive</t>
        </is>
      </c>
      <c r="I2066" s="7" t="inlineStr">
        <is>
          <t>Santhosh Cars</t>
        </is>
      </c>
      <c r="J2066" s="8" t="n">
        <v>2008</v>
      </c>
      <c r="K2066" s="9" t="n">
        <v>56733</v>
      </c>
      <c r="L2066" s="10" t="n">
        <v>100000</v>
      </c>
      <c r="M2066" s="10" t="n">
        <v>4237.29</v>
      </c>
      <c r="N2066" s="11">
        <f>IF(M2066="","",ROUND(M2066*1.18,2))</f>
        <v/>
      </c>
      <c r="O2066" s="12">
        <f>IF(M2066="","",ROUND(N2066-M2066,2))</f>
        <v/>
      </c>
      <c r="P2066" s="13">
        <f>IF(AND(A2066&lt;&gt;"",B2066&lt;&gt;""), A2066&amp;" · "&amp;B2066, "")</f>
        <v/>
      </c>
    </row>
    <row r="2067">
      <c r="A2067" s="6" t="inlineStr">
        <is>
          <t>FY27</t>
        </is>
      </c>
      <c r="B2067" s="6" t="inlineStr">
        <is>
          <t>May</t>
        </is>
      </c>
      <c r="C2067" s="6" t="inlineStr">
        <is>
          <t>TN</t>
        </is>
      </c>
      <c r="D2067" s="7" t="inlineStr">
        <is>
          <t>TN09AZ0565</t>
        </is>
      </c>
      <c r="E2067" s="7" t="inlineStr">
        <is>
          <t>MARUTI SUZUKI</t>
        </is>
      </c>
      <c r="F2067" s="7" t="inlineStr">
        <is>
          <t>Alto</t>
        </is>
      </c>
      <c r="G2067" s="7" t="inlineStr">
        <is>
          <t>CRESCO CARS</t>
        </is>
      </c>
      <c r="H2067" s="7" t="inlineStr">
        <is>
          <t>Non-Captive</t>
        </is>
      </c>
      <c r="I2067" s="7" t="inlineStr">
        <is>
          <t>Grid 33</t>
        </is>
      </c>
      <c r="J2067" s="8" t="n">
        <v>2008</v>
      </c>
      <c r="K2067" s="9" t="n">
        <v>66711</v>
      </c>
      <c r="L2067" s="10" t="n">
        <v>75001</v>
      </c>
      <c r="M2067" s="10" t="n">
        <v>4237.29</v>
      </c>
      <c r="N2067" s="11">
        <f>IF(M2067="","",ROUND(M2067*1.18,2))</f>
        <v/>
      </c>
      <c r="O2067" s="12">
        <f>IF(M2067="","",ROUND(N2067-M2067,2))</f>
        <v/>
      </c>
      <c r="P2067" s="13">
        <f>IF(AND(A2067&lt;&gt;"",B2067&lt;&gt;""), A2067&amp;" · "&amp;B2067, "")</f>
        <v/>
      </c>
    </row>
    <row r="2068">
      <c r="A2068" s="6" t="inlineStr">
        <is>
          <t>FY27</t>
        </is>
      </c>
      <c r="B2068" s="6" t="inlineStr">
        <is>
          <t>May</t>
        </is>
      </c>
      <c r="C2068" s="6" t="inlineStr">
        <is>
          <t>TN</t>
        </is>
      </c>
      <c r="D2068" s="7" t="inlineStr">
        <is>
          <t>TN09BB7115</t>
        </is>
      </c>
      <c r="E2068" s="7" t="inlineStr">
        <is>
          <t>HYUNDAI</t>
        </is>
      </c>
      <c r="F2068" s="7" t="inlineStr">
        <is>
          <t>Santro</t>
        </is>
      </c>
      <c r="G2068" s="7" t="inlineStr">
        <is>
          <t>KHIVRAJ MOTOR</t>
        </is>
      </c>
      <c r="H2068" s="7" t="inlineStr">
        <is>
          <t>Non-Captive</t>
        </is>
      </c>
      <c r="I2068" s="7" t="inlineStr">
        <is>
          <t>Grid 33</t>
        </is>
      </c>
      <c r="J2068" s="8" t="n">
        <v>2009</v>
      </c>
      <c r="K2068" s="9" t="n">
        <v>49036</v>
      </c>
      <c r="L2068" s="10" t="n">
        <v>90000</v>
      </c>
      <c r="M2068" s="10" t="n">
        <v>5084.75</v>
      </c>
      <c r="N2068" s="11">
        <f>IF(M2068="","",ROUND(M2068*1.18,2))</f>
        <v/>
      </c>
      <c r="O2068" s="12">
        <f>IF(M2068="","",ROUND(N2068-M2068,2))</f>
        <v/>
      </c>
      <c r="P2068" s="13">
        <f>IF(AND(A2068&lt;&gt;"",B2068&lt;&gt;""), A2068&amp;" · "&amp;B2068, "")</f>
        <v/>
      </c>
    </row>
    <row r="2069">
      <c r="A2069" s="6" t="inlineStr">
        <is>
          <t>FY27</t>
        </is>
      </c>
      <c r="B2069" s="6" t="inlineStr">
        <is>
          <t>May</t>
        </is>
      </c>
      <c r="C2069" s="6" t="inlineStr">
        <is>
          <t>TN</t>
        </is>
      </c>
      <c r="D2069" s="7" t="inlineStr">
        <is>
          <t>TN09BE2895</t>
        </is>
      </c>
      <c r="E2069" s="7" t="inlineStr">
        <is>
          <t>NISSAN</t>
        </is>
      </c>
      <c r="F2069" s="7" t="inlineStr">
        <is>
          <t>Micra</t>
        </is>
      </c>
      <c r="G2069" s="7" t="inlineStr">
        <is>
          <t>KHIVRAJ MOTOR</t>
        </is>
      </c>
      <c r="H2069" s="7" t="inlineStr">
        <is>
          <t>Non-Captive</t>
        </is>
      </c>
      <c r="I2069" s="7" t="inlineStr">
        <is>
          <t>Thiya Cars</t>
        </is>
      </c>
      <c r="J2069" s="8" t="n">
        <v>2010</v>
      </c>
      <c r="K2069" s="9" t="n">
        <v>113283</v>
      </c>
      <c r="L2069" s="10" t="n">
        <v>110000</v>
      </c>
      <c r="M2069" s="10" t="n">
        <v>3389.83</v>
      </c>
      <c r="N2069" s="11">
        <f>IF(M2069="","",ROUND(M2069*1.18,2))</f>
        <v/>
      </c>
      <c r="O2069" s="12">
        <f>IF(M2069="","",ROUND(N2069-M2069,2))</f>
        <v/>
      </c>
      <c r="P2069" s="13">
        <f>IF(AND(A2069&lt;&gt;"",B2069&lt;&gt;""), A2069&amp;" · "&amp;B2069, "")</f>
        <v/>
      </c>
    </row>
    <row r="2070">
      <c r="A2070" s="6" t="inlineStr">
        <is>
          <t>FY27</t>
        </is>
      </c>
      <c r="B2070" s="6" t="inlineStr">
        <is>
          <t>May</t>
        </is>
      </c>
      <c r="C2070" s="6" t="inlineStr">
        <is>
          <t>TN</t>
        </is>
      </c>
      <c r="D2070" s="7" t="inlineStr">
        <is>
          <t>TN09BK0211</t>
        </is>
      </c>
      <c r="E2070" s="7" t="inlineStr">
        <is>
          <t>HYUNDAI</t>
        </is>
      </c>
      <c r="F2070" s="7" t="inlineStr">
        <is>
          <t>i10</t>
        </is>
      </c>
      <c r="G2070" s="7" t="inlineStr">
        <is>
          <t>KHIVRAJ MOTOR</t>
        </is>
      </c>
      <c r="H2070" s="7" t="inlineStr">
        <is>
          <t>Non-Captive</t>
        </is>
      </c>
      <c r="I2070" s="7" t="inlineStr">
        <is>
          <t>Grid 33</t>
        </is>
      </c>
      <c r="J2070" s="8" t="n">
        <v>2011</v>
      </c>
      <c r="K2070" s="9" t="n">
        <v>62218</v>
      </c>
      <c r="L2070" s="10" t="n">
        <v>80000</v>
      </c>
      <c r="M2070" s="10" t="n">
        <v>4237.29</v>
      </c>
      <c r="N2070" s="11">
        <f>IF(M2070="","",ROUND(M2070*1.18,2))</f>
        <v/>
      </c>
      <c r="O2070" s="12">
        <f>IF(M2070="","",ROUND(N2070-M2070,2))</f>
        <v/>
      </c>
      <c r="P2070" s="13">
        <f>IF(AND(A2070&lt;&gt;"",B2070&lt;&gt;""), A2070&amp;" · "&amp;B2070, "")</f>
        <v/>
      </c>
    </row>
    <row r="2071">
      <c r="A2071" s="6" t="inlineStr">
        <is>
          <t>FY27</t>
        </is>
      </c>
      <c r="B2071" s="6" t="inlineStr">
        <is>
          <t>May</t>
        </is>
      </c>
      <c r="C2071" s="6" t="inlineStr">
        <is>
          <t>TN</t>
        </is>
      </c>
      <c r="D2071" s="7" t="inlineStr">
        <is>
          <t>TN09BK0717</t>
        </is>
      </c>
      <c r="E2071" s="7" t="inlineStr">
        <is>
          <t>HYUNDAI</t>
        </is>
      </c>
      <c r="F2071" s="7" t="inlineStr">
        <is>
          <t>i10</t>
        </is>
      </c>
      <c r="G2071" s="7" t="inlineStr">
        <is>
          <t>PRODUCTIVITY ELEMENTS PRIVATE LIMITED</t>
        </is>
      </c>
      <c r="H2071" s="7" t="inlineStr">
        <is>
          <t>Non-Captive</t>
        </is>
      </c>
      <c r="I2071" s="7" t="inlineStr">
        <is>
          <t>TSM</t>
        </is>
      </c>
      <c r="J2071" s="8" t="n">
        <v>2012</v>
      </c>
      <c r="K2071" s="9" t="n">
        <v>70157</v>
      </c>
      <c r="L2071" s="10" t="n">
        <v>152000</v>
      </c>
      <c r="M2071" s="10" t="n">
        <v>3389.83</v>
      </c>
      <c r="N2071" s="11">
        <f>IF(M2071="","",ROUND(M2071*1.18,2))</f>
        <v/>
      </c>
      <c r="O2071" s="12">
        <f>IF(M2071="","",ROUND(N2071-M2071,2))</f>
        <v/>
      </c>
      <c r="P2071" s="13">
        <f>IF(AND(A2071&lt;&gt;"",B2071&lt;&gt;""), A2071&amp;" · "&amp;B2071, "")</f>
        <v/>
      </c>
    </row>
    <row r="2072">
      <c r="A2072" s="6" t="inlineStr">
        <is>
          <t>FY27</t>
        </is>
      </c>
      <c r="B2072" s="6" t="inlineStr">
        <is>
          <t>May</t>
        </is>
      </c>
      <c r="C2072" s="6" t="inlineStr">
        <is>
          <t>TN</t>
        </is>
      </c>
      <c r="D2072" s="7" t="inlineStr">
        <is>
          <t>TN09BK4793</t>
        </is>
      </c>
      <c r="E2072" s="7" t="inlineStr">
        <is>
          <t>HYUNDAI</t>
        </is>
      </c>
      <c r="F2072" s="7" t="inlineStr">
        <is>
          <t>Santro</t>
        </is>
      </c>
      <c r="G2072" s="7" t="inlineStr">
        <is>
          <t>KALYANI MOTORS MARUTI</t>
        </is>
      </c>
      <c r="H2072" s="7" t="inlineStr">
        <is>
          <t>Non-Captive</t>
        </is>
      </c>
      <c r="I2072" s="7" t="inlineStr">
        <is>
          <t>Thiya Cars</t>
        </is>
      </c>
      <c r="J2072" s="8" t="n">
        <v>2011</v>
      </c>
      <c r="K2072" s="9" t="n">
        <v>21360</v>
      </c>
      <c r="L2072" s="10" t="n">
        <v>118000</v>
      </c>
      <c r="M2072" s="10" t="n">
        <v>4237.29</v>
      </c>
      <c r="N2072" s="11">
        <f>IF(M2072="","",ROUND(M2072*1.18,2))</f>
        <v/>
      </c>
      <c r="O2072" s="12">
        <f>IF(M2072="","",ROUND(N2072-M2072,2))</f>
        <v/>
      </c>
      <c r="P2072" s="13">
        <f>IF(AND(A2072&lt;&gt;"",B2072&lt;&gt;""), A2072&amp;" · "&amp;B2072, "")</f>
        <v/>
      </c>
    </row>
    <row r="2073">
      <c r="A2073" s="6" t="inlineStr">
        <is>
          <t>FY27</t>
        </is>
      </c>
      <c r="B2073" s="6" t="inlineStr">
        <is>
          <t>May</t>
        </is>
      </c>
      <c r="C2073" s="6" t="inlineStr">
        <is>
          <t>TN</t>
        </is>
      </c>
      <c r="D2073" s="7" t="inlineStr">
        <is>
          <t>TN09BL6037</t>
        </is>
      </c>
      <c r="E2073" s="7" t="inlineStr">
        <is>
          <t>MARUTI SUZUKI</t>
        </is>
      </c>
      <c r="F2073" s="7" t="inlineStr">
        <is>
          <t>A-Star</t>
        </is>
      </c>
      <c r="G2073" s="7" t="inlineStr">
        <is>
          <t>KHIVRAJ MOTOR</t>
        </is>
      </c>
      <c r="H2073" s="7" t="inlineStr">
        <is>
          <t>Non-Captive</t>
        </is>
      </c>
      <c r="I2073" s="7" t="inlineStr">
        <is>
          <t>Pine Autos</t>
        </is>
      </c>
      <c r="J2073" s="8" t="n"/>
      <c r="K2073" s="9" t="n"/>
      <c r="L2073" s="10" t="n">
        <v>110000</v>
      </c>
      <c r="M2073" s="10" t="n">
        <v>5084.75</v>
      </c>
      <c r="N2073" s="11">
        <f>IF(M2073="","",ROUND(M2073*1.18,2))</f>
        <v/>
      </c>
      <c r="O2073" s="12">
        <f>IF(M2073="","",ROUND(N2073-M2073,2))</f>
        <v/>
      </c>
      <c r="P2073" s="13">
        <f>IF(AND(A2073&lt;&gt;"",B2073&lt;&gt;""), A2073&amp;" · "&amp;B2073, "")</f>
        <v/>
      </c>
    </row>
    <row r="2074">
      <c r="A2074" s="6" t="inlineStr">
        <is>
          <t>FY27</t>
        </is>
      </c>
      <c r="B2074" s="6" t="inlineStr">
        <is>
          <t>May</t>
        </is>
      </c>
      <c r="C2074" s="6" t="inlineStr">
        <is>
          <t>TN</t>
        </is>
      </c>
      <c r="D2074" s="7" t="inlineStr">
        <is>
          <t>TN09BM2216</t>
        </is>
      </c>
      <c r="E2074" s="7" t="inlineStr">
        <is>
          <t>HYUNDAI</t>
        </is>
      </c>
      <c r="F2074" s="7" t="inlineStr">
        <is>
          <t>Santro</t>
        </is>
      </c>
      <c r="G2074" s="7" t="inlineStr">
        <is>
          <t>SVM CARS PRIVATE LIMITED</t>
        </is>
      </c>
      <c r="H2074" s="7" t="inlineStr">
        <is>
          <t>Non-Captive</t>
        </is>
      </c>
      <c r="I2074" s="7" t="inlineStr">
        <is>
          <t>Cars24</t>
        </is>
      </c>
      <c r="J2074" s="8" t="n">
        <v>2012</v>
      </c>
      <c r="K2074" s="9" t="n">
        <v>48811</v>
      </c>
      <c r="L2074" s="10" t="n">
        <v>100000</v>
      </c>
      <c r="M2074" s="10" t="n">
        <v>4237.29</v>
      </c>
      <c r="N2074" s="11">
        <f>IF(M2074="","",ROUND(M2074*1.18,2))</f>
        <v/>
      </c>
      <c r="O2074" s="12">
        <f>IF(M2074="","",ROUND(N2074-M2074,2))</f>
        <v/>
      </c>
      <c r="P2074" s="13">
        <f>IF(AND(A2074&lt;&gt;"",B2074&lt;&gt;""), A2074&amp;" · "&amp;B2074, "")</f>
        <v/>
      </c>
    </row>
    <row r="2075">
      <c r="A2075" s="6" t="inlineStr">
        <is>
          <t>FY27</t>
        </is>
      </c>
      <c r="B2075" s="6" t="inlineStr">
        <is>
          <t>May</t>
        </is>
      </c>
      <c r="C2075" s="6" t="inlineStr">
        <is>
          <t>TN</t>
        </is>
      </c>
      <c r="D2075" s="7" t="inlineStr">
        <is>
          <t>TN09BM7437</t>
        </is>
      </c>
      <c r="E2075" s="7" t="inlineStr">
        <is>
          <t>SKODA</t>
        </is>
      </c>
      <c r="F2075" s="7" t="inlineStr">
        <is>
          <t>Rapid</t>
        </is>
      </c>
      <c r="G2075" s="7" t="inlineStr">
        <is>
          <t>EXCHANGE ROTN</t>
        </is>
      </c>
      <c r="H2075" s="7" t="inlineStr">
        <is>
          <t>Captive</t>
        </is>
      </c>
      <c r="I2075" s="7" t="inlineStr">
        <is>
          <t>KSM Auto Consulting</t>
        </is>
      </c>
      <c r="J2075" s="8" t="n">
        <v>2012</v>
      </c>
      <c r="K2075" s="9" t="n">
        <v>146016</v>
      </c>
      <c r="L2075" s="10" t="n">
        <v>175000</v>
      </c>
      <c r="M2075" s="10" t="n">
        <v>4237.29</v>
      </c>
      <c r="N2075" s="11">
        <f>IF(M2075="","",ROUND(M2075*1.18,2))</f>
        <v/>
      </c>
      <c r="O2075" s="12">
        <f>IF(M2075="","",ROUND(N2075-M2075,2))</f>
        <v/>
      </c>
      <c r="P2075" s="13">
        <f>IF(AND(A2075&lt;&gt;"",B2075&lt;&gt;""), A2075&amp;" · "&amp;B2075, "")</f>
        <v/>
      </c>
    </row>
    <row r="2076">
      <c r="A2076" s="6" t="inlineStr">
        <is>
          <t>FY27</t>
        </is>
      </c>
      <c r="B2076" s="6" t="inlineStr">
        <is>
          <t>May</t>
        </is>
      </c>
      <c r="C2076" s="6" t="inlineStr">
        <is>
          <t>TN</t>
        </is>
      </c>
      <c r="D2076" s="7" t="inlineStr">
        <is>
          <t>TN09BR4017</t>
        </is>
      </c>
      <c r="E2076" s="7" t="inlineStr">
        <is>
          <t>HONDA</t>
        </is>
      </c>
      <c r="F2076" s="7" t="inlineStr">
        <is>
          <t>City</t>
        </is>
      </c>
      <c r="G2076" s="7" t="inlineStr">
        <is>
          <t>KHIVRAJ MOTOR</t>
        </is>
      </c>
      <c r="H2076" s="7" t="inlineStr">
        <is>
          <t>Non-Captive</t>
        </is>
      </c>
      <c r="I2076" s="7" t="inlineStr">
        <is>
          <t>Santhosh Cars</t>
        </is>
      </c>
      <c r="J2076" s="8" t="n">
        <v>2012</v>
      </c>
      <c r="K2076" s="9" t="n">
        <v>153073</v>
      </c>
      <c r="L2076" s="10" t="n">
        <v>100000</v>
      </c>
      <c r="M2076" s="10" t="n">
        <v>4237.29</v>
      </c>
      <c r="N2076" s="11">
        <f>IF(M2076="","",ROUND(M2076*1.18,2))</f>
        <v/>
      </c>
      <c r="O2076" s="12">
        <f>IF(M2076="","",ROUND(N2076-M2076,2))</f>
        <v/>
      </c>
      <c r="P2076" s="13">
        <f>IF(AND(A2076&lt;&gt;"",B2076&lt;&gt;""), A2076&amp;" · "&amp;B2076, "")</f>
        <v/>
      </c>
    </row>
    <row r="2077">
      <c r="A2077" s="6" t="inlineStr">
        <is>
          <t>FY27</t>
        </is>
      </c>
      <c r="B2077" s="6" t="inlineStr">
        <is>
          <t>May</t>
        </is>
      </c>
      <c r="C2077" s="6" t="inlineStr">
        <is>
          <t>TN</t>
        </is>
      </c>
      <c r="D2077" s="7" t="inlineStr">
        <is>
          <t>TN09BX1474</t>
        </is>
      </c>
      <c r="E2077" s="7" t="inlineStr">
        <is>
          <t>MARUTI SUZUKI</t>
        </is>
      </c>
      <c r="F2077" s="7" t="inlineStr">
        <is>
          <t>Alto</t>
        </is>
      </c>
      <c r="G2077" s="7" t="inlineStr">
        <is>
          <t>KHIVRAJ MOTOR</t>
        </is>
      </c>
      <c r="H2077" s="7" t="inlineStr">
        <is>
          <t>Non-Captive</t>
        </is>
      </c>
      <c r="I2077" s="7" t="inlineStr">
        <is>
          <t>Yes Cars</t>
        </is>
      </c>
      <c r="J2077" s="8" t="n">
        <v>2014</v>
      </c>
      <c r="K2077" s="9" t="n">
        <v>49872</v>
      </c>
      <c r="L2077" s="10" t="n">
        <v>145000</v>
      </c>
      <c r="M2077" s="10" t="n">
        <v>5084.75</v>
      </c>
      <c r="N2077" s="11">
        <f>IF(M2077="","",ROUND(M2077*1.18,2))</f>
        <v/>
      </c>
      <c r="O2077" s="12">
        <f>IF(M2077="","",ROUND(N2077-M2077,2))</f>
        <v/>
      </c>
      <c r="P2077" s="13">
        <f>IF(AND(A2077&lt;&gt;"",B2077&lt;&gt;""), A2077&amp;" · "&amp;B2077, "")</f>
        <v/>
      </c>
    </row>
    <row r="2078">
      <c r="A2078" s="6" t="inlineStr">
        <is>
          <t>FY27</t>
        </is>
      </c>
      <c r="B2078" s="6" t="inlineStr">
        <is>
          <t>May</t>
        </is>
      </c>
      <c r="C2078" s="6" t="inlineStr">
        <is>
          <t>TN</t>
        </is>
      </c>
      <c r="D2078" s="7" t="inlineStr">
        <is>
          <t>TN09CB8346</t>
        </is>
      </c>
      <c r="E2078" s="7" t="inlineStr">
        <is>
          <t>HYUNDAI</t>
        </is>
      </c>
      <c r="F2078" s="7" t="inlineStr">
        <is>
          <t>Creta</t>
        </is>
      </c>
      <c r="G2078" s="7" t="inlineStr">
        <is>
          <t>SURIYAKUMAR</t>
        </is>
      </c>
      <c r="H2078" s="7" t="inlineStr">
        <is>
          <t>Non-Captive</t>
        </is>
      </c>
      <c r="I2078" s="7" t="inlineStr">
        <is>
          <t>Shree Shan Motor</t>
        </is>
      </c>
      <c r="J2078" s="8" t="n">
        <v>2015</v>
      </c>
      <c r="K2078" s="9" t="n">
        <v>150000</v>
      </c>
      <c r="L2078" s="10" t="n">
        <v>50000</v>
      </c>
      <c r="M2078" s="10" t="n">
        <v>3389.83</v>
      </c>
      <c r="N2078" s="11">
        <f>IF(M2078="","",ROUND(M2078*1.18,2))</f>
        <v/>
      </c>
      <c r="O2078" s="12">
        <f>IF(M2078="","",ROUND(N2078-M2078,2))</f>
        <v/>
      </c>
      <c r="P2078" s="13">
        <f>IF(AND(A2078&lt;&gt;"",B2078&lt;&gt;""), A2078&amp;" · "&amp;B2078, "")</f>
        <v/>
      </c>
    </row>
    <row r="2079">
      <c r="A2079" s="6" t="inlineStr">
        <is>
          <t>FY27</t>
        </is>
      </c>
      <c r="B2079" s="6" t="inlineStr">
        <is>
          <t>May</t>
        </is>
      </c>
      <c r="C2079" s="6" t="inlineStr">
        <is>
          <t>TN</t>
        </is>
      </c>
      <c r="D2079" s="7" t="inlineStr">
        <is>
          <t>TN09CE9972</t>
        </is>
      </c>
      <c r="E2079" s="7" t="inlineStr">
        <is>
          <t>DATSUN</t>
        </is>
      </c>
      <c r="F2079" s="7" t="inlineStr">
        <is>
          <t>Redi-GO</t>
        </is>
      </c>
      <c r="G2079" s="7" t="inlineStr">
        <is>
          <t>HARSHA</t>
        </is>
      </c>
      <c r="H2079" s="7" t="inlineStr">
        <is>
          <t>Non-Captive</t>
        </is>
      </c>
      <c r="I2079" s="7" t="inlineStr">
        <is>
          <t>Thiya Cars</t>
        </is>
      </c>
      <c r="J2079" s="8" t="n">
        <v>2016</v>
      </c>
      <c r="K2079" s="9" t="n">
        <v>69642</v>
      </c>
      <c r="L2079" s="10" t="n">
        <v>125000</v>
      </c>
      <c r="M2079" s="10" t="n">
        <v>4237.29</v>
      </c>
      <c r="N2079" s="11">
        <f>IF(M2079="","",ROUND(M2079*1.18,2))</f>
        <v/>
      </c>
      <c r="O2079" s="12">
        <f>IF(M2079="","",ROUND(N2079-M2079,2))</f>
        <v/>
      </c>
      <c r="P2079" s="13">
        <f>IF(AND(A2079&lt;&gt;"",B2079&lt;&gt;""), A2079&amp;" · "&amp;B2079, "")</f>
        <v/>
      </c>
    </row>
    <row r="2080">
      <c r="A2080" s="6" t="inlineStr">
        <is>
          <t>FY27</t>
        </is>
      </c>
      <c r="B2080" s="6" t="inlineStr">
        <is>
          <t>May</t>
        </is>
      </c>
      <c r="C2080" s="6" t="inlineStr">
        <is>
          <t>TN</t>
        </is>
      </c>
      <c r="D2080" s="7" t="inlineStr">
        <is>
          <t>TN09CH3602</t>
        </is>
      </c>
      <c r="E2080" s="7" t="inlineStr">
        <is>
          <t>HYUNDAI</t>
        </is>
      </c>
      <c r="F2080" s="7" t="inlineStr">
        <is>
          <t>Xcent</t>
        </is>
      </c>
      <c r="G2080" s="7" t="inlineStr">
        <is>
          <t>CARS INDIA</t>
        </is>
      </c>
      <c r="H2080" s="7" t="inlineStr">
        <is>
          <t>Non-Captive</t>
        </is>
      </c>
      <c r="I2080" s="7" t="inlineStr">
        <is>
          <t>Cars24</t>
        </is>
      </c>
      <c r="J2080" s="8" t="n">
        <v>2017</v>
      </c>
      <c r="K2080" s="9" t="n">
        <v>198673</v>
      </c>
      <c r="L2080" s="10" t="n">
        <v>100000</v>
      </c>
      <c r="M2080" s="10" t="n">
        <v>4237.29</v>
      </c>
      <c r="N2080" s="11">
        <f>IF(M2080="","",ROUND(M2080*1.18,2))</f>
        <v/>
      </c>
      <c r="O2080" s="12">
        <f>IF(M2080="","",ROUND(N2080-M2080,2))</f>
        <v/>
      </c>
      <c r="P2080" s="13">
        <f>IF(AND(A2080&lt;&gt;"",B2080&lt;&gt;""), A2080&amp;" · "&amp;B2080, "")</f>
        <v/>
      </c>
    </row>
    <row r="2081">
      <c r="A2081" s="6" t="inlineStr">
        <is>
          <t>FY27</t>
        </is>
      </c>
      <c r="B2081" s="6" t="inlineStr">
        <is>
          <t>May</t>
        </is>
      </c>
      <c r="C2081" s="6" t="inlineStr">
        <is>
          <t>TN</t>
        </is>
      </c>
      <c r="D2081" s="7" t="inlineStr">
        <is>
          <t>TN09CW1374</t>
        </is>
      </c>
      <c r="E2081" s="7" t="inlineStr">
        <is>
          <t>HONDA</t>
        </is>
      </c>
      <c r="F2081" s="7" t="inlineStr">
        <is>
          <t>Amaze</t>
        </is>
      </c>
      <c r="G2081" s="7" t="inlineStr">
        <is>
          <t>EXCHANGE CHENNAI</t>
        </is>
      </c>
      <c r="H2081" s="7" t="inlineStr">
        <is>
          <t>Captive</t>
        </is>
      </c>
      <c r="I2081" s="7" t="inlineStr">
        <is>
          <t>Varadhrajan cars</t>
        </is>
      </c>
      <c r="J2081" s="8" t="n">
        <v>2020</v>
      </c>
      <c r="K2081" s="9" t="n">
        <v>19733</v>
      </c>
      <c r="L2081" s="10" t="n">
        <v>485000</v>
      </c>
      <c r="M2081" s="10" t="n">
        <v>8474.58</v>
      </c>
      <c r="N2081" s="11">
        <f>IF(M2081="","",ROUND(M2081*1.18,2))</f>
        <v/>
      </c>
      <c r="O2081" s="12">
        <f>IF(M2081="","",ROUND(N2081-M2081,2))</f>
        <v/>
      </c>
      <c r="P2081" s="13">
        <f>IF(AND(A2081&lt;&gt;"",B2081&lt;&gt;""), A2081&amp;" · "&amp;B2081, "")</f>
        <v/>
      </c>
    </row>
    <row r="2082">
      <c r="A2082" s="6" t="inlineStr">
        <is>
          <t>FY27</t>
        </is>
      </c>
      <c r="B2082" s="6" t="inlineStr">
        <is>
          <t>May</t>
        </is>
      </c>
      <c r="C2082" s="6" t="inlineStr">
        <is>
          <t>TN</t>
        </is>
      </c>
      <c r="D2082" s="7" t="inlineStr">
        <is>
          <t>TN10AB0895</t>
        </is>
      </c>
      <c r="E2082" s="7" t="inlineStr">
        <is>
          <t>FORD</t>
        </is>
      </c>
      <c r="F2082" s="7" t="inlineStr">
        <is>
          <t>Figo</t>
        </is>
      </c>
      <c r="G2082" s="7" t="inlineStr">
        <is>
          <t>EXCHANGE ROTN</t>
        </is>
      </c>
      <c r="H2082" s="7" t="inlineStr">
        <is>
          <t>Captive</t>
        </is>
      </c>
      <c r="I2082" s="7" t="inlineStr">
        <is>
          <t>Geethanjali cars</t>
        </is>
      </c>
      <c r="J2082" s="8" t="n">
        <v>2010</v>
      </c>
      <c r="K2082" s="9" t="n">
        <v>55791</v>
      </c>
      <c r="L2082" s="10" t="n">
        <v>20000</v>
      </c>
      <c r="M2082" s="10" t="n">
        <v>4237.29</v>
      </c>
      <c r="N2082" s="11">
        <f>IF(M2082="","",ROUND(M2082*1.18,2))</f>
        <v/>
      </c>
      <c r="O2082" s="12">
        <f>IF(M2082="","",ROUND(N2082-M2082,2))</f>
        <v/>
      </c>
      <c r="P2082" s="13">
        <f>IF(AND(A2082&lt;&gt;"",B2082&lt;&gt;""), A2082&amp;" · "&amp;B2082, "")</f>
        <v/>
      </c>
    </row>
    <row r="2083">
      <c r="A2083" s="6" t="inlineStr">
        <is>
          <t>FY27</t>
        </is>
      </c>
      <c r="B2083" s="6" t="inlineStr">
        <is>
          <t>May</t>
        </is>
      </c>
      <c r="C2083" s="6" t="inlineStr">
        <is>
          <t>TN</t>
        </is>
      </c>
      <c r="D2083" s="7" t="inlineStr">
        <is>
          <t>TN10AD7706</t>
        </is>
      </c>
      <c r="E2083" s="7" t="inlineStr">
        <is>
          <t>MARUTI SUZUKI</t>
        </is>
      </c>
      <c r="F2083" s="7" t="inlineStr">
        <is>
          <t>Zen Estilo</t>
        </is>
      </c>
      <c r="G2083" s="7" t="inlineStr">
        <is>
          <t>KHIVRAJ MOTOR</t>
        </is>
      </c>
      <c r="H2083" s="7" t="inlineStr">
        <is>
          <t>Non-Captive</t>
        </is>
      </c>
      <c r="I2083" s="7" t="inlineStr">
        <is>
          <t>Grid 33</t>
        </is>
      </c>
      <c r="J2083" s="8" t="n">
        <v>2011</v>
      </c>
      <c r="K2083" s="9" t="n">
        <v>135108</v>
      </c>
      <c r="L2083" s="10" t="n">
        <v>100000</v>
      </c>
      <c r="M2083" s="10" t="n">
        <v>5084.75</v>
      </c>
      <c r="N2083" s="11">
        <f>IF(M2083="","",ROUND(M2083*1.18,2))</f>
        <v/>
      </c>
      <c r="O2083" s="12">
        <f>IF(M2083="","",ROUND(N2083-M2083,2))</f>
        <v/>
      </c>
      <c r="P2083" s="13">
        <f>IF(AND(A2083&lt;&gt;"",B2083&lt;&gt;""), A2083&amp;" · "&amp;B2083, "")</f>
        <v/>
      </c>
    </row>
    <row r="2084">
      <c r="A2084" s="6" t="inlineStr">
        <is>
          <t>FY27</t>
        </is>
      </c>
      <c r="B2084" s="6" t="inlineStr">
        <is>
          <t>May</t>
        </is>
      </c>
      <c r="C2084" s="6" t="inlineStr">
        <is>
          <t>TN</t>
        </is>
      </c>
      <c r="D2084" s="7" t="inlineStr">
        <is>
          <t>TN10AD9636</t>
        </is>
      </c>
      <c r="E2084" s="7" t="inlineStr">
        <is>
          <t>TATA</t>
        </is>
      </c>
      <c r="F2084" s="7" t="inlineStr">
        <is>
          <t>Nano</t>
        </is>
      </c>
      <c r="G2084" s="7" t="inlineStr">
        <is>
          <t>EXCHANGE ROTN</t>
        </is>
      </c>
      <c r="H2084" s="7" t="inlineStr">
        <is>
          <t>Captive</t>
        </is>
      </c>
      <c r="I2084" s="7" t="inlineStr">
        <is>
          <t>Somasundharam cars</t>
        </is>
      </c>
      <c r="J2084" s="8" t="n">
        <v>2011</v>
      </c>
      <c r="K2084" s="9" t="n">
        <v>163194</v>
      </c>
      <c r="L2084" s="10" t="n">
        <v>40000</v>
      </c>
      <c r="M2084" s="10" t="n">
        <v>4237.29</v>
      </c>
      <c r="N2084" s="11">
        <f>IF(M2084="","",ROUND(M2084*1.18,2))</f>
        <v/>
      </c>
      <c r="O2084" s="12">
        <f>IF(M2084="","",ROUND(N2084-M2084,2))</f>
        <v/>
      </c>
      <c r="P2084" s="13">
        <f>IF(AND(A2084&lt;&gt;"",B2084&lt;&gt;""), A2084&amp;" · "&amp;B2084, "")</f>
        <v/>
      </c>
    </row>
    <row r="2085">
      <c r="A2085" s="6" t="inlineStr">
        <is>
          <t>FY27</t>
        </is>
      </c>
      <c r="B2085" s="6" t="inlineStr">
        <is>
          <t>May</t>
        </is>
      </c>
      <c r="C2085" s="6" t="inlineStr">
        <is>
          <t>TN</t>
        </is>
      </c>
      <c r="D2085" s="7" t="inlineStr">
        <is>
          <t>TN10AE4468</t>
        </is>
      </c>
      <c r="E2085" s="7" t="inlineStr">
        <is>
          <t>NISSAN</t>
        </is>
      </c>
      <c r="F2085" s="7" t="inlineStr">
        <is>
          <t>Micra</t>
        </is>
      </c>
      <c r="G2085" s="7" t="inlineStr">
        <is>
          <t>PRODUCTIVITY ELEMENTS PRIVATE LIMITED</t>
        </is>
      </c>
      <c r="H2085" s="7" t="inlineStr">
        <is>
          <t>Non-Captive</t>
        </is>
      </c>
      <c r="I2085" s="7" t="inlineStr">
        <is>
          <t>Nirmal Cars</t>
        </is>
      </c>
      <c r="J2085" s="8" t="n">
        <v>2011</v>
      </c>
      <c r="K2085" s="9" t="n">
        <v>52328</v>
      </c>
      <c r="L2085" s="10" t="n">
        <v>140000</v>
      </c>
      <c r="M2085" s="10" t="n">
        <v>3389.83</v>
      </c>
      <c r="N2085" s="11">
        <f>IF(M2085="","",ROUND(M2085*1.18,2))</f>
        <v/>
      </c>
      <c r="O2085" s="12">
        <f>IF(M2085="","",ROUND(N2085-M2085,2))</f>
        <v/>
      </c>
      <c r="P2085" s="13">
        <f>IF(AND(A2085&lt;&gt;"",B2085&lt;&gt;""), A2085&amp;" · "&amp;B2085, "")</f>
        <v/>
      </c>
    </row>
    <row r="2086">
      <c r="A2086" s="6" t="inlineStr">
        <is>
          <t>FY27</t>
        </is>
      </c>
      <c r="B2086" s="6" t="inlineStr">
        <is>
          <t>May</t>
        </is>
      </c>
      <c r="C2086" s="6" t="inlineStr">
        <is>
          <t>TN</t>
        </is>
      </c>
      <c r="D2086" s="7" t="inlineStr">
        <is>
          <t>TN10AE4930</t>
        </is>
      </c>
      <c r="E2086" s="7" t="inlineStr">
        <is>
          <t>HYUNDAI</t>
        </is>
      </c>
      <c r="F2086" s="7" t="inlineStr">
        <is>
          <t>i10</t>
        </is>
      </c>
      <c r="G2086" s="7" t="inlineStr">
        <is>
          <t>INDUS</t>
        </is>
      </c>
      <c r="H2086" s="7" t="inlineStr">
        <is>
          <t>Non-Captive</t>
        </is>
      </c>
      <c r="I2086" s="7" t="inlineStr">
        <is>
          <t>Thiya Cars</t>
        </is>
      </c>
      <c r="J2086" s="8" t="n">
        <v>2011</v>
      </c>
      <c r="K2086" s="9" t="n">
        <v>84439</v>
      </c>
      <c r="L2086" s="10" t="n">
        <v>120000</v>
      </c>
      <c r="M2086" s="10" t="n">
        <v>4237.29</v>
      </c>
      <c r="N2086" s="11">
        <f>IF(M2086="","",ROUND(M2086*1.18,2))</f>
        <v/>
      </c>
      <c r="O2086" s="12">
        <f>IF(M2086="","",ROUND(N2086-M2086,2))</f>
        <v/>
      </c>
      <c r="P2086" s="13">
        <f>IF(AND(A2086&lt;&gt;"",B2086&lt;&gt;""), A2086&amp;" · "&amp;B2086, "")</f>
        <v/>
      </c>
    </row>
    <row r="2087">
      <c r="A2087" s="6" t="inlineStr">
        <is>
          <t>FY27</t>
        </is>
      </c>
      <c r="B2087" s="6" t="inlineStr">
        <is>
          <t>May</t>
        </is>
      </c>
      <c r="C2087" s="6" t="inlineStr">
        <is>
          <t>TN</t>
        </is>
      </c>
      <c r="D2087" s="7" t="inlineStr">
        <is>
          <t>TN10AF0023</t>
        </is>
      </c>
      <c r="E2087" s="7" t="inlineStr">
        <is>
          <t>CHEVROLET</t>
        </is>
      </c>
      <c r="F2087" s="7" t="inlineStr">
        <is>
          <t>Beat</t>
        </is>
      </c>
      <c r="G2087" s="7" t="inlineStr">
        <is>
          <t>CARS INDIA</t>
        </is>
      </c>
      <c r="H2087" s="7" t="inlineStr">
        <is>
          <t>Non-Captive</t>
        </is>
      </c>
      <c r="I2087" s="7" t="inlineStr">
        <is>
          <t>Grid 33</t>
        </is>
      </c>
      <c r="J2087" s="8" t="n">
        <v>2012</v>
      </c>
      <c r="K2087" s="9" t="n">
        <v>68743</v>
      </c>
      <c r="L2087" s="10" t="n">
        <v>80000</v>
      </c>
      <c r="M2087" s="10" t="n">
        <v>5084.75</v>
      </c>
      <c r="N2087" s="11">
        <f>IF(M2087="","",ROUND(M2087*1.18,2))</f>
        <v/>
      </c>
      <c r="O2087" s="12">
        <f>IF(M2087="","",ROUND(N2087-M2087,2))</f>
        <v/>
      </c>
      <c r="P2087" s="13">
        <f>IF(AND(A2087&lt;&gt;"",B2087&lt;&gt;""), A2087&amp;" · "&amp;B2087, "")</f>
        <v/>
      </c>
    </row>
    <row r="2088">
      <c r="A2088" s="6" t="inlineStr">
        <is>
          <t>FY27</t>
        </is>
      </c>
      <c r="B2088" s="6" t="inlineStr">
        <is>
          <t>May</t>
        </is>
      </c>
      <c r="C2088" s="6" t="inlineStr">
        <is>
          <t>TN</t>
        </is>
      </c>
      <c r="D2088" s="7" t="inlineStr">
        <is>
          <t>TN10AH3559</t>
        </is>
      </c>
      <c r="E2088" s="7" t="inlineStr">
        <is>
          <t>HYUNDAI</t>
        </is>
      </c>
      <c r="F2088" s="7" t="inlineStr">
        <is>
          <t>Eon</t>
        </is>
      </c>
      <c r="G2088" s="7" t="inlineStr">
        <is>
          <t>KHIVRAJ MOTOR</t>
        </is>
      </c>
      <c r="H2088" s="7" t="inlineStr">
        <is>
          <t>Non-Captive</t>
        </is>
      </c>
      <c r="I2088" s="7" t="inlineStr">
        <is>
          <t>Nirmal Cars</t>
        </is>
      </c>
      <c r="J2088" s="8" t="n">
        <v>2012</v>
      </c>
      <c r="K2088" s="9" t="n">
        <v>67169</v>
      </c>
      <c r="L2088" s="10" t="n">
        <v>125000</v>
      </c>
      <c r="M2088" s="10" t="n">
        <v>4237.29</v>
      </c>
      <c r="N2088" s="11">
        <f>IF(M2088="","",ROUND(M2088*1.18,2))</f>
        <v/>
      </c>
      <c r="O2088" s="12">
        <f>IF(M2088="","",ROUND(N2088-M2088,2))</f>
        <v/>
      </c>
      <c r="P2088" s="13">
        <f>IF(AND(A2088&lt;&gt;"",B2088&lt;&gt;""), A2088&amp;" · "&amp;B2088, "")</f>
        <v/>
      </c>
    </row>
    <row r="2089">
      <c r="A2089" s="6" t="inlineStr">
        <is>
          <t>FY27</t>
        </is>
      </c>
      <c r="B2089" s="6" t="inlineStr">
        <is>
          <t>May</t>
        </is>
      </c>
      <c r="C2089" s="6" t="inlineStr">
        <is>
          <t>TN</t>
        </is>
      </c>
      <c r="D2089" s="7" t="inlineStr">
        <is>
          <t>TN10AK8453</t>
        </is>
      </c>
      <c r="E2089" s="7" t="inlineStr">
        <is>
          <t>MARUTI SUZUKI</t>
        </is>
      </c>
      <c r="F2089" s="7" t="inlineStr">
        <is>
          <t>Alto</t>
        </is>
      </c>
      <c r="G2089" s="7" t="inlineStr">
        <is>
          <t>KHIVRAJ MOTOR</t>
        </is>
      </c>
      <c r="H2089" s="7" t="inlineStr">
        <is>
          <t>Non-Captive</t>
        </is>
      </c>
      <c r="I2089" s="7" t="inlineStr">
        <is>
          <t>TSM</t>
        </is>
      </c>
      <c r="J2089" s="8" t="n">
        <v>2013</v>
      </c>
      <c r="K2089" s="9" t="n">
        <v>49107</v>
      </c>
      <c r="L2089" s="10" t="n">
        <v>150000</v>
      </c>
      <c r="M2089" s="10" t="n">
        <v>3389.83</v>
      </c>
      <c r="N2089" s="11">
        <f>IF(M2089="","",ROUND(M2089*1.18,2))</f>
        <v/>
      </c>
      <c r="O2089" s="12">
        <f>IF(M2089="","",ROUND(N2089-M2089,2))</f>
        <v/>
      </c>
      <c r="P2089" s="13">
        <f>IF(AND(A2089&lt;&gt;"",B2089&lt;&gt;""), A2089&amp;" · "&amp;B2089, "")</f>
        <v/>
      </c>
    </row>
    <row r="2090">
      <c r="A2090" s="6" t="inlineStr">
        <is>
          <t>FY27</t>
        </is>
      </c>
      <c r="B2090" s="6" t="inlineStr">
        <is>
          <t>May</t>
        </is>
      </c>
      <c r="C2090" s="6" t="inlineStr">
        <is>
          <t>TN</t>
        </is>
      </c>
      <c r="D2090" s="7" t="inlineStr">
        <is>
          <t>TN10AU0228</t>
        </is>
      </c>
      <c r="E2090" s="7" t="inlineStr">
        <is>
          <t>HONDA</t>
        </is>
      </c>
      <c r="F2090" s="7" t="inlineStr">
        <is>
          <t>Jazz</t>
        </is>
      </c>
      <c r="G2090" s="7" t="inlineStr">
        <is>
          <t>CASTLE TRADERS HONDA</t>
        </is>
      </c>
      <c r="H2090" s="7" t="inlineStr">
        <is>
          <t>Non-Captive</t>
        </is>
      </c>
      <c r="I2090" s="7" t="inlineStr">
        <is>
          <t>Cars24</t>
        </is>
      </c>
      <c r="J2090" s="8" t="n"/>
      <c r="K2090" s="9" t="n"/>
      <c r="L2090" s="10" t="n">
        <v>285000</v>
      </c>
      <c r="M2090" s="10" t="n">
        <v>4237.29</v>
      </c>
      <c r="N2090" s="11">
        <f>IF(M2090="","",ROUND(M2090*1.18,2))</f>
        <v/>
      </c>
      <c r="O2090" s="12">
        <f>IF(M2090="","",ROUND(N2090-M2090,2))</f>
        <v/>
      </c>
      <c r="P2090" s="13">
        <f>IF(AND(A2090&lt;&gt;"",B2090&lt;&gt;""), A2090&amp;" · "&amp;B2090, "")</f>
        <v/>
      </c>
    </row>
    <row r="2091">
      <c r="A2091" s="6" t="inlineStr">
        <is>
          <t>FY27</t>
        </is>
      </c>
      <c r="B2091" s="6" t="inlineStr">
        <is>
          <t>May</t>
        </is>
      </c>
      <c r="C2091" s="6" t="inlineStr">
        <is>
          <t>TN</t>
        </is>
      </c>
      <c r="D2091" s="7" t="inlineStr">
        <is>
          <t>TN10AY9271</t>
        </is>
      </c>
      <c r="E2091" s="7" t="inlineStr">
        <is>
          <t>RENAULT</t>
        </is>
      </c>
      <c r="F2091" s="7" t="inlineStr">
        <is>
          <t>Kwid</t>
        </is>
      </c>
      <c r="G2091" s="7" t="inlineStr">
        <is>
          <t>KHIVRAJ MOTOR</t>
        </is>
      </c>
      <c r="H2091" s="7" t="inlineStr">
        <is>
          <t>Non-Captive</t>
        </is>
      </c>
      <c r="I2091" s="7" t="inlineStr">
        <is>
          <t>Nirmal Cars</t>
        </is>
      </c>
      <c r="J2091" s="8" t="n">
        <v>2016</v>
      </c>
      <c r="K2091" s="9" t="n">
        <v>44780</v>
      </c>
      <c r="L2091" s="10" t="n">
        <v>125000</v>
      </c>
      <c r="M2091" s="10" t="n">
        <v>4237.29</v>
      </c>
      <c r="N2091" s="11">
        <f>IF(M2091="","",ROUND(M2091*1.18,2))</f>
        <v/>
      </c>
      <c r="O2091" s="12">
        <f>IF(M2091="","",ROUND(N2091-M2091,2))</f>
        <v/>
      </c>
      <c r="P2091" s="13">
        <f>IF(AND(A2091&lt;&gt;"",B2091&lt;&gt;""), A2091&amp;" · "&amp;B2091, "")</f>
        <v/>
      </c>
    </row>
    <row r="2092">
      <c r="A2092" s="6" t="inlineStr">
        <is>
          <t>FY27</t>
        </is>
      </c>
      <c r="B2092" s="6" t="inlineStr">
        <is>
          <t>May</t>
        </is>
      </c>
      <c r="C2092" s="6" t="inlineStr">
        <is>
          <t>TN</t>
        </is>
      </c>
      <c r="D2092" s="7" t="inlineStr">
        <is>
          <t>TN10S7561</t>
        </is>
      </c>
      <c r="E2092" s="7" t="inlineStr">
        <is>
          <t>MARUTI SUZUKI</t>
        </is>
      </c>
      <c r="F2092" s="7" t="inlineStr">
        <is>
          <t>Alto</t>
        </is>
      </c>
      <c r="G2092" s="7" t="inlineStr">
        <is>
          <t>KHIVRAJ MOTOR</t>
        </is>
      </c>
      <c r="H2092" s="7" t="inlineStr">
        <is>
          <t>Non-Captive</t>
        </is>
      </c>
      <c r="I2092" s="7" t="inlineStr">
        <is>
          <t>S2 Cars</t>
        </is>
      </c>
      <c r="J2092" s="8" t="n">
        <v>2007</v>
      </c>
      <c r="K2092" s="9" t="n">
        <v>100000</v>
      </c>
      <c r="L2092" s="10" t="n">
        <v>75000</v>
      </c>
      <c r="M2092" s="10" t="n">
        <v>2800</v>
      </c>
      <c r="N2092" s="11">
        <f>IF(M2092="","",ROUND(M2092*1.18,2))</f>
        <v/>
      </c>
      <c r="O2092" s="12">
        <f>IF(M2092="","",ROUND(N2092-M2092,2))</f>
        <v/>
      </c>
      <c r="P2092" s="13">
        <f>IF(AND(A2092&lt;&gt;"",B2092&lt;&gt;""), A2092&amp;" · "&amp;B2092, "")</f>
        <v/>
      </c>
    </row>
    <row r="2093">
      <c r="A2093" s="6" t="inlineStr">
        <is>
          <t>FY27</t>
        </is>
      </c>
      <c r="B2093" s="6" t="inlineStr">
        <is>
          <t>May</t>
        </is>
      </c>
      <c r="C2093" s="6" t="inlineStr">
        <is>
          <t>TN</t>
        </is>
      </c>
      <c r="D2093" s="7" t="inlineStr">
        <is>
          <t>TN10T1134</t>
        </is>
      </c>
      <c r="E2093" s="7" t="inlineStr">
        <is>
          <t>TATA</t>
        </is>
      </c>
      <c r="F2093" s="7" t="inlineStr">
        <is>
          <t>Indica</t>
        </is>
      </c>
      <c r="G2093" s="7" t="inlineStr">
        <is>
          <t>THIRIVENI CARS</t>
        </is>
      </c>
      <c r="H2093" s="7" t="inlineStr">
        <is>
          <t>Non-Captive</t>
        </is>
      </c>
      <c r="I2093" s="7" t="inlineStr">
        <is>
          <t>Nirmal Cars</t>
        </is>
      </c>
      <c r="J2093" s="8" t="n">
        <v>2007</v>
      </c>
      <c r="K2093" s="9" t="n">
        <v>130473</v>
      </c>
      <c r="L2093" s="10" t="n">
        <v>60000</v>
      </c>
      <c r="M2093" s="10" t="n">
        <v>4237.29</v>
      </c>
      <c r="N2093" s="11">
        <f>IF(M2093="","",ROUND(M2093*1.18,2))</f>
        <v/>
      </c>
      <c r="O2093" s="12">
        <f>IF(M2093="","",ROUND(N2093-M2093,2))</f>
        <v/>
      </c>
      <c r="P2093" s="13">
        <f>IF(AND(A2093&lt;&gt;"",B2093&lt;&gt;""), A2093&amp;" · "&amp;B2093, "")</f>
        <v/>
      </c>
    </row>
    <row r="2094">
      <c r="A2094" s="6" t="inlineStr">
        <is>
          <t>FY27</t>
        </is>
      </c>
      <c r="B2094" s="6" t="inlineStr">
        <is>
          <t>May</t>
        </is>
      </c>
      <c r="C2094" s="6" t="inlineStr">
        <is>
          <t>TN</t>
        </is>
      </c>
      <c r="D2094" s="7" t="inlineStr">
        <is>
          <t>TN10X4183</t>
        </is>
      </c>
      <c r="E2094" s="7" t="inlineStr">
        <is>
          <t>MARUTI SUZUKI</t>
        </is>
      </c>
      <c r="F2094" s="7" t="inlineStr">
        <is>
          <t>Alto</t>
        </is>
      </c>
      <c r="G2094" s="7" t="inlineStr">
        <is>
          <t>AIE CARS PRIVATE LIMITED</t>
        </is>
      </c>
      <c r="H2094" s="7" t="inlineStr">
        <is>
          <t>Non-Captive</t>
        </is>
      </c>
      <c r="I2094" s="7" t="inlineStr">
        <is>
          <t>Grid 33</t>
        </is>
      </c>
      <c r="J2094" s="8" t="n">
        <v>2009</v>
      </c>
      <c r="K2094" s="9" t="n">
        <v>72145</v>
      </c>
      <c r="L2094" s="10" t="n">
        <v>80000</v>
      </c>
      <c r="M2094" s="10" t="n">
        <v>4237.29</v>
      </c>
      <c r="N2094" s="11">
        <f>IF(M2094="","",ROUND(M2094*1.18,2))</f>
        <v/>
      </c>
      <c r="O2094" s="12">
        <f>IF(M2094="","",ROUND(N2094-M2094,2))</f>
        <v/>
      </c>
      <c r="P2094" s="13">
        <f>IF(AND(A2094&lt;&gt;"",B2094&lt;&gt;""), A2094&amp;" · "&amp;B2094, "")</f>
        <v/>
      </c>
    </row>
    <row r="2095">
      <c r="A2095" s="6" t="inlineStr">
        <is>
          <t>FY27</t>
        </is>
      </c>
      <c r="B2095" s="6" t="inlineStr">
        <is>
          <t>May</t>
        </is>
      </c>
      <c r="C2095" s="6" t="inlineStr">
        <is>
          <t>TN</t>
        </is>
      </c>
      <c r="D2095" s="7" t="inlineStr">
        <is>
          <t>TN11A9309</t>
        </is>
      </c>
      <c r="E2095" s="7" t="inlineStr">
        <is>
          <t>MARUTI SUZUKI</t>
        </is>
      </c>
      <c r="F2095" s="7" t="inlineStr">
        <is>
          <t>Ritz</t>
        </is>
      </c>
      <c r="G2095" s="7" t="inlineStr">
        <is>
          <t>KHIVRAJ MOTOR</t>
        </is>
      </c>
      <c r="H2095" s="7" t="inlineStr">
        <is>
          <t>Non-Captive</t>
        </is>
      </c>
      <c r="I2095" s="7" t="inlineStr">
        <is>
          <t>Grid 33</t>
        </is>
      </c>
      <c r="J2095" s="8" t="n">
        <v>2010</v>
      </c>
      <c r="K2095" s="9" t="n">
        <v>15488</v>
      </c>
      <c r="L2095" s="10" t="n">
        <v>80000</v>
      </c>
      <c r="M2095" s="10" t="n">
        <v>4237.29</v>
      </c>
      <c r="N2095" s="11">
        <f>IF(M2095="","",ROUND(M2095*1.18,2))</f>
        <v/>
      </c>
      <c r="O2095" s="12">
        <f>IF(M2095="","",ROUND(N2095-M2095,2))</f>
        <v/>
      </c>
      <c r="P2095" s="13">
        <f>IF(AND(A2095&lt;&gt;"",B2095&lt;&gt;""), A2095&amp;" · "&amp;B2095, "")</f>
        <v/>
      </c>
    </row>
    <row r="2096">
      <c r="A2096" s="6" t="inlineStr">
        <is>
          <t>FY27</t>
        </is>
      </c>
      <c r="B2096" s="6" t="inlineStr">
        <is>
          <t>May</t>
        </is>
      </c>
      <c r="C2096" s="6" t="inlineStr">
        <is>
          <t>TN</t>
        </is>
      </c>
      <c r="D2096" s="7" t="inlineStr">
        <is>
          <t>TN11AM5778</t>
        </is>
      </c>
      <c r="E2096" s="7" t="inlineStr">
        <is>
          <t>HONDA</t>
        </is>
      </c>
      <c r="F2096" s="7" t="inlineStr">
        <is>
          <t>Amaze</t>
        </is>
      </c>
      <c r="G2096" s="7" t="inlineStr">
        <is>
          <t>EXCHANGE CHENNAI</t>
        </is>
      </c>
      <c r="H2096" s="7" t="inlineStr">
        <is>
          <t>Captive</t>
        </is>
      </c>
      <c r="I2096" s="7" t="inlineStr">
        <is>
          <t>Nirmal Cars</t>
        </is>
      </c>
      <c r="J2096" s="8" t="n">
        <v>2019</v>
      </c>
      <c r="K2096" s="9" t="n">
        <v>62643</v>
      </c>
      <c r="L2096" s="10" t="n">
        <v>440000</v>
      </c>
      <c r="M2096" s="10" t="n">
        <v>8474.58</v>
      </c>
      <c r="N2096" s="11">
        <f>IF(M2096="","",ROUND(M2096*1.18,2))</f>
        <v/>
      </c>
      <c r="O2096" s="12">
        <f>IF(M2096="","",ROUND(N2096-M2096,2))</f>
        <v/>
      </c>
      <c r="P2096" s="13">
        <f>IF(AND(A2096&lt;&gt;"",B2096&lt;&gt;""), A2096&amp;" · "&amp;B2096, "")</f>
        <v/>
      </c>
    </row>
    <row r="2097">
      <c r="A2097" s="6" t="inlineStr">
        <is>
          <t>FY27</t>
        </is>
      </c>
      <c r="B2097" s="6" t="inlineStr">
        <is>
          <t>May</t>
        </is>
      </c>
      <c r="C2097" s="6" t="inlineStr">
        <is>
          <t>TN</t>
        </is>
      </c>
      <c r="D2097" s="7" t="inlineStr">
        <is>
          <t>TN11K9238</t>
        </is>
      </c>
      <c r="E2097" s="7" t="inlineStr">
        <is>
          <t>HYUNDAI</t>
        </is>
      </c>
      <c r="F2097" s="7" t="inlineStr">
        <is>
          <t>Eon</t>
        </is>
      </c>
      <c r="G2097" s="7" t="inlineStr">
        <is>
          <t>SVM CARS PRIVATE LIMITED</t>
        </is>
      </c>
      <c r="H2097" s="7" t="inlineStr">
        <is>
          <t>Non-Captive</t>
        </is>
      </c>
      <c r="I2097" s="7" t="inlineStr">
        <is>
          <t>Nirmal Cars</t>
        </is>
      </c>
      <c r="J2097" s="8" t="n">
        <v>2014</v>
      </c>
      <c r="K2097" s="9" t="n">
        <v>97548</v>
      </c>
      <c r="L2097" s="10" t="n">
        <v>140000</v>
      </c>
      <c r="M2097" s="10" t="n">
        <v>4237.29</v>
      </c>
      <c r="N2097" s="11">
        <f>IF(M2097="","",ROUND(M2097*1.18,2))</f>
        <v/>
      </c>
      <c r="O2097" s="12">
        <f>IF(M2097="","",ROUND(N2097-M2097,2))</f>
        <v/>
      </c>
      <c r="P2097" s="13">
        <f>IF(AND(A2097&lt;&gt;"",B2097&lt;&gt;""), A2097&amp;" · "&amp;B2097, "")</f>
        <v/>
      </c>
    </row>
    <row r="2098">
      <c r="A2098" s="6" t="inlineStr">
        <is>
          <t>FY27</t>
        </is>
      </c>
      <c r="B2098" s="6" t="inlineStr">
        <is>
          <t>May</t>
        </is>
      </c>
      <c r="C2098" s="6" t="inlineStr">
        <is>
          <t>TN</t>
        </is>
      </c>
      <c r="D2098" s="7" t="inlineStr">
        <is>
          <t>TN12AB0426</t>
        </is>
      </c>
      <c r="E2098" s="7" t="inlineStr">
        <is>
          <t>HYUNDAI</t>
        </is>
      </c>
      <c r="F2098" s="7" t="inlineStr">
        <is>
          <t>Santro</t>
        </is>
      </c>
      <c r="G2098" s="7" t="inlineStr">
        <is>
          <t>KHIVRAJ MOTOR</t>
        </is>
      </c>
      <c r="H2098" s="7" t="inlineStr">
        <is>
          <t>Non-Captive</t>
        </is>
      </c>
      <c r="I2098" s="7" t="inlineStr">
        <is>
          <t>Aasim Motors</t>
        </is>
      </c>
      <c r="J2098" s="8" t="n">
        <v>2018</v>
      </c>
      <c r="K2098" s="9" t="n">
        <v>119238</v>
      </c>
      <c r="L2098" s="10" t="n">
        <v>270000</v>
      </c>
      <c r="M2098" s="10" t="n">
        <v>6355.93</v>
      </c>
      <c r="N2098" s="11">
        <f>IF(M2098="","",ROUND(M2098*1.18,2))</f>
        <v/>
      </c>
      <c r="O2098" s="12">
        <f>IF(M2098="","",ROUND(N2098-M2098,2))</f>
        <v/>
      </c>
      <c r="P2098" s="13">
        <f>IF(AND(A2098&lt;&gt;"",B2098&lt;&gt;""), A2098&amp;" · "&amp;B2098, "")</f>
        <v/>
      </c>
    </row>
    <row r="2099">
      <c r="A2099" s="6" t="inlineStr">
        <is>
          <t>FY27</t>
        </is>
      </c>
      <c r="B2099" s="6" t="inlineStr">
        <is>
          <t>May</t>
        </is>
      </c>
      <c r="C2099" s="6" t="inlineStr">
        <is>
          <t>TN</t>
        </is>
      </c>
      <c r="D2099" s="7" t="inlineStr">
        <is>
          <t>TN13H3153</t>
        </is>
      </c>
      <c r="E2099" s="7" t="inlineStr">
        <is>
          <t>VOLKSWAGEN</t>
        </is>
      </c>
      <c r="F2099" s="7" t="inlineStr">
        <is>
          <t>Ameo</t>
        </is>
      </c>
      <c r="G2099" s="7" t="inlineStr">
        <is>
          <t>CASTLE TRADERS HONDA</t>
        </is>
      </c>
      <c r="H2099" s="7" t="inlineStr">
        <is>
          <t>Non-Captive</t>
        </is>
      </c>
      <c r="I2099" s="7" t="inlineStr">
        <is>
          <t>YUGA DHEERAN CARS</t>
        </is>
      </c>
      <c r="J2099" s="8" t="n">
        <v>2016</v>
      </c>
      <c r="K2099" s="9" t="n">
        <v>114694</v>
      </c>
      <c r="L2099" s="10" t="n">
        <v>290000</v>
      </c>
      <c r="M2099" s="10" t="n">
        <v>5084.75</v>
      </c>
      <c r="N2099" s="11">
        <f>IF(M2099="","",ROUND(M2099*1.18,2))</f>
        <v/>
      </c>
      <c r="O2099" s="12">
        <f>IF(M2099="","",ROUND(N2099-M2099,2))</f>
        <v/>
      </c>
      <c r="P2099" s="13">
        <f>IF(AND(A2099&lt;&gt;"",B2099&lt;&gt;""), A2099&amp;" · "&amp;B2099, "")</f>
        <v/>
      </c>
    </row>
    <row r="2100">
      <c r="A2100" s="6" t="inlineStr">
        <is>
          <t>FY27</t>
        </is>
      </c>
      <c r="B2100" s="6" t="inlineStr">
        <is>
          <t>May</t>
        </is>
      </c>
      <c r="C2100" s="6" t="inlineStr">
        <is>
          <t>TN</t>
        </is>
      </c>
      <c r="D2100" s="7" t="inlineStr">
        <is>
          <t>TN14E3712</t>
        </is>
      </c>
      <c r="E2100" s="7" t="inlineStr">
        <is>
          <t>MARUTI SUZUKI</t>
        </is>
      </c>
      <c r="F2100" s="7" t="inlineStr">
        <is>
          <t>Wagon R</t>
        </is>
      </c>
      <c r="G2100" s="7" t="inlineStr">
        <is>
          <t>KHIVRAJ MOTOR</t>
        </is>
      </c>
      <c r="H2100" s="7" t="inlineStr">
        <is>
          <t>Non-Captive</t>
        </is>
      </c>
      <c r="I2100" s="7" t="inlineStr">
        <is>
          <t>Sri Shakthi Vinayaga Cars</t>
        </is>
      </c>
      <c r="J2100" s="8" t="n"/>
      <c r="K2100" s="9" t="n"/>
      <c r="L2100" s="10" t="n">
        <v>275000</v>
      </c>
      <c r="M2100" s="10" t="n">
        <v>4237.29</v>
      </c>
      <c r="N2100" s="11">
        <f>IF(M2100="","",ROUND(M2100*1.18,2))</f>
        <v/>
      </c>
      <c r="O2100" s="12">
        <f>IF(M2100="","",ROUND(N2100-M2100,2))</f>
        <v/>
      </c>
      <c r="P2100" s="13">
        <f>IF(AND(A2100&lt;&gt;"",B2100&lt;&gt;""), A2100&amp;" · "&amp;B2100, "")</f>
        <v/>
      </c>
    </row>
    <row r="2101">
      <c r="A2101" s="6" t="inlineStr">
        <is>
          <t>FY27</t>
        </is>
      </c>
      <c r="B2101" s="6" t="inlineStr">
        <is>
          <t>May</t>
        </is>
      </c>
      <c r="C2101" s="6" t="inlineStr">
        <is>
          <t>TN</t>
        </is>
      </c>
      <c r="D2101" s="7" t="inlineStr">
        <is>
          <t>TN14W9561</t>
        </is>
      </c>
      <c r="E2101" s="7" t="inlineStr">
        <is>
          <t>MARUTI SUZUKI</t>
        </is>
      </c>
      <c r="F2101" s="7" t="inlineStr">
        <is>
          <t>Alto</t>
        </is>
      </c>
      <c r="G2101" s="7" t="inlineStr">
        <is>
          <t>FPL AUTOMOBILES PRIVATE LIMITED</t>
        </is>
      </c>
      <c r="H2101" s="7" t="inlineStr">
        <is>
          <t>Non-Captive</t>
        </is>
      </c>
      <c r="I2101" s="7" t="inlineStr">
        <is>
          <t>Thiya Cars</t>
        </is>
      </c>
      <c r="J2101" s="8" t="n">
        <v>2020</v>
      </c>
      <c r="K2101" s="9" t="n">
        <v>30314</v>
      </c>
      <c r="L2101" s="10" t="n">
        <v>120000</v>
      </c>
      <c r="M2101" s="10" t="n">
        <v>4237.29</v>
      </c>
      <c r="N2101" s="11">
        <f>IF(M2101="","",ROUND(M2101*1.18,2))</f>
        <v/>
      </c>
      <c r="O2101" s="12">
        <f>IF(M2101="","",ROUND(N2101-M2101,2))</f>
        <v/>
      </c>
      <c r="P2101" s="13">
        <f>IF(AND(A2101&lt;&gt;"",B2101&lt;&gt;""), A2101&amp;" · "&amp;B2101, "")</f>
        <v/>
      </c>
    </row>
    <row r="2102">
      <c r="A2102" s="6" t="inlineStr">
        <is>
          <t>FY27</t>
        </is>
      </c>
      <c r="B2102" s="6" t="inlineStr">
        <is>
          <t>May</t>
        </is>
      </c>
      <c r="C2102" s="6" t="inlineStr">
        <is>
          <t>TN</t>
        </is>
      </c>
      <c r="D2102" s="7" t="inlineStr">
        <is>
          <t>TN18A3605</t>
        </is>
      </c>
      <c r="E2102" s="7" t="inlineStr">
        <is>
          <t>MARUTI SUZUKI</t>
        </is>
      </c>
      <c r="F2102" s="7" t="inlineStr">
        <is>
          <t>Alto</t>
        </is>
      </c>
      <c r="G2102" s="7" t="inlineStr">
        <is>
          <t>KALYANI MOTORS MARUTI</t>
        </is>
      </c>
      <c r="H2102" s="7" t="inlineStr">
        <is>
          <t>Non-Captive</t>
        </is>
      </c>
      <c r="I2102" s="7" t="inlineStr">
        <is>
          <t>Pine Autos</t>
        </is>
      </c>
      <c r="J2102" s="8" t="n">
        <v>2009</v>
      </c>
      <c r="K2102" s="9" t="n">
        <v>46335</v>
      </c>
      <c r="L2102" s="10" t="n">
        <v>100000</v>
      </c>
      <c r="M2102" s="10" t="n">
        <v>4237.29</v>
      </c>
      <c r="N2102" s="11">
        <f>IF(M2102="","",ROUND(M2102*1.18,2))</f>
        <v/>
      </c>
      <c r="O2102" s="12">
        <f>IF(M2102="","",ROUND(N2102-M2102,2))</f>
        <v/>
      </c>
      <c r="P2102" s="13">
        <f>IF(AND(A2102&lt;&gt;"",B2102&lt;&gt;""), A2102&amp;" · "&amp;B2102, "")</f>
        <v/>
      </c>
    </row>
    <row r="2103">
      <c r="A2103" s="6" t="inlineStr">
        <is>
          <t>FY27</t>
        </is>
      </c>
      <c r="B2103" s="6" t="inlineStr">
        <is>
          <t>May</t>
        </is>
      </c>
      <c r="C2103" s="6" t="inlineStr">
        <is>
          <t>TN</t>
        </is>
      </c>
      <c r="D2103" s="7" t="inlineStr">
        <is>
          <t>TN18E1831</t>
        </is>
      </c>
      <c r="E2103" s="7" t="inlineStr">
        <is>
          <t>CHEVROLET</t>
        </is>
      </c>
      <c r="F2103" s="7" t="inlineStr">
        <is>
          <t>Spark</t>
        </is>
      </c>
      <c r="G2103" s="7" t="inlineStr">
        <is>
          <t>CRESCO CARS</t>
        </is>
      </c>
      <c r="H2103" s="7" t="inlineStr">
        <is>
          <t>Non-Captive</t>
        </is>
      </c>
      <c r="I2103" s="7" t="inlineStr">
        <is>
          <t>Shree Shan Motor</t>
        </is>
      </c>
      <c r="J2103" s="8" t="n">
        <v>2010</v>
      </c>
      <c r="K2103" s="9" t="n">
        <v>20072</v>
      </c>
      <c r="L2103" s="10" t="n">
        <v>80000</v>
      </c>
      <c r="M2103" s="10" t="n">
        <v>5084.75</v>
      </c>
      <c r="N2103" s="11">
        <f>IF(M2103="","",ROUND(M2103*1.18,2))</f>
        <v/>
      </c>
      <c r="O2103" s="12">
        <f>IF(M2103="","",ROUND(N2103-M2103,2))</f>
        <v/>
      </c>
      <c r="P2103" s="13">
        <f>IF(AND(A2103&lt;&gt;"",B2103&lt;&gt;""), A2103&amp;" · "&amp;B2103, "")</f>
        <v/>
      </c>
    </row>
    <row r="2104">
      <c r="A2104" s="6" t="inlineStr">
        <is>
          <t>FY27</t>
        </is>
      </c>
      <c r="B2104" s="6" t="inlineStr">
        <is>
          <t>May</t>
        </is>
      </c>
      <c r="C2104" s="6" t="inlineStr">
        <is>
          <t>TN</t>
        </is>
      </c>
      <c r="D2104" s="7" t="inlineStr">
        <is>
          <t>TN18E9284</t>
        </is>
      </c>
      <c r="E2104" s="7" t="inlineStr">
        <is>
          <t>FORD</t>
        </is>
      </c>
      <c r="F2104" s="7" t="inlineStr">
        <is>
          <t>Figo</t>
        </is>
      </c>
      <c r="G2104" s="7" t="inlineStr">
        <is>
          <t>CASTLE TRADERS HONDA</t>
        </is>
      </c>
      <c r="H2104" s="7" t="inlineStr">
        <is>
          <t>Non-Captive</t>
        </is>
      </c>
      <c r="I2104" s="7" t="inlineStr">
        <is>
          <t>Thiya Cars</t>
        </is>
      </c>
      <c r="J2104" s="8" t="n">
        <v>2011</v>
      </c>
      <c r="K2104" s="9" t="n">
        <v>58533</v>
      </c>
      <c r="L2104" s="10" t="n">
        <v>110000</v>
      </c>
      <c r="M2104" s="10" t="n">
        <v>4237.29</v>
      </c>
      <c r="N2104" s="11">
        <f>IF(M2104="","",ROUND(M2104*1.18,2))</f>
        <v/>
      </c>
      <c r="O2104" s="12">
        <f>IF(M2104="","",ROUND(N2104-M2104,2))</f>
        <v/>
      </c>
      <c r="P2104" s="13">
        <f>IF(AND(A2104&lt;&gt;"",B2104&lt;&gt;""), A2104&amp;" · "&amp;B2104, "")</f>
        <v/>
      </c>
    </row>
    <row r="2105">
      <c r="A2105" s="6" t="inlineStr">
        <is>
          <t>FY27</t>
        </is>
      </c>
      <c r="B2105" s="6" t="inlineStr">
        <is>
          <t>May</t>
        </is>
      </c>
      <c r="C2105" s="6" t="inlineStr">
        <is>
          <t>TN</t>
        </is>
      </c>
      <c r="D2105" s="7" t="inlineStr">
        <is>
          <t>TN18U8154</t>
        </is>
      </c>
      <c r="E2105" s="7" t="inlineStr">
        <is>
          <t>HONDA</t>
        </is>
      </c>
      <c r="F2105" s="7" t="inlineStr">
        <is>
          <t>Amaze</t>
        </is>
      </c>
      <c r="G2105" s="7" t="inlineStr">
        <is>
          <t>CASTLE TRADERS HONDA</t>
        </is>
      </c>
      <c r="H2105" s="7" t="inlineStr">
        <is>
          <t>Non-Captive</t>
        </is>
      </c>
      <c r="I2105" s="7" t="inlineStr">
        <is>
          <t>Grid 33</t>
        </is>
      </c>
      <c r="J2105" s="8" t="n">
        <v>2013</v>
      </c>
      <c r="K2105" s="9" t="n">
        <v>110320</v>
      </c>
      <c r="L2105" s="10" t="n">
        <v>280000</v>
      </c>
      <c r="M2105" s="10" t="n">
        <v>5084.75</v>
      </c>
      <c r="N2105" s="11">
        <f>IF(M2105="","",ROUND(M2105*1.18,2))</f>
        <v/>
      </c>
      <c r="O2105" s="12">
        <f>IF(M2105="","",ROUND(N2105-M2105,2))</f>
        <v/>
      </c>
      <c r="P2105" s="13">
        <f>IF(AND(A2105&lt;&gt;"",B2105&lt;&gt;""), A2105&amp;" · "&amp;B2105, "")</f>
        <v/>
      </c>
    </row>
    <row r="2106">
      <c r="A2106" s="6" t="inlineStr">
        <is>
          <t>FY27</t>
        </is>
      </c>
      <c r="B2106" s="6" t="inlineStr">
        <is>
          <t>May</t>
        </is>
      </c>
      <c r="C2106" s="6" t="inlineStr">
        <is>
          <t>TN</t>
        </is>
      </c>
      <c r="D2106" s="7" t="inlineStr">
        <is>
          <t>TN18W4792</t>
        </is>
      </c>
      <c r="E2106" s="7" t="inlineStr">
        <is>
          <t>CHEVROLET</t>
        </is>
      </c>
      <c r="F2106" s="7" t="inlineStr">
        <is>
          <t>Beat</t>
        </is>
      </c>
      <c r="G2106" s="7" t="inlineStr">
        <is>
          <t>KHIVRAJ MOTOR</t>
        </is>
      </c>
      <c r="H2106" s="7" t="inlineStr">
        <is>
          <t>Non-Captive</t>
        </is>
      </c>
      <c r="I2106" s="7" t="inlineStr">
        <is>
          <t>Santhosh Cars</t>
        </is>
      </c>
      <c r="J2106" s="8" t="n">
        <v>2012</v>
      </c>
      <c r="K2106" s="9" t="n">
        <v>107481</v>
      </c>
      <c r="L2106" s="10" t="n">
        <v>100000</v>
      </c>
      <c r="M2106" s="10" t="n">
        <v>4237.29</v>
      </c>
      <c r="N2106" s="11">
        <f>IF(M2106="","",ROUND(M2106*1.18,2))</f>
        <v/>
      </c>
      <c r="O2106" s="12">
        <f>IF(M2106="","",ROUND(N2106-M2106,2))</f>
        <v/>
      </c>
      <c r="P2106" s="13">
        <f>IF(AND(A2106&lt;&gt;"",B2106&lt;&gt;""), A2106&amp;" · "&amp;B2106, "")</f>
        <v/>
      </c>
    </row>
    <row r="2107">
      <c r="A2107" s="6" t="inlineStr">
        <is>
          <t>FY27</t>
        </is>
      </c>
      <c r="B2107" s="6" t="inlineStr">
        <is>
          <t>May</t>
        </is>
      </c>
      <c r="C2107" s="6" t="inlineStr">
        <is>
          <t>TN</t>
        </is>
      </c>
      <c r="D2107" s="7" t="inlineStr">
        <is>
          <t>TN18W9253</t>
        </is>
      </c>
      <c r="E2107" s="7" t="inlineStr">
        <is>
          <t>FIAT</t>
        </is>
      </c>
      <c r="F2107" s="7" t="inlineStr">
        <is>
          <t>Grand Punto</t>
        </is>
      </c>
      <c r="G2107" s="7" t="inlineStr">
        <is>
          <t>CRESCO CARS</t>
        </is>
      </c>
      <c r="H2107" s="7" t="inlineStr">
        <is>
          <t>Non-Captive</t>
        </is>
      </c>
      <c r="I2107" s="7" t="inlineStr">
        <is>
          <t>Nirmal Cars</t>
        </is>
      </c>
      <c r="J2107" s="8" t="n">
        <v>2012</v>
      </c>
      <c r="K2107" s="9" t="n">
        <v>81146</v>
      </c>
      <c r="L2107" s="10" t="n">
        <v>132000</v>
      </c>
      <c r="M2107" s="10" t="n">
        <v>4237.29</v>
      </c>
      <c r="N2107" s="11">
        <f>IF(M2107="","",ROUND(M2107*1.18,2))</f>
        <v/>
      </c>
      <c r="O2107" s="12">
        <f>IF(M2107="","",ROUND(N2107-M2107,2))</f>
        <v/>
      </c>
      <c r="P2107" s="13">
        <f>IF(AND(A2107&lt;&gt;"",B2107&lt;&gt;""), A2107&amp;" · "&amp;B2107, "")</f>
        <v/>
      </c>
    </row>
    <row r="2108">
      <c r="A2108" s="6" t="inlineStr">
        <is>
          <t>FY27</t>
        </is>
      </c>
      <c r="B2108" s="6" t="inlineStr">
        <is>
          <t>May</t>
        </is>
      </c>
      <c r="C2108" s="6" t="inlineStr">
        <is>
          <t>TN</t>
        </is>
      </c>
      <c r="D2108" s="7" t="inlineStr">
        <is>
          <t>TN19AZ3601</t>
        </is>
      </c>
      <c r="E2108" s="7" t="inlineStr">
        <is>
          <t>DATSUN</t>
        </is>
      </c>
      <c r="F2108" s="7" t="inlineStr">
        <is>
          <t>Go</t>
        </is>
      </c>
      <c r="G2108" s="7" t="inlineStr">
        <is>
          <t>AIE CARS PRIVATE LIMITED</t>
        </is>
      </c>
      <c r="H2108" s="7" t="inlineStr">
        <is>
          <t>Non-Captive</t>
        </is>
      </c>
      <c r="I2108" s="7" t="inlineStr">
        <is>
          <t>TSM</t>
        </is>
      </c>
      <c r="J2108" s="8" t="n">
        <v>2017</v>
      </c>
      <c r="K2108" s="9" t="n">
        <v>120818</v>
      </c>
      <c r="L2108" s="10" t="n">
        <v>160000</v>
      </c>
      <c r="M2108" s="10" t="n">
        <v>5084.75</v>
      </c>
      <c r="N2108" s="11">
        <f>IF(M2108="","",ROUND(M2108*1.18,2))</f>
        <v/>
      </c>
      <c r="O2108" s="12">
        <f>IF(M2108="","",ROUND(N2108-M2108,2))</f>
        <v/>
      </c>
      <c r="P2108" s="13">
        <f>IF(AND(A2108&lt;&gt;"",B2108&lt;&gt;""), A2108&amp;" · "&amp;B2108, "")</f>
        <v/>
      </c>
    </row>
    <row r="2109">
      <c r="A2109" s="6" t="inlineStr">
        <is>
          <t>FY27</t>
        </is>
      </c>
      <c r="B2109" s="6" t="inlineStr">
        <is>
          <t>May</t>
        </is>
      </c>
      <c r="C2109" s="6" t="inlineStr">
        <is>
          <t>TN</t>
        </is>
      </c>
      <c r="D2109" s="7" t="inlineStr">
        <is>
          <t>TN19H9509</t>
        </is>
      </c>
      <c r="E2109" s="7" t="inlineStr">
        <is>
          <t>FORD</t>
        </is>
      </c>
      <c r="F2109" s="7" t="inlineStr">
        <is>
          <t>Fiesta</t>
        </is>
      </c>
      <c r="G2109" s="7" t="inlineStr">
        <is>
          <t>CRESCO CARS</t>
        </is>
      </c>
      <c r="H2109" s="7" t="inlineStr">
        <is>
          <t>Non-Captive</t>
        </is>
      </c>
      <c r="I2109" s="7" t="inlineStr">
        <is>
          <t>Thiya Cars</t>
        </is>
      </c>
      <c r="J2109" s="8" t="n">
        <v>2012</v>
      </c>
      <c r="K2109" s="9" t="n">
        <v>141264</v>
      </c>
      <c r="L2109" s="10" t="n">
        <v>125000</v>
      </c>
      <c r="M2109" s="10" t="n">
        <v>4237.29</v>
      </c>
      <c r="N2109" s="11">
        <f>IF(M2109="","",ROUND(M2109*1.18,2))</f>
        <v/>
      </c>
      <c r="O2109" s="12">
        <f>IF(M2109="","",ROUND(N2109-M2109,2))</f>
        <v/>
      </c>
      <c r="P2109" s="13">
        <f>IF(AND(A2109&lt;&gt;"",B2109&lt;&gt;""), A2109&amp;" · "&amp;B2109, "")</f>
        <v/>
      </c>
    </row>
    <row r="2110">
      <c r="A2110" s="6" t="inlineStr">
        <is>
          <t>FY27</t>
        </is>
      </c>
      <c r="B2110" s="6" t="inlineStr">
        <is>
          <t>May</t>
        </is>
      </c>
      <c r="C2110" s="6" t="inlineStr">
        <is>
          <t>TN</t>
        </is>
      </c>
      <c r="D2110" s="7" t="inlineStr">
        <is>
          <t>TN20BL0546</t>
        </is>
      </c>
      <c r="E2110" s="7" t="inlineStr">
        <is>
          <t>CHEVROLET</t>
        </is>
      </c>
      <c r="F2110" s="7" t="inlineStr">
        <is>
          <t>Spark</t>
        </is>
      </c>
      <c r="G2110" s="7" t="inlineStr">
        <is>
          <t>INDUS</t>
        </is>
      </c>
      <c r="H2110" s="7" t="inlineStr">
        <is>
          <t>Non-Captive</t>
        </is>
      </c>
      <c r="I2110" s="7" t="inlineStr">
        <is>
          <t>Cars24</t>
        </is>
      </c>
      <c r="J2110" s="8" t="n">
        <v>2011</v>
      </c>
      <c r="K2110" s="9" t="n">
        <v>29050</v>
      </c>
      <c r="L2110" s="10" t="n">
        <v>100000</v>
      </c>
      <c r="M2110" s="10" t="n">
        <v>5084.75</v>
      </c>
      <c r="N2110" s="11">
        <f>IF(M2110="","",ROUND(M2110*1.18,2))</f>
        <v/>
      </c>
      <c r="O2110" s="12">
        <f>IF(M2110="","",ROUND(N2110-M2110,2))</f>
        <v/>
      </c>
      <c r="P2110" s="13">
        <f>IF(AND(A2110&lt;&gt;"",B2110&lt;&gt;""), A2110&amp;" · "&amp;B2110, "")</f>
        <v/>
      </c>
    </row>
    <row r="2111">
      <c r="A2111" s="6" t="inlineStr">
        <is>
          <t>FY27</t>
        </is>
      </c>
      <c r="B2111" s="6" t="inlineStr">
        <is>
          <t>May</t>
        </is>
      </c>
      <c r="C2111" s="6" t="inlineStr">
        <is>
          <t>TN</t>
        </is>
      </c>
      <c r="D2111" s="7" t="inlineStr">
        <is>
          <t>TN20BP9007</t>
        </is>
      </c>
      <c r="E2111" s="7" t="inlineStr">
        <is>
          <t>MARUTI SUZUKI</t>
        </is>
      </c>
      <c r="F2111" s="7" t="inlineStr">
        <is>
          <t>Alto K10</t>
        </is>
      </c>
      <c r="G2111" s="7" t="inlineStr">
        <is>
          <t>EXCHANGE ROTN</t>
        </is>
      </c>
      <c r="H2111" s="7" t="inlineStr">
        <is>
          <t>Captive</t>
        </is>
      </c>
      <c r="I2111" s="7" t="inlineStr">
        <is>
          <t>Gugha Cars</t>
        </is>
      </c>
      <c r="J2111" s="8" t="n">
        <v>2011</v>
      </c>
      <c r="K2111" s="9" t="n">
        <v>69505</v>
      </c>
      <c r="L2111" s="10" t="n">
        <v>96000</v>
      </c>
      <c r="M2111" s="10" t="n">
        <v>4237.29</v>
      </c>
      <c r="N2111" s="11">
        <f>IF(M2111="","",ROUND(M2111*1.18,2))</f>
        <v/>
      </c>
      <c r="O2111" s="12">
        <f>IF(M2111="","",ROUND(N2111-M2111,2))</f>
        <v/>
      </c>
      <c r="P2111" s="13">
        <f>IF(AND(A2111&lt;&gt;"",B2111&lt;&gt;""), A2111&amp;" · "&amp;B2111, "")</f>
        <v/>
      </c>
    </row>
    <row r="2112">
      <c r="A2112" s="6" t="inlineStr">
        <is>
          <t>FY27</t>
        </is>
      </c>
      <c r="B2112" s="6" t="inlineStr">
        <is>
          <t>May</t>
        </is>
      </c>
      <c r="C2112" s="6" t="inlineStr">
        <is>
          <t>TN</t>
        </is>
      </c>
      <c r="D2112" s="7" t="inlineStr">
        <is>
          <t>TN20BU4529</t>
        </is>
      </c>
      <c r="E2112" s="7" t="inlineStr">
        <is>
          <t>MARUTI SUZUKI</t>
        </is>
      </c>
      <c r="F2112" s="7" t="inlineStr">
        <is>
          <t>Swift</t>
        </is>
      </c>
      <c r="G2112" s="7" t="inlineStr">
        <is>
          <t>AIE CARS PRIVATE LIMITED</t>
        </is>
      </c>
      <c r="H2112" s="7" t="inlineStr">
        <is>
          <t>Non-Captive</t>
        </is>
      </c>
      <c r="I2112" s="7" t="inlineStr">
        <is>
          <t>Nirmal Cars</t>
        </is>
      </c>
      <c r="J2112" s="8" t="n">
        <v>2010</v>
      </c>
      <c r="K2112" s="9" t="n">
        <v>207198</v>
      </c>
      <c r="L2112" s="10" t="n">
        <v>135000</v>
      </c>
      <c r="M2112" s="10" t="n">
        <v>4237.29</v>
      </c>
      <c r="N2112" s="11">
        <f>IF(M2112="","",ROUND(M2112*1.18,2))</f>
        <v/>
      </c>
      <c r="O2112" s="12">
        <f>IF(M2112="","",ROUND(N2112-M2112,2))</f>
        <v/>
      </c>
      <c r="P2112" s="13">
        <f>IF(AND(A2112&lt;&gt;"",B2112&lt;&gt;""), A2112&amp;" · "&amp;B2112, "")</f>
        <v/>
      </c>
    </row>
    <row r="2113">
      <c r="A2113" s="6" t="inlineStr">
        <is>
          <t>FY27</t>
        </is>
      </c>
      <c r="B2113" s="6" t="inlineStr">
        <is>
          <t>May</t>
        </is>
      </c>
      <c r="C2113" s="6" t="inlineStr">
        <is>
          <t>TN</t>
        </is>
      </c>
      <c r="D2113" s="7" t="inlineStr">
        <is>
          <t>TN20BU7040</t>
        </is>
      </c>
      <c r="E2113" s="7" t="inlineStr">
        <is>
          <t>MARUTI SUZUKI</t>
        </is>
      </c>
      <c r="F2113" s="7" t="inlineStr">
        <is>
          <t>Ritz</t>
        </is>
      </c>
      <c r="G2113" s="7" t="inlineStr">
        <is>
          <t>FPL AUTOMOBILES PRIVATE LIMITED</t>
        </is>
      </c>
      <c r="H2113" s="7" t="inlineStr">
        <is>
          <t>Non-Captive</t>
        </is>
      </c>
      <c r="I2113" s="7" t="inlineStr">
        <is>
          <t>Thiya Cars</t>
        </is>
      </c>
      <c r="J2113" s="8" t="n">
        <v>2010</v>
      </c>
      <c r="K2113" s="9" t="n">
        <v>108284</v>
      </c>
      <c r="L2113" s="10" t="n">
        <v>144000</v>
      </c>
      <c r="M2113" s="10" t="n">
        <v>3389.83</v>
      </c>
      <c r="N2113" s="11">
        <f>IF(M2113="","",ROUND(M2113*1.18,2))</f>
        <v/>
      </c>
      <c r="O2113" s="12">
        <f>IF(M2113="","",ROUND(N2113-M2113,2))</f>
        <v/>
      </c>
      <c r="P2113" s="13">
        <f>IF(AND(A2113&lt;&gt;"",B2113&lt;&gt;""), A2113&amp;" · "&amp;B2113, "")</f>
        <v/>
      </c>
    </row>
    <row r="2114">
      <c r="A2114" s="6" t="inlineStr">
        <is>
          <t>FY27</t>
        </is>
      </c>
      <c r="B2114" s="6" t="inlineStr">
        <is>
          <t>May</t>
        </is>
      </c>
      <c r="C2114" s="6" t="inlineStr">
        <is>
          <t>TN</t>
        </is>
      </c>
      <c r="D2114" s="7" t="inlineStr">
        <is>
          <t>TN20BY5004</t>
        </is>
      </c>
      <c r="E2114" s="7" t="inlineStr">
        <is>
          <t>HYUNDAI</t>
        </is>
      </c>
      <c r="F2114" s="7" t="inlineStr">
        <is>
          <t>i10</t>
        </is>
      </c>
      <c r="G2114" s="7" t="inlineStr">
        <is>
          <t>STEER AUTO TECHNOLOGIES PRIVATE LIMITED</t>
        </is>
      </c>
      <c r="H2114" s="7" t="inlineStr">
        <is>
          <t>Non-Captive</t>
        </is>
      </c>
      <c r="I2114" s="7" t="inlineStr">
        <is>
          <t>Thiya Cars</t>
        </is>
      </c>
      <c r="J2114" s="8" t="n">
        <v>2008</v>
      </c>
      <c r="K2114" s="9" t="n">
        <v>76367</v>
      </c>
      <c r="L2114" s="10" t="n">
        <v>110000</v>
      </c>
      <c r="M2114" s="10" t="n">
        <v>4237.29</v>
      </c>
      <c r="N2114" s="11">
        <f>IF(M2114="","",ROUND(M2114*1.18,2))</f>
        <v/>
      </c>
      <c r="O2114" s="12">
        <f>IF(M2114="","",ROUND(N2114-M2114,2))</f>
        <v/>
      </c>
      <c r="P2114" s="13">
        <f>IF(AND(A2114&lt;&gt;"",B2114&lt;&gt;""), A2114&amp;" · "&amp;B2114, "")</f>
        <v/>
      </c>
    </row>
    <row r="2115">
      <c r="A2115" s="6" t="inlineStr">
        <is>
          <t>FY27</t>
        </is>
      </c>
      <c r="B2115" s="6" t="inlineStr">
        <is>
          <t>May</t>
        </is>
      </c>
      <c r="C2115" s="6" t="inlineStr">
        <is>
          <t>TN</t>
        </is>
      </c>
      <c r="D2115" s="7" t="inlineStr">
        <is>
          <t>TN20CY3045</t>
        </is>
      </c>
      <c r="E2115" s="7" t="inlineStr">
        <is>
          <t>FORD</t>
        </is>
      </c>
      <c r="F2115" s="7" t="inlineStr">
        <is>
          <t>Figo</t>
        </is>
      </c>
      <c r="G2115" s="7" t="inlineStr">
        <is>
          <t>EXCHANGE ROTN</t>
        </is>
      </c>
      <c r="H2115" s="7" t="inlineStr">
        <is>
          <t>Captive</t>
        </is>
      </c>
      <c r="I2115" s="7" t="inlineStr">
        <is>
          <t>Ashwin cars</t>
        </is>
      </c>
      <c r="J2115" s="8" t="n">
        <v>2012</v>
      </c>
      <c r="K2115" s="9" t="n">
        <v>214446</v>
      </c>
      <c r="L2115" s="10" t="n">
        <v>85000</v>
      </c>
      <c r="M2115" s="10" t="n">
        <v>4237.29</v>
      </c>
      <c r="N2115" s="11">
        <f>IF(M2115="","",ROUND(M2115*1.18,2))</f>
        <v/>
      </c>
      <c r="O2115" s="12">
        <f>IF(M2115="","",ROUND(N2115-M2115,2))</f>
        <v/>
      </c>
      <c r="P2115" s="13">
        <f>IF(AND(A2115&lt;&gt;"",B2115&lt;&gt;""), A2115&amp;" · "&amp;B2115, "")</f>
        <v/>
      </c>
    </row>
    <row r="2116">
      <c r="A2116" s="6" t="inlineStr">
        <is>
          <t>FY27</t>
        </is>
      </c>
      <c r="B2116" s="6" t="inlineStr">
        <is>
          <t>May</t>
        </is>
      </c>
      <c r="C2116" s="6" t="inlineStr">
        <is>
          <t>TN</t>
        </is>
      </c>
      <c r="D2116" s="7" t="inlineStr">
        <is>
          <t>TN21AF1040</t>
        </is>
      </c>
      <c r="E2116" s="7" t="inlineStr">
        <is>
          <t>HYUNDAI</t>
        </is>
      </c>
      <c r="F2116" s="7" t="inlineStr">
        <is>
          <t>Santro</t>
        </is>
      </c>
      <c r="G2116" s="7" t="inlineStr">
        <is>
          <t>EXCHANGE ROTN</t>
        </is>
      </c>
      <c r="H2116" s="7" t="inlineStr">
        <is>
          <t>Captive</t>
        </is>
      </c>
      <c r="I2116" s="7" t="inlineStr">
        <is>
          <t>Somasundharam cars</t>
        </is>
      </c>
      <c r="J2116" s="8" t="n">
        <v>2010</v>
      </c>
      <c r="K2116" s="9" t="n">
        <v>108040</v>
      </c>
      <c r="L2116" s="10" t="n">
        <v>86000</v>
      </c>
      <c r="M2116" s="10" t="n">
        <v>4237.29</v>
      </c>
      <c r="N2116" s="11">
        <f>IF(M2116="","",ROUND(M2116*1.18,2))</f>
        <v/>
      </c>
      <c r="O2116" s="12">
        <f>IF(M2116="","",ROUND(N2116-M2116,2))</f>
        <v/>
      </c>
      <c r="P2116" s="13">
        <f>IF(AND(A2116&lt;&gt;"",B2116&lt;&gt;""), A2116&amp;" · "&amp;B2116, "")</f>
        <v/>
      </c>
    </row>
    <row r="2117">
      <c r="A2117" s="6" t="inlineStr">
        <is>
          <t>FY27</t>
        </is>
      </c>
      <c r="B2117" s="6" t="inlineStr">
        <is>
          <t>May</t>
        </is>
      </c>
      <c r="C2117" s="6" t="inlineStr">
        <is>
          <t>TN</t>
        </is>
      </c>
      <c r="D2117" s="7" t="inlineStr">
        <is>
          <t>TN21AJ2642</t>
        </is>
      </c>
      <c r="E2117" s="7" t="inlineStr">
        <is>
          <t>HYUNDAI</t>
        </is>
      </c>
      <c r="F2117" s="7" t="inlineStr">
        <is>
          <t>i10</t>
        </is>
      </c>
      <c r="G2117" s="7" t="inlineStr">
        <is>
          <t>KHIVRAJ MOTOR</t>
        </is>
      </c>
      <c r="H2117" s="7" t="inlineStr">
        <is>
          <t>Non-Captive</t>
        </is>
      </c>
      <c r="I2117" s="7" t="inlineStr">
        <is>
          <t>TSM</t>
        </is>
      </c>
      <c r="J2117" s="8" t="n">
        <v>2011</v>
      </c>
      <c r="K2117" s="9" t="n">
        <v>63520</v>
      </c>
      <c r="L2117" s="10" t="n">
        <v>157500</v>
      </c>
      <c r="M2117" s="10" t="n">
        <v>3389.83</v>
      </c>
      <c r="N2117" s="11">
        <f>IF(M2117="","",ROUND(M2117*1.18,2))</f>
        <v/>
      </c>
      <c r="O2117" s="12">
        <f>IF(M2117="","",ROUND(N2117-M2117,2))</f>
        <v/>
      </c>
      <c r="P2117" s="13">
        <f>IF(AND(A2117&lt;&gt;"",B2117&lt;&gt;""), A2117&amp;" · "&amp;B2117, "")</f>
        <v/>
      </c>
    </row>
    <row r="2118">
      <c r="A2118" s="6" t="inlineStr">
        <is>
          <t>FY27</t>
        </is>
      </c>
      <c r="B2118" s="6" t="inlineStr">
        <is>
          <t>May</t>
        </is>
      </c>
      <c r="C2118" s="6" t="inlineStr">
        <is>
          <t>TN</t>
        </is>
      </c>
      <c r="D2118" s="7" t="inlineStr">
        <is>
          <t>TN21AK7174</t>
        </is>
      </c>
      <c r="E2118" s="7" t="inlineStr">
        <is>
          <t>HYUNDAI</t>
        </is>
      </c>
      <c r="F2118" s="7" t="inlineStr">
        <is>
          <t>Eon</t>
        </is>
      </c>
      <c r="G2118" s="7" t="inlineStr">
        <is>
          <t>CRESCO CARS</t>
        </is>
      </c>
      <c r="H2118" s="7" t="inlineStr">
        <is>
          <t>Non-Captive</t>
        </is>
      </c>
      <c r="I2118" s="7" t="inlineStr">
        <is>
          <t>Nirmal Cars</t>
        </is>
      </c>
      <c r="J2118" s="8" t="n">
        <v>2011</v>
      </c>
      <c r="K2118" s="9" t="n">
        <v>35413</v>
      </c>
      <c r="L2118" s="10" t="n">
        <v>144000</v>
      </c>
      <c r="M2118" s="10" t="n">
        <v>3389.83</v>
      </c>
      <c r="N2118" s="11">
        <f>IF(M2118="","",ROUND(M2118*1.18,2))</f>
        <v/>
      </c>
      <c r="O2118" s="12">
        <f>IF(M2118="","",ROUND(N2118-M2118,2))</f>
        <v/>
      </c>
      <c r="P2118" s="13">
        <f>IF(AND(A2118&lt;&gt;"",B2118&lt;&gt;""), A2118&amp;" · "&amp;B2118, "")</f>
        <v/>
      </c>
    </row>
    <row r="2119">
      <c r="A2119" s="6" t="inlineStr">
        <is>
          <t>FY27</t>
        </is>
      </c>
      <c r="B2119" s="6" t="inlineStr">
        <is>
          <t>May</t>
        </is>
      </c>
      <c r="C2119" s="6" t="inlineStr">
        <is>
          <t>TN</t>
        </is>
      </c>
      <c r="D2119" s="7" t="inlineStr">
        <is>
          <t>TN21AU5612</t>
        </is>
      </c>
      <c r="E2119" s="7" t="inlineStr">
        <is>
          <t>HYUNDAI</t>
        </is>
      </c>
      <c r="F2119" s="7" t="inlineStr">
        <is>
          <t>i10</t>
        </is>
      </c>
      <c r="G2119" s="7" t="inlineStr">
        <is>
          <t>SVM CARS PRIVATE LIMITED</t>
        </is>
      </c>
      <c r="H2119" s="7" t="inlineStr">
        <is>
          <t>Non-Captive</t>
        </is>
      </c>
      <c r="I2119" s="7" t="inlineStr">
        <is>
          <t>TSM</t>
        </is>
      </c>
      <c r="J2119" s="8" t="n">
        <v>2013</v>
      </c>
      <c r="K2119" s="9" t="n">
        <v>128301</v>
      </c>
      <c r="L2119" s="10" t="n">
        <v>150000</v>
      </c>
      <c r="M2119" s="10" t="n">
        <v>3389.83</v>
      </c>
      <c r="N2119" s="11">
        <f>IF(M2119="","",ROUND(M2119*1.18,2))</f>
        <v/>
      </c>
      <c r="O2119" s="12">
        <f>IF(M2119="","",ROUND(N2119-M2119,2))</f>
        <v/>
      </c>
      <c r="P2119" s="13">
        <f>IF(AND(A2119&lt;&gt;"",B2119&lt;&gt;""), A2119&amp;" · "&amp;B2119, "")</f>
        <v/>
      </c>
    </row>
    <row r="2120">
      <c r="A2120" s="6" t="inlineStr">
        <is>
          <t>FY27</t>
        </is>
      </c>
      <c r="B2120" s="6" t="inlineStr">
        <is>
          <t>May</t>
        </is>
      </c>
      <c r="C2120" s="6" t="inlineStr">
        <is>
          <t>TN</t>
        </is>
      </c>
      <c r="D2120" s="7" t="inlineStr">
        <is>
          <t>TN21BK6901</t>
        </is>
      </c>
      <c r="E2120" s="7" t="inlineStr">
        <is>
          <t>MARUTI SUZUKI</t>
        </is>
      </c>
      <c r="F2120" s="7" t="inlineStr">
        <is>
          <t>Dzire</t>
        </is>
      </c>
      <c r="G2120" s="7" t="inlineStr">
        <is>
          <t>KHIVRAJ MOTOR</t>
        </is>
      </c>
      <c r="H2120" s="7" t="inlineStr">
        <is>
          <t>Non-Captive</t>
        </is>
      </c>
      <c r="I2120" s="7" t="inlineStr">
        <is>
          <t>Mahathi Cars</t>
        </is>
      </c>
      <c r="J2120" s="8" t="n">
        <v>2020</v>
      </c>
      <c r="K2120" s="9" t="n">
        <v>142802</v>
      </c>
      <c r="L2120" s="10" t="n">
        <v>425000</v>
      </c>
      <c r="M2120" s="10" t="n">
        <v>7627.12</v>
      </c>
      <c r="N2120" s="11">
        <f>IF(M2120="","",ROUND(M2120*1.18,2))</f>
        <v/>
      </c>
      <c r="O2120" s="12">
        <f>IF(M2120="","",ROUND(N2120-M2120,2))</f>
        <v/>
      </c>
      <c r="P2120" s="13">
        <f>IF(AND(A2120&lt;&gt;"",B2120&lt;&gt;""), A2120&amp;" · "&amp;B2120, "")</f>
        <v/>
      </c>
    </row>
    <row r="2121">
      <c r="A2121" s="6" t="inlineStr">
        <is>
          <t>FY27</t>
        </is>
      </c>
      <c r="B2121" s="6" t="inlineStr">
        <is>
          <t>May</t>
        </is>
      </c>
      <c r="C2121" s="6" t="inlineStr">
        <is>
          <t>TN</t>
        </is>
      </c>
      <c r="D2121" s="7" t="inlineStr">
        <is>
          <t>TN22AA3810</t>
        </is>
      </c>
      <c r="E2121" s="7" t="inlineStr">
        <is>
          <t>MAHINDRA</t>
        </is>
      </c>
      <c r="F2121" s="7" t="inlineStr">
        <is>
          <t>Scorpio</t>
        </is>
      </c>
      <c r="G2121" s="7" t="inlineStr">
        <is>
          <t>STEER AUTO TECHNOLOGIES PRIVATE LIMITED</t>
        </is>
      </c>
      <c r="H2121" s="7" t="inlineStr">
        <is>
          <t>Non-Captive</t>
        </is>
      </c>
      <c r="I2121" s="7" t="inlineStr">
        <is>
          <t>Mahathi Cars</t>
        </is>
      </c>
      <c r="J2121" s="8" t="n">
        <v>2003</v>
      </c>
      <c r="K2121" s="9" t="n">
        <v>183431</v>
      </c>
      <c r="L2121" s="10" t="n">
        <v>50000</v>
      </c>
      <c r="M2121" s="10" t="n">
        <v>4237.29</v>
      </c>
      <c r="N2121" s="11">
        <f>IF(M2121="","",ROUND(M2121*1.18,2))</f>
        <v/>
      </c>
      <c r="O2121" s="12">
        <f>IF(M2121="","",ROUND(N2121-M2121,2))</f>
        <v/>
      </c>
      <c r="P2121" s="13">
        <f>IF(AND(A2121&lt;&gt;"",B2121&lt;&gt;""), A2121&amp;" · "&amp;B2121, "")</f>
        <v/>
      </c>
    </row>
    <row r="2122">
      <c r="A2122" s="6" t="inlineStr">
        <is>
          <t>FY27</t>
        </is>
      </c>
      <c r="B2122" s="6" t="inlineStr">
        <is>
          <t>May</t>
        </is>
      </c>
      <c r="C2122" s="6" t="inlineStr">
        <is>
          <t>TN</t>
        </is>
      </c>
      <c r="D2122" s="7" t="inlineStr">
        <is>
          <t>TN22AY6925</t>
        </is>
      </c>
      <c r="E2122" s="7" t="inlineStr">
        <is>
          <t>MARUTI SUZUKI</t>
        </is>
      </c>
      <c r="F2122" s="7" t="inlineStr">
        <is>
          <t>Swift</t>
        </is>
      </c>
      <c r="G2122" s="7" t="inlineStr">
        <is>
          <t>KHIVRAJ MOTOR</t>
        </is>
      </c>
      <c r="H2122" s="7" t="inlineStr">
        <is>
          <t>Non-Captive</t>
        </is>
      </c>
      <c r="I2122" s="7" t="inlineStr">
        <is>
          <t>Grid 33</t>
        </is>
      </c>
      <c r="J2122" s="8" t="n">
        <v>2007</v>
      </c>
      <c r="K2122" s="9" t="n">
        <v>126340</v>
      </c>
      <c r="L2122" s="10" t="n">
        <v>100000</v>
      </c>
      <c r="M2122" s="10" t="n">
        <v>5084.75</v>
      </c>
      <c r="N2122" s="11">
        <f>IF(M2122="","",ROUND(M2122*1.18,2))</f>
        <v/>
      </c>
      <c r="O2122" s="12">
        <f>IF(M2122="","",ROUND(N2122-M2122,2))</f>
        <v/>
      </c>
      <c r="P2122" s="13">
        <f>IF(AND(A2122&lt;&gt;"",B2122&lt;&gt;""), A2122&amp;" · "&amp;B2122, "")</f>
        <v/>
      </c>
    </row>
    <row r="2123">
      <c r="A2123" s="6" t="inlineStr">
        <is>
          <t>FY27</t>
        </is>
      </c>
      <c r="B2123" s="6" t="inlineStr">
        <is>
          <t>May</t>
        </is>
      </c>
      <c r="C2123" s="6" t="inlineStr">
        <is>
          <t>TN</t>
        </is>
      </c>
      <c r="D2123" s="7" t="inlineStr">
        <is>
          <t>TN22BA4745</t>
        </is>
      </c>
      <c r="E2123" s="7" t="inlineStr">
        <is>
          <t>MARUTI SUZUKI</t>
        </is>
      </c>
      <c r="F2123" s="7" t="inlineStr">
        <is>
          <t>SX4</t>
        </is>
      </c>
      <c r="G2123" s="7" t="inlineStr">
        <is>
          <t>KHIVRAJ MOTOR</t>
        </is>
      </c>
      <c r="H2123" s="7" t="inlineStr">
        <is>
          <t>Non-Captive</t>
        </is>
      </c>
      <c r="I2123" s="7" t="inlineStr">
        <is>
          <t>Thiya Cars</t>
        </is>
      </c>
      <c r="J2123" s="8" t="n">
        <v>2008</v>
      </c>
      <c r="K2123" s="9" t="n">
        <v>80483</v>
      </c>
      <c r="L2123" s="10" t="n">
        <v>100000</v>
      </c>
      <c r="M2123" s="10" t="n">
        <v>3389.83</v>
      </c>
      <c r="N2123" s="11">
        <f>IF(M2123="","",ROUND(M2123*1.18,2))</f>
        <v/>
      </c>
      <c r="O2123" s="12">
        <f>IF(M2123="","",ROUND(N2123-M2123,2))</f>
        <v/>
      </c>
      <c r="P2123" s="13">
        <f>IF(AND(A2123&lt;&gt;"",B2123&lt;&gt;""), A2123&amp;" · "&amp;B2123, "")</f>
        <v/>
      </c>
    </row>
    <row r="2124">
      <c r="A2124" s="6" t="inlineStr">
        <is>
          <t>FY27</t>
        </is>
      </c>
      <c r="B2124" s="6" t="inlineStr">
        <is>
          <t>May</t>
        </is>
      </c>
      <c r="C2124" s="6" t="inlineStr">
        <is>
          <t>TN</t>
        </is>
      </c>
      <c r="D2124" s="7" t="inlineStr">
        <is>
          <t>TN22BB8957</t>
        </is>
      </c>
      <c r="E2124" s="7" t="inlineStr">
        <is>
          <t>HYUNDAI</t>
        </is>
      </c>
      <c r="F2124" s="7" t="inlineStr">
        <is>
          <t>i10</t>
        </is>
      </c>
      <c r="G2124" s="7" t="inlineStr">
        <is>
          <t>KHIVRAJ MOTOR</t>
        </is>
      </c>
      <c r="H2124" s="7" t="inlineStr">
        <is>
          <t>Non-Captive</t>
        </is>
      </c>
      <c r="I2124" s="7" t="inlineStr">
        <is>
          <t>Thiya Cars</t>
        </is>
      </c>
      <c r="J2124" s="8" t="n">
        <v>2008</v>
      </c>
      <c r="K2124" s="9" t="n">
        <v>79689</v>
      </c>
      <c r="L2124" s="10" t="n">
        <v>100000</v>
      </c>
      <c r="M2124" s="10" t="n">
        <v>3389.83</v>
      </c>
      <c r="N2124" s="11">
        <f>IF(M2124="","",ROUND(M2124*1.18,2))</f>
        <v/>
      </c>
      <c r="O2124" s="12">
        <f>IF(M2124="","",ROUND(N2124-M2124,2))</f>
        <v/>
      </c>
      <c r="P2124" s="13">
        <f>IF(AND(A2124&lt;&gt;"",B2124&lt;&gt;""), A2124&amp;" · "&amp;B2124, "")</f>
        <v/>
      </c>
    </row>
    <row r="2125">
      <c r="A2125" s="6" t="inlineStr">
        <is>
          <t>FY27</t>
        </is>
      </c>
      <c r="B2125" s="6" t="inlineStr">
        <is>
          <t>May</t>
        </is>
      </c>
      <c r="C2125" s="6" t="inlineStr">
        <is>
          <t>TN</t>
        </is>
      </c>
      <c r="D2125" s="7" t="inlineStr">
        <is>
          <t>TN22BJ6562</t>
        </is>
      </c>
      <c r="E2125" s="7" t="inlineStr">
        <is>
          <t>FORD</t>
        </is>
      </c>
      <c r="F2125" s="7" t="inlineStr">
        <is>
          <t>Fiesta Classic</t>
        </is>
      </c>
      <c r="G2125" s="7" t="inlineStr">
        <is>
          <t>LANSON QCARS PRIVATE LIMITED</t>
        </is>
      </c>
      <c r="H2125" s="7" t="inlineStr">
        <is>
          <t>Non-Captive</t>
        </is>
      </c>
      <c r="I2125" s="7" t="inlineStr">
        <is>
          <t>Pine Autos</t>
        </is>
      </c>
      <c r="J2125" s="8" t="n">
        <v>2010</v>
      </c>
      <c r="K2125" s="9" t="n">
        <v>132495</v>
      </c>
      <c r="L2125" s="10" t="n">
        <v>90000</v>
      </c>
      <c r="M2125" s="10" t="n">
        <v>3389.83</v>
      </c>
      <c r="N2125" s="11">
        <f>IF(M2125="","",ROUND(M2125*1.18,2))</f>
        <v/>
      </c>
      <c r="O2125" s="12">
        <f>IF(M2125="","",ROUND(N2125-M2125,2))</f>
        <v/>
      </c>
      <c r="P2125" s="13">
        <f>IF(AND(A2125&lt;&gt;"",B2125&lt;&gt;""), A2125&amp;" · "&amp;B2125, "")</f>
        <v/>
      </c>
    </row>
    <row r="2126">
      <c r="A2126" s="6" t="inlineStr">
        <is>
          <t>FY27</t>
        </is>
      </c>
      <c r="B2126" s="6" t="inlineStr">
        <is>
          <t>May</t>
        </is>
      </c>
      <c r="C2126" s="6" t="inlineStr">
        <is>
          <t>TN</t>
        </is>
      </c>
      <c r="D2126" s="7" t="inlineStr">
        <is>
          <t>TN22BX0339</t>
        </is>
      </c>
      <c r="E2126" s="7" t="inlineStr">
        <is>
          <t>CHEVROLET</t>
        </is>
      </c>
      <c r="F2126" s="7" t="inlineStr">
        <is>
          <t>Spark</t>
        </is>
      </c>
      <c r="G2126" s="7" t="inlineStr">
        <is>
          <t>CRESCO CARS</t>
        </is>
      </c>
      <c r="H2126" s="7" t="inlineStr">
        <is>
          <t>Non-Captive</t>
        </is>
      </c>
      <c r="I2126" s="7" t="inlineStr">
        <is>
          <t>Aasim Motors</t>
        </is>
      </c>
      <c r="J2126" s="8" t="n">
        <v>2008</v>
      </c>
      <c r="K2126" s="9" t="n">
        <v>43292</v>
      </c>
      <c r="L2126" s="10" t="n">
        <v>50000</v>
      </c>
      <c r="M2126" s="10" t="n">
        <v>4661.02</v>
      </c>
      <c r="N2126" s="11">
        <f>IF(M2126="","",ROUND(M2126*1.18,2))</f>
        <v/>
      </c>
      <c r="O2126" s="12">
        <f>IF(M2126="","",ROUND(N2126-M2126,2))</f>
        <v/>
      </c>
      <c r="P2126" s="13">
        <f>IF(AND(A2126&lt;&gt;"",B2126&lt;&gt;""), A2126&amp;" · "&amp;B2126, "")</f>
        <v/>
      </c>
    </row>
    <row r="2127">
      <c r="A2127" s="6" t="inlineStr">
        <is>
          <t>FY27</t>
        </is>
      </c>
      <c r="B2127" s="6" t="inlineStr">
        <is>
          <t>May</t>
        </is>
      </c>
      <c r="C2127" s="6" t="inlineStr">
        <is>
          <t>TN</t>
        </is>
      </c>
      <c r="D2127" s="7" t="inlineStr">
        <is>
          <t>TN22CA5018</t>
        </is>
      </c>
      <c r="E2127" s="7" t="inlineStr">
        <is>
          <t>HONDA</t>
        </is>
      </c>
      <c r="F2127" s="7" t="inlineStr">
        <is>
          <t>Jazz</t>
        </is>
      </c>
      <c r="G2127" s="7" t="inlineStr">
        <is>
          <t>EXCHANGE CHENNAI</t>
        </is>
      </c>
      <c r="H2127" s="7" t="inlineStr">
        <is>
          <t>Captive</t>
        </is>
      </c>
      <c r="I2127" s="7" t="inlineStr">
        <is>
          <t>Varadhrajan cars</t>
        </is>
      </c>
      <c r="J2127" s="8" t="n">
        <v>2011</v>
      </c>
      <c r="K2127" s="9" t="n">
        <v>96412</v>
      </c>
      <c r="L2127" s="10" t="n">
        <v>160000</v>
      </c>
      <c r="M2127" s="10" t="n">
        <v>4237.29</v>
      </c>
      <c r="N2127" s="11">
        <f>IF(M2127="","",ROUND(M2127*1.18,2))</f>
        <v/>
      </c>
      <c r="O2127" s="12">
        <f>IF(M2127="","",ROUND(N2127-M2127,2))</f>
        <v/>
      </c>
      <c r="P2127" s="13">
        <f>IF(AND(A2127&lt;&gt;"",B2127&lt;&gt;""), A2127&amp;" · "&amp;B2127, "")</f>
        <v/>
      </c>
    </row>
    <row r="2128">
      <c r="A2128" s="6" t="inlineStr">
        <is>
          <t>FY27</t>
        </is>
      </c>
      <c r="B2128" s="6" t="inlineStr">
        <is>
          <t>May</t>
        </is>
      </c>
      <c r="C2128" s="6" t="inlineStr">
        <is>
          <t>TN</t>
        </is>
      </c>
      <c r="D2128" s="7" t="inlineStr">
        <is>
          <t>TN22CB6347</t>
        </is>
      </c>
      <c r="E2128" s="7" t="inlineStr">
        <is>
          <t>FIAT</t>
        </is>
      </c>
      <c r="F2128" s="7" t="inlineStr">
        <is>
          <t>Grand Punto</t>
        </is>
      </c>
      <c r="G2128" s="7" t="inlineStr">
        <is>
          <t>STEER AUTO TECHNOLOGIES PRIVATE LIMITED</t>
        </is>
      </c>
      <c r="H2128" s="7" t="inlineStr">
        <is>
          <t>Non-Captive</t>
        </is>
      </c>
      <c r="I2128" s="7" t="inlineStr">
        <is>
          <t>Nirmal Cars</t>
        </is>
      </c>
      <c r="J2128" s="8" t="n">
        <v>2011</v>
      </c>
      <c r="K2128" s="9" t="n">
        <v>99999</v>
      </c>
      <c r="L2128" s="10" t="n">
        <v>120000</v>
      </c>
      <c r="M2128" s="10" t="n">
        <v>4237.29</v>
      </c>
      <c r="N2128" s="11">
        <f>IF(M2128="","",ROUND(M2128*1.18,2))</f>
        <v/>
      </c>
      <c r="O2128" s="12">
        <f>IF(M2128="","",ROUND(N2128-M2128,2))</f>
        <v/>
      </c>
      <c r="P2128" s="13">
        <f>IF(AND(A2128&lt;&gt;"",B2128&lt;&gt;""), A2128&amp;" · "&amp;B2128, "")</f>
        <v/>
      </c>
    </row>
    <row r="2129">
      <c r="A2129" s="6" t="inlineStr">
        <is>
          <t>FY27</t>
        </is>
      </c>
      <c r="B2129" s="6" t="inlineStr">
        <is>
          <t>May</t>
        </is>
      </c>
      <c r="C2129" s="6" t="inlineStr">
        <is>
          <t>TN</t>
        </is>
      </c>
      <c r="D2129" s="7" t="inlineStr">
        <is>
          <t>TN22CD9748</t>
        </is>
      </c>
      <c r="E2129" s="7" t="inlineStr">
        <is>
          <t>CHEVROLET</t>
        </is>
      </c>
      <c r="F2129" s="7" t="inlineStr">
        <is>
          <t>Beat</t>
        </is>
      </c>
      <c r="G2129" s="7" t="inlineStr">
        <is>
          <t>INDUS</t>
        </is>
      </c>
      <c r="H2129" s="7" t="inlineStr">
        <is>
          <t>Non-Captive</t>
        </is>
      </c>
      <c r="I2129" s="7" t="inlineStr">
        <is>
          <t>Grid 33</t>
        </is>
      </c>
      <c r="J2129" s="8" t="n">
        <v>2012</v>
      </c>
      <c r="K2129" s="9" t="n">
        <v>164761</v>
      </c>
      <c r="L2129" s="10" t="n">
        <v>80000</v>
      </c>
      <c r="M2129" s="10" t="n">
        <v>4237.29</v>
      </c>
      <c r="N2129" s="11">
        <f>IF(M2129="","",ROUND(M2129*1.18,2))</f>
        <v/>
      </c>
      <c r="O2129" s="12">
        <f>IF(M2129="","",ROUND(N2129-M2129,2))</f>
        <v/>
      </c>
      <c r="P2129" s="13">
        <f>IF(AND(A2129&lt;&gt;"",B2129&lt;&gt;""), A2129&amp;" · "&amp;B2129, "")</f>
        <v/>
      </c>
    </row>
    <row r="2130">
      <c r="A2130" s="6" t="inlineStr">
        <is>
          <t>FY27</t>
        </is>
      </c>
      <c r="B2130" s="6" t="inlineStr">
        <is>
          <t>May</t>
        </is>
      </c>
      <c r="C2130" s="6" t="inlineStr">
        <is>
          <t>TN</t>
        </is>
      </c>
      <c r="D2130" s="7" t="inlineStr">
        <is>
          <t>TN22CF5611</t>
        </is>
      </c>
      <c r="E2130" s="7" t="inlineStr">
        <is>
          <t>MARUTI SUZUKI</t>
        </is>
      </c>
      <c r="F2130" s="7" t="inlineStr">
        <is>
          <t>Alto</t>
        </is>
      </c>
      <c r="G2130" s="7" t="inlineStr">
        <is>
          <t>INDUS</t>
        </is>
      </c>
      <c r="H2130" s="7" t="inlineStr">
        <is>
          <t>Non-Captive</t>
        </is>
      </c>
      <c r="I2130" s="7" t="inlineStr">
        <is>
          <t>Thiya Cars</t>
        </is>
      </c>
      <c r="J2130" s="8" t="n">
        <v>2012</v>
      </c>
      <c r="K2130" s="9" t="n">
        <v>68708</v>
      </c>
      <c r="L2130" s="10" t="n">
        <v>148500</v>
      </c>
      <c r="M2130" s="10" t="n">
        <v>4237.29</v>
      </c>
      <c r="N2130" s="11">
        <f>IF(M2130="","",ROUND(M2130*1.18,2))</f>
        <v/>
      </c>
      <c r="O2130" s="12">
        <f>IF(M2130="","",ROUND(N2130-M2130,2))</f>
        <v/>
      </c>
      <c r="P2130" s="13">
        <f>IF(AND(A2130&lt;&gt;"",B2130&lt;&gt;""), A2130&amp;" · "&amp;B2130, "")</f>
        <v/>
      </c>
    </row>
    <row r="2131">
      <c r="A2131" s="6" t="inlineStr">
        <is>
          <t>FY27</t>
        </is>
      </c>
      <c r="B2131" s="6" t="inlineStr">
        <is>
          <t>May</t>
        </is>
      </c>
      <c r="C2131" s="6" t="inlineStr">
        <is>
          <t>TN</t>
        </is>
      </c>
      <c r="D2131" s="7" t="inlineStr">
        <is>
          <t>TN22CK1371</t>
        </is>
      </c>
      <c r="E2131" s="7" t="inlineStr">
        <is>
          <t>MAHINDRA</t>
        </is>
      </c>
      <c r="F2131" s="7" t="inlineStr">
        <is>
          <t>Quanto</t>
        </is>
      </c>
      <c r="G2131" s="7" t="inlineStr">
        <is>
          <t>ATHEN MARUTI</t>
        </is>
      </c>
      <c r="H2131" s="7" t="inlineStr">
        <is>
          <t>Non-Captive</t>
        </is>
      </c>
      <c r="I2131" s="7" t="inlineStr">
        <is>
          <t>Thiya Cars</t>
        </is>
      </c>
      <c r="J2131" s="8" t="n">
        <v>2013</v>
      </c>
      <c r="K2131" s="9" t="n">
        <v>48019</v>
      </c>
      <c r="L2131" s="10" t="n">
        <v>115000</v>
      </c>
      <c r="M2131" s="10" t="n">
        <v>4237.29</v>
      </c>
      <c r="N2131" s="11">
        <f>IF(M2131="","",ROUND(M2131*1.18,2))</f>
        <v/>
      </c>
      <c r="O2131" s="12">
        <f>IF(M2131="","",ROUND(N2131-M2131,2))</f>
        <v/>
      </c>
      <c r="P2131" s="13">
        <f>IF(AND(A2131&lt;&gt;"",B2131&lt;&gt;""), A2131&amp;" · "&amp;B2131, "")</f>
        <v/>
      </c>
    </row>
    <row r="2132">
      <c r="A2132" s="6" t="inlineStr">
        <is>
          <t>FY27</t>
        </is>
      </c>
      <c r="B2132" s="6" t="inlineStr">
        <is>
          <t>May</t>
        </is>
      </c>
      <c r="C2132" s="6" t="inlineStr">
        <is>
          <t>TN</t>
        </is>
      </c>
      <c r="D2132" s="7" t="inlineStr">
        <is>
          <t>TN22CQ1445</t>
        </is>
      </c>
      <c r="E2132" s="7" t="inlineStr">
        <is>
          <t>MARUTI SUZUKI</t>
        </is>
      </c>
      <c r="F2132" s="7" t="inlineStr">
        <is>
          <t>Eeco</t>
        </is>
      </c>
      <c r="G2132" s="7" t="inlineStr">
        <is>
          <t>POPULAR VEHICLES</t>
        </is>
      </c>
      <c r="H2132" s="7" t="inlineStr">
        <is>
          <t>Non-Captive</t>
        </is>
      </c>
      <c r="I2132" s="7" t="inlineStr">
        <is>
          <t>Nirmal Cars</t>
        </is>
      </c>
      <c r="J2132" s="8" t="n">
        <v>2014</v>
      </c>
      <c r="K2132" s="9" t="n">
        <v>17591</v>
      </c>
      <c r="L2132" s="10" t="n">
        <v>135000</v>
      </c>
      <c r="M2132" s="10" t="n">
        <v>4237.29</v>
      </c>
      <c r="N2132" s="11">
        <f>IF(M2132="","",ROUND(M2132*1.18,2))</f>
        <v/>
      </c>
      <c r="O2132" s="12">
        <f>IF(M2132="","",ROUND(N2132-M2132,2))</f>
        <v/>
      </c>
      <c r="P2132" s="13">
        <f>IF(AND(A2132&lt;&gt;"",B2132&lt;&gt;""), A2132&amp;" · "&amp;B2132, "")</f>
        <v/>
      </c>
    </row>
    <row r="2133">
      <c r="A2133" s="6" t="inlineStr">
        <is>
          <t>FY27</t>
        </is>
      </c>
      <c r="B2133" s="6" t="inlineStr">
        <is>
          <t>May</t>
        </is>
      </c>
      <c r="C2133" s="6" t="inlineStr">
        <is>
          <t>TN</t>
        </is>
      </c>
      <c r="D2133" s="7" t="inlineStr">
        <is>
          <t>TN22CT9270</t>
        </is>
      </c>
      <c r="E2133" s="7" t="inlineStr">
        <is>
          <t>MAHINDRA</t>
        </is>
      </c>
      <c r="F2133" s="7" t="inlineStr">
        <is>
          <t>Xylo</t>
        </is>
      </c>
      <c r="G2133" s="7" t="inlineStr">
        <is>
          <t>AIE CARS PRIVATE LIMITED</t>
        </is>
      </c>
      <c r="H2133" s="7" t="inlineStr">
        <is>
          <t>Non-Captive</t>
        </is>
      </c>
      <c r="I2133" s="7" t="inlineStr">
        <is>
          <t>TSM</t>
        </is>
      </c>
      <c r="J2133" s="8" t="n">
        <v>2012</v>
      </c>
      <c r="K2133" s="9" t="n">
        <v>155238</v>
      </c>
      <c r="L2133" s="10" t="n">
        <v>153000</v>
      </c>
      <c r="M2133" s="10" t="n">
        <v>3389.83</v>
      </c>
      <c r="N2133" s="11">
        <f>IF(M2133="","",ROUND(M2133*1.18,2))</f>
        <v/>
      </c>
      <c r="O2133" s="12">
        <f>IF(M2133="","",ROUND(N2133-M2133,2))</f>
        <v/>
      </c>
      <c r="P2133" s="13">
        <f>IF(AND(A2133&lt;&gt;"",B2133&lt;&gt;""), A2133&amp;" · "&amp;B2133, "")</f>
        <v/>
      </c>
    </row>
    <row r="2134">
      <c r="A2134" s="6" t="inlineStr">
        <is>
          <t>FY27</t>
        </is>
      </c>
      <c r="B2134" s="6" t="inlineStr">
        <is>
          <t>May</t>
        </is>
      </c>
      <c r="C2134" s="6" t="inlineStr">
        <is>
          <t>TN</t>
        </is>
      </c>
      <c r="D2134" s="7" t="inlineStr">
        <is>
          <t>TN22CW2549</t>
        </is>
      </c>
      <c r="E2134" s="7" t="inlineStr">
        <is>
          <t>MARUTI SUZUKI</t>
        </is>
      </c>
      <c r="F2134" s="7" t="inlineStr">
        <is>
          <t>Wagon R</t>
        </is>
      </c>
      <c r="G2134" s="7" t="inlineStr">
        <is>
          <t>CARS INDIA</t>
        </is>
      </c>
      <c r="H2134" s="7" t="inlineStr">
        <is>
          <t>Non-Captive</t>
        </is>
      </c>
      <c r="I2134" s="7" t="inlineStr">
        <is>
          <t>Nirmal Cars</t>
        </is>
      </c>
      <c r="J2134" s="8" t="n">
        <v>2011</v>
      </c>
      <c r="K2134" s="9" t="n">
        <v>66245</v>
      </c>
      <c r="L2134" s="10" t="n">
        <v>130000</v>
      </c>
      <c r="M2134" s="10" t="n">
        <v>4237.29</v>
      </c>
      <c r="N2134" s="11">
        <f>IF(M2134="","",ROUND(M2134*1.18,2))</f>
        <v/>
      </c>
      <c r="O2134" s="12">
        <f>IF(M2134="","",ROUND(N2134-M2134,2))</f>
        <v/>
      </c>
      <c r="P2134" s="13">
        <f>IF(AND(A2134&lt;&gt;"",B2134&lt;&gt;""), A2134&amp;" · "&amp;B2134, "")</f>
        <v/>
      </c>
    </row>
    <row r="2135">
      <c r="A2135" s="6" t="inlineStr">
        <is>
          <t>FY27</t>
        </is>
      </c>
      <c r="B2135" s="6" t="inlineStr">
        <is>
          <t>May</t>
        </is>
      </c>
      <c r="C2135" s="6" t="inlineStr">
        <is>
          <t>TN</t>
        </is>
      </c>
      <c r="D2135" s="7" t="inlineStr">
        <is>
          <t>TN22DE8871</t>
        </is>
      </c>
      <c r="E2135" s="7" t="inlineStr">
        <is>
          <t>RENAULT</t>
        </is>
      </c>
      <c r="F2135" s="7" t="inlineStr">
        <is>
          <t>Kwid</t>
        </is>
      </c>
      <c r="G2135" s="7" t="inlineStr">
        <is>
          <t>KHIVRAJ MOTOR</t>
        </is>
      </c>
      <c r="H2135" s="7" t="inlineStr">
        <is>
          <t>Non-Captive</t>
        </is>
      </c>
      <c r="I2135" s="7" t="inlineStr">
        <is>
          <t>Thiya Cars</t>
        </is>
      </c>
      <c r="J2135" s="8" t="n">
        <v>2016</v>
      </c>
      <c r="K2135" s="9" t="n">
        <v>37653</v>
      </c>
      <c r="L2135" s="10" t="n">
        <v>100000</v>
      </c>
      <c r="M2135" s="10" t="n">
        <v>3389.83</v>
      </c>
      <c r="N2135" s="11">
        <f>IF(M2135="","",ROUND(M2135*1.18,2))</f>
        <v/>
      </c>
      <c r="O2135" s="12">
        <f>IF(M2135="","",ROUND(N2135-M2135,2))</f>
        <v/>
      </c>
      <c r="P2135" s="13">
        <f>IF(AND(A2135&lt;&gt;"",B2135&lt;&gt;""), A2135&amp;" · "&amp;B2135, "")</f>
        <v/>
      </c>
    </row>
    <row r="2136">
      <c r="A2136" s="6" t="inlineStr">
        <is>
          <t>FY27</t>
        </is>
      </c>
      <c r="B2136" s="6" t="inlineStr">
        <is>
          <t>May</t>
        </is>
      </c>
      <c r="C2136" s="6" t="inlineStr">
        <is>
          <t>TN</t>
        </is>
      </c>
      <c r="D2136" s="7" t="inlineStr">
        <is>
          <t>TN23CV2135</t>
        </is>
      </c>
      <c r="E2136" s="7" t="inlineStr">
        <is>
          <t>MARUTI SUZUKI</t>
        </is>
      </c>
      <c r="F2136" s="7" t="inlineStr">
        <is>
          <t>Alto</t>
        </is>
      </c>
      <c r="G2136" s="7" t="inlineStr">
        <is>
          <t>EXCHANGE ROTN</t>
        </is>
      </c>
      <c r="H2136" s="7" t="inlineStr">
        <is>
          <t>Captive</t>
        </is>
      </c>
      <c r="I2136" s="7" t="inlineStr">
        <is>
          <t>Paul Cars</t>
        </is>
      </c>
      <c r="J2136" s="8" t="n">
        <v>2019</v>
      </c>
      <c r="K2136" s="9" t="n">
        <v>101309</v>
      </c>
      <c r="L2136" s="10" t="n">
        <v>65000</v>
      </c>
      <c r="M2136" s="10" t="n">
        <v>4237.29</v>
      </c>
      <c r="N2136" s="11">
        <f>IF(M2136="","",ROUND(M2136*1.18,2))</f>
        <v/>
      </c>
      <c r="O2136" s="12">
        <f>IF(M2136="","",ROUND(N2136-M2136,2))</f>
        <v/>
      </c>
      <c r="P2136" s="13">
        <f>IF(AND(A2136&lt;&gt;"",B2136&lt;&gt;""), A2136&amp;" · "&amp;B2136, "")</f>
        <v/>
      </c>
    </row>
    <row r="2137">
      <c r="A2137" s="6" t="inlineStr">
        <is>
          <t>FY27</t>
        </is>
      </c>
      <c r="B2137" s="6" t="inlineStr">
        <is>
          <t>May</t>
        </is>
      </c>
      <c r="C2137" s="6" t="inlineStr">
        <is>
          <t>TN</t>
        </is>
      </c>
      <c r="D2137" s="7" t="inlineStr">
        <is>
          <t>TN28AL6332</t>
        </is>
      </c>
      <c r="E2137" s="7" t="inlineStr">
        <is>
          <t>TATA</t>
        </is>
      </c>
      <c r="F2137" s="7" t="inlineStr">
        <is>
          <t>Indica</t>
        </is>
      </c>
      <c r="G2137" s="7" t="inlineStr">
        <is>
          <t>EXCHANGE ROTN</t>
        </is>
      </c>
      <c r="H2137" s="7" t="inlineStr">
        <is>
          <t>Captive</t>
        </is>
      </c>
      <c r="I2137" s="7" t="inlineStr">
        <is>
          <t>Somasundharam cars</t>
        </is>
      </c>
      <c r="J2137" s="8" t="n">
        <v>2012</v>
      </c>
      <c r="K2137" s="9" t="n">
        <v>193586</v>
      </c>
      <c r="L2137" s="10" t="n">
        <v>58000</v>
      </c>
      <c r="M2137" s="10" t="n">
        <v>4237.29</v>
      </c>
      <c r="N2137" s="11">
        <f>IF(M2137="","",ROUND(M2137*1.18,2))</f>
        <v/>
      </c>
      <c r="O2137" s="12">
        <f>IF(M2137="","",ROUND(N2137-M2137,2))</f>
        <v/>
      </c>
      <c r="P2137" s="13">
        <f>IF(AND(A2137&lt;&gt;"",B2137&lt;&gt;""), A2137&amp;" · "&amp;B2137, "")</f>
        <v/>
      </c>
    </row>
    <row r="2138">
      <c r="A2138" s="6" t="inlineStr">
        <is>
          <t>FY27</t>
        </is>
      </c>
      <c r="B2138" s="6" t="inlineStr">
        <is>
          <t>May</t>
        </is>
      </c>
      <c r="C2138" s="6" t="inlineStr">
        <is>
          <t>TN</t>
        </is>
      </c>
      <c r="D2138" s="7" t="inlineStr">
        <is>
          <t>TN30AK1498</t>
        </is>
      </c>
      <c r="E2138" s="7" t="inlineStr">
        <is>
          <t>TATA</t>
        </is>
      </c>
      <c r="F2138" s="7" t="inlineStr">
        <is>
          <t>Indigo</t>
        </is>
      </c>
      <c r="G2138" s="7" t="inlineStr">
        <is>
          <t>THIRIVENI CARS</t>
        </is>
      </c>
      <c r="H2138" s="7" t="inlineStr">
        <is>
          <t>Non-Captive</t>
        </is>
      </c>
      <c r="I2138" s="7" t="inlineStr">
        <is>
          <t>Mahathi Cars</t>
        </is>
      </c>
      <c r="J2138" s="8" t="n">
        <v>2011</v>
      </c>
      <c r="K2138" s="9" t="n">
        <v>99999</v>
      </c>
      <c r="L2138" s="10" t="n">
        <v>50000</v>
      </c>
      <c r="M2138" s="10" t="n">
        <v>4237.29</v>
      </c>
      <c r="N2138" s="11">
        <f>IF(M2138="","",ROUND(M2138*1.18,2))</f>
        <v/>
      </c>
      <c r="O2138" s="12">
        <f>IF(M2138="","",ROUND(N2138-M2138,2))</f>
        <v/>
      </c>
      <c r="P2138" s="13">
        <f>IF(AND(A2138&lt;&gt;"",B2138&lt;&gt;""), A2138&amp;" · "&amp;B2138, "")</f>
        <v/>
      </c>
    </row>
    <row r="2139">
      <c r="A2139" s="6" t="inlineStr">
        <is>
          <t>FY27</t>
        </is>
      </c>
      <c r="B2139" s="6" t="inlineStr">
        <is>
          <t>May</t>
        </is>
      </c>
      <c r="C2139" s="6" t="inlineStr">
        <is>
          <t>TN</t>
        </is>
      </c>
      <c r="D2139" s="7" t="inlineStr">
        <is>
          <t>TN30AS2106</t>
        </is>
      </c>
      <c r="E2139" s="7" t="inlineStr">
        <is>
          <t>CHEVROLET</t>
        </is>
      </c>
      <c r="F2139" s="7" t="inlineStr">
        <is>
          <t>Spark</t>
        </is>
      </c>
      <c r="G2139" s="7" t="inlineStr">
        <is>
          <t>EXCHANGE ROTN</t>
        </is>
      </c>
      <c r="H2139" s="7" t="inlineStr">
        <is>
          <t>Captive</t>
        </is>
      </c>
      <c r="I2139" s="7" t="inlineStr">
        <is>
          <t>Somasundharam cars</t>
        </is>
      </c>
      <c r="J2139" s="8" t="n">
        <v>2012</v>
      </c>
      <c r="K2139" s="9" t="n">
        <v>98196</v>
      </c>
      <c r="L2139" s="10" t="n">
        <v>60000</v>
      </c>
      <c r="M2139" s="10" t="n">
        <v>4237.29</v>
      </c>
      <c r="N2139" s="11">
        <f>IF(M2139="","",ROUND(M2139*1.18,2))</f>
        <v/>
      </c>
      <c r="O2139" s="12">
        <f>IF(M2139="","",ROUND(N2139-M2139,2))</f>
        <v/>
      </c>
      <c r="P2139" s="13">
        <f>IF(AND(A2139&lt;&gt;"",B2139&lt;&gt;""), A2139&amp;" · "&amp;B2139, "")</f>
        <v/>
      </c>
    </row>
    <row r="2140">
      <c r="A2140" s="6" t="inlineStr">
        <is>
          <t>FY27</t>
        </is>
      </c>
      <c r="B2140" s="6" t="inlineStr">
        <is>
          <t>May</t>
        </is>
      </c>
      <c r="C2140" s="6" t="inlineStr">
        <is>
          <t>TN</t>
        </is>
      </c>
      <c r="D2140" s="7" t="inlineStr">
        <is>
          <t>TN30BC5254</t>
        </is>
      </c>
      <c r="E2140" s="7" t="inlineStr">
        <is>
          <t>HYUNDAI</t>
        </is>
      </c>
      <c r="F2140" s="7" t="inlineStr">
        <is>
          <t>i10</t>
        </is>
      </c>
      <c r="G2140" s="7" t="inlineStr">
        <is>
          <t>THIRIVENI CARS</t>
        </is>
      </c>
      <c r="H2140" s="7" t="inlineStr">
        <is>
          <t>Non-Captive</t>
        </is>
      </c>
      <c r="I2140" s="7" t="inlineStr">
        <is>
          <t>Pine Autos</t>
        </is>
      </c>
      <c r="J2140" s="8" t="n">
        <v>2015</v>
      </c>
      <c r="K2140" s="9" t="n">
        <v>99560</v>
      </c>
      <c r="L2140" s="10" t="n">
        <v>90000</v>
      </c>
      <c r="M2140" s="10" t="n">
        <v>4237.29</v>
      </c>
      <c r="N2140" s="11">
        <f>IF(M2140="","",ROUND(M2140*1.18,2))</f>
        <v/>
      </c>
      <c r="O2140" s="12">
        <f>IF(M2140="","",ROUND(N2140-M2140,2))</f>
        <v/>
      </c>
      <c r="P2140" s="13">
        <f>IF(AND(A2140&lt;&gt;"",B2140&lt;&gt;""), A2140&amp;" · "&amp;B2140, "")</f>
        <v/>
      </c>
    </row>
    <row r="2141">
      <c r="A2141" s="6" t="inlineStr">
        <is>
          <t>FY27</t>
        </is>
      </c>
      <c r="B2141" s="6" t="inlineStr">
        <is>
          <t>May</t>
        </is>
      </c>
      <c r="C2141" s="6" t="inlineStr">
        <is>
          <t>TN</t>
        </is>
      </c>
      <c r="D2141" s="7" t="inlineStr">
        <is>
          <t>TN32AC7779</t>
        </is>
      </c>
      <c r="E2141" s="7" t="inlineStr">
        <is>
          <t>TATA</t>
        </is>
      </c>
      <c r="F2141" s="7" t="inlineStr">
        <is>
          <t>Indigo</t>
        </is>
      </c>
      <c r="G2141" s="7" t="inlineStr">
        <is>
          <t>THIRIVENI CARS</t>
        </is>
      </c>
      <c r="H2141" s="7" t="inlineStr">
        <is>
          <t>Non-Captive</t>
        </is>
      </c>
      <c r="I2141" s="7" t="inlineStr">
        <is>
          <t>Shree Shan Motor</t>
        </is>
      </c>
      <c r="J2141" s="8" t="n">
        <v>2011</v>
      </c>
      <c r="K2141" s="9" t="n">
        <v>170205</v>
      </c>
      <c r="L2141" s="10" t="n">
        <v>80000</v>
      </c>
      <c r="M2141" s="10" t="n">
        <v>5084.75</v>
      </c>
      <c r="N2141" s="11">
        <f>IF(M2141="","",ROUND(M2141*1.18,2))</f>
        <v/>
      </c>
      <c r="O2141" s="12">
        <f>IF(M2141="","",ROUND(N2141-M2141,2))</f>
        <v/>
      </c>
      <c r="P2141" s="13">
        <f>IF(AND(A2141&lt;&gt;"",B2141&lt;&gt;""), A2141&amp;" · "&amp;B2141, "")</f>
        <v/>
      </c>
    </row>
    <row r="2142">
      <c r="A2142" s="6" t="inlineStr">
        <is>
          <t>FY27</t>
        </is>
      </c>
      <c r="B2142" s="6" t="inlineStr">
        <is>
          <t>May</t>
        </is>
      </c>
      <c r="C2142" s="6" t="inlineStr">
        <is>
          <t>TN</t>
        </is>
      </c>
      <c r="D2142" s="7" t="inlineStr">
        <is>
          <t>TN32D4150</t>
        </is>
      </c>
      <c r="E2142" s="7" t="inlineStr">
        <is>
          <t>MAHINDRA</t>
        </is>
      </c>
      <c r="F2142" s="7" t="inlineStr">
        <is>
          <t>Bolero</t>
        </is>
      </c>
      <c r="G2142" s="7" t="inlineStr">
        <is>
          <t>KHIVRAJ MOTOR</t>
        </is>
      </c>
      <c r="H2142" s="7" t="inlineStr">
        <is>
          <t>Non-Captive</t>
        </is>
      </c>
      <c r="I2142" s="7" t="inlineStr">
        <is>
          <t>Nirmal Cars</t>
        </is>
      </c>
      <c r="J2142" s="8" t="n">
        <v>2007</v>
      </c>
      <c r="K2142" s="9" t="n">
        <v>209404</v>
      </c>
      <c r="L2142" s="10" t="n">
        <v>50000</v>
      </c>
      <c r="M2142" s="10" t="n">
        <v>4237.29</v>
      </c>
      <c r="N2142" s="11">
        <f>IF(M2142="","",ROUND(M2142*1.18,2))</f>
        <v/>
      </c>
      <c r="O2142" s="12">
        <f>IF(M2142="","",ROUND(N2142-M2142,2))</f>
        <v/>
      </c>
      <c r="P2142" s="13">
        <f>IF(AND(A2142&lt;&gt;"",B2142&lt;&gt;""), A2142&amp;" · "&amp;B2142, "")</f>
        <v/>
      </c>
    </row>
    <row r="2143">
      <c r="A2143" s="6" t="inlineStr">
        <is>
          <t>FY27</t>
        </is>
      </c>
      <c r="B2143" s="6" t="inlineStr">
        <is>
          <t>May</t>
        </is>
      </c>
      <c r="C2143" s="6" t="inlineStr">
        <is>
          <t>TN</t>
        </is>
      </c>
      <c r="D2143" s="7" t="inlineStr">
        <is>
          <t>TN33AJ9229</t>
        </is>
      </c>
      <c r="E2143" s="7" t="inlineStr">
        <is>
          <t>TATA</t>
        </is>
      </c>
      <c r="F2143" s="7" t="inlineStr">
        <is>
          <t>Indica</t>
        </is>
      </c>
      <c r="G2143" s="7" t="inlineStr">
        <is>
          <t>THIRIVENI CARS</t>
        </is>
      </c>
      <c r="H2143" s="7" t="inlineStr">
        <is>
          <t>Non-Captive</t>
        </is>
      </c>
      <c r="I2143" s="7" t="inlineStr">
        <is>
          <t>Mahathi Cars</t>
        </is>
      </c>
      <c r="J2143" s="8" t="n">
        <v>2007</v>
      </c>
      <c r="K2143" s="9" t="n">
        <v>202069</v>
      </c>
      <c r="L2143" s="10" t="n">
        <v>50000</v>
      </c>
      <c r="M2143" s="10" t="n">
        <v>4237.29</v>
      </c>
      <c r="N2143" s="11">
        <f>IF(M2143="","",ROUND(M2143*1.18,2))</f>
        <v/>
      </c>
      <c r="O2143" s="12">
        <f>IF(M2143="","",ROUND(N2143-M2143,2))</f>
        <v/>
      </c>
      <c r="P2143" s="13">
        <f>IF(AND(A2143&lt;&gt;"",B2143&lt;&gt;""), A2143&amp;" · "&amp;B2143, "")</f>
        <v/>
      </c>
    </row>
    <row r="2144">
      <c r="A2144" s="6" t="inlineStr">
        <is>
          <t>FY27</t>
        </is>
      </c>
      <c r="B2144" s="6" t="inlineStr">
        <is>
          <t>May</t>
        </is>
      </c>
      <c r="C2144" s="6" t="inlineStr">
        <is>
          <t>TN</t>
        </is>
      </c>
      <c r="D2144" s="7" t="inlineStr">
        <is>
          <t>TN37BA1876</t>
        </is>
      </c>
      <c r="E2144" s="7" t="inlineStr">
        <is>
          <t>TATA</t>
        </is>
      </c>
      <c r="F2144" s="7" t="inlineStr">
        <is>
          <t>Indica</t>
        </is>
      </c>
      <c r="G2144" s="7" t="inlineStr">
        <is>
          <t>EXCHANGE ROTN</t>
        </is>
      </c>
      <c r="H2144" s="7" t="inlineStr">
        <is>
          <t>Captive</t>
        </is>
      </c>
      <c r="I2144" s="7" t="inlineStr">
        <is>
          <t>Sri Murugan Cars</t>
        </is>
      </c>
      <c r="J2144" s="8" t="n">
        <v>2008</v>
      </c>
      <c r="K2144" s="9" t="n">
        <v>152546</v>
      </c>
      <c r="L2144" s="10" t="n">
        <v>70000</v>
      </c>
      <c r="M2144" s="10" t="n">
        <v>4237.29</v>
      </c>
      <c r="N2144" s="11">
        <f>IF(M2144="","",ROUND(M2144*1.18,2))</f>
        <v/>
      </c>
      <c r="O2144" s="12">
        <f>IF(M2144="","",ROUND(N2144-M2144,2))</f>
        <v/>
      </c>
      <c r="P2144" s="13">
        <f>IF(AND(A2144&lt;&gt;"",B2144&lt;&gt;""), A2144&amp;" · "&amp;B2144, "")</f>
        <v/>
      </c>
    </row>
    <row r="2145">
      <c r="A2145" s="6" t="inlineStr">
        <is>
          <t>FY27</t>
        </is>
      </c>
      <c r="B2145" s="6" t="inlineStr">
        <is>
          <t>May</t>
        </is>
      </c>
      <c r="C2145" s="6" t="inlineStr">
        <is>
          <t>TN</t>
        </is>
      </c>
      <c r="D2145" s="7" t="inlineStr">
        <is>
          <t>TN37BA6896</t>
        </is>
      </c>
      <c r="E2145" s="7" t="inlineStr">
        <is>
          <t>MARUTI SUZUKI</t>
        </is>
      </c>
      <c r="F2145" s="7" t="inlineStr">
        <is>
          <t>Alto</t>
        </is>
      </c>
      <c r="G2145" s="7" t="inlineStr">
        <is>
          <t>INDUS</t>
        </is>
      </c>
      <c r="H2145" s="7" t="inlineStr">
        <is>
          <t>Non-Captive</t>
        </is>
      </c>
      <c r="I2145" s="7" t="inlineStr">
        <is>
          <t>Grid 33</t>
        </is>
      </c>
      <c r="J2145" s="8" t="n">
        <v>2008</v>
      </c>
      <c r="K2145" s="9" t="n">
        <v>26478</v>
      </c>
      <c r="L2145" s="10" t="n">
        <v>80000</v>
      </c>
      <c r="M2145" s="10" t="n">
        <v>4237.29</v>
      </c>
      <c r="N2145" s="11">
        <f>IF(M2145="","",ROUND(M2145*1.18,2))</f>
        <v/>
      </c>
      <c r="O2145" s="12">
        <f>IF(M2145="","",ROUND(N2145-M2145,2))</f>
        <v/>
      </c>
      <c r="P2145" s="13">
        <f>IF(AND(A2145&lt;&gt;"",B2145&lt;&gt;""), A2145&amp;" · "&amp;B2145, "")</f>
        <v/>
      </c>
    </row>
    <row r="2146">
      <c r="A2146" s="6" t="inlineStr">
        <is>
          <t>FY27</t>
        </is>
      </c>
      <c r="B2146" s="6" t="inlineStr">
        <is>
          <t>May</t>
        </is>
      </c>
      <c r="C2146" s="6" t="inlineStr">
        <is>
          <t>TN</t>
        </is>
      </c>
      <c r="D2146" s="7" t="inlineStr">
        <is>
          <t>TN37BV3920</t>
        </is>
      </c>
      <c r="E2146" s="7" t="inlineStr">
        <is>
          <t>HYUNDAI</t>
        </is>
      </c>
      <c r="F2146" s="7" t="inlineStr">
        <is>
          <t>Eon</t>
        </is>
      </c>
      <c r="G2146" s="7" t="inlineStr">
        <is>
          <t>EXCHANGE ROTN</t>
        </is>
      </c>
      <c r="H2146" s="7" t="inlineStr">
        <is>
          <t>Captive</t>
        </is>
      </c>
      <c r="I2146" s="7" t="inlineStr">
        <is>
          <t>Ashwin cars</t>
        </is>
      </c>
      <c r="J2146" s="8" t="n">
        <v>2012</v>
      </c>
      <c r="K2146" s="9" t="n">
        <v>205290</v>
      </c>
      <c r="L2146" s="10" t="n">
        <v>97000</v>
      </c>
      <c r="M2146" s="10" t="n">
        <v>4237.29</v>
      </c>
      <c r="N2146" s="11">
        <f>IF(M2146="","",ROUND(M2146*1.18,2))</f>
        <v/>
      </c>
      <c r="O2146" s="12">
        <f>IF(M2146="","",ROUND(N2146-M2146,2))</f>
        <v/>
      </c>
      <c r="P2146" s="13">
        <f>IF(AND(A2146&lt;&gt;"",B2146&lt;&gt;""), A2146&amp;" · "&amp;B2146, "")</f>
        <v/>
      </c>
    </row>
    <row r="2147">
      <c r="A2147" s="6" t="inlineStr">
        <is>
          <t>FY27</t>
        </is>
      </c>
      <c r="B2147" s="6" t="inlineStr">
        <is>
          <t>May</t>
        </is>
      </c>
      <c r="C2147" s="6" t="inlineStr">
        <is>
          <t>TN</t>
        </is>
      </c>
      <c r="D2147" s="7" t="inlineStr">
        <is>
          <t>TN37CC9847</t>
        </is>
      </c>
      <c r="E2147" s="7" t="inlineStr">
        <is>
          <t>CHEVROLET</t>
        </is>
      </c>
      <c r="F2147" s="7" t="inlineStr">
        <is>
          <t>Sail</t>
        </is>
      </c>
      <c r="G2147" s="7" t="inlineStr">
        <is>
          <t>EXCHANGE ROTN</t>
        </is>
      </c>
      <c r="H2147" s="7" t="inlineStr">
        <is>
          <t>Captive</t>
        </is>
      </c>
      <c r="I2147" s="7" t="inlineStr">
        <is>
          <t>Raju Cars</t>
        </is>
      </c>
      <c r="J2147" s="8" t="n">
        <v>2013</v>
      </c>
      <c r="K2147" s="9" t="n">
        <v>101597</v>
      </c>
      <c r="L2147" s="10" t="n">
        <v>83000</v>
      </c>
      <c r="M2147" s="10" t="n">
        <v>4237.29</v>
      </c>
      <c r="N2147" s="11">
        <f>IF(M2147="","",ROUND(M2147*1.18,2))</f>
        <v/>
      </c>
      <c r="O2147" s="12">
        <f>IF(M2147="","",ROUND(N2147-M2147,2))</f>
        <v/>
      </c>
      <c r="P2147" s="13">
        <f>IF(AND(A2147&lt;&gt;"",B2147&lt;&gt;""), A2147&amp;" · "&amp;B2147, "")</f>
        <v/>
      </c>
    </row>
    <row r="2148">
      <c r="A2148" s="6" t="inlineStr">
        <is>
          <t>FY27</t>
        </is>
      </c>
      <c r="B2148" s="6" t="inlineStr">
        <is>
          <t>May</t>
        </is>
      </c>
      <c r="C2148" s="6" t="inlineStr">
        <is>
          <t>TN</t>
        </is>
      </c>
      <c r="D2148" s="7" t="inlineStr">
        <is>
          <t>TN37CQ8669</t>
        </is>
      </c>
      <c r="E2148" s="7" t="inlineStr">
        <is>
          <t>HYUNDAI</t>
        </is>
      </c>
      <c r="F2148" s="7" t="inlineStr">
        <is>
          <t>Grand i10</t>
        </is>
      </c>
      <c r="G2148" s="7" t="inlineStr">
        <is>
          <t>EXCHANGE ROTN</t>
        </is>
      </c>
      <c r="H2148" s="7" t="inlineStr">
        <is>
          <t>Captive</t>
        </is>
      </c>
      <c r="I2148" s="7" t="inlineStr">
        <is>
          <t>Gugha Cars</t>
        </is>
      </c>
      <c r="J2148" s="8" t="n">
        <v>2016</v>
      </c>
      <c r="K2148" s="9" t="n">
        <v>126313</v>
      </c>
      <c r="L2148" s="10" t="n">
        <v>310000</v>
      </c>
      <c r="M2148" s="10" t="n">
        <v>12711.86</v>
      </c>
      <c r="N2148" s="11">
        <f>IF(M2148="","",ROUND(M2148*1.18,2))</f>
        <v/>
      </c>
      <c r="O2148" s="12">
        <f>IF(M2148="","",ROUND(N2148-M2148,2))</f>
        <v/>
      </c>
      <c r="P2148" s="13">
        <f>IF(AND(A2148&lt;&gt;"",B2148&lt;&gt;""), A2148&amp;" · "&amp;B2148, "")</f>
        <v/>
      </c>
    </row>
    <row r="2149">
      <c r="A2149" s="6" t="inlineStr">
        <is>
          <t>FY27</t>
        </is>
      </c>
      <c r="B2149" s="6" t="inlineStr">
        <is>
          <t>May</t>
        </is>
      </c>
      <c r="C2149" s="6" t="inlineStr">
        <is>
          <t>TN</t>
        </is>
      </c>
      <c r="D2149" s="7" t="inlineStr">
        <is>
          <t>TN37DV0790</t>
        </is>
      </c>
      <c r="E2149" s="7" t="inlineStr">
        <is>
          <t>HYUNDAI</t>
        </is>
      </c>
      <c r="F2149" s="7" t="inlineStr">
        <is>
          <t>Grand i10</t>
        </is>
      </c>
      <c r="G2149" s="7" t="inlineStr">
        <is>
          <t>EXCHANGE ROTN</t>
        </is>
      </c>
      <c r="H2149" s="7" t="inlineStr">
        <is>
          <t>Captive</t>
        </is>
      </c>
      <c r="I2149" s="7" t="inlineStr">
        <is>
          <t>Sai Cars</t>
        </is>
      </c>
      <c r="J2149" s="8" t="n">
        <v>2019</v>
      </c>
      <c r="K2149" s="9" t="n">
        <v>54168</v>
      </c>
      <c r="L2149" s="10" t="n">
        <v>95000</v>
      </c>
      <c r="M2149" s="10" t="n">
        <v>4237.29</v>
      </c>
      <c r="N2149" s="11">
        <f>IF(M2149="","",ROUND(M2149*1.18,2))</f>
        <v/>
      </c>
      <c r="O2149" s="12">
        <f>IF(M2149="","",ROUND(N2149-M2149,2))</f>
        <v/>
      </c>
      <c r="P2149" s="13">
        <f>IF(AND(A2149&lt;&gt;"",B2149&lt;&gt;""), A2149&amp;" · "&amp;B2149, "")</f>
        <v/>
      </c>
    </row>
    <row r="2150">
      <c r="A2150" s="6" t="inlineStr">
        <is>
          <t>FY27</t>
        </is>
      </c>
      <c r="B2150" s="6" t="inlineStr">
        <is>
          <t>May</t>
        </is>
      </c>
      <c r="C2150" s="6" t="inlineStr">
        <is>
          <t>TN</t>
        </is>
      </c>
      <c r="D2150" s="7" t="inlineStr">
        <is>
          <t>TN38AX2424</t>
        </is>
      </c>
      <c r="E2150" s="7" t="inlineStr">
        <is>
          <t>MARUTI SUZUKI</t>
        </is>
      </c>
      <c r="F2150" s="7" t="inlineStr">
        <is>
          <t>Swift</t>
        </is>
      </c>
      <c r="G2150" s="7" t="inlineStr">
        <is>
          <t>EXCHANGE ROTN</t>
        </is>
      </c>
      <c r="H2150" s="7" t="inlineStr">
        <is>
          <t>Captive</t>
        </is>
      </c>
      <c r="I2150" s="7" t="inlineStr">
        <is>
          <t>YUGA DHEERAN CARS</t>
        </is>
      </c>
      <c r="J2150" s="8" t="n">
        <v>2008</v>
      </c>
      <c r="K2150" s="9" t="n">
        <v>95861</v>
      </c>
      <c r="L2150" s="10" t="n">
        <v>150000</v>
      </c>
      <c r="M2150" s="10" t="n">
        <v>8474.58</v>
      </c>
      <c r="N2150" s="11">
        <f>IF(M2150="","",ROUND(M2150*1.18,2))</f>
        <v/>
      </c>
      <c r="O2150" s="12">
        <f>IF(M2150="","",ROUND(N2150-M2150,2))</f>
        <v/>
      </c>
      <c r="P2150" s="13">
        <f>IF(AND(A2150&lt;&gt;"",B2150&lt;&gt;""), A2150&amp;" · "&amp;B2150, "")</f>
        <v/>
      </c>
    </row>
    <row r="2151">
      <c r="A2151" s="6" t="inlineStr">
        <is>
          <t>FY27</t>
        </is>
      </c>
      <c r="B2151" s="6" t="inlineStr">
        <is>
          <t>May</t>
        </is>
      </c>
      <c r="C2151" s="6" t="inlineStr">
        <is>
          <t>TN</t>
        </is>
      </c>
      <c r="D2151" s="7" t="inlineStr">
        <is>
          <t>TN38BL6214</t>
        </is>
      </c>
      <c r="E2151" s="7" t="inlineStr">
        <is>
          <t>FORD</t>
        </is>
      </c>
      <c r="F2151" s="7" t="inlineStr">
        <is>
          <t>Fiesta Classic</t>
        </is>
      </c>
      <c r="G2151" s="7" t="inlineStr">
        <is>
          <t>STEER AUTO TECHNOLOGIES PRIVATE LIMITED</t>
        </is>
      </c>
      <c r="H2151" s="7" t="inlineStr">
        <is>
          <t>Non-Captive</t>
        </is>
      </c>
      <c r="I2151" s="7" t="inlineStr">
        <is>
          <t>Thiya Cars</t>
        </is>
      </c>
      <c r="J2151" s="8" t="n">
        <v>2012</v>
      </c>
      <c r="K2151" s="9" t="n">
        <v>123376</v>
      </c>
      <c r="L2151" s="10" t="n">
        <v>110000</v>
      </c>
      <c r="M2151" s="10" t="n">
        <v>4237.29</v>
      </c>
      <c r="N2151" s="11">
        <f>IF(M2151="","",ROUND(M2151*1.18,2))</f>
        <v/>
      </c>
      <c r="O2151" s="12">
        <f>IF(M2151="","",ROUND(N2151-M2151,2))</f>
        <v/>
      </c>
      <c r="P2151" s="13">
        <f>IF(AND(A2151&lt;&gt;"",B2151&lt;&gt;""), A2151&amp;" · "&amp;B2151, "")</f>
        <v/>
      </c>
    </row>
    <row r="2152">
      <c r="A2152" s="6" t="inlineStr">
        <is>
          <t>FY27</t>
        </is>
      </c>
      <c r="B2152" s="6" t="inlineStr">
        <is>
          <t>May</t>
        </is>
      </c>
      <c r="C2152" s="6" t="inlineStr">
        <is>
          <t>TN</t>
        </is>
      </c>
      <c r="D2152" s="7" t="inlineStr">
        <is>
          <t>TN38CP1418</t>
        </is>
      </c>
      <c r="E2152" s="7" t="inlineStr">
        <is>
          <t>HONDA</t>
        </is>
      </c>
      <c r="F2152" s="7" t="inlineStr">
        <is>
          <t>Amaze</t>
        </is>
      </c>
      <c r="G2152" s="7" t="inlineStr">
        <is>
          <t>EXCHANGE ROTN</t>
        </is>
      </c>
      <c r="H2152" s="7" t="inlineStr">
        <is>
          <t>Captive</t>
        </is>
      </c>
      <c r="I2152" s="7" t="inlineStr">
        <is>
          <t>YUGA DHEERAN CARS</t>
        </is>
      </c>
      <c r="J2152" s="8" t="n">
        <v>2018</v>
      </c>
      <c r="K2152" s="9" t="n">
        <v>94907</v>
      </c>
      <c r="L2152" s="10" t="n">
        <v>560000</v>
      </c>
      <c r="M2152" s="10" t="n">
        <v>13728.81</v>
      </c>
      <c r="N2152" s="11">
        <f>IF(M2152="","",ROUND(M2152*1.18,2))</f>
        <v/>
      </c>
      <c r="O2152" s="12">
        <f>IF(M2152="","",ROUND(N2152-M2152,2))</f>
        <v/>
      </c>
      <c r="P2152" s="13">
        <f>IF(AND(A2152&lt;&gt;"",B2152&lt;&gt;""), A2152&amp;" · "&amp;B2152, "")</f>
        <v/>
      </c>
    </row>
    <row r="2153">
      <c r="A2153" s="6" t="inlineStr">
        <is>
          <t>FY27</t>
        </is>
      </c>
      <c r="B2153" s="6" t="inlineStr">
        <is>
          <t>May</t>
        </is>
      </c>
      <c r="C2153" s="6" t="inlineStr">
        <is>
          <t>TN</t>
        </is>
      </c>
      <c r="D2153" s="7" t="inlineStr">
        <is>
          <t>TN40L8016</t>
        </is>
      </c>
      <c r="E2153" s="7" t="inlineStr">
        <is>
          <t>HYUNDAI</t>
        </is>
      </c>
      <c r="F2153" s="7" t="inlineStr">
        <is>
          <t>Grand i10</t>
        </is>
      </c>
      <c r="G2153" s="7" t="inlineStr">
        <is>
          <t>EXCHANGE ROTN</t>
        </is>
      </c>
      <c r="H2153" s="7" t="inlineStr">
        <is>
          <t>Captive</t>
        </is>
      </c>
      <c r="I2153" s="7" t="inlineStr">
        <is>
          <t>YUGA DHEERAN CARS</t>
        </is>
      </c>
      <c r="J2153" s="8" t="n">
        <v>2015</v>
      </c>
      <c r="K2153" s="9" t="n">
        <v>64115</v>
      </c>
      <c r="L2153" s="10" t="n">
        <v>300000</v>
      </c>
      <c r="M2153" s="10" t="n">
        <v>12711.86</v>
      </c>
      <c r="N2153" s="11">
        <f>IF(M2153="","",ROUND(M2153*1.18,2))</f>
        <v/>
      </c>
      <c r="O2153" s="12">
        <f>IF(M2153="","",ROUND(N2153-M2153,2))</f>
        <v/>
      </c>
      <c r="P2153" s="13">
        <f>IF(AND(A2153&lt;&gt;"",B2153&lt;&gt;""), A2153&amp;" · "&amp;B2153, "")</f>
        <v/>
      </c>
    </row>
    <row r="2154">
      <c r="A2154" s="6" t="inlineStr">
        <is>
          <t>FY27</t>
        </is>
      </c>
      <c r="B2154" s="6" t="inlineStr">
        <is>
          <t>May</t>
        </is>
      </c>
      <c r="C2154" s="6" t="inlineStr">
        <is>
          <t>TN</t>
        </is>
      </c>
      <c r="D2154" s="7" t="inlineStr">
        <is>
          <t>TN41AQ7131</t>
        </is>
      </c>
      <c r="E2154" s="7" t="inlineStr">
        <is>
          <t>MARUTI SUZUKI</t>
        </is>
      </c>
      <c r="F2154" s="7" t="inlineStr">
        <is>
          <t>Swift</t>
        </is>
      </c>
      <c r="G2154" s="7" t="inlineStr">
        <is>
          <t>EXCHANGE ROTN</t>
        </is>
      </c>
      <c r="H2154" s="7" t="inlineStr">
        <is>
          <t>Captive</t>
        </is>
      </c>
      <c r="I2154" s="7" t="inlineStr">
        <is>
          <t>YUGA DHEERAN CARS</t>
        </is>
      </c>
      <c r="J2154" s="8" t="n">
        <v>2016</v>
      </c>
      <c r="K2154" s="9" t="n">
        <v>48593</v>
      </c>
      <c r="L2154" s="10" t="n">
        <v>450000</v>
      </c>
      <c r="M2154" s="10" t="n">
        <v>8474.58</v>
      </c>
      <c r="N2154" s="11">
        <f>IF(M2154="","",ROUND(M2154*1.18,2))</f>
        <v/>
      </c>
      <c r="O2154" s="12">
        <f>IF(M2154="","",ROUND(N2154-M2154,2))</f>
        <v/>
      </c>
      <c r="P2154" s="13">
        <f>IF(AND(A2154&lt;&gt;"",B2154&lt;&gt;""), A2154&amp;" · "&amp;B2154, "")</f>
        <v/>
      </c>
    </row>
    <row r="2155">
      <c r="A2155" s="6" t="inlineStr">
        <is>
          <t>FY27</t>
        </is>
      </c>
      <c r="B2155" s="6" t="inlineStr">
        <is>
          <t>May</t>
        </is>
      </c>
      <c r="C2155" s="6" t="inlineStr">
        <is>
          <t>TN</t>
        </is>
      </c>
      <c r="D2155" s="7" t="inlineStr">
        <is>
          <t>TN43C8595</t>
        </is>
      </c>
      <c r="E2155" s="7" t="inlineStr">
        <is>
          <t>TATA</t>
        </is>
      </c>
      <c r="F2155" s="7" t="inlineStr">
        <is>
          <t>Indigo</t>
        </is>
      </c>
      <c r="G2155" s="7" t="inlineStr">
        <is>
          <t>EXCHANGE ROTN</t>
        </is>
      </c>
      <c r="H2155" s="7" t="inlineStr">
        <is>
          <t>Captive</t>
        </is>
      </c>
      <c r="I2155" s="7" t="inlineStr">
        <is>
          <t>Thirupathi Traders</t>
        </is>
      </c>
      <c r="J2155" s="8" t="n">
        <v>2010</v>
      </c>
      <c r="K2155" s="9" t="n">
        <v>121384</v>
      </c>
      <c r="L2155" s="10" t="n">
        <v>95000</v>
      </c>
      <c r="M2155" s="10" t="n">
        <v>4237.29</v>
      </c>
      <c r="N2155" s="11">
        <f>IF(M2155="","",ROUND(M2155*1.18,2))</f>
        <v/>
      </c>
      <c r="O2155" s="12">
        <f>IF(M2155="","",ROUND(N2155-M2155,2))</f>
        <v/>
      </c>
      <c r="P2155" s="13">
        <f>IF(AND(A2155&lt;&gt;"",B2155&lt;&gt;""), A2155&amp;" · "&amp;B2155, "")</f>
        <v/>
      </c>
    </row>
    <row r="2156">
      <c r="A2156" s="6" t="inlineStr">
        <is>
          <t>FY27</t>
        </is>
      </c>
      <c r="B2156" s="6" t="inlineStr">
        <is>
          <t>May</t>
        </is>
      </c>
      <c r="C2156" s="6" t="inlineStr">
        <is>
          <t>TN</t>
        </is>
      </c>
      <c r="D2156" s="7" t="inlineStr">
        <is>
          <t>TN45AP8961</t>
        </is>
      </c>
      <c r="E2156" s="7" t="inlineStr">
        <is>
          <t>MARUTI SUZUKI</t>
        </is>
      </c>
      <c r="F2156" s="7" t="inlineStr">
        <is>
          <t>Zen</t>
        </is>
      </c>
      <c r="G2156" s="7" t="inlineStr">
        <is>
          <t>STEER AUTO TECHNOLOGIES PRIVATE LIMITED</t>
        </is>
      </c>
      <c r="H2156" s="7" t="inlineStr">
        <is>
          <t>Non-Captive</t>
        </is>
      </c>
      <c r="I2156" s="7" t="inlineStr">
        <is>
          <t>Mahathi Cars</t>
        </is>
      </c>
      <c r="J2156" s="8" t="n">
        <v>2010</v>
      </c>
      <c r="K2156" s="9" t="n">
        <v>57550</v>
      </c>
      <c r="L2156" s="10" t="n">
        <v>60000</v>
      </c>
      <c r="M2156" s="10" t="n">
        <v>5084.75</v>
      </c>
      <c r="N2156" s="11">
        <f>IF(M2156="","",ROUND(M2156*1.18,2))</f>
        <v/>
      </c>
      <c r="O2156" s="12">
        <f>IF(M2156="","",ROUND(N2156-M2156,2))</f>
        <v/>
      </c>
      <c r="P2156" s="13">
        <f>IF(AND(A2156&lt;&gt;"",B2156&lt;&gt;""), A2156&amp;" · "&amp;B2156, "")</f>
        <v/>
      </c>
    </row>
    <row r="2157">
      <c r="A2157" s="6" t="inlineStr">
        <is>
          <t>FY27</t>
        </is>
      </c>
      <c r="B2157" s="6" t="inlineStr">
        <is>
          <t>May</t>
        </is>
      </c>
      <c r="C2157" s="6" t="inlineStr">
        <is>
          <t>TN</t>
        </is>
      </c>
      <c r="D2157" s="7" t="inlineStr">
        <is>
          <t>TN45AT3116</t>
        </is>
      </c>
      <c r="E2157" s="7" t="inlineStr">
        <is>
          <t>HYUNDAI</t>
        </is>
      </c>
      <c r="F2157" s="7" t="inlineStr">
        <is>
          <t>i20</t>
        </is>
      </c>
      <c r="G2157" s="7" t="inlineStr">
        <is>
          <t>EXCHANGE ROTN</t>
        </is>
      </c>
      <c r="H2157" s="7" t="inlineStr">
        <is>
          <t>Captive</t>
        </is>
      </c>
      <c r="I2157" s="7" t="inlineStr">
        <is>
          <t>Thirupathi Traders</t>
        </is>
      </c>
      <c r="J2157" s="8" t="n">
        <v>2011</v>
      </c>
      <c r="K2157" s="9" t="n">
        <v>197920</v>
      </c>
      <c r="L2157" s="10" t="n">
        <v>98000</v>
      </c>
      <c r="M2157" s="10" t="n">
        <v>4237.29</v>
      </c>
      <c r="N2157" s="11">
        <f>IF(M2157="","",ROUND(M2157*1.18,2))</f>
        <v/>
      </c>
      <c r="O2157" s="12">
        <f>IF(M2157="","",ROUND(N2157-M2157,2))</f>
        <v/>
      </c>
      <c r="P2157" s="13">
        <f>IF(AND(A2157&lt;&gt;"",B2157&lt;&gt;""), A2157&amp;" · "&amp;B2157, "")</f>
        <v/>
      </c>
    </row>
    <row r="2158">
      <c r="A2158" s="6" t="inlineStr">
        <is>
          <t>FY27</t>
        </is>
      </c>
      <c r="B2158" s="6" t="inlineStr">
        <is>
          <t>May</t>
        </is>
      </c>
      <c r="C2158" s="6" t="inlineStr">
        <is>
          <t>TN</t>
        </is>
      </c>
      <c r="D2158" s="7" t="inlineStr">
        <is>
          <t>TN47W5068</t>
        </is>
      </c>
      <c r="E2158" s="7" t="inlineStr">
        <is>
          <t>MARUTI SUZUKI</t>
        </is>
      </c>
      <c r="F2158" s="7" t="inlineStr">
        <is>
          <t>Swift</t>
        </is>
      </c>
      <c r="G2158" s="7" t="inlineStr">
        <is>
          <t>EXCHANGE ROTN</t>
        </is>
      </c>
      <c r="H2158" s="7" t="inlineStr">
        <is>
          <t>Captive</t>
        </is>
      </c>
      <c r="I2158" s="7" t="inlineStr">
        <is>
          <t>Ashwin cars</t>
        </is>
      </c>
      <c r="J2158" s="8" t="n">
        <v>2011</v>
      </c>
      <c r="K2158" s="9" t="n">
        <v>287153</v>
      </c>
      <c r="L2158" s="10" t="n">
        <v>94000</v>
      </c>
      <c r="M2158" s="10" t="n">
        <v>4237.29</v>
      </c>
      <c r="N2158" s="11">
        <f>IF(M2158="","",ROUND(M2158*1.18,2))</f>
        <v/>
      </c>
      <c r="O2158" s="12">
        <f>IF(M2158="","",ROUND(N2158-M2158,2))</f>
        <v/>
      </c>
      <c r="P2158" s="13">
        <f>IF(AND(A2158&lt;&gt;"",B2158&lt;&gt;""), A2158&amp;" · "&amp;B2158, "")</f>
        <v/>
      </c>
    </row>
    <row r="2159">
      <c r="A2159" s="6" t="inlineStr">
        <is>
          <t>FY27</t>
        </is>
      </c>
      <c r="B2159" s="6" t="inlineStr">
        <is>
          <t>May</t>
        </is>
      </c>
      <c r="C2159" s="6" t="inlineStr">
        <is>
          <t>TN</t>
        </is>
      </c>
      <c r="D2159" s="7" t="inlineStr">
        <is>
          <t>TN52Y5371</t>
        </is>
      </c>
      <c r="E2159" s="7" t="inlineStr">
        <is>
          <t>MARUTI SUZUKI</t>
        </is>
      </c>
      <c r="F2159" s="7" t="inlineStr">
        <is>
          <t>Omni</t>
        </is>
      </c>
      <c r="G2159" s="7" t="inlineStr">
        <is>
          <t>THIRIVENI CARS</t>
        </is>
      </c>
      <c r="H2159" s="7" t="inlineStr">
        <is>
          <t>Non-Captive</t>
        </is>
      </c>
      <c r="I2159" s="7" t="inlineStr">
        <is>
          <t>Santhosh Cars</t>
        </is>
      </c>
      <c r="J2159" s="8" t="n">
        <v>2010</v>
      </c>
      <c r="K2159" s="9" t="n">
        <v>116301</v>
      </c>
      <c r="L2159" s="10" t="n">
        <v>100000</v>
      </c>
      <c r="M2159" s="10" t="n">
        <v>4237.29</v>
      </c>
      <c r="N2159" s="11">
        <f>IF(M2159="","",ROUND(M2159*1.18,2))</f>
        <v/>
      </c>
      <c r="O2159" s="12">
        <f>IF(M2159="","",ROUND(N2159-M2159,2))</f>
        <v/>
      </c>
      <c r="P2159" s="13">
        <f>IF(AND(A2159&lt;&gt;"",B2159&lt;&gt;""), A2159&amp;" · "&amp;B2159, "")</f>
        <v/>
      </c>
    </row>
    <row r="2160">
      <c r="A2160" s="6" t="inlineStr">
        <is>
          <t>FY27</t>
        </is>
      </c>
      <c r="B2160" s="6" t="inlineStr">
        <is>
          <t>May</t>
        </is>
      </c>
      <c r="C2160" s="6" t="inlineStr">
        <is>
          <t>TN</t>
        </is>
      </c>
      <c r="D2160" s="7" t="inlineStr">
        <is>
          <t>TN52Y8302</t>
        </is>
      </c>
      <c r="E2160" s="7" t="inlineStr">
        <is>
          <t>TATA</t>
        </is>
      </c>
      <c r="F2160" s="7" t="inlineStr">
        <is>
          <t>Indica</t>
        </is>
      </c>
      <c r="G2160" s="7" t="inlineStr">
        <is>
          <t>THIRIVENI CARS</t>
        </is>
      </c>
      <c r="H2160" s="7" t="inlineStr">
        <is>
          <t>Non-Captive</t>
        </is>
      </c>
      <c r="I2160" s="7" t="inlineStr">
        <is>
          <t>Shree Shan Motor</t>
        </is>
      </c>
      <c r="J2160" s="8" t="n">
        <v>2010</v>
      </c>
      <c r="K2160" s="9" t="n">
        <v>152241</v>
      </c>
      <c r="L2160" s="10" t="n">
        <v>90000</v>
      </c>
      <c r="M2160" s="10" t="n">
        <v>3389.83</v>
      </c>
      <c r="N2160" s="11">
        <f>IF(M2160="","",ROUND(M2160*1.18,2))</f>
        <v/>
      </c>
      <c r="O2160" s="12">
        <f>IF(M2160="","",ROUND(N2160-M2160,2))</f>
        <v/>
      </c>
      <c r="P2160" s="13">
        <f>IF(AND(A2160&lt;&gt;"",B2160&lt;&gt;""), A2160&amp;" · "&amp;B2160, "")</f>
        <v/>
      </c>
    </row>
    <row r="2161">
      <c r="A2161" s="6" t="inlineStr">
        <is>
          <t>FY27</t>
        </is>
      </c>
      <c r="B2161" s="6" t="inlineStr">
        <is>
          <t>May</t>
        </is>
      </c>
      <c r="C2161" s="6" t="inlineStr">
        <is>
          <t>TN</t>
        </is>
      </c>
      <c r="D2161" s="7" t="inlineStr">
        <is>
          <t>TN54D5293</t>
        </is>
      </c>
      <c r="E2161" s="7" t="inlineStr">
        <is>
          <t>TATA</t>
        </is>
      </c>
      <c r="F2161" s="7" t="inlineStr">
        <is>
          <t>Indica</t>
        </is>
      </c>
      <c r="G2161" s="7" t="inlineStr">
        <is>
          <t>EXCHANGE ROTN</t>
        </is>
      </c>
      <c r="H2161" s="7" t="inlineStr">
        <is>
          <t>Captive</t>
        </is>
      </c>
      <c r="I2161" s="7" t="inlineStr">
        <is>
          <t>Somasundharam cars</t>
        </is>
      </c>
      <c r="J2161" s="8" t="n">
        <v>2011</v>
      </c>
      <c r="K2161" s="9" t="n">
        <v>95687</v>
      </c>
      <c r="L2161" s="10" t="n">
        <v>45000</v>
      </c>
      <c r="M2161" s="10" t="n">
        <v>4237.29</v>
      </c>
      <c r="N2161" s="11">
        <f>IF(M2161="","",ROUND(M2161*1.18,2))</f>
        <v/>
      </c>
      <c r="O2161" s="12">
        <f>IF(M2161="","",ROUND(N2161-M2161,2))</f>
        <v/>
      </c>
      <c r="P2161" s="13">
        <f>IF(AND(A2161&lt;&gt;"",B2161&lt;&gt;""), A2161&amp;" · "&amp;B2161, "")</f>
        <v/>
      </c>
    </row>
    <row r="2162">
      <c r="A2162" s="6" t="inlineStr">
        <is>
          <t>FY27</t>
        </is>
      </c>
      <c r="B2162" s="6" t="inlineStr">
        <is>
          <t>May</t>
        </is>
      </c>
      <c r="C2162" s="6" t="inlineStr">
        <is>
          <t>TN</t>
        </is>
      </c>
      <c r="D2162" s="7" t="inlineStr">
        <is>
          <t>TN58AC5286</t>
        </is>
      </c>
      <c r="E2162" s="7" t="inlineStr">
        <is>
          <t>CHEVROLET</t>
        </is>
      </c>
      <c r="F2162" s="7" t="inlineStr">
        <is>
          <t>Beat</t>
        </is>
      </c>
      <c r="G2162" s="7" t="inlineStr">
        <is>
          <t>KSM AUTO CONSULTING</t>
        </is>
      </c>
      <c r="H2162" s="7" t="inlineStr">
        <is>
          <t>Non-Captive</t>
        </is>
      </c>
      <c r="I2162" s="7" t="inlineStr">
        <is>
          <t>Paul Cars</t>
        </is>
      </c>
      <c r="J2162" s="8" t="n">
        <v>2012</v>
      </c>
      <c r="K2162" s="9" t="n">
        <v>87790</v>
      </c>
      <c r="L2162" s="10" t="n">
        <v>82000</v>
      </c>
      <c r="M2162" s="10" t="n">
        <v>4237.29</v>
      </c>
      <c r="N2162" s="11">
        <f>IF(M2162="","",ROUND(M2162*1.18,2))</f>
        <v/>
      </c>
      <c r="O2162" s="12">
        <f>IF(M2162="","",ROUND(N2162-M2162,2))</f>
        <v/>
      </c>
      <c r="P2162" s="13">
        <f>IF(AND(A2162&lt;&gt;"",B2162&lt;&gt;""), A2162&amp;" · "&amp;B2162, "")</f>
        <v/>
      </c>
    </row>
    <row r="2163">
      <c r="A2163" s="6" t="inlineStr">
        <is>
          <t>FY27</t>
        </is>
      </c>
      <c r="B2163" s="6" t="inlineStr">
        <is>
          <t>May</t>
        </is>
      </c>
      <c r="C2163" s="6" t="inlineStr">
        <is>
          <t>TN</t>
        </is>
      </c>
      <c r="D2163" s="7" t="inlineStr">
        <is>
          <t>TN58AD2370</t>
        </is>
      </c>
      <c r="E2163" s="7" t="inlineStr">
        <is>
          <t>TATA</t>
        </is>
      </c>
      <c r="F2163" s="7" t="inlineStr">
        <is>
          <t>Indigo</t>
        </is>
      </c>
      <c r="G2163" s="7" t="inlineStr">
        <is>
          <t>EXCHANGE ROTN</t>
        </is>
      </c>
      <c r="H2163" s="7" t="inlineStr">
        <is>
          <t>Captive</t>
        </is>
      </c>
      <c r="I2163" s="7" t="inlineStr">
        <is>
          <t>Ashwin cars</t>
        </is>
      </c>
      <c r="J2163" s="8" t="n">
        <v>2012</v>
      </c>
      <c r="K2163" s="9" t="n">
        <v>112989</v>
      </c>
      <c r="L2163" s="10" t="n">
        <v>76000</v>
      </c>
      <c r="M2163" s="10" t="n">
        <v>4237.29</v>
      </c>
      <c r="N2163" s="11">
        <f>IF(M2163="","",ROUND(M2163*1.18,2))</f>
        <v/>
      </c>
      <c r="O2163" s="12">
        <f>IF(M2163="","",ROUND(N2163-M2163,2))</f>
        <v/>
      </c>
      <c r="P2163" s="13">
        <f>IF(AND(A2163&lt;&gt;"",B2163&lt;&gt;""), A2163&amp;" · "&amp;B2163, "")</f>
        <v/>
      </c>
    </row>
    <row r="2164">
      <c r="A2164" s="6" t="inlineStr">
        <is>
          <t>FY27</t>
        </is>
      </c>
      <c r="B2164" s="6" t="inlineStr">
        <is>
          <t>May</t>
        </is>
      </c>
      <c r="C2164" s="6" t="inlineStr">
        <is>
          <t>TN</t>
        </is>
      </c>
      <c r="D2164" s="7" t="inlineStr">
        <is>
          <t>TN58AP1014</t>
        </is>
      </c>
      <c r="E2164" s="7" t="inlineStr">
        <is>
          <t>DATSUN</t>
        </is>
      </c>
      <c r="F2164" s="7" t="inlineStr">
        <is>
          <t>Redi-GO</t>
        </is>
      </c>
      <c r="G2164" s="7" t="inlineStr">
        <is>
          <t>EXCHANGE ROTN</t>
        </is>
      </c>
      <c r="H2164" s="7" t="inlineStr">
        <is>
          <t>Captive</t>
        </is>
      </c>
      <c r="I2164" s="7" t="inlineStr">
        <is>
          <t>Ashwin cars</t>
        </is>
      </c>
      <c r="J2164" s="8" t="n">
        <v>2017</v>
      </c>
      <c r="K2164" s="9" t="n">
        <v>64854</v>
      </c>
      <c r="L2164" s="10" t="n">
        <v>88000</v>
      </c>
      <c r="M2164" s="10" t="n">
        <v>4237.29</v>
      </c>
      <c r="N2164" s="11">
        <f>IF(M2164="","",ROUND(M2164*1.18,2))</f>
        <v/>
      </c>
      <c r="O2164" s="12">
        <f>IF(M2164="","",ROUND(N2164-M2164,2))</f>
        <v/>
      </c>
      <c r="P2164" s="13">
        <f>IF(AND(A2164&lt;&gt;"",B2164&lt;&gt;""), A2164&amp;" · "&amp;B2164, "")</f>
        <v/>
      </c>
    </row>
    <row r="2165">
      <c r="A2165" s="6" t="inlineStr">
        <is>
          <t>FY27</t>
        </is>
      </c>
      <c r="B2165" s="6" t="inlineStr">
        <is>
          <t>May</t>
        </is>
      </c>
      <c r="C2165" s="6" t="inlineStr">
        <is>
          <t>TN</t>
        </is>
      </c>
      <c r="D2165" s="7" t="inlineStr">
        <is>
          <t>TN58S8727</t>
        </is>
      </c>
      <c r="E2165" s="7" t="inlineStr">
        <is>
          <t>HYUNDAI</t>
        </is>
      </c>
      <c r="F2165" s="7" t="inlineStr">
        <is>
          <t>Santro</t>
        </is>
      </c>
      <c r="G2165" s="7" t="inlineStr">
        <is>
          <t>EXCHANGE ROTN</t>
        </is>
      </c>
      <c r="H2165" s="7" t="inlineStr">
        <is>
          <t>Captive</t>
        </is>
      </c>
      <c r="I2165" s="7" t="inlineStr">
        <is>
          <t>Ashwin cars</t>
        </is>
      </c>
      <c r="J2165" s="8" t="n">
        <v>2008</v>
      </c>
      <c r="K2165" s="9" t="n">
        <v>91322</v>
      </c>
      <c r="L2165" s="10" t="n">
        <v>63000</v>
      </c>
      <c r="M2165" s="10" t="n">
        <v>4237.29</v>
      </c>
      <c r="N2165" s="11">
        <f>IF(M2165="","",ROUND(M2165*1.18,2))</f>
        <v/>
      </c>
      <c r="O2165" s="12">
        <f>IF(M2165="","",ROUND(N2165-M2165,2))</f>
        <v/>
      </c>
      <c r="P2165" s="13">
        <f>IF(AND(A2165&lt;&gt;"",B2165&lt;&gt;""), A2165&amp;" · "&amp;B2165, "")</f>
        <v/>
      </c>
    </row>
    <row r="2166">
      <c r="A2166" s="6" t="inlineStr">
        <is>
          <t>FY27</t>
        </is>
      </c>
      <c r="B2166" s="6" t="inlineStr">
        <is>
          <t>May</t>
        </is>
      </c>
      <c r="C2166" s="6" t="inlineStr">
        <is>
          <t>TN</t>
        </is>
      </c>
      <c r="D2166" s="7" t="inlineStr">
        <is>
          <t>TN59AT8632</t>
        </is>
      </c>
      <c r="E2166" s="7" t="inlineStr">
        <is>
          <t>MARUTI SUZUKI</t>
        </is>
      </c>
      <c r="F2166" s="7" t="inlineStr">
        <is>
          <t>Dzire</t>
        </is>
      </c>
      <c r="G2166" s="7" t="inlineStr">
        <is>
          <t>EXCHANGE ROTN</t>
        </is>
      </c>
      <c r="H2166" s="7" t="inlineStr">
        <is>
          <t>Captive</t>
        </is>
      </c>
      <c r="I2166" s="7" t="inlineStr">
        <is>
          <t>Ashwin cars</t>
        </is>
      </c>
      <c r="J2166" s="8" t="n">
        <v>2011</v>
      </c>
      <c r="K2166" s="9" t="n">
        <v>139800</v>
      </c>
      <c r="L2166" s="10" t="n">
        <v>94000</v>
      </c>
      <c r="M2166" s="10" t="n">
        <v>4237.29</v>
      </c>
      <c r="N2166" s="11">
        <f>IF(M2166="","",ROUND(M2166*1.18,2))</f>
        <v/>
      </c>
      <c r="O2166" s="12">
        <f>IF(M2166="","",ROUND(N2166-M2166,2))</f>
        <v/>
      </c>
      <c r="P2166" s="13">
        <f>IF(AND(A2166&lt;&gt;"",B2166&lt;&gt;""), A2166&amp;" · "&amp;B2166, "")</f>
        <v/>
      </c>
    </row>
    <row r="2167">
      <c r="A2167" s="6" t="inlineStr">
        <is>
          <t>FY27</t>
        </is>
      </c>
      <c r="B2167" s="6" t="inlineStr">
        <is>
          <t>May</t>
        </is>
      </c>
      <c r="C2167" s="6" t="inlineStr">
        <is>
          <t>TN</t>
        </is>
      </c>
      <c r="D2167" s="7" t="inlineStr">
        <is>
          <t>TN59AU2679</t>
        </is>
      </c>
      <c r="E2167" s="7" t="inlineStr">
        <is>
          <t>MARUTI SUZUKI</t>
        </is>
      </c>
      <c r="F2167" s="7" t="inlineStr">
        <is>
          <t>Alto K10</t>
        </is>
      </c>
      <c r="G2167" s="7" t="inlineStr">
        <is>
          <t>EXCHANGE ROTN</t>
        </is>
      </c>
      <c r="H2167" s="7" t="inlineStr">
        <is>
          <t>Captive</t>
        </is>
      </c>
      <c r="I2167" s="7" t="inlineStr">
        <is>
          <t>KSM Auto Consulting</t>
        </is>
      </c>
      <c r="J2167" s="8" t="n">
        <v>2012</v>
      </c>
      <c r="K2167" s="9" t="n">
        <v>99101</v>
      </c>
      <c r="L2167" s="10" t="n">
        <v>150000</v>
      </c>
      <c r="M2167" s="10" t="n">
        <v>4237.29</v>
      </c>
      <c r="N2167" s="11">
        <f>IF(M2167="","",ROUND(M2167*1.18,2))</f>
        <v/>
      </c>
      <c r="O2167" s="12">
        <f>IF(M2167="","",ROUND(N2167-M2167,2))</f>
        <v/>
      </c>
      <c r="P2167" s="13">
        <f>IF(AND(A2167&lt;&gt;"",B2167&lt;&gt;""), A2167&amp;" · "&amp;B2167, "")</f>
        <v/>
      </c>
    </row>
    <row r="2168">
      <c r="A2168" s="6" t="inlineStr">
        <is>
          <t>FY27</t>
        </is>
      </c>
      <c r="B2168" s="6" t="inlineStr">
        <is>
          <t>May</t>
        </is>
      </c>
      <c r="C2168" s="6" t="inlineStr">
        <is>
          <t>TN</t>
        </is>
      </c>
      <c r="D2168" s="7" t="inlineStr">
        <is>
          <t>TN59AV7116</t>
        </is>
      </c>
      <c r="E2168" s="7" t="inlineStr">
        <is>
          <t>FORD</t>
        </is>
      </c>
      <c r="F2168" s="7" t="inlineStr">
        <is>
          <t>Fiesta Classic</t>
        </is>
      </c>
      <c r="G2168" s="7" t="inlineStr">
        <is>
          <t>KSM AUTO CONSULTING</t>
        </is>
      </c>
      <c r="H2168" s="7" t="inlineStr">
        <is>
          <t>Non-Captive</t>
        </is>
      </c>
      <c r="I2168" s="7" t="inlineStr">
        <is>
          <t>Thiya Cars</t>
        </is>
      </c>
      <c r="J2168" s="8" t="n">
        <v>2012</v>
      </c>
      <c r="K2168" s="9" t="n">
        <v>156855</v>
      </c>
      <c r="L2168" s="10" t="n">
        <v>94000</v>
      </c>
      <c r="M2168" s="10" t="n">
        <v>3389.83</v>
      </c>
      <c r="N2168" s="11">
        <f>IF(M2168="","",ROUND(M2168*1.18,2))</f>
        <v/>
      </c>
      <c r="O2168" s="12">
        <f>IF(M2168="","",ROUND(N2168-M2168,2))</f>
        <v/>
      </c>
      <c r="P2168" s="13">
        <f>IF(AND(A2168&lt;&gt;"",B2168&lt;&gt;""), A2168&amp;" · "&amp;B2168, "")</f>
        <v/>
      </c>
    </row>
    <row r="2169">
      <c r="A2169" s="6" t="inlineStr">
        <is>
          <t>FY27</t>
        </is>
      </c>
      <c r="B2169" s="6" t="inlineStr">
        <is>
          <t>May</t>
        </is>
      </c>
      <c r="C2169" s="6" t="inlineStr">
        <is>
          <t>TN</t>
        </is>
      </c>
      <c r="D2169" s="7" t="inlineStr">
        <is>
          <t>TN59BL7621</t>
        </is>
      </c>
      <c r="E2169" s="7" t="inlineStr">
        <is>
          <t>MAHINDRA</t>
        </is>
      </c>
      <c r="F2169" s="7" t="inlineStr">
        <is>
          <t>TUV300</t>
        </is>
      </c>
      <c r="G2169" s="7" t="inlineStr">
        <is>
          <t>EXCHANGE ROTN</t>
        </is>
      </c>
      <c r="H2169" s="7" t="inlineStr">
        <is>
          <t>Captive</t>
        </is>
      </c>
      <c r="I2169" s="7" t="inlineStr">
        <is>
          <t>Auto Motivators</t>
        </is>
      </c>
      <c r="J2169" s="8" t="n">
        <v>2016</v>
      </c>
      <c r="K2169" s="9" t="n">
        <v>55480</v>
      </c>
      <c r="L2169" s="10" t="n">
        <v>400000</v>
      </c>
      <c r="M2169" s="10" t="n">
        <v>12711.86</v>
      </c>
      <c r="N2169" s="11">
        <f>IF(M2169="","",ROUND(M2169*1.18,2))</f>
        <v/>
      </c>
      <c r="O2169" s="12">
        <f>IF(M2169="","",ROUND(N2169-M2169,2))</f>
        <v/>
      </c>
      <c r="P2169" s="13">
        <f>IF(AND(A2169&lt;&gt;"",B2169&lt;&gt;""), A2169&amp;" · "&amp;B2169, "")</f>
        <v/>
      </c>
    </row>
    <row r="2170">
      <c r="A2170" s="6" t="inlineStr">
        <is>
          <t>FY27</t>
        </is>
      </c>
      <c r="B2170" s="6" t="inlineStr">
        <is>
          <t>May</t>
        </is>
      </c>
      <c r="C2170" s="6" t="inlineStr">
        <is>
          <t>TN</t>
        </is>
      </c>
      <c r="D2170" s="7" t="inlineStr">
        <is>
          <t>TN59BM9842</t>
        </is>
      </c>
      <c r="E2170" s="7" t="inlineStr">
        <is>
          <t>RENAULT</t>
        </is>
      </c>
      <c r="F2170" s="7" t="inlineStr">
        <is>
          <t>Kwid</t>
        </is>
      </c>
      <c r="G2170" s="7" t="inlineStr">
        <is>
          <t>EXCHANGE ROTN</t>
        </is>
      </c>
      <c r="H2170" s="7" t="inlineStr">
        <is>
          <t>Captive</t>
        </is>
      </c>
      <c r="I2170" s="7" t="inlineStr">
        <is>
          <t>Sai Cars</t>
        </is>
      </c>
      <c r="J2170" s="8" t="n">
        <v>2017</v>
      </c>
      <c r="K2170" s="9" t="n">
        <v>133565</v>
      </c>
      <c r="L2170" s="10" t="n">
        <v>98000</v>
      </c>
      <c r="M2170" s="10" t="n">
        <v>4237.29</v>
      </c>
      <c r="N2170" s="11">
        <f>IF(M2170="","",ROUND(M2170*1.18,2))</f>
        <v/>
      </c>
      <c r="O2170" s="12">
        <f>IF(M2170="","",ROUND(N2170-M2170,2))</f>
        <v/>
      </c>
      <c r="P2170" s="13">
        <f>IF(AND(A2170&lt;&gt;"",B2170&lt;&gt;""), A2170&amp;" · "&amp;B2170, "")</f>
        <v/>
      </c>
    </row>
    <row r="2171">
      <c r="A2171" s="6" t="inlineStr">
        <is>
          <t>FY27</t>
        </is>
      </c>
      <c r="B2171" s="6" t="inlineStr">
        <is>
          <t>May</t>
        </is>
      </c>
      <c r="C2171" s="6" t="inlineStr">
        <is>
          <t>TN</t>
        </is>
      </c>
      <c r="D2171" s="7" t="inlineStr">
        <is>
          <t>TN63AS4156</t>
        </is>
      </c>
      <c r="E2171" s="7" t="inlineStr">
        <is>
          <t>HYUNDAI</t>
        </is>
      </c>
      <c r="F2171" s="7" t="inlineStr">
        <is>
          <t>Grand i10</t>
        </is>
      </c>
      <c r="G2171" s="7" t="inlineStr">
        <is>
          <t>EXCHANGE ROTN</t>
        </is>
      </c>
      <c r="H2171" s="7" t="inlineStr">
        <is>
          <t>Captive</t>
        </is>
      </c>
      <c r="I2171" s="7" t="inlineStr">
        <is>
          <t>SRI RAJA KANAPATHY CARS</t>
        </is>
      </c>
      <c r="J2171" s="8" t="n">
        <v>2016</v>
      </c>
      <c r="K2171" s="9" t="n">
        <v>138822</v>
      </c>
      <c r="L2171" s="10" t="n">
        <v>265000</v>
      </c>
      <c r="M2171" s="10" t="n">
        <v>8474.58</v>
      </c>
      <c r="N2171" s="11">
        <f>IF(M2171="","",ROUND(M2171*1.18,2))</f>
        <v/>
      </c>
      <c r="O2171" s="12">
        <f>IF(M2171="","",ROUND(N2171-M2171,2))</f>
        <v/>
      </c>
      <c r="P2171" s="13">
        <f>IF(AND(A2171&lt;&gt;"",B2171&lt;&gt;""), A2171&amp;" · "&amp;B2171, "")</f>
        <v/>
      </c>
    </row>
    <row r="2172">
      <c r="A2172" s="6" t="inlineStr">
        <is>
          <t>FY27</t>
        </is>
      </c>
      <c r="B2172" s="6" t="inlineStr">
        <is>
          <t>May</t>
        </is>
      </c>
      <c r="C2172" s="6" t="inlineStr">
        <is>
          <t>TN</t>
        </is>
      </c>
      <c r="D2172" s="7" t="inlineStr">
        <is>
          <t>TN63R9682</t>
        </is>
      </c>
      <c r="E2172" s="7" t="inlineStr">
        <is>
          <t>HYUNDAI</t>
        </is>
      </c>
      <c r="F2172" s="7" t="inlineStr">
        <is>
          <t>i10</t>
        </is>
      </c>
      <c r="G2172" s="7" t="inlineStr">
        <is>
          <t>KUN KIA - MADURAI (PRODUCTIVITY ELEMENTS PRIVATE LIMITED</t>
        </is>
      </c>
      <c r="H2172" s="7" t="inlineStr">
        <is>
          <t>Non-Captive</t>
        </is>
      </c>
      <c r="I2172" s="7" t="inlineStr">
        <is>
          <t>Nirmal Cars</t>
        </is>
      </c>
      <c r="J2172" s="8" t="n">
        <v>2010</v>
      </c>
      <c r="K2172" s="9" t="n">
        <v>82737</v>
      </c>
      <c r="L2172" s="10" t="n">
        <v>144000</v>
      </c>
      <c r="M2172" s="10" t="n">
        <v>3389.83</v>
      </c>
      <c r="N2172" s="11">
        <f>IF(M2172="","",ROUND(M2172*1.18,2))</f>
        <v/>
      </c>
      <c r="O2172" s="12">
        <f>IF(M2172="","",ROUND(N2172-M2172,2))</f>
        <v/>
      </c>
      <c r="P2172" s="13">
        <f>IF(AND(A2172&lt;&gt;"",B2172&lt;&gt;""), A2172&amp;" · "&amp;B2172, "")</f>
        <v/>
      </c>
    </row>
    <row r="2173">
      <c r="A2173" s="6" t="inlineStr">
        <is>
          <t>FY27</t>
        </is>
      </c>
      <c r="B2173" s="6" t="inlineStr">
        <is>
          <t>May</t>
        </is>
      </c>
      <c r="C2173" s="6" t="inlineStr">
        <is>
          <t>TN</t>
        </is>
      </c>
      <c r="D2173" s="7" t="inlineStr">
        <is>
          <t>TN63S0367</t>
        </is>
      </c>
      <c r="E2173" s="7" t="inlineStr">
        <is>
          <t>TATA</t>
        </is>
      </c>
      <c r="F2173" s="7" t="inlineStr">
        <is>
          <t>Indica</t>
        </is>
      </c>
      <c r="G2173" s="7" t="inlineStr">
        <is>
          <t>EXCHANGE ROTN</t>
        </is>
      </c>
      <c r="H2173" s="7" t="inlineStr">
        <is>
          <t>Captive</t>
        </is>
      </c>
      <c r="I2173" s="7" t="inlineStr">
        <is>
          <t>Somasundharam cars</t>
        </is>
      </c>
      <c r="J2173" s="8" t="n">
        <v>2008</v>
      </c>
      <c r="K2173" s="9" t="n">
        <v>118678</v>
      </c>
      <c r="L2173" s="10" t="n">
        <v>62000</v>
      </c>
      <c r="M2173" s="10" t="n">
        <v>4237.29</v>
      </c>
      <c r="N2173" s="11">
        <f>IF(M2173="","",ROUND(M2173*1.18,2))</f>
        <v/>
      </c>
      <c r="O2173" s="12">
        <f>IF(M2173="","",ROUND(N2173-M2173,2))</f>
        <v/>
      </c>
      <c r="P2173" s="13">
        <f>IF(AND(A2173&lt;&gt;"",B2173&lt;&gt;""), A2173&amp;" · "&amp;B2173, "")</f>
        <v/>
      </c>
    </row>
    <row r="2174">
      <c r="A2174" s="6" t="inlineStr">
        <is>
          <t>FY27</t>
        </is>
      </c>
      <c r="B2174" s="6" t="inlineStr">
        <is>
          <t>May</t>
        </is>
      </c>
      <c r="C2174" s="6" t="inlineStr">
        <is>
          <t>TN</t>
        </is>
      </c>
      <c r="D2174" s="7" t="inlineStr">
        <is>
          <t>TN65T7573</t>
        </is>
      </c>
      <c r="E2174" s="7" t="inlineStr">
        <is>
          <t>MARUTI SUZUKI</t>
        </is>
      </c>
      <c r="F2174" s="7" t="inlineStr">
        <is>
          <t>Alto</t>
        </is>
      </c>
      <c r="G2174" s="7" t="inlineStr">
        <is>
          <t>CAR HUB</t>
        </is>
      </c>
      <c r="H2174" s="7" t="inlineStr">
        <is>
          <t>Non-Captive</t>
        </is>
      </c>
      <c r="I2174" s="7" t="inlineStr">
        <is>
          <t>TSM</t>
        </is>
      </c>
      <c r="J2174" s="8" t="n">
        <v>2014</v>
      </c>
      <c r="K2174" s="9" t="n">
        <v>88550</v>
      </c>
      <c r="L2174" s="10" t="n">
        <v>160000</v>
      </c>
      <c r="M2174" s="10" t="n">
        <v>4237.29</v>
      </c>
      <c r="N2174" s="11">
        <f>IF(M2174="","",ROUND(M2174*1.18,2))</f>
        <v/>
      </c>
      <c r="O2174" s="12">
        <f>IF(M2174="","",ROUND(N2174-M2174,2))</f>
        <v/>
      </c>
      <c r="P2174" s="13">
        <f>IF(AND(A2174&lt;&gt;"",B2174&lt;&gt;""), A2174&amp;" · "&amp;B2174, "")</f>
        <v/>
      </c>
    </row>
    <row r="2175">
      <c r="A2175" s="6" t="inlineStr">
        <is>
          <t>FY27</t>
        </is>
      </c>
      <c r="B2175" s="6" t="inlineStr">
        <is>
          <t>May</t>
        </is>
      </c>
      <c r="C2175" s="6" t="inlineStr">
        <is>
          <t>TN</t>
        </is>
      </c>
      <c r="D2175" s="7" t="inlineStr">
        <is>
          <t>TN67AJ5697</t>
        </is>
      </c>
      <c r="E2175" s="7" t="inlineStr">
        <is>
          <t>HONDA</t>
        </is>
      </c>
      <c r="F2175" s="7" t="inlineStr">
        <is>
          <t>City</t>
        </is>
      </c>
      <c r="G2175" s="7" t="inlineStr">
        <is>
          <t>EXCHANGE ROTN</t>
        </is>
      </c>
      <c r="H2175" s="7" t="inlineStr">
        <is>
          <t>Captive</t>
        </is>
      </c>
      <c r="I2175" s="7" t="inlineStr">
        <is>
          <t>Ashwin cars</t>
        </is>
      </c>
      <c r="J2175" s="8" t="n">
        <v>2013</v>
      </c>
      <c r="K2175" s="9" t="n">
        <v>95284</v>
      </c>
      <c r="L2175" s="10" t="n">
        <v>290000</v>
      </c>
      <c r="M2175" s="10" t="n">
        <v>8474.58</v>
      </c>
      <c r="N2175" s="11">
        <f>IF(M2175="","",ROUND(M2175*1.18,2))</f>
        <v/>
      </c>
      <c r="O2175" s="12">
        <f>IF(M2175="","",ROUND(N2175-M2175,2))</f>
        <v/>
      </c>
      <c r="P2175" s="13">
        <f>IF(AND(A2175&lt;&gt;"",B2175&lt;&gt;""), A2175&amp;" · "&amp;B2175, "")</f>
        <v/>
      </c>
    </row>
    <row r="2176">
      <c r="A2176" s="6" t="inlineStr">
        <is>
          <t>FY27</t>
        </is>
      </c>
      <c r="B2176" s="6" t="inlineStr">
        <is>
          <t>May</t>
        </is>
      </c>
      <c r="C2176" s="6" t="inlineStr">
        <is>
          <t>TN</t>
        </is>
      </c>
      <c r="D2176" s="7" t="inlineStr">
        <is>
          <t>TN67AL8575</t>
        </is>
      </c>
      <c r="E2176" s="7" t="inlineStr">
        <is>
          <t>MARUTI SUZUKI</t>
        </is>
      </c>
      <c r="F2176" s="7" t="inlineStr">
        <is>
          <t>Dzire</t>
        </is>
      </c>
      <c r="G2176" s="7" t="inlineStr">
        <is>
          <t>EXCHANGE ROTN</t>
        </is>
      </c>
      <c r="H2176" s="7" t="inlineStr">
        <is>
          <t>Captive</t>
        </is>
      </c>
      <c r="I2176" s="7" t="inlineStr">
        <is>
          <t>PURUSOTHAMAN J CARS</t>
        </is>
      </c>
      <c r="J2176" s="8" t="n">
        <v>2013</v>
      </c>
      <c r="K2176" s="9" t="n">
        <v>176000</v>
      </c>
      <c r="L2176" s="10" t="n">
        <v>210000</v>
      </c>
      <c r="M2176" s="10" t="n">
        <v>4237.29</v>
      </c>
      <c r="N2176" s="11">
        <f>IF(M2176="","",ROUND(M2176*1.18,2))</f>
        <v/>
      </c>
      <c r="O2176" s="12">
        <f>IF(M2176="","",ROUND(N2176-M2176,2))</f>
        <v/>
      </c>
      <c r="P2176" s="13">
        <f>IF(AND(A2176&lt;&gt;"",B2176&lt;&gt;""), A2176&amp;" · "&amp;B2176, "")</f>
        <v/>
      </c>
    </row>
    <row r="2177">
      <c r="A2177" s="6" t="inlineStr">
        <is>
          <t>FY27</t>
        </is>
      </c>
      <c r="B2177" s="6" t="inlineStr">
        <is>
          <t>May</t>
        </is>
      </c>
      <c r="C2177" s="6" t="inlineStr">
        <is>
          <t>TN</t>
        </is>
      </c>
      <c r="D2177" s="7" t="inlineStr">
        <is>
          <t>TN67BC5293</t>
        </is>
      </c>
      <c r="E2177" s="7" t="inlineStr">
        <is>
          <t>FORD</t>
        </is>
      </c>
      <c r="F2177" s="7" t="inlineStr">
        <is>
          <t>Figo</t>
        </is>
      </c>
      <c r="G2177" s="7" t="inlineStr">
        <is>
          <t>EXCHANGE ROTN</t>
        </is>
      </c>
      <c r="H2177" s="7" t="inlineStr">
        <is>
          <t>Captive</t>
        </is>
      </c>
      <c r="I2177" s="7" t="inlineStr">
        <is>
          <t>Sai Cars</t>
        </is>
      </c>
      <c r="J2177" s="8" t="n">
        <v>2015</v>
      </c>
      <c r="K2177" s="9" t="n">
        <v>183351</v>
      </c>
      <c r="L2177" s="10" t="n">
        <v>245000</v>
      </c>
      <c r="M2177" s="10" t="n">
        <v>8474.58</v>
      </c>
      <c r="N2177" s="11">
        <f>IF(M2177="","",ROUND(M2177*1.18,2))</f>
        <v/>
      </c>
      <c r="O2177" s="12">
        <f>IF(M2177="","",ROUND(N2177-M2177,2))</f>
        <v/>
      </c>
      <c r="P2177" s="13">
        <f>IF(AND(A2177&lt;&gt;"",B2177&lt;&gt;""), A2177&amp;" · "&amp;B2177, "")</f>
        <v/>
      </c>
    </row>
    <row r="2178">
      <c r="A2178" s="6" t="inlineStr">
        <is>
          <t>FY27</t>
        </is>
      </c>
      <c r="B2178" s="6" t="inlineStr">
        <is>
          <t>May</t>
        </is>
      </c>
      <c r="C2178" s="6" t="inlineStr">
        <is>
          <t>TN</t>
        </is>
      </c>
      <c r="D2178" s="7" t="inlineStr">
        <is>
          <t>TN67BP4424</t>
        </is>
      </c>
      <c r="E2178" s="7" t="inlineStr">
        <is>
          <t>HONDA</t>
        </is>
      </c>
      <c r="F2178" s="7" t="inlineStr">
        <is>
          <t>City</t>
        </is>
      </c>
      <c r="G2178" s="7" t="inlineStr">
        <is>
          <t>EXCHANGE ROTN</t>
        </is>
      </c>
      <c r="H2178" s="7" t="inlineStr">
        <is>
          <t>Captive</t>
        </is>
      </c>
      <c r="I2178" s="7" t="inlineStr">
        <is>
          <t>Somasundharam cars</t>
        </is>
      </c>
      <c r="J2178" s="8" t="n">
        <v>2022</v>
      </c>
      <c r="K2178" s="9" t="n">
        <v>72441</v>
      </c>
      <c r="L2178" s="10" t="n">
        <v>850000</v>
      </c>
      <c r="M2178" s="10" t="n">
        <v>16949.15</v>
      </c>
      <c r="N2178" s="11">
        <f>IF(M2178="","",ROUND(M2178*1.18,2))</f>
        <v/>
      </c>
      <c r="O2178" s="12">
        <f>IF(M2178="","",ROUND(N2178-M2178,2))</f>
        <v/>
      </c>
      <c r="P2178" s="13">
        <f>IF(AND(A2178&lt;&gt;"",B2178&lt;&gt;""), A2178&amp;" · "&amp;B2178, "")</f>
        <v/>
      </c>
    </row>
    <row r="2179">
      <c r="A2179" s="6" t="inlineStr">
        <is>
          <t>FY27</t>
        </is>
      </c>
      <c r="B2179" s="6" t="inlineStr">
        <is>
          <t>May</t>
        </is>
      </c>
      <c r="C2179" s="6" t="inlineStr">
        <is>
          <t>TN</t>
        </is>
      </c>
      <c r="D2179" s="7" t="inlineStr">
        <is>
          <t>TN67BZ8286</t>
        </is>
      </c>
      <c r="E2179" s="7" t="inlineStr">
        <is>
          <t>NISSAN</t>
        </is>
      </c>
      <c r="F2179" s="7" t="inlineStr">
        <is>
          <t>Micra</t>
        </is>
      </c>
      <c r="G2179" s="7" t="inlineStr">
        <is>
          <t>EXCHANGE ROTN</t>
        </is>
      </c>
      <c r="H2179" s="7" t="inlineStr">
        <is>
          <t>Captive</t>
        </is>
      </c>
      <c r="I2179" s="7" t="inlineStr">
        <is>
          <t>Paul Cars</t>
        </is>
      </c>
      <c r="J2179" s="8" t="n">
        <v>2014</v>
      </c>
      <c r="K2179" s="9" t="n">
        <v>103819</v>
      </c>
      <c r="L2179" s="10" t="n">
        <v>88000</v>
      </c>
      <c r="M2179" s="10" t="n">
        <v>4237.29</v>
      </c>
      <c r="N2179" s="11">
        <f>IF(M2179="","",ROUND(M2179*1.18,2))</f>
        <v/>
      </c>
      <c r="O2179" s="12">
        <f>IF(M2179="","",ROUND(N2179-M2179,2))</f>
        <v/>
      </c>
      <c r="P2179" s="13">
        <f>IF(AND(A2179&lt;&gt;"",B2179&lt;&gt;""), A2179&amp;" · "&amp;B2179, "")</f>
        <v/>
      </c>
    </row>
    <row r="2180">
      <c r="A2180" s="6" t="inlineStr">
        <is>
          <t>FY27</t>
        </is>
      </c>
      <c r="B2180" s="6" t="inlineStr">
        <is>
          <t>May</t>
        </is>
      </c>
      <c r="C2180" s="6" t="inlineStr">
        <is>
          <t>TN</t>
        </is>
      </c>
      <c r="D2180" s="7" t="inlineStr">
        <is>
          <t>TN69BD8543</t>
        </is>
      </c>
      <c r="E2180" s="7" t="inlineStr">
        <is>
          <t>HONDA</t>
        </is>
      </c>
      <c r="F2180" s="7" t="inlineStr">
        <is>
          <t>Brio</t>
        </is>
      </c>
      <c r="G2180" s="7" t="inlineStr">
        <is>
          <t>EXCHANGE CHENNAI</t>
        </is>
      </c>
      <c r="H2180" s="7" t="inlineStr">
        <is>
          <t>Captive</t>
        </is>
      </c>
      <c r="I2180" s="7" t="inlineStr">
        <is>
          <t>Varadhrajan cars</t>
        </is>
      </c>
      <c r="J2180" s="8" t="n">
        <v>2017</v>
      </c>
      <c r="K2180" s="9" t="n">
        <v>84259</v>
      </c>
      <c r="L2180" s="10" t="n">
        <v>300000</v>
      </c>
      <c r="M2180" s="10" t="n">
        <v>8474.58</v>
      </c>
      <c r="N2180" s="11">
        <f>IF(M2180="","",ROUND(M2180*1.18,2))</f>
        <v/>
      </c>
      <c r="O2180" s="12">
        <f>IF(M2180="","",ROUND(N2180-M2180,2))</f>
        <v/>
      </c>
      <c r="P2180" s="13">
        <f>IF(AND(A2180&lt;&gt;"",B2180&lt;&gt;""), A2180&amp;" · "&amp;B2180, "")</f>
        <v/>
      </c>
    </row>
    <row r="2181">
      <c r="A2181" s="6" t="inlineStr">
        <is>
          <t>FY27</t>
        </is>
      </c>
      <c r="B2181" s="6" t="inlineStr">
        <is>
          <t>May</t>
        </is>
      </c>
      <c r="C2181" s="6" t="inlineStr">
        <is>
          <t>TN</t>
        </is>
      </c>
      <c r="D2181" s="7" t="inlineStr">
        <is>
          <t>TN74AB5960</t>
        </is>
      </c>
      <c r="E2181" s="7" t="inlineStr">
        <is>
          <t>TATA</t>
        </is>
      </c>
      <c r="F2181" s="7" t="inlineStr">
        <is>
          <t>Indigo</t>
        </is>
      </c>
      <c r="G2181" s="7" t="inlineStr">
        <is>
          <t>EXCHANGE ROTN</t>
        </is>
      </c>
      <c r="H2181" s="7" t="inlineStr">
        <is>
          <t>Captive</t>
        </is>
      </c>
      <c r="I2181" s="7" t="inlineStr">
        <is>
          <t>Ashwin cars</t>
        </is>
      </c>
      <c r="J2181" s="8" t="n">
        <v>2011</v>
      </c>
      <c r="K2181" s="9" t="n">
        <v>135151</v>
      </c>
      <c r="L2181" s="10" t="n">
        <v>82000</v>
      </c>
      <c r="M2181" s="10" t="n">
        <v>4237.29</v>
      </c>
      <c r="N2181" s="11">
        <f>IF(M2181="","",ROUND(M2181*1.18,2))</f>
        <v/>
      </c>
      <c r="O2181" s="12">
        <f>IF(M2181="","",ROUND(N2181-M2181,2))</f>
        <v/>
      </c>
      <c r="P2181" s="13">
        <f>IF(AND(A2181&lt;&gt;"",B2181&lt;&gt;""), A2181&amp;" · "&amp;B2181, "")</f>
        <v/>
      </c>
    </row>
    <row r="2182">
      <c r="A2182" s="6" t="inlineStr">
        <is>
          <t>FY27</t>
        </is>
      </c>
      <c r="B2182" s="6" t="inlineStr">
        <is>
          <t>May</t>
        </is>
      </c>
      <c r="C2182" s="6" t="inlineStr">
        <is>
          <t>TN</t>
        </is>
      </c>
      <c r="D2182" s="7" t="inlineStr">
        <is>
          <t>TN779050</t>
        </is>
      </c>
      <c r="E2182" s="7" t="inlineStr">
        <is>
          <t>MAHINDRA</t>
        </is>
      </c>
      <c r="F2182" s="7" t="inlineStr">
        <is>
          <t>Verito</t>
        </is>
      </c>
      <c r="G2182" s="7" t="inlineStr">
        <is>
          <t>EXCHANGE ROTN</t>
        </is>
      </c>
      <c r="H2182" s="7" t="inlineStr">
        <is>
          <t>Captive</t>
        </is>
      </c>
      <c r="I2182" s="7" t="inlineStr">
        <is>
          <t>Somasundharam cars</t>
        </is>
      </c>
      <c r="J2182" s="8" t="n">
        <v>2011</v>
      </c>
      <c r="K2182" s="9" t="n">
        <v>339172</v>
      </c>
      <c r="L2182" s="10" t="n">
        <v>75000</v>
      </c>
      <c r="M2182" s="10" t="n">
        <v>4237.29</v>
      </c>
      <c r="N2182" s="11">
        <f>IF(M2182="","",ROUND(M2182*1.18,2))</f>
        <v/>
      </c>
      <c r="O2182" s="12">
        <f>IF(M2182="","",ROUND(N2182-M2182,2))</f>
        <v/>
      </c>
      <c r="P2182" s="13">
        <f>IF(AND(A2182&lt;&gt;"",B2182&lt;&gt;""), A2182&amp;" · "&amp;B2182, "")</f>
        <v/>
      </c>
    </row>
    <row r="2183">
      <c r="A2183" s="6" t="inlineStr">
        <is>
          <t>FY27</t>
        </is>
      </c>
      <c r="B2183" s="6" t="inlineStr">
        <is>
          <t>May</t>
        </is>
      </c>
      <c r="C2183" s="6" t="inlineStr">
        <is>
          <t>TN</t>
        </is>
      </c>
      <c r="D2183" s="7" t="inlineStr">
        <is>
          <t>TN82P2907</t>
        </is>
      </c>
      <c r="E2183" s="7" t="inlineStr">
        <is>
          <t>TOYOTA</t>
        </is>
      </c>
      <c r="F2183" s="7" t="inlineStr">
        <is>
          <t>Innova Crysta</t>
        </is>
      </c>
      <c r="G2183" s="7" t="inlineStr">
        <is>
          <t>SURIYAKUMAR</t>
        </is>
      </c>
      <c r="H2183" s="7" t="inlineStr">
        <is>
          <t>Non-Captive</t>
        </is>
      </c>
      <c r="I2183" s="7" t="inlineStr">
        <is>
          <t>Shree Shan Motor</t>
        </is>
      </c>
      <c r="J2183" s="8" t="n">
        <v>2023</v>
      </c>
      <c r="K2183" s="9" t="n">
        <v>20352</v>
      </c>
      <c r="L2183" s="10" t="n">
        <v>60000</v>
      </c>
      <c r="M2183" s="10" t="n">
        <v>3389.83</v>
      </c>
      <c r="N2183" s="11">
        <f>IF(M2183="","",ROUND(M2183*1.18,2))</f>
        <v/>
      </c>
      <c r="O2183" s="12">
        <f>IF(M2183="","",ROUND(N2183-M2183,2))</f>
        <v/>
      </c>
      <c r="P2183" s="13">
        <f>IF(AND(A2183&lt;&gt;"",B2183&lt;&gt;""), A2183&amp;" · "&amp;B2183, "")</f>
        <v/>
      </c>
    </row>
    <row r="2184">
      <c r="A2184" s="6" t="inlineStr">
        <is>
          <t>FY27</t>
        </is>
      </c>
      <c r="B2184" s="6" t="inlineStr">
        <is>
          <t>May</t>
        </is>
      </c>
      <c r="C2184" s="6" t="inlineStr">
        <is>
          <t>TN</t>
        </is>
      </c>
      <c r="D2184" s="7" t="inlineStr">
        <is>
          <t>TN84D9832</t>
        </is>
      </c>
      <c r="E2184" s="7" t="inlineStr">
        <is>
          <t>DATSUN</t>
        </is>
      </c>
      <c r="F2184" s="7" t="inlineStr">
        <is>
          <t>Redi-GO</t>
        </is>
      </c>
      <c r="G2184" s="7" t="inlineStr">
        <is>
          <t>EXCHANGE ROTN</t>
        </is>
      </c>
      <c r="H2184" s="7" t="inlineStr">
        <is>
          <t>Captive</t>
        </is>
      </c>
      <c r="I2184" s="7" t="inlineStr">
        <is>
          <t>Paul Cars</t>
        </is>
      </c>
      <c r="J2184" s="8" t="n">
        <v>2017</v>
      </c>
      <c r="K2184" s="9" t="n">
        <v>156273</v>
      </c>
      <c r="L2184" s="10" t="n">
        <v>95000</v>
      </c>
      <c r="M2184" s="10" t="n">
        <v>4237.29</v>
      </c>
      <c r="N2184" s="11">
        <f>IF(M2184="","",ROUND(M2184*1.18,2))</f>
        <v/>
      </c>
      <c r="O2184" s="12">
        <f>IF(M2184="","",ROUND(N2184-M2184,2))</f>
        <v/>
      </c>
      <c r="P2184" s="13">
        <f>IF(AND(A2184&lt;&gt;"",B2184&lt;&gt;""), A2184&amp;" · "&amp;B2184, "")</f>
        <v/>
      </c>
    </row>
    <row r="2185">
      <c r="A2185" s="6" t="inlineStr">
        <is>
          <t>FY27</t>
        </is>
      </c>
      <c r="B2185" s="6" t="inlineStr">
        <is>
          <t>May</t>
        </is>
      </c>
      <c r="C2185" s="6" t="inlineStr">
        <is>
          <t>TN</t>
        </is>
      </c>
      <c r="D2185" s="7" t="inlineStr">
        <is>
          <t>TN85A2584</t>
        </is>
      </c>
      <c r="E2185" s="7" t="inlineStr">
        <is>
          <t>MARUTI SUZUKI</t>
        </is>
      </c>
      <c r="F2185" s="7" t="inlineStr">
        <is>
          <t>Alto</t>
        </is>
      </c>
      <c r="G2185" s="7" t="inlineStr">
        <is>
          <t>KHIVRAJ MOTOR</t>
        </is>
      </c>
      <c r="H2185" s="7" t="inlineStr">
        <is>
          <t>Non-Captive</t>
        </is>
      </c>
      <c r="I2185" s="7" t="inlineStr">
        <is>
          <t>Thiya Cars</t>
        </is>
      </c>
      <c r="J2185" s="8" t="n">
        <v>2014</v>
      </c>
      <c r="K2185" s="9" t="n">
        <v>102780</v>
      </c>
      <c r="L2185" s="10" t="n">
        <v>145000</v>
      </c>
      <c r="M2185" s="10" t="n">
        <v>3389.83</v>
      </c>
      <c r="N2185" s="11">
        <f>IF(M2185="","",ROUND(M2185*1.18,2))</f>
        <v/>
      </c>
      <c r="O2185" s="12">
        <f>IF(M2185="","",ROUND(N2185-M2185,2))</f>
        <v/>
      </c>
      <c r="P2185" s="13">
        <f>IF(AND(A2185&lt;&gt;"",B2185&lt;&gt;""), A2185&amp;" · "&amp;B2185, "")</f>
        <v/>
      </c>
    </row>
    <row r="2186">
      <c r="A2186" s="6" t="inlineStr">
        <is>
          <t>FY27</t>
        </is>
      </c>
      <c r="B2186" s="6" t="inlineStr">
        <is>
          <t>May</t>
        </is>
      </c>
      <c r="C2186" s="6" t="inlineStr">
        <is>
          <t>TN</t>
        </is>
      </c>
      <c r="D2186" s="7" t="inlineStr">
        <is>
          <t>TN85D6060</t>
        </is>
      </c>
      <c r="E2186" s="7" t="inlineStr">
        <is>
          <t>MARUTI SUZUKI</t>
        </is>
      </c>
      <c r="F2186" s="7" t="inlineStr">
        <is>
          <t>Omni</t>
        </is>
      </c>
      <c r="G2186" s="7" t="inlineStr">
        <is>
          <t>INDUS</t>
        </is>
      </c>
      <c r="H2186" s="7" t="inlineStr">
        <is>
          <t>Non-Captive</t>
        </is>
      </c>
      <c r="I2186" s="7" t="inlineStr">
        <is>
          <t>TSM</t>
        </is>
      </c>
      <c r="J2186" s="8" t="n">
        <v>2017</v>
      </c>
      <c r="K2186" s="9" t="n">
        <v>44518</v>
      </c>
      <c r="L2186" s="10" t="n">
        <v>150000</v>
      </c>
      <c r="M2186" s="10" t="n">
        <v>3389.83</v>
      </c>
      <c r="N2186" s="11">
        <f>IF(M2186="","",ROUND(M2186*1.18,2))</f>
        <v/>
      </c>
      <c r="O2186" s="12">
        <f>IF(M2186="","",ROUND(N2186-M2186,2))</f>
        <v/>
      </c>
      <c r="P2186" s="13">
        <f>IF(AND(A2186&lt;&gt;"",B2186&lt;&gt;""), A2186&amp;" · "&amp;B2186, "")</f>
        <v/>
      </c>
    </row>
    <row r="2187">
      <c r="A2187" s="6" t="inlineStr">
        <is>
          <t>FY27</t>
        </is>
      </c>
      <c r="B2187" s="6" t="inlineStr">
        <is>
          <t>May</t>
        </is>
      </c>
      <c r="C2187" s="6" t="inlineStr">
        <is>
          <t>TN</t>
        </is>
      </c>
      <c r="D2187" s="7" t="inlineStr">
        <is>
          <t>TN85V7857</t>
        </is>
      </c>
      <c r="E2187" s="7" t="inlineStr">
        <is>
          <t>MG MOTORS</t>
        </is>
      </c>
      <c r="F2187" s="7" t="inlineStr">
        <is>
          <t>Hector Plus</t>
        </is>
      </c>
      <c r="G2187" s="7" t="inlineStr">
        <is>
          <t>EXCHANGE CHENNAI</t>
        </is>
      </c>
      <c r="H2187" s="7" t="inlineStr">
        <is>
          <t>Captive</t>
        </is>
      </c>
      <c r="I2187" s="7" t="inlineStr">
        <is>
          <t>Yes Cars</t>
        </is>
      </c>
      <c r="J2187" s="8" t="n">
        <v>2024</v>
      </c>
      <c r="K2187" s="9" t="n">
        <v>35542</v>
      </c>
      <c r="L2187" s="10" t="n">
        <v>1350000</v>
      </c>
      <c r="M2187" s="10" t="n">
        <v>12711.86</v>
      </c>
      <c r="N2187" s="11">
        <f>IF(M2187="","",ROUND(M2187*1.18,2))</f>
        <v/>
      </c>
      <c r="O2187" s="12">
        <f>IF(M2187="","",ROUND(N2187-M2187,2))</f>
        <v/>
      </c>
      <c r="P2187" s="13">
        <f>IF(AND(A2187&lt;&gt;"",B2187&lt;&gt;""), A2187&amp;" · "&amp;B2187, "")</f>
        <v/>
      </c>
    </row>
    <row r="2188">
      <c r="A2188" s="6" t="inlineStr">
        <is>
          <t>FY27</t>
        </is>
      </c>
      <c r="B2188" s="6" t="inlineStr">
        <is>
          <t>May</t>
        </is>
      </c>
      <c r="C2188" s="6" t="inlineStr">
        <is>
          <t>TN</t>
        </is>
      </c>
      <c r="D2188" s="7" t="inlineStr">
        <is>
          <t>TN95B8698</t>
        </is>
      </c>
      <c r="E2188" s="7" t="inlineStr">
        <is>
          <t>DATSUN</t>
        </is>
      </c>
      <c r="F2188" s="7" t="inlineStr">
        <is>
          <t>Redi-GO</t>
        </is>
      </c>
      <c r="G2188" s="7" t="inlineStr">
        <is>
          <t>EXCHANGE ROTN</t>
        </is>
      </c>
      <c r="H2188" s="7" t="inlineStr">
        <is>
          <t>Captive</t>
        </is>
      </c>
      <c r="I2188" s="7" t="inlineStr">
        <is>
          <t>Paul Cars</t>
        </is>
      </c>
      <c r="J2188" s="8" t="n">
        <v>2018</v>
      </c>
      <c r="K2188" s="9" t="n">
        <v>111828</v>
      </c>
      <c r="L2188" s="10" t="n">
        <v>90000</v>
      </c>
      <c r="M2188" s="10" t="n">
        <v>4237.29</v>
      </c>
      <c r="N2188" s="11">
        <f>IF(M2188="","",ROUND(M2188*1.18,2))</f>
        <v/>
      </c>
      <c r="O2188" s="12">
        <f>IF(M2188="","",ROUND(N2188-M2188,2))</f>
        <v/>
      </c>
      <c r="P2188" s="13">
        <f>IF(AND(A2188&lt;&gt;"",B2188&lt;&gt;""), A2188&amp;" · "&amp;B2188, "")</f>
        <v/>
      </c>
    </row>
    <row r="2189">
      <c r="A2189" s="6" t="inlineStr">
        <is>
          <t>FY27</t>
        </is>
      </c>
      <c r="B2189" s="6" t="inlineStr">
        <is>
          <t>May</t>
        </is>
      </c>
      <c r="C2189" s="6" t="inlineStr">
        <is>
          <t>TN</t>
        </is>
      </c>
      <c r="D2189" s="7" t="inlineStr">
        <is>
          <t>TN99E2405</t>
        </is>
      </c>
      <c r="E2189" s="7" t="inlineStr">
        <is>
          <t>RENAULT</t>
        </is>
      </c>
      <c r="F2189" s="7" t="inlineStr">
        <is>
          <t>Kwid</t>
        </is>
      </c>
      <c r="G2189" s="7" t="inlineStr">
        <is>
          <t>EXCHANGE ROTN</t>
        </is>
      </c>
      <c r="H2189" s="7" t="inlineStr">
        <is>
          <t>Captive</t>
        </is>
      </c>
      <c r="I2189" s="7" t="inlineStr">
        <is>
          <t>Gugha Cars</t>
        </is>
      </c>
      <c r="J2189" s="8" t="n">
        <v>2016</v>
      </c>
      <c r="K2189" s="9" t="n">
        <v>75713</v>
      </c>
      <c r="L2189" s="10" t="n">
        <v>98000</v>
      </c>
      <c r="M2189" s="10" t="n">
        <v>4237.29</v>
      </c>
      <c r="N2189" s="11">
        <f>IF(M2189="","",ROUND(M2189*1.18,2))</f>
        <v/>
      </c>
      <c r="O2189" s="12">
        <f>IF(M2189="","",ROUND(N2189-M2189,2))</f>
        <v/>
      </c>
      <c r="P2189" s="13">
        <f>IF(AND(A2189&lt;&gt;"",B2189&lt;&gt;""), A2189&amp;" · "&amp;B2189, "")</f>
        <v/>
      </c>
    </row>
    <row r="2190">
      <c r="A2190" s="6" t="inlineStr">
        <is>
          <t>FY27</t>
        </is>
      </c>
      <c r="B2190" s="6" t="inlineStr">
        <is>
          <t>Jun</t>
        </is>
      </c>
      <c r="C2190" s="6" t="inlineStr">
        <is>
          <t>AP/TS</t>
        </is>
      </c>
      <c r="D2190" s="7" t="inlineStr">
        <is>
          <t>AP04AQ0747</t>
        </is>
      </c>
      <c r="E2190" s="7" t="inlineStr">
        <is>
          <t>MARUTI SUZUKI</t>
        </is>
      </c>
      <c r="F2190" s="7" t="inlineStr">
        <is>
          <t>Wagon R</t>
        </is>
      </c>
      <c r="G2190" s="7" t="inlineStr">
        <is>
          <t>GUTHI RAVI KRISHNA</t>
        </is>
      </c>
      <c r="H2190" s="7" t="inlineStr">
        <is>
          <t>Non-Captive</t>
        </is>
      </c>
      <c r="I2190" s="7" t="inlineStr">
        <is>
          <t>Vinod Kumar Murari</t>
        </is>
      </c>
      <c r="J2190" s="8" t="n">
        <v>2012</v>
      </c>
      <c r="K2190" s="9" t="n">
        <v>189125</v>
      </c>
      <c r="L2190" s="10" t="n">
        <v>150000</v>
      </c>
      <c r="M2190" s="10" t="n">
        <v>5084.75</v>
      </c>
      <c r="N2190" s="11">
        <f>IF(M2190="","",ROUND(M2190*1.18,2))</f>
        <v/>
      </c>
      <c r="O2190" s="12">
        <f>IF(M2190="","",ROUND(N2190-M2190,2))</f>
        <v/>
      </c>
      <c r="P2190" s="13">
        <f>IF(AND(A2190&lt;&gt;"",B2190&lt;&gt;""), A2190&amp;" · "&amp;B2190, "")</f>
        <v/>
      </c>
    </row>
    <row r="2191">
      <c r="A2191" s="6" t="inlineStr">
        <is>
          <t>FY27</t>
        </is>
      </c>
      <c r="B2191" s="6" t="inlineStr">
        <is>
          <t>Jun</t>
        </is>
      </c>
      <c r="C2191" s="6" t="inlineStr">
        <is>
          <t>AP/TS</t>
        </is>
      </c>
      <c r="D2191" s="7" t="inlineStr">
        <is>
          <t>AP05BD5599</t>
        </is>
      </c>
      <c r="E2191" s="7" t="inlineStr">
        <is>
          <t>FORD</t>
        </is>
      </c>
      <c r="F2191" s="7" t="inlineStr">
        <is>
          <t>Fiesta</t>
        </is>
      </c>
      <c r="G2191" s="7" t="inlineStr">
        <is>
          <t>SIVA REDDY GUDLA</t>
        </is>
      </c>
      <c r="H2191" s="7" t="inlineStr">
        <is>
          <t>Non-Captive</t>
        </is>
      </c>
      <c r="I2191" s="7" t="inlineStr">
        <is>
          <t>Kesireddy Saikiran</t>
        </is>
      </c>
      <c r="J2191" s="8" t="n">
        <v>2009</v>
      </c>
      <c r="K2191" s="9" t="n">
        <v>190714</v>
      </c>
      <c r="L2191" s="10" t="n">
        <v>95000</v>
      </c>
      <c r="M2191" s="10" t="n">
        <v>4237.29</v>
      </c>
      <c r="N2191" s="11">
        <f>IF(M2191="","",ROUND(M2191*1.18,2))</f>
        <v/>
      </c>
      <c r="O2191" s="12">
        <f>IF(M2191="","",ROUND(N2191-M2191,2))</f>
        <v/>
      </c>
      <c r="P2191" s="13">
        <f>IF(AND(A2191&lt;&gt;"",B2191&lt;&gt;""), A2191&amp;" · "&amp;B2191, "")</f>
        <v/>
      </c>
    </row>
    <row r="2192">
      <c r="A2192" s="6" t="inlineStr">
        <is>
          <t>FY27</t>
        </is>
      </c>
      <c r="B2192" s="6" t="inlineStr">
        <is>
          <t>Jun</t>
        </is>
      </c>
      <c r="C2192" s="6" t="inlineStr">
        <is>
          <t>AP/TS</t>
        </is>
      </c>
      <c r="D2192" s="7" t="inlineStr">
        <is>
          <t>AP05EC8976</t>
        </is>
      </c>
      <c r="E2192" s="7" t="inlineStr">
        <is>
          <t>HONDA</t>
        </is>
      </c>
      <c r="F2192" s="7" t="inlineStr">
        <is>
          <t>Amaze</t>
        </is>
      </c>
      <c r="G2192" s="7" t="inlineStr">
        <is>
          <t>DEVARAPALLI AVINASH</t>
        </is>
      </c>
      <c r="H2192" s="7" t="inlineStr">
        <is>
          <t>Non-Captive</t>
        </is>
      </c>
      <c r="I2192" s="7" t="inlineStr">
        <is>
          <t>Suresh Ginjupalli</t>
        </is>
      </c>
      <c r="J2192" s="8" t="n">
        <v>2017</v>
      </c>
      <c r="K2192" s="9" t="n">
        <v>111002</v>
      </c>
      <c r="L2192" s="10" t="n">
        <v>228000</v>
      </c>
      <c r="M2192" s="10" t="n">
        <v>6779.66</v>
      </c>
      <c r="N2192" s="11">
        <f>IF(M2192="","",ROUND(M2192*1.18,2))</f>
        <v/>
      </c>
      <c r="O2192" s="12">
        <f>IF(M2192="","",ROUND(N2192-M2192,2))</f>
        <v/>
      </c>
      <c r="P2192" s="13">
        <f>IF(AND(A2192&lt;&gt;"",B2192&lt;&gt;""), A2192&amp;" · "&amp;B2192, "")</f>
        <v/>
      </c>
    </row>
    <row r="2193">
      <c r="A2193" s="6" t="inlineStr">
        <is>
          <t>FY27</t>
        </is>
      </c>
      <c r="B2193" s="6" t="inlineStr">
        <is>
          <t>Jun</t>
        </is>
      </c>
      <c r="C2193" s="6" t="inlineStr">
        <is>
          <t>AP/TS</t>
        </is>
      </c>
      <c r="D2193" s="7" t="inlineStr">
        <is>
          <t>AP07CG1361</t>
        </is>
      </c>
      <c r="E2193" s="7" t="inlineStr">
        <is>
          <t>HYUNDAI</t>
        </is>
      </c>
      <c r="F2193" s="7" t="inlineStr">
        <is>
          <t>Grand i10</t>
        </is>
      </c>
      <c r="G2193" s="7" t="inlineStr">
        <is>
          <t>EXCHANGE</t>
        </is>
      </c>
      <c r="H2193" s="7" t="inlineStr">
        <is>
          <t>Captive</t>
        </is>
      </c>
      <c r="I2193" s="7" t="inlineStr">
        <is>
          <t>Vedicherla Sudheer Reddy - VSR Cars</t>
        </is>
      </c>
      <c r="J2193" s="8" t="n">
        <v>2014</v>
      </c>
      <c r="K2193" s="9" t="n">
        <v>254125</v>
      </c>
      <c r="L2193" s="10" t="n">
        <v>187000</v>
      </c>
      <c r="M2193" s="10" t="n">
        <v>5932.2</v>
      </c>
      <c r="N2193" s="11">
        <f>IF(M2193="","",ROUND(M2193*1.18,2))</f>
        <v/>
      </c>
      <c r="O2193" s="12">
        <f>IF(M2193="","",ROUND(N2193-M2193,2))</f>
        <v/>
      </c>
      <c r="P2193" s="13">
        <f>IF(AND(A2193&lt;&gt;"",B2193&lt;&gt;""), A2193&amp;" · "&amp;B2193, "")</f>
        <v/>
      </c>
    </row>
    <row r="2194">
      <c r="A2194" s="6" t="inlineStr">
        <is>
          <t>FY27</t>
        </is>
      </c>
      <c r="B2194" s="6" t="inlineStr">
        <is>
          <t>Jun</t>
        </is>
      </c>
      <c r="C2194" s="6" t="inlineStr">
        <is>
          <t>AP/TS</t>
        </is>
      </c>
      <c r="D2194" s="7" t="inlineStr">
        <is>
          <t>AP09BJ4154</t>
        </is>
      </c>
      <c r="E2194" s="7" t="inlineStr">
        <is>
          <t>HYUNDAI</t>
        </is>
      </c>
      <c r="F2194" s="7" t="inlineStr">
        <is>
          <t>Santro</t>
        </is>
      </c>
      <c r="G2194" s="7" t="inlineStr">
        <is>
          <t>PUNEET GUPTA</t>
        </is>
      </c>
      <c r="H2194" s="7" t="inlineStr">
        <is>
          <t>Non-Captive</t>
        </is>
      </c>
      <c r="I2194" s="7" t="inlineStr">
        <is>
          <t>Abdul Mugees</t>
        </is>
      </c>
      <c r="J2194" s="8" t="n">
        <v>2007</v>
      </c>
      <c r="K2194" s="9" t="n">
        <v>194125</v>
      </c>
      <c r="L2194" s="10" t="n">
        <v>45000</v>
      </c>
      <c r="M2194" s="10" t="n">
        <v>4237.29</v>
      </c>
      <c r="N2194" s="11">
        <f>IF(M2194="","",ROUND(M2194*1.18,2))</f>
        <v/>
      </c>
      <c r="O2194" s="12">
        <f>IF(M2194="","",ROUND(N2194-M2194,2))</f>
        <v/>
      </c>
      <c r="P2194" s="13">
        <f>IF(AND(A2194&lt;&gt;"",B2194&lt;&gt;""), A2194&amp;" · "&amp;B2194, "")</f>
        <v/>
      </c>
    </row>
    <row r="2195">
      <c r="A2195" s="6" t="inlineStr">
        <is>
          <t>FY27</t>
        </is>
      </c>
      <c r="B2195" s="6" t="inlineStr">
        <is>
          <t>Jun</t>
        </is>
      </c>
      <c r="C2195" s="6" t="inlineStr">
        <is>
          <t>AP/TS</t>
        </is>
      </c>
      <c r="D2195" s="7" t="inlineStr">
        <is>
          <t>AP09BM0311</t>
        </is>
      </c>
      <c r="E2195" s="7" t="inlineStr">
        <is>
          <t>HYUNDAI</t>
        </is>
      </c>
      <c r="F2195" s="7" t="inlineStr">
        <is>
          <t>Getz</t>
        </is>
      </c>
      <c r="G2195" s="7" t="inlineStr">
        <is>
          <t>CHEKKALA GANGADHAR RAO</t>
        </is>
      </c>
      <c r="H2195" s="7" t="inlineStr">
        <is>
          <t>Non-Captive</t>
        </is>
      </c>
      <c r="I2195" s="7" t="inlineStr">
        <is>
          <t>Tenali Srinivas</t>
        </is>
      </c>
      <c r="J2195" s="8" t="n">
        <v>2007</v>
      </c>
      <c r="K2195" s="9" t="n">
        <v>198585</v>
      </c>
      <c r="L2195" s="10" t="n">
        <v>50000</v>
      </c>
      <c r="M2195" s="10" t="n">
        <v>5084.75</v>
      </c>
      <c r="N2195" s="11">
        <f>IF(M2195="","",ROUND(M2195*1.18,2))</f>
        <v/>
      </c>
      <c r="O2195" s="12">
        <f>IF(M2195="","",ROUND(N2195-M2195,2))</f>
        <v/>
      </c>
      <c r="P2195" s="13">
        <f>IF(AND(A2195&lt;&gt;"",B2195&lt;&gt;""), A2195&amp;" · "&amp;B2195, "")</f>
        <v/>
      </c>
    </row>
    <row r="2196">
      <c r="A2196" s="6" t="inlineStr">
        <is>
          <t>FY27</t>
        </is>
      </c>
      <c r="B2196" s="6" t="inlineStr">
        <is>
          <t>Jun</t>
        </is>
      </c>
      <c r="C2196" s="6" t="inlineStr">
        <is>
          <t>AP/TS</t>
        </is>
      </c>
      <c r="D2196" s="7" t="inlineStr">
        <is>
          <t>AP09BV9038</t>
        </is>
      </c>
      <c r="E2196" s="7" t="inlineStr">
        <is>
          <t>HONDA</t>
        </is>
      </c>
      <c r="F2196" s="7" t="inlineStr">
        <is>
          <t>City</t>
        </is>
      </c>
      <c r="G2196" s="7" t="inlineStr">
        <is>
          <t>PUNEET GUPTA</t>
        </is>
      </c>
      <c r="H2196" s="7" t="inlineStr">
        <is>
          <t>Non-Captive</t>
        </is>
      </c>
      <c r="I2196" s="7" t="inlineStr">
        <is>
          <t>Abdul Mugees</t>
        </is>
      </c>
      <c r="J2196" s="8" t="n">
        <v>2009</v>
      </c>
      <c r="K2196" s="9" t="n">
        <v>189142</v>
      </c>
      <c r="L2196" s="10" t="n">
        <v>75000</v>
      </c>
      <c r="M2196" s="10" t="n">
        <v>4237.29</v>
      </c>
      <c r="N2196" s="11">
        <f>IF(M2196="","",ROUND(M2196*1.18,2))</f>
        <v/>
      </c>
      <c r="O2196" s="12">
        <f>IF(M2196="","",ROUND(N2196-M2196,2))</f>
        <v/>
      </c>
      <c r="P2196" s="13">
        <f>IF(AND(A2196&lt;&gt;"",B2196&lt;&gt;""), A2196&amp;" · "&amp;B2196, "")</f>
        <v/>
      </c>
    </row>
    <row r="2197">
      <c r="A2197" s="6" t="inlineStr">
        <is>
          <t>FY27</t>
        </is>
      </c>
      <c r="B2197" s="6" t="inlineStr">
        <is>
          <t>Jun</t>
        </is>
      </c>
      <c r="C2197" s="6" t="inlineStr">
        <is>
          <t>AP/TS</t>
        </is>
      </c>
      <c r="D2197" s="7" t="inlineStr">
        <is>
          <t>AP09BX0228</t>
        </is>
      </c>
      <c r="E2197" s="7" t="inlineStr">
        <is>
          <t>TATA</t>
        </is>
      </c>
      <c r="F2197" s="7" t="inlineStr">
        <is>
          <t>Nano</t>
        </is>
      </c>
      <c r="G2197" s="7" t="inlineStr">
        <is>
          <t>EXCHANGE</t>
        </is>
      </c>
      <c r="H2197" s="7" t="inlineStr">
        <is>
          <t>Captive</t>
        </is>
      </c>
      <c r="I2197" s="7" t="inlineStr">
        <is>
          <t>Gopal</t>
        </is>
      </c>
      <c r="J2197" s="8" t="n">
        <v>2009</v>
      </c>
      <c r="K2197" s="9" t="n">
        <v>32247</v>
      </c>
      <c r="L2197" s="10" t="n">
        <v>44000</v>
      </c>
      <c r="M2197" s="10" t="n">
        <v>5084.75</v>
      </c>
      <c r="N2197" s="11">
        <f>IF(M2197="","",ROUND(M2197*1.18,2))</f>
        <v/>
      </c>
      <c r="O2197" s="12">
        <f>IF(M2197="","",ROUND(N2197-M2197,2))</f>
        <v/>
      </c>
      <c r="P2197" s="13">
        <f>IF(AND(A2197&lt;&gt;"",B2197&lt;&gt;""), A2197&amp;" · "&amp;B2197, "")</f>
        <v/>
      </c>
    </row>
    <row r="2198">
      <c r="A2198" s="6" t="inlineStr">
        <is>
          <t>FY27</t>
        </is>
      </c>
      <c r="B2198" s="6" t="inlineStr">
        <is>
          <t>Jun</t>
        </is>
      </c>
      <c r="C2198" s="6" t="inlineStr">
        <is>
          <t>AP/TS</t>
        </is>
      </c>
      <c r="D2198" s="7" t="inlineStr">
        <is>
          <t>AP09CA8319</t>
        </is>
      </c>
      <c r="E2198" s="7" t="inlineStr">
        <is>
          <t>HONDA</t>
        </is>
      </c>
      <c r="F2198" s="7" t="inlineStr">
        <is>
          <t>City</t>
        </is>
      </c>
      <c r="G2198" s="7" t="inlineStr">
        <is>
          <t>EXCHANGE</t>
        </is>
      </c>
      <c r="H2198" s="7" t="inlineStr">
        <is>
          <t>Captive</t>
        </is>
      </c>
      <c r="I2198" s="7" t="inlineStr">
        <is>
          <t>Odapally Sandeep</t>
        </is>
      </c>
      <c r="J2198" s="8" t="n">
        <v>2010</v>
      </c>
      <c r="K2198" s="9" t="n">
        <v>113675</v>
      </c>
      <c r="L2198" s="10" t="n">
        <v>160000</v>
      </c>
      <c r="M2198" s="10" t="n">
        <v>8474.58</v>
      </c>
      <c r="N2198" s="11">
        <f>IF(M2198="","",ROUND(M2198*1.18,2))</f>
        <v/>
      </c>
      <c r="O2198" s="12">
        <f>IF(M2198="","",ROUND(N2198-M2198,2))</f>
        <v/>
      </c>
      <c r="P2198" s="13">
        <f>IF(AND(A2198&lt;&gt;"",B2198&lt;&gt;""), A2198&amp;" · "&amp;B2198, "")</f>
        <v/>
      </c>
    </row>
    <row r="2199">
      <c r="A2199" s="6" t="inlineStr">
        <is>
          <t>FY27</t>
        </is>
      </c>
      <c r="B2199" s="6" t="inlineStr">
        <is>
          <t>Jun</t>
        </is>
      </c>
      <c r="C2199" s="6" t="inlineStr">
        <is>
          <t>AP/TS</t>
        </is>
      </c>
      <c r="D2199" s="7" t="inlineStr">
        <is>
          <t>AP09CB3447</t>
        </is>
      </c>
      <c r="E2199" s="7" t="inlineStr">
        <is>
          <t>TOYOTA</t>
        </is>
      </c>
      <c r="F2199" s="7" t="inlineStr">
        <is>
          <t>Innova</t>
        </is>
      </c>
      <c r="G2199" s="7" t="inlineStr">
        <is>
          <t>VINOD KUMAR MURARI</t>
        </is>
      </c>
      <c r="H2199" s="7" t="inlineStr">
        <is>
          <t>Non-Captive</t>
        </is>
      </c>
      <c r="I2199" s="7" t="inlineStr">
        <is>
          <t>Mohammed Gouse Basha</t>
        </is>
      </c>
      <c r="J2199" s="8" t="n">
        <v>2010</v>
      </c>
      <c r="K2199" s="9" t="n">
        <v>281452</v>
      </c>
      <c r="L2199" s="10" t="n">
        <v>200000</v>
      </c>
      <c r="M2199" s="10" t="n">
        <v>5932.2</v>
      </c>
      <c r="N2199" s="11">
        <f>IF(M2199="","",ROUND(M2199*1.18,2))</f>
        <v/>
      </c>
      <c r="O2199" s="12">
        <f>IF(M2199="","",ROUND(N2199-M2199,2))</f>
        <v/>
      </c>
      <c r="P2199" s="13">
        <f>IF(AND(A2199&lt;&gt;"",B2199&lt;&gt;""), A2199&amp;" · "&amp;B2199, "")</f>
        <v/>
      </c>
    </row>
    <row r="2200">
      <c r="A2200" s="6" t="inlineStr">
        <is>
          <t>FY27</t>
        </is>
      </c>
      <c r="B2200" s="6" t="inlineStr">
        <is>
          <t>Jun</t>
        </is>
      </c>
      <c r="C2200" s="6" t="inlineStr">
        <is>
          <t>AP/TS</t>
        </is>
      </c>
      <c r="D2200" s="7" t="inlineStr">
        <is>
          <t>AP09CG2277</t>
        </is>
      </c>
      <c r="E2200" s="7" t="inlineStr">
        <is>
          <t>HYUNDAI</t>
        </is>
      </c>
      <c r="F2200" s="7" t="inlineStr">
        <is>
          <t>i20</t>
        </is>
      </c>
      <c r="G2200" s="7" t="inlineStr">
        <is>
          <t>EXCHANGE</t>
        </is>
      </c>
      <c r="H2200" s="7" t="inlineStr">
        <is>
          <t>Captive</t>
        </is>
      </c>
      <c r="I2200" s="7" t="inlineStr">
        <is>
          <t>Koppuravuri Srinivasa Rao</t>
        </is>
      </c>
      <c r="J2200" s="8" t="n">
        <v>2011</v>
      </c>
      <c r="K2200" s="9" t="n">
        <v>134011</v>
      </c>
      <c r="L2200" s="10" t="n">
        <v>133000</v>
      </c>
      <c r="M2200" s="10" t="n">
        <v>6779.66</v>
      </c>
      <c r="N2200" s="11">
        <f>IF(M2200="","",ROUND(M2200*1.18,2))</f>
        <v/>
      </c>
      <c r="O2200" s="12">
        <f>IF(M2200="","",ROUND(N2200-M2200,2))</f>
        <v/>
      </c>
      <c r="P2200" s="13">
        <f>IF(AND(A2200&lt;&gt;"",B2200&lt;&gt;""), A2200&amp;" · "&amp;B2200, "")</f>
        <v/>
      </c>
    </row>
    <row r="2201">
      <c r="A2201" s="6" t="inlineStr">
        <is>
          <t>FY27</t>
        </is>
      </c>
      <c r="B2201" s="6" t="inlineStr">
        <is>
          <t>Jun</t>
        </is>
      </c>
      <c r="C2201" s="6" t="inlineStr">
        <is>
          <t>AP/TS</t>
        </is>
      </c>
      <c r="D2201" s="7" t="inlineStr">
        <is>
          <t>AP09CS2374</t>
        </is>
      </c>
      <c r="E2201" s="7" t="inlineStr">
        <is>
          <t>HONDA</t>
        </is>
      </c>
      <c r="F2201" s="7" t="inlineStr">
        <is>
          <t>Amaze</t>
        </is>
      </c>
      <c r="G2201" s="7" t="inlineStr">
        <is>
          <t>EXCHANGE</t>
        </is>
      </c>
      <c r="H2201" s="7" t="inlineStr">
        <is>
          <t>Captive</t>
        </is>
      </c>
      <c r="I2201" s="7" t="inlineStr">
        <is>
          <t>Abdul Mugees</t>
        </is>
      </c>
      <c r="J2201" s="8" t="n">
        <v>2013</v>
      </c>
      <c r="K2201" s="9" t="n">
        <v>125802</v>
      </c>
      <c r="L2201" s="10" t="n">
        <v>251000</v>
      </c>
      <c r="M2201" s="10" t="n">
        <v>8474.58</v>
      </c>
      <c r="N2201" s="11">
        <f>IF(M2201="","",ROUND(M2201*1.18,2))</f>
        <v/>
      </c>
      <c r="O2201" s="12">
        <f>IF(M2201="","",ROUND(N2201-M2201,2))</f>
        <v/>
      </c>
      <c r="P2201" s="13">
        <f>IF(AND(A2201&lt;&gt;"",B2201&lt;&gt;""), A2201&amp;" · "&amp;B2201, "")</f>
        <v/>
      </c>
    </row>
    <row r="2202">
      <c r="A2202" s="6" t="inlineStr">
        <is>
          <t>FY27</t>
        </is>
      </c>
      <c r="B2202" s="6" t="inlineStr">
        <is>
          <t>Jun</t>
        </is>
      </c>
      <c r="C2202" s="6" t="inlineStr">
        <is>
          <t>AP/TS</t>
        </is>
      </c>
      <c r="D2202" s="7" t="inlineStr">
        <is>
          <t>AP10AJ5168</t>
        </is>
      </c>
      <c r="E2202" s="7" t="inlineStr">
        <is>
          <t>MARUTI SUZUKI</t>
        </is>
      </c>
      <c r="F2202" s="7" t="inlineStr">
        <is>
          <t>Alto</t>
        </is>
      </c>
      <c r="G2202" s="7" t="inlineStr">
        <is>
          <t>EXCHANGE</t>
        </is>
      </c>
      <c r="H2202" s="7" t="inlineStr">
        <is>
          <t>Captive</t>
        </is>
      </c>
      <c r="I2202" s="7" t="inlineStr">
        <is>
          <t>Odapally Sandeep</t>
        </is>
      </c>
      <c r="J2202" s="8" t="n">
        <v>2006</v>
      </c>
      <c r="K2202" s="9" t="n">
        <v>88251</v>
      </c>
      <c r="L2202" s="10" t="n">
        <v>45000</v>
      </c>
      <c r="M2202" s="10" t="n">
        <v>4237.29</v>
      </c>
      <c r="N2202" s="11">
        <f>IF(M2202="","",ROUND(M2202*1.18,2))</f>
        <v/>
      </c>
      <c r="O2202" s="12">
        <f>IF(M2202="","",ROUND(N2202-M2202,2))</f>
        <v/>
      </c>
      <c r="P2202" s="13">
        <f>IF(AND(A2202&lt;&gt;"",B2202&lt;&gt;""), A2202&amp;" · "&amp;B2202, "")</f>
        <v/>
      </c>
    </row>
    <row r="2203">
      <c r="A2203" s="6" t="inlineStr">
        <is>
          <t>FY27</t>
        </is>
      </c>
      <c r="B2203" s="6" t="inlineStr">
        <is>
          <t>Jun</t>
        </is>
      </c>
      <c r="C2203" s="6" t="inlineStr">
        <is>
          <t>AP/TS</t>
        </is>
      </c>
      <c r="D2203" s="7" t="inlineStr">
        <is>
          <t>AP10AM2200</t>
        </is>
      </c>
      <c r="E2203" s="7" t="inlineStr">
        <is>
          <t>SKODA</t>
        </is>
      </c>
      <c r="F2203" s="7" t="inlineStr">
        <is>
          <t>Laura</t>
        </is>
      </c>
      <c r="G2203" s="7" t="inlineStr">
        <is>
          <t>EXCHANGE</t>
        </is>
      </c>
      <c r="H2203" s="7" t="inlineStr">
        <is>
          <t>Captive</t>
        </is>
      </c>
      <c r="I2203" s="7" t="inlineStr">
        <is>
          <t>Uppari Sandeep Kumar</t>
        </is>
      </c>
      <c r="J2203" s="8" t="n">
        <v>2007</v>
      </c>
      <c r="K2203" s="9" t="n">
        <v>105689</v>
      </c>
      <c r="L2203" s="10" t="n">
        <v>92000</v>
      </c>
      <c r="M2203" s="10" t="n">
        <v>5932.2</v>
      </c>
      <c r="N2203" s="11">
        <f>IF(M2203="","",ROUND(M2203*1.18,2))</f>
        <v/>
      </c>
      <c r="O2203" s="12">
        <f>IF(M2203="","",ROUND(N2203-M2203,2))</f>
        <v/>
      </c>
      <c r="P2203" s="13">
        <f>IF(AND(A2203&lt;&gt;"",B2203&lt;&gt;""), A2203&amp;" · "&amp;B2203, "")</f>
        <v/>
      </c>
    </row>
    <row r="2204">
      <c r="A2204" s="6" t="inlineStr">
        <is>
          <t>FY27</t>
        </is>
      </c>
      <c r="B2204" s="6" t="inlineStr">
        <is>
          <t>Jun</t>
        </is>
      </c>
      <c r="C2204" s="6" t="inlineStr">
        <is>
          <t>AP/TS</t>
        </is>
      </c>
      <c r="D2204" s="7" t="inlineStr">
        <is>
          <t>AP10AR0852</t>
        </is>
      </c>
      <c r="E2204" s="7" t="inlineStr">
        <is>
          <t>HYUNDAI</t>
        </is>
      </c>
      <c r="F2204" s="7" t="inlineStr">
        <is>
          <t>i20</t>
        </is>
      </c>
      <c r="G2204" s="7" t="inlineStr">
        <is>
          <t>EXCHANGE</t>
        </is>
      </c>
      <c r="H2204" s="7" t="inlineStr">
        <is>
          <t>Captive</t>
        </is>
      </c>
      <c r="I2204" s="7" t="inlineStr">
        <is>
          <t>Mohammed Faiz Ur Rehman</t>
        </is>
      </c>
      <c r="J2204" s="8" t="n">
        <v>2009</v>
      </c>
      <c r="K2204" s="9" t="n">
        <v>44328</v>
      </c>
      <c r="L2204" s="10" t="n">
        <v>152000</v>
      </c>
      <c r="M2204" s="10" t="n">
        <v>5932.2</v>
      </c>
      <c r="N2204" s="11">
        <f>IF(M2204="","",ROUND(M2204*1.18,2))</f>
        <v/>
      </c>
      <c r="O2204" s="12">
        <f>IF(M2204="","",ROUND(N2204-M2204,2))</f>
        <v/>
      </c>
      <c r="P2204" s="13">
        <f>IF(AND(A2204&lt;&gt;"",B2204&lt;&gt;""), A2204&amp;" · "&amp;B2204, "")</f>
        <v/>
      </c>
    </row>
    <row r="2205">
      <c r="A2205" s="6" t="inlineStr">
        <is>
          <t>FY27</t>
        </is>
      </c>
      <c r="B2205" s="6" t="inlineStr">
        <is>
          <t>Jun</t>
        </is>
      </c>
      <c r="C2205" s="6" t="inlineStr">
        <is>
          <t>AP/TS</t>
        </is>
      </c>
      <c r="D2205" s="7" t="inlineStr">
        <is>
          <t>AP16BB9000</t>
        </is>
      </c>
      <c r="E2205" s="7" t="inlineStr">
        <is>
          <t>MARUTI SUZUKI</t>
        </is>
      </c>
      <c r="F2205" s="7" t="inlineStr">
        <is>
          <t>Alto</t>
        </is>
      </c>
      <c r="G2205" s="7" t="inlineStr">
        <is>
          <t>GUTHI RAVI KRISHNA</t>
        </is>
      </c>
      <c r="H2205" s="7" t="inlineStr">
        <is>
          <t>Non-Captive</t>
        </is>
      </c>
      <c r="I2205" s="7" t="inlineStr">
        <is>
          <t>Devarapalli Avinash</t>
        </is>
      </c>
      <c r="J2205" s="8" t="n">
        <v>2007</v>
      </c>
      <c r="K2205" s="9" t="n">
        <v>179546</v>
      </c>
      <c r="L2205" s="10" t="n">
        <v>50000</v>
      </c>
      <c r="M2205" s="10" t="n">
        <v>4237.29</v>
      </c>
      <c r="N2205" s="11">
        <f>IF(M2205="","",ROUND(M2205*1.18,2))</f>
        <v/>
      </c>
      <c r="O2205" s="12">
        <f>IF(M2205="","",ROUND(N2205-M2205,2))</f>
        <v/>
      </c>
      <c r="P2205" s="13">
        <f>IF(AND(A2205&lt;&gt;"",B2205&lt;&gt;""), A2205&amp;" · "&amp;B2205, "")</f>
        <v/>
      </c>
    </row>
    <row r="2206">
      <c r="A2206" s="6" t="inlineStr">
        <is>
          <t>FY27</t>
        </is>
      </c>
      <c r="B2206" s="6" t="inlineStr">
        <is>
          <t>Jun</t>
        </is>
      </c>
      <c r="C2206" s="6" t="inlineStr">
        <is>
          <t>AP/TS</t>
        </is>
      </c>
      <c r="D2206" s="7" t="inlineStr">
        <is>
          <t>AP16CJ8453</t>
        </is>
      </c>
      <c r="E2206" s="7" t="inlineStr">
        <is>
          <t>HYUNDAI</t>
        </is>
      </c>
      <c r="F2206" s="7" t="inlineStr">
        <is>
          <t>i10</t>
        </is>
      </c>
      <c r="G2206" s="7" t="inlineStr">
        <is>
          <t>CHEKKALA GANGADHAR RAO</t>
        </is>
      </c>
      <c r="H2206" s="7" t="inlineStr">
        <is>
          <t>Non-Captive</t>
        </is>
      </c>
      <c r="I2206" s="7" t="inlineStr">
        <is>
          <t>Tenali Srinivas</t>
        </is>
      </c>
      <c r="J2206" s="8" t="n">
        <v>2010</v>
      </c>
      <c r="K2206" s="9" t="n">
        <v>110521</v>
      </c>
      <c r="L2206" s="10" t="n">
        <v>120000</v>
      </c>
      <c r="M2206" s="10" t="n">
        <v>5932.2</v>
      </c>
      <c r="N2206" s="11">
        <f>IF(M2206="","",ROUND(M2206*1.18,2))</f>
        <v/>
      </c>
      <c r="O2206" s="12">
        <f>IF(M2206="","",ROUND(N2206-M2206,2))</f>
        <v/>
      </c>
      <c r="P2206" s="13">
        <f>IF(AND(A2206&lt;&gt;"",B2206&lt;&gt;""), A2206&amp;" · "&amp;B2206, "")</f>
        <v/>
      </c>
    </row>
    <row r="2207">
      <c r="A2207" s="6" t="inlineStr">
        <is>
          <t>FY27</t>
        </is>
      </c>
      <c r="B2207" s="6" t="inlineStr">
        <is>
          <t>Jun</t>
        </is>
      </c>
      <c r="C2207" s="6" t="inlineStr">
        <is>
          <t>AP/TS</t>
        </is>
      </c>
      <c r="D2207" s="7" t="inlineStr">
        <is>
          <t>AP16CS0450</t>
        </is>
      </c>
      <c r="E2207" s="7" t="inlineStr">
        <is>
          <t>HONDA</t>
        </is>
      </c>
      <c r="F2207" s="7" t="inlineStr">
        <is>
          <t>City</t>
        </is>
      </c>
      <c r="G2207" s="7" t="inlineStr">
        <is>
          <t>EXCHANGE</t>
        </is>
      </c>
      <c r="H2207" s="7" t="inlineStr">
        <is>
          <t>Captive</t>
        </is>
      </c>
      <c r="I2207" s="7" t="inlineStr">
        <is>
          <t>Tenali Srinivas</t>
        </is>
      </c>
      <c r="J2207" s="8" t="n">
        <v>2014</v>
      </c>
      <c r="K2207" s="9" t="n">
        <v>151480</v>
      </c>
      <c r="L2207" s="10" t="n">
        <v>310000</v>
      </c>
      <c r="M2207" s="10" t="n">
        <v>8474.58</v>
      </c>
      <c r="N2207" s="11">
        <f>IF(M2207="","",ROUND(M2207*1.18,2))</f>
        <v/>
      </c>
      <c r="O2207" s="12">
        <f>IF(M2207="","",ROUND(N2207-M2207,2))</f>
        <v/>
      </c>
      <c r="P2207" s="13">
        <f>IF(AND(A2207&lt;&gt;"",B2207&lt;&gt;""), A2207&amp;" · "&amp;B2207, "")</f>
        <v/>
      </c>
    </row>
    <row r="2208">
      <c r="A2208" s="6" t="inlineStr">
        <is>
          <t>FY27</t>
        </is>
      </c>
      <c r="B2208" s="6" t="inlineStr">
        <is>
          <t>Jun</t>
        </is>
      </c>
      <c r="C2208" s="6" t="inlineStr">
        <is>
          <t>AP/TS</t>
        </is>
      </c>
      <c r="D2208" s="7" t="inlineStr">
        <is>
          <t>AP16DG7789</t>
        </is>
      </c>
      <c r="E2208" s="7" t="inlineStr">
        <is>
          <t>HONDA</t>
        </is>
      </c>
      <c r="F2208" s="7" t="inlineStr">
        <is>
          <t>Amaze</t>
        </is>
      </c>
      <c r="G2208" s="7" t="inlineStr">
        <is>
          <t>EXCHANGE</t>
        </is>
      </c>
      <c r="H2208" s="7" t="inlineStr">
        <is>
          <t>Captive</t>
        </is>
      </c>
      <c r="I2208" s="7" t="inlineStr">
        <is>
          <t>Naga Suresh Polukonda</t>
        </is>
      </c>
      <c r="J2208" s="8" t="n">
        <v>2015</v>
      </c>
      <c r="K2208" s="9" t="n">
        <v>172162</v>
      </c>
      <c r="L2208" s="10" t="n">
        <v>160000</v>
      </c>
      <c r="M2208" s="10" t="n">
        <v>8474.58</v>
      </c>
      <c r="N2208" s="11">
        <f>IF(M2208="","",ROUND(M2208*1.18,2))</f>
        <v/>
      </c>
      <c r="O2208" s="12">
        <f>IF(M2208="","",ROUND(N2208-M2208,2))</f>
        <v/>
      </c>
      <c r="P2208" s="13">
        <f>IF(AND(A2208&lt;&gt;"",B2208&lt;&gt;""), A2208&amp;" · "&amp;B2208, "")</f>
        <v/>
      </c>
    </row>
    <row r="2209">
      <c r="A2209" s="6" t="inlineStr">
        <is>
          <t>FY27</t>
        </is>
      </c>
      <c r="B2209" s="6" t="inlineStr">
        <is>
          <t>Jun</t>
        </is>
      </c>
      <c r="C2209" s="6" t="inlineStr">
        <is>
          <t>AP/TS</t>
        </is>
      </c>
      <c r="D2209" s="7" t="inlineStr">
        <is>
          <t>AP16DP0126</t>
        </is>
      </c>
      <c r="E2209" s="7" t="inlineStr">
        <is>
          <t>FORD</t>
        </is>
      </c>
      <c r="F2209" s="7" t="inlineStr">
        <is>
          <t>Figo</t>
        </is>
      </c>
      <c r="G2209" s="7" t="inlineStr">
        <is>
          <t>GUTHI RAVI KRISHNA</t>
        </is>
      </c>
      <c r="H2209" s="7" t="inlineStr">
        <is>
          <t>Non-Captive</t>
        </is>
      </c>
      <c r="I2209" s="7" t="inlineStr">
        <is>
          <t>Suresh Ginjupalli</t>
        </is>
      </c>
      <c r="J2209" s="8" t="n">
        <v>2016</v>
      </c>
      <c r="K2209" s="9" t="n">
        <v>185758</v>
      </c>
      <c r="L2209" s="10" t="n">
        <v>217500</v>
      </c>
      <c r="M2209" s="10" t="n">
        <v>6355.93</v>
      </c>
      <c r="N2209" s="11">
        <f>IF(M2209="","",ROUND(M2209*1.18,2))</f>
        <v/>
      </c>
      <c r="O2209" s="12">
        <f>IF(M2209="","",ROUND(N2209-M2209,2))</f>
        <v/>
      </c>
      <c r="P2209" s="13">
        <f>IF(AND(A2209&lt;&gt;"",B2209&lt;&gt;""), A2209&amp;" · "&amp;B2209, "")</f>
        <v/>
      </c>
    </row>
    <row r="2210">
      <c r="A2210" s="6" t="inlineStr">
        <is>
          <t>FY27</t>
        </is>
      </c>
      <c r="B2210" s="6" t="inlineStr">
        <is>
          <t>Jun</t>
        </is>
      </c>
      <c r="C2210" s="6" t="inlineStr">
        <is>
          <t>AP/TS</t>
        </is>
      </c>
      <c r="D2210" s="7" t="inlineStr">
        <is>
          <t>AP16DP3345</t>
        </is>
      </c>
      <c r="E2210" s="7" t="inlineStr">
        <is>
          <t>HONDA</t>
        </is>
      </c>
      <c r="F2210" s="7" t="inlineStr">
        <is>
          <t>Amaze</t>
        </is>
      </c>
      <c r="G2210" s="7" t="inlineStr">
        <is>
          <t>EXCHANGE</t>
        </is>
      </c>
      <c r="H2210" s="7" t="inlineStr">
        <is>
          <t>Captive</t>
        </is>
      </c>
      <c r="I2210" s="7" t="inlineStr">
        <is>
          <t>Chittibomma Srinivasa Rao</t>
        </is>
      </c>
      <c r="J2210" s="8" t="n">
        <v>2016</v>
      </c>
      <c r="K2210" s="9" t="n">
        <v>159309</v>
      </c>
      <c r="L2210" s="10" t="n">
        <v>321000</v>
      </c>
      <c r="M2210" s="10" t="n">
        <v>8474.58</v>
      </c>
      <c r="N2210" s="11">
        <f>IF(M2210="","",ROUND(M2210*1.18,2))</f>
        <v/>
      </c>
      <c r="O2210" s="12">
        <f>IF(M2210="","",ROUND(N2210-M2210,2))</f>
        <v/>
      </c>
      <c r="P2210" s="13">
        <f>IF(AND(A2210&lt;&gt;"",B2210&lt;&gt;""), A2210&amp;" · "&amp;B2210, "")</f>
        <v/>
      </c>
    </row>
    <row r="2211">
      <c r="A2211" s="6" t="inlineStr">
        <is>
          <t>FY27</t>
        </is>
      </c>
      <c r="B2211" s="6" t="inlineStr">
        <is>
          <t>Jun</t>
        </is>
      </c>
      <c r="C2211" s="6" t="inlineStr">
        <is>
          <t>AP/TS</t>
        </is>
      </c>
      <c r="D2211" s="7" t="inlineStr">
        <is>
          <t>AP16ED1423</t>
        </is>
      </c>
      <c r="E2211" s="7" t="inlineStr">
        <is>
          <t>HYUNDAI</t>
        </is>
      </c>
      <c r="F2211" s="7" t="inlineStr">
        <is>
          <t>Grand i10</t>
        </is>
      </c>
      <c r="G2211" s="7" t="inlineStr">
        <is>
          <t>MOHAMMED GOUSE BASHA</t>
        </is>
      </c>
      <c r="H2211" s="7" t="inlineStr">
        <is>
          <t>Non-Captive</t>
        </is>
      </c>
      <c r="I2211" s="7" t="inlineStr">
        <is>
          <t>Tenali Srinivas</t>
        </is>
      </c>
      <c r="J2211" s="8" t="n">
        <v>2016</v>
      </c>
      <c r="K2211" s="9" t="n">
        <v>125128</v>
      </c>
      <c r="L2211" s="10" t="n">
        <v>217500</v>
      </c>
      <c r="M2211" s="10" t="n">
        <v>6355.93</v>
      </c>
      <c r="N2211" s="11">
        <f>IF(M2211="","",ROUND(M2211*1.18,2))</f>
        <v/>
      </c>
      <c r="O2211" s="12">
        <f>IF(M2211="","",ROUND(N2211-M2211,2))</f>
        <v/>
      </c>
      <c r="P2211" s="13">
        <f>IF(AND(A2211&lt;&gt;"",B2211&lt;&gt;""), A2211&amp;" · "&amp;B2211, "")</f>
        <v/>
      </c>
    </row>
    <row r="2212">
      <c r="A2212" s="6" t="inlineStr">
        <is>
          <t>FY27</t>
        </is>
      </c>
      <c r="B2212" s="6" t="inlineStr">
        <is>
          <t>Jun</t>
        </is>
      </c>
      <c r="C2212" s="6" t="inlineStr">
        <is>
          <t>AP/TS</t>
        </is>
      </c>
      <c r="D2212" s="7" t="inlineStr">
        <is>
          <t>AP16EF5035</t>
        </is>
      </c>
      <c r="E2212" s="7" t="inlineStr">
        <is>
          <t>HONDA</t>
        </is>
      </c>
      <c r="F2212" s="7" t="inlineStr">
        <is>
          <t>Brio</t>
        </is>
      </c>
      <c r="G2212" s="7" t="inlineStr">
        <is>
          <t>MOHAMMED GOUSE BASHA</t>
        </is>
      </c>
      <c r="H2212" s="7" t="inlineStr">
        <is>
          <t>Non-Captive</t>
        </is>
      </c>
      <c r="I2212" s="7" t="inlineStr">
        <is>
          <t>Guthi Ravi Krishna</t>
        </is>
      </c>
      <c r="J2212" s="8" t="n">
        <v>2017</v>
      </c>
      <c r="K2212" s="9" t="n">
        <v>158025</v>
      </c>
      <c r="L2212" s="10" t="n">
        <v>200000</v>
      </c>
      <c r="M2212" s="10" t="n">
        <v>5084.75</v>
      </c>
      <c r="N2212" s="11">
        <f>IF(M2212="","",ROUND(M2212*1.18,2))</f>
        <v/>
      </c>
      <c r="O2212" s="12">
        <f>IF(M2212="","",ROUND(N2212-M2212,2))</f>
        <v/>
      </c>
      <c r="P2212" s="13">
        <f>IF(AND(A2212&lt;&gt;"",B2212&lt;&gt;""), A2212&amp;" · "&amp;B2212, "")</f>
        <v/>
      </c>
    </row>
    <row r="2213">
      <c r="A2213" s="6" t="inlineStr">
        <is>
          <t>FY27</t>
        </is>
      </c>
      <c r="B2213" s="6" t="inlineStr">
        <is>
          <t>Jun</t>
        </is>
      </c>
      <c r="C2213" s="6" t="inlineStr">
        <is>
          <t>AP/TS</t>
        </is>
      </c>
      <c r="D2213" s="7" t="inlineStr">
        <is>
          <t>AP16FG2222</t>
        </is>
      </c>
      <c r="E2213" s="7" t="inlineStr">
        <is>
          <t>HONDA</t>
        </is>
      </c>
      <c r="F2213" s="7" t="inlineStr">
        <is>
          <t>Amaze</t>
        </is>
      </c>
      <c r="G2213" s="7" t="inlineStr">
        <is>
          <t>EXCHANGE</t>
        </is>
      </c>
      <c r="H2213" s="7" t="inlineStr">
        <is>
          <t>Captive</t>
        </is>
      </c>
      <c r="I2213" s="7" t="inlineStr">
        <is>
          <t>Koppuravuri Srinivasa Rao</t>
        </is>
      </c>
      <c r="J2213" s="8" t="n">
        <v>2018</v>
      </c>
      <c r="K2213" s="9" t="n">
        <v>65087</v>
      </c>
      <c r="L2213" s="10" t="n">
        <v>387500</v>
      </c>
      <c r="M2213" s="10" t="n">
        <v>6355.93</v>
      </c>
      <c r="N2213" s="11">
        <f>IF(M2213="","",ROUND(M2213*1.18,2))</f>
        <v/>
      </c>
      <c r="O2213" s="12">
        <f>IF(M2213="","",ROUND(N2213-M2213,2))</f>
        <v/>
      </c>
      <c r="P2213" s="13">
        <f>IF(AND(A2213&lt;&gt;"",B2213&lt;&gt;""), A2213&amp;" · "&amp;B2213, "")</f>
        <v/>
      </c>
    </row>
    <row r="2214">
      <c r="A2214" s="6" t="inlineStr">
        <is>
          <t>FY27</t>
        </is>
      </c>
      <c r="B2214" s="6" t="inlineStr">
        <is>
          <t>Jun</t>
        </is>
      </c>
      <c r="C2214" s="6" t="inlineStr">
        <is>
          <t>AP/TS</t>
        </is>
      </c>
      <c r="D2214" s="7" t="inlineStr">
        <is>
          <t>AP21BP2830</t>
        </is>
      </c>
      <c r="E2214" s="7" t="inlineStr">
        <is>
          <t>MARUTI SUZUKI</t>
        </is>
      </c>
      <c r="F2214" s="7" t="inlineStr">
        <is>
          <t>Swift</t>
        </is>
      </c>
      <c r="G2214" s="7" t="inlineStr">
        <is>
          <t>EXCHANGE</t>
        </is>
      </c>
      <c r="H2214" s="7" t="inlineStr">
        <is>
          <t>Captive</t>
        </is>
      </c>
      <c r="I2214" s="7" t="inlineStr">
        <is>
          <t>Mohammed Faiz Ur Rehman</t>
        </is>
      </c>
      <c r="J2214" s="8" t="n">
        <v>2016</v>
      </c>
      <c r="K2214" s="9" t="n">
        <v>135832</v>
      </c>
      <c r="L2214" s="10" t="n">
        <v>338000</v>
      </c>
      <c r="M2214" s="10" t="n">
        <v>6779.66</v>
      </c>
      <c r="N2214" s="11">
        <f>IF(M2214="","",ROUND(M2214*1.18,2))</f>
        <v/>
      </c>
      <c r="O2214" s="12">
        <f>IF(M2214="","",ROUND(N2214-M2214,2))</f>
        <v/>
      </c>
      <c r="P2214" s="13">
        <f>IF(AND(A2214&lt;&gt;"",B2214&lt;&gt;""), A2214&amp;" · "&amp;B2214, "")</f>
        <v/>
      </c>
    </row>
    <row r="2215">
      <c r="A2215" s="6" t="inlineStr">
        <is>
          <t>FY27</t>
        </is>
      </c>
      <c r="B2215" s="6" t="inlineStr">
        <is>
          <t>Jun</t>
        </is>
      </c>
      <c r="C2215" s="6" t="inlineStr">
        <is>
          <t>AP/TS</t>
        </is>
      </c>
      <c r="D2215" s="7" t="inlineStr">
        <is>
          <t>AP23AD5773</t>
        </is>
      </c>
      <c r="E2215" s="7" t="inlineStr">
        <is>
          <t>HONDA</t>
        </is>
      </c>
      <c r="F2215" s="7" t="inlineStr">
        <is>
          <t>Accord</t>
        </is>
      </c>
      <c r="G2215" s="7" t="inlineStr">
        <is>
          <t>EXCHANGE</t>
        </is>
      </c>
      <c r="H2215" s="7" t="inlineStr">
        <is>
          <t>Captive</t>
        </is>
      </c>
      <c r="I2215" s="7" t="inlineStr">
        <is>
          <t>Odapally Sandeep</t>
        </is>
      </c>
      <c r="J2215" s="8" t="n">
        <v>2011</v>
      </c>
      <c r="K2215" s="9" t="n">
        <v>72338</v>
      </c>
      <c r="L2215" s="10" t="n">
        <v>220000</v>
      </c>
      <c r="M2215" s="10" t="n">
        <v>8474.58</v>
      </c>
      <c r="N2215" s="11">
        <f>IF(M2215="","",ROUND(M2215*1.18,2))</f>
        <v/>
      </c>
      <c r="O2215" s="12">
        <f>IF(M2215="","",ROUND(N2215-M2215,2))</f>
        <v/>
      </c>
      <c r="P2215" s="13">
        <f>IF(AND(A2215&lt;&gt;"",B2215&lt;&gt;""), A2215&amp;" · "&amp;B2215, "")</f>
        <v/>
      </c>
    </row>
    <row r="2216">
      <c r="A2216" s="6" t="inlineStr">
        <is>
          <t>FY27</t>
        </is>
      </c>
      <c r="B2216" s="6" t="inlineStr">
        <is>
          <t>Jun</t>
        </is>
      </c>
      <c r="C2216" s="6" t="inlineStr">
        <is>
          <t>AP/TS</t>
        </is>
      </c>
      <c r="D2216" s="7" t="inlineStr">
        <is>
          <t>AP23Q7056</t>
        </is>
      </c>
      <c r="E2216" s="7" t="inlineStr">
        <is>
          <t>HYUNDAI</t>
        </is>
      </c>
      <c r="F2216" s="7" t="inlineStr">
        <is>
          <t>Getz</t>
        </is>
      </c>
      <c r="G2216" s="7" t="inlineStr">
        <is>
          <t>PUNEET GUPTA</t>
        </is>
      </c>
      <c r="H2216" s="7" t="inlineStr">
        <is>
          <t>Non-Captive</t>
        </is>
      </c>
      <c r="I2216" s="7" t="inlineStr">
        <is>
          <t>Mohammed Faiz Ur Rehman</t>
        </is>
      </c>
      <c r="J2216" s="8" t="n">
        <v>2008</v>
      </c>
      <c r="K2216" s="9" t="n">
        <v>134160</v>
      </c>
      <c r="L2216" s="10" t="n">
        <v>55000</v>
      </c>
      <c r="M2216" s="10" t="n">
        <v>4237.29</v>
      </c>
      <c r="N2216" s="11">
        <f>IF(M2216="","",ROUND(M2216*1.18,2))</f>
        <v/>
      </c>
      <c r="O2216" s="12">
        <f>IF(M2216="","",ROUND(N2216-M2216,2))</f>
        <v/>
      </c>
      <c r="P2216" s="13">
        <f>IF(AND(A2216&lt;&gt;"",B2216&lt;&gt;""), A2216&amp;" · "&amp;B2216, "")</f>
        <v/>
      </c>
    </row>
    <row r="2217">
      <c r="A2217" s="6" t="inlineStr">
        <is>
          <t>FY27</t>
        </is>
      </c>
      <c r="B2217" s="6" t="inlineStr">
        <is>
          <t>Jun</t>
        </is>
      </c>
      <c r="C2217" s="6" t="inlineStr">
        <is>
          <t>AP/TS</t>
        </is>
      </c>
      <c r="D2217" s="7" t="inlineStr">
        <is>
          <t>AP24AY4899</t>
        </is>
      </c>
      <c r="E2217" s="7" t="inlineStr">
        <is>
          <t>HONDA</t>
        </is>
      </c>
      <c r="F2217" s="7" t="inlineStr">
        <is>
          <t>City</t>
        </is>
      </c>
      <c r="G2217" s="7" t="inlineStr">
        <is>
          <t>MOHAMMED GOUSE BASHA</t>
        </is>
      </c>
      <c r="H2217" s="7" t="inlineStr">
        <is>
          <t>Non-Captive</t>
        </is>
      </c>
      <c r="I2217" s="7" t="inlineStr">
        <is>
          <t>Tenali Srinivas</t>
        </is>
      </c>
      <c r="J2217" s="8" t="n">
        <v>2014</v>
      </c>
      <c r="K2217" s="9" t="n">
        <v>285812</v>
      </c>
      <c r="L2217" s="10" t="n">
        <v>247500</v>
      </c>
      <c r="M2217" s="10" t="n">
        <v>6355.93</v>
      </c>
      <c r="N2217" s="11">
        <f>IF(M2217="","",ROUND(M2217*1.18,2))</f>
        <v/>
      </c>
      <c r="O2217" s="12">
        <f>IF(M2217="","",ROUND(N2217-M2217,2))</f>
        <v/>
      </c>
      <c r="P2217" s="13">
        <f>IF(AND(A2217&lt;&gt;"",B2217&lt;&gt;""), A2217&amp;" · "&amp;B2217, "")</f>
        <v/>
      </c>
    </row>
    <row r="2218">
      <c r="A2218" s="6" t="inlineStr">
        <is>
          <t>FY27</t>
        </is>
      </c>
      <c r="B2218" s="6" t="inlineStr">
        <is>
          <t>Jun</t>
        </is>
      </c>
      <c r="C2218" s="6" t="inlineStr">
        <is>
          <t>AP/TS</t>
        </is>
      </c>
      <c r="D2218" s="7" t="inlineStr">
        <is>
          <t>AP28DV5467</t>
        </is>
      </c>
      <c r="E2218" s="7" t="inlineStr">
        <is>
          <t>HONDA</t>
        </is>
      </c>
      <c r="F2218" s="7" t="inlineStr">
        <is>
          <t>Brio</t>
        </is>
      </c>
      <c r="G2218" s="7" t="inlineStr">
        <is>
          <t>MOHAMMED GHOUSE</t>
        </is>
      </c>
      <c r="H2218" s="7" t="inlineStr">
        <is>
          <t>Non-Captive</t>
        </is>
      </c>
      <c r="I2218" s="7" t="inlineStr">
        <is>
          <t>Odapally Sandeep</t>
        </is>
      </c>
      <c r="J2218" s="8" t="n">
        <v>2013</v>
      </c>
      <c r="K2218" s="9" t="n">
        <v>98565</v>
      </c>
      <c r="L2218" s="10" t="n">
        <v>172000</v>
      </c>
      <c r="M2218" s="10" t="n">
        <v>5084.75</v>
      </c>
      <c r="N2218" s="11">
        <f>IF(M2218="","",ROUND(M2218*1.18,2))</f>
        <v/>
      </c>
      <c r="O2218" s="12">
        <f>IF(M2218="","",ROUND(N2218-M2218,2))</f>
        <v/>
      </c>
      <c r="P2218" s="13">
        <f>IF(AND(A2218&lt;&gt;"",B2218&lt;&gt;""), A2218&amp;" · "&amp;B2218, "")</f>
        <v/>
      </c>
    </row>
    <row r="2219">
      <c r="A2219" s="6" t="inlineStr">
        <is>
          <t>FY27</t>
        </is>
      </c>
      <c r="B2219" s="6" t="inlineStr">
        <is>
          <t>Jun</t>
        </is>
      </c>
      <c r="C2219" s="6" t="inlineStr">
        <is>
          <t>AP/TS</t>
        </is>
      </c>
      <c r="D2219" s="7" t="inlineStr">
        <is>
          <t>AP31AQ3301</t>
        </is>
      </c>
      <c r="E2219" s="7" t="inlineStr">
        <is>
          <t>MARUTI SUZUKI</t>
        </is>
      </c>
      <c r="F2219" s="7" t="inlineStr">
        <is>
          <t>Alto</t>
        </is>
      </c>
      <c r="G2219" s="7" t="inlineStr">
        <is>
          <t>T SRINIVAS</t>
        </is>
      </c>
      <c r="H2219" s="7" t="inlineStr">
        <is>
          <t>Non-Captive</t>
        </is>
      </c>
      <c r="I2219" s="7" t="inlineStr">
        <is>
          <t>Koppuravuri Srinivasa Rao</t>
        </is>
      </c>
      <c r="J2219" s="8" t="n">
        <v>2006</v>
      </c>
      <c r="K2219" s="9" t="n">
        <v>168521</v>
      </c>
      <c r="L2219" s="10" t="n">
        <v>30000</v>
      </c>
      <c r="M2219" s="10" t="n">
        <v>5932.2</v>
      </c>
      <c r="N2219" s="11">
        <f>IF(M2219="","",ROUND(M2219*1.18,2))</f>
        <v/>
      </c>
      <c r="O2219" s="12">
        <f>IF(M2219="","",ROUND(N2219-M2219,2))</f>
        <v/>
      </c>
      <c r="P2219" s="13">
        <f>IF(AND(A2219&lt;&gt;"",B2219&lt;&gt;""), A2219&amp;" · "&amp;B2219, "")</f>
        <v/>
      </c>
    </row>
    <row r="2220">
      <c r="A2220" s="6" t="inlineStr">
        <is>
          <t>FY27</t>
        </is>
      </c>
      <c r="B2220" s="6" t="inlineStr">
        <is>
          <t>Jun</t>
        </is>
      </c>
      <c r="C2220" s="6" t="inlineStr">
        <is>
          <t>AP/TS</t>
        </is>
      </c>
      <c r="D2220" s="7" t="inlineStr">
        <is>
          <t>AP31BN6719</t>
        </is>
      </c>
      <c r="E2220" s="7" t="inlineStr">
        <is>
          <t>HYUNDAI</t>
        </is>
      </c>
      <c r="F2220" s="7" t="inlineStr">
        <is>
          <t>i10</t>
        </is>
      </c>
      <c r="G2220" s="7" t="inlineStr">
        <is>
          <t>CHEKKALA GANGADHAR RAO</t>
        </is>
      </c>
      <c r="H2220" s="7" t="inlineStr">
        <is>
          <t>Non-Captive</t>
        </is>
      </c>
      <c r="I2220" s="7" t="inlineStr">
        <is>
          <t>Tenali Srinivas</t>
        </is>
      </c>
      <c r="J2220" s="8" t="n">
        <v>2011</v>
      </c>
      <c r="K2220" s="9" t="n">
        <v>89585</v>
      </c>
      <c r="L2220" s="10" t="n">
        <v>130000</v>
      </c>
      <c r="M2220" s="10" t="n">
        <v>5932.2</v>
      </c>
      <c r="N2220" s="11">
        <f>IF(M2220="","",ROUND(M2220*1.18,2))</f>
        <v/>
      </c>
      <c r="O2220" s="12">
        <f>IF(M2220="","",ROUND(N2220-M2220,2))</f>
        <v/>
      </c>
      <c r="P2220" s="13">
        <f>IF(AND(A2220&lt;&gt;"",B2220&lt;&gt;""), A2220&amp;" · "&amp;B2220, "")</f>
        <v/>
      </c>
    </row>
    <row r="2221">
      <c r="A2221" s="6" t="inlineStr">
        <is>
          <t>FY27</t>
        </is>
      </c>
      <c r="B2221" s="6" t="inlineStr">
        <is>
          <t>Jun</t>
        </is>
      </c>
      <c r="C2221" s="6" t="inlineStr">
        <is>
          <t>AP/TS</t>
        </is>
      </c>
      <c r="D2221" s="7" t="inlineStr">
        <is>
          <t>AP31BT6919</t>
        </is>
      </c>
      <c r="E2221" s="7" t="inlineStr">
        <is>
          <t>HYUNDAI</t>
        </is>
      </c>
      <c r="F2221" s="7" t="inlineStr">
        <is>
          <t>i10</t>
        </is>
      </c>
      <c r="G2221" s="7" t="inlineStr">
        <is>
          <t>EXCHANGE</t>
        </is>
      </c>
      <c r="H2221" s="7" t="inlineStr">
        <is>
          <t>Captive</t>
        </is>
      </c>
      <c r="I2221" s="7" t="inlineStr">
        <is>
          <t>Gadi Sri Bharathi</t>
        </is>
      </c>
      <c r="J2221" s="8" t="n">
        <v>2011</v>
      </c>
      <c r="K2221" s="9" t="n">
        <v>69278</v>
      </c>
      <c r="L2221" s="10" t="n">
        <v>128000</v>
      </c>
      <c r="M2221" s="10" t="n">
        <v>6779.66</v>
      </c>
      <c r="N2221" s="11">
        <f>IF(M2221="","",ROUND(M2221*1.18,2))</f>
        <v/>
      </c>
      <c r="O2221" s="12">
        <f>IF(M2221="","",ROUND(N2221-M2221,2))</f>
        <v/>
      </c>
      <c r="P2221" s="13">
        <f>IF(AND(A2221&lt;&gt;"",B2221&lt;&gt;""), A2221&amp;" · "&amp;B2221, "")</f>
        <v/>
      </c>
    </row>
    <row r="2222">
      <c r="A2222" s="6" t="inlineStr">
        <is>
          <t>FY27</t>
        </is>
      </c>
      <c r="B2222" s="6" t="inlineStr">
        <is>
          <t>Jun</t>
        </is>
      </c>
      <c r="C2222" s="6" t="inlineStr">
        <is>
          <t>AP/TS</t>
        </is>
      </c>
      <c r="D2222" s="7" t="inlineStr">
        <is>
          <t>AP31CP2079</t>
        </is>
      </c>
      <c r="E2222" s="7" t="inlineStr">
        <is>
          <t>CHEVROLET</t>
        </is>
      </c>
      <c r="F2222" s="7" t="inlineStr">
        <is>
          <t>Sail</t>
        </is>
      </c>
      <c r="G2222" s="7" t="inlineStr">
        <is>
          <t>SIVA REDDY GUDLA</t>
        </is>
      </c>
      <c r="H2222" s="7" t="inlineStr">
        <is>
          <t>Non-Captive</t>
        </is>
      </c>
      <c r="I2222" s="7" t="inlineStr">
        <is>
          <t>Kesireddy Saikiran</t>
        </is>
      </c>
      <c r="J2222" s="8" t="n">
        <v>2013</v>
      </c>
      <c r="K2222" s="9" t="n">
        <v>179532</v>
      </c>
      <c r="L2222" s="10" t="n">
        <v>90000</v>
      </c>
      <c r="M2222" s="10" t="n">
        <v>4237.29</v>
      </c>
      <c r="N2222" s="11">
        <f>IF(M2222="","",ROUND(M2222*1.18,2))</f>
        <v/>
      </c>
      <c r="O2222" s="12">
        <f>IF(M2222="","",ROUND(N2222-M2222,2))</f>
        <v/>
      </c>
      <c r="P2222" s="13">
        <f>IF(AND(A2222&lt;&gt;"",B2222&lt;&gt;""), A2222&amp;" · "&amp;B2222, "")</f>
        <v/>
      </c>
    </row>
    <row r="2223">
      <c r="A2223" s="6" t="inlineStr">
        <is>
          <t>FY27</t>
        </is>
      </c>
      <c r="B2223" s="6" t="inlineStr">
        <is>
          <t>Jun</t>
        </is>
      </c>
      <c r="C2223" s="6" t="inlineStr">
        <is>
          <t>AP/TS</t>
        </is>
      </c>
      <c r="D2223" s="7" t="inlineStr">
        <is>
          <t>AP31DL4542</t>
        </is>
      </c>
      <c r="E2223" s="7" t="inlineStr">
        <is>
          <t>NISSAN</t>
        </is>
      </c>
      <c r="F2223" s="7" t="inlineStr">
        <is>
          <t>Go</t>
        </is>
      </c>
      <c r="G2223" s="7" t="inlineStr">
        <is>
          <t>GADI SRI BHARATHI</t>
        </is>
      </c>
      <c r="H2223" s="7" t="inlineStr">
        <is>
          <t>Non-Captive</t>
        </is>
      </c>
      <c r="I2223" s="7" t="inlineStr">
        <is>
          <t>Kaki Dinesh Kumar</t>
        </is>
      </c>
      <c r="J2223" s="8" t="n">
        <v>2016</v>
      </c>
      <c r="K2223" s="9" t="n">
        <v>122511</v>
      </c>
      <c r="L2223" s="10" t="n">
        <v>127000</v>
      </c>
      <c r="M2223" s="10" t="n">
        <v>5932.2</v>
      </c>
      <c r="N2223" s="11">
        <f>IF(M2223="","",ROUND(M2223*1.18,2))</f>
        <v/>
      </c>
      <c r="O2223" s="12">
        <f>IF(M2223="","",ROUND(N2223-M2223,2))</f>
        <v/>
      </c>
      <c r="P2223" s="13">
        <f>IF(AND(A2223&lt;&gt;"",B2223&lt;&gt;""), A2223&amp;" · "&amp;B2223, "")</f>
        <v/>
      </c>
    </row>
    <row r="2224">
      <c r="A2224" s="6" t="inlineStr">
        <is>
          <t>FY27</t>
        </is>
      </c>
      <c r="B2224" s="6" t="inlineStr">
        <is>
          <t>Jun</t>
        </is>
      </c>
      <c r="C2224" s="6" t="inlineStr">
        <is>
          <t>AP/TS</t>
        </is>
      </c>
      <c r="D2224" s="7" t="inlineStr">
        <is>
          <t>AP31EM6677</t>
        </is>
      </c>
      <c r="E2224" s="7" t="inlineStr">
        <is>
          <t>HONDA</t>
        </is>
      </c>
      <c r="F2224" s="7" t="inlineStr">
        <is>
          <t>Brio</t>
        </is>
      </c>
      <c r="G2224" s="7" t="inlineStr">
        <is>
          <t>EXCHANGE</t>
        </is>
      </c>
      <c r="H2224" s="7" t="inlineStr">
        <is>
          <t>Captive</t>
        </is>
      </c>
      <c r="I2224" s="7" t="inlineStr">
        <is>
          <t>Kaki Dinesh Kumar</t>
        </is>
      </c>
      <c r="J2224" s="8" t="n">
        <v>2018</v>
      </c>
      <c r="K2224" s="9" t="n">
        <v>29567</v>
      </c>
      <c r="L2224" s="10" t="n">
        <v>338000</v>
      </c>
      <c r="M2224" s="10" t="n">
        <v>8474.58</v>
      </c>
      <c r="N2224" s="11">
        <f>IF(M2224="","",ROUND(M2224*1.18,2))</f>
        <v/>
      </c>
      <c r="O2224" s="12">
        <f>IF(M2224="","",ROUND(N2224-M2224,2))</f>
        <v/>
      </c>
      <c r="P2224" s="13">
        <f>IF(AND(A2224&lt;&gt;"",B2224&lt;&gt;""), A2224&amp;" · "&amp;B2224, "")</f>
        <v/>
      </c>
    </row>
    <row r="2225">
      <c r="A2225" s="6" t="inlineStr">
        <is>
          <t>FY27</t>
        </is>
      </c>
      <c r="B2225" s="6" t="inlineStr">
        <is>
          <t>Jun</t>
        </is>
      </c>
      <c r="C2225" s="6" t="inlineStr">
        <is>
          <t>AP/TS</t>
        </is>
      </c>
      <c r="D2225" s="7" t="inlineStr">
        <is>
          <t>AP31EM9311</t>
        </is>
      </c>
      <c r="E2225" s="7" t="inlineStr">
        <is>
          <t>TATA</t>
        </is>
      </c>
      <c r="F2225" s="7" t="inlineStr">
        <is>
          <t>Tigor</t>
        </is>
      </c>
      <c r="G2225" s="7" t="inlineStr">
        <is>
          <t>EXCHANGE</t>
        </is>
      </c>
      <c r="H2225" s="7" t="inlineStr">
        <is>
          <t>Captive</t>
        </is>
      </c>
      <c r="I2225" s="7" t="inlineStr">
        <is>
          <t>Nakka Chandrasekhar (Cs Cars</t>
        </is>
      </c>
      <c r="J2225" s="8" t="n">
        <v>2018</v>
      </c>
      <c r="K2225" s="9" t="n">
        <v>80398</v>
      </c>
      <c r="L2225" s="10" t="n">
        <v>335000</v>
      </c>
      <c r="M2225" s="10" t="n">
        <v>8474.58</v>
      </c>
      <c r="N2225" s="11">
        <f>IF(M2225="","",ROUND(M2225*1.18,2))</f>
        <v/>
      </c>
      <c r="O2225" s="12">
        <f>IF(M2225="","",ROUND(N2225-M2225,2))</f>
        <v/>
      </c>
      <c r="P2225" s="13">
        <f>IF(AND(A2225&lt;&gt;"",B2225&lt;&gt;""), A2225&amp;" · "&amp;B2225, "")</f>
        <v/>
      </c>
    </row>
    <row r="2226">
      <c r="A2226" s="6" t="inlineStr">
        <is>
          <t>FY27</t>
        </is>
      </c>
      <c r="B2226" s="6" t="inlineStr">
        <is>
          <t>Jun</t>
        </is>
      </c>
      <c r="C2226" s="6" t="inlineStr">
        <is>
          <t>AP/TS</t>
        </is>
      </c>
      <c r="D2226" s="7" t="inlineStr">
        <is>
          <t>AP31EQ5259</t>
        </is>
      </c>
      <c r="E2226" s="7" t="inlineStr">
        <is>
          <t>MARUTI SUZUKI</t>
        </is>
      </c>
      <c r="F2226" s="7" t="inlineStr">
        <is>
          <t>Vitara Brezza</t>
        </is>
      </c>
      <c r="G2226" s="7" t="inlineStr">
        <is>
          <t>DEVARAPALLI AVINASH</t>
        </is>
      </c>
      <c r="H2226" s="7" t="inlineStr">
        <is>
          <t>Non-Captive</t>
        </is>
      </c>
      <c r="I2226" s="7" t="inlineStr">
        <is>
          <t>Chittibomma Srinivasa Rao</t>
        </is>
      </c>
      <c r="J2226" s="8" t="n">
        <v>2018</v>
      </c>
      <c r="K2226" s="9" t="n">
        <v>134547</v>
      </c>
      <c r="L2226" s="10" t="n">
        <v>397500</v>
      </c>
      <c r="M2226" s="10" t="n">
        <v>6355.93</v>
      </c>
      <c r="N2226" s="11">
        <f>IF(M2226="","",ROUND(M2226*1.18,2))</f>
        <v/>
      </c>
      <c r="O2226" s="12">
        <f>IF(M2226="","",ROUND(N2226-M2226,2))</f>
        <v/>
      </c>
      <c r="P2226" s="13">
        <f>IF(AND(A2226&lt;&gt;"",B2226&lt;&gt;""), A2226&amp;" · "&amp;B2226, "")</f>
        <v/>
      </c>
    </row>
    <row r="2227">
      <c r="A2227" s="6" t="inlineStr">
        <is>
          <t>FY27</t>
        </is>
      </c>
      <c r="B2227" s="6" t="inlineStr">
        <is>
          <t>Jun</t>
        </is>
      </c>
      <c r="C2227" s="6" t="inlineStr">
        <is>
          <t>AP/TS</t>
        </is>
      </c>
      <c r="D2227" s="7" t="inlineStr">
        <is>
          <t>AP37CU8559</t>
        </is>
      </c>
      <c r="E2227" s="7" t="inlineStr">
        <is>
          <t>HONDA</t>
        </is>
      </c>
      <c r="F2227" s="7" t="inlineStr">
        <is>
          <t>City</t>
        </is>
      </c>
      <c r="G2227" s="7" t="inlineStr">
        <is>
          <t>DEVARAPALLI AVINASH</t>
        </is>
      </c>
      <c r="H2227" s="7" t="inlineStr">
        <is>
          <t>Non-Captive</t>
        </is>
      </c>
      <c r="I2227" s="7" t="inlineStr">
        <is>
          <t>Chittibomma Srinivasa Rao</t>
        </is>
      </c>
      <c r="J2227" s="8" t="n">
        <v>2017</v>
      </c>
      <c r="K2227" s="9" t="n">
        <v>90210</v>
      </c>
      <c r="L2227" s="10" t="n">
        <v>397500</v>
      </c>
      <c r="M2227" s="10" t="n">
        <v>6355.93</v>
      </c>
      <c r="N2227" s="11">
        <f>IF(M2227="","",ROUND(M2227*1.18,2))</f>
        <v/>
      </c>
      <c r="O2227" s="12">
        <f>IF(M2227="","",ROUND(N2227-M2227,2))</f>
        <v/>
      </c>
      <c r="P2227" s="13">
        <f>IF(AND(A2227&lt;&gt;"",B2227&lt;&gt;""), A2227&amp;" · "&amp;B2227, "")</f>
        <v/>
      </c>
    </row>
    <row r="2228">
      <c r="A2228" s="6" t="inlineStr">
        <is>
          <t>FY27</t>
        </is>
      </c>
      <c r="B2228" s="6" t="inlineStr">
        <is>
          <t>Jun</t>
        </is>
      </c>
      <c r="C2228" s="6" t="inlineStr">
        <is>
          <t>AP/TS</t>
        </is>
      </c>
      <c r="D2228" s="7" t="inlineStr">
        <is>
          <t>AP37TK1689</t>
        </is>
      </c>
      <c r="E2228" s="7" t="inlineStr">
        <is>
          <t>MARUTI SUZUKI</t>
        </is>
      </c>
      <c r="F2228" s="7" t="inlineStr">
        <is>
          <t>Dzire</t>
        </is>
      </c>
      <c r="G2228" s="7" t="inlineStr">
        <is>
          <t>EXCHANGE</t>
        </is>
      </c>
      <c r="H2228" s="7" t="inlineStr">
        <is>
          <t>Captive</t>
        </is>
      </c>
      <c r="I2228" s="7" t="inlineStr">
        <is>
          <t>Mohammed Gouse Basha</t>
        </is>
      </c>
      <c r="J2228" s="8" t="n">
        <v>2018</v>
      </c>
      <c r="K2228" s="9" t="n">
        <v>128589</v>
      </c>
      <c r="L2228" s="10" t="n">
        <v>435000</v>
      </c>
      <c r="M2228" s="10" t="n">
        <v>8474.58</v>
      </c>
      <c r="N2228" s="11">
        <f>IF(M2228="","",ROUND(M2228*1.18,2))</f>
        <v/>
      </c>
      <c r="O2228" s="12">
        <f>IF(M2228="","",ROUND(N2228-M2228,2))</f>
        <v/>
      </c>
      <c r="P2228" s="13">
        <f>IF(AND(A2228&lt;&gt;"",B2228&lt;&gt;""), A2228&amp;" · "&amp;B2228, "")</f>
        <v/>
      </c>
    </row>
    <row r="2229">
      <c r="A2229" s="6" t="inlineStr">
        <is>
          <t>FY27</t>
        </is>
      </c>
      <c r="B2229" s="6" t="inlineStr">
        <is>
          <t>Jun</t>
        </is>
      </c>
      <c r="C2229" s="6" t="inlineStr">
        <is>
          <t>AP/TS</t>
        </is>
      </c>
      <c r="D2229" s="7" t="inlineStr">
        <is>
          <t>AP39DF5454</t>
        </is>
      </c>
      <c r="E2229" s="7" t="inlineStr">
        <is>
          <t>MARUTI SUZUKI</t>
        </is>
      </c>
      <c r="F2229" s="7" t="inlineStr">
        <is>
          <t>S-Cross</t>
        </is>
      </c>
      <c r="G2229" s="7" t="inlineStr">
        <is>
          <t>DEVARAPALLI AVINASH</t>
        </is>
      </c>
      <c r="H2229" s="7" t="inlineStr">
        <is>
          <t>Non-Captive</t>
        </is>
      </c>
      <c r="I2229" s="7" t="inlineStr">
        <is>
          <t>Chittibomma Srinivasa Rao</t>
        </is>
      </c>
      <c r="J2229" s="8" t="n">
        <v>2019</v>
      </c>
      <c r="K2229" s="9" t="n">
        <v>94558</v>
      </c>
      <c r="L2229" s="10" t="n">
        <v>357500</v>
      </c>
      <c r="M2229" s="10" t="n">
        <v>6355.93</v>
      </c>
      <c r="N2229" s="11">
        <f>IF(M2229="","",ROUND(M2229*1.18,2))</f>
        <v/>
      </c>
      <c r="O2229" s="12">
        <f>IF(M2229="","",ROUND(N2229-M2229,2))</f>
        <v/>
      </c>
      <c r="P2229" s="13">
        <f>IF(AND(A2229&lt;&gt;"",B2229&lt;&gt;""), A2229&amp;" · "&amp;B2229, "")</f>
        <v/>
      </c>
    </row>
    <row r="2230">
      <c r="A2230" s="6" t="inlineStr">
        <is>
          <t>FY27</t>
        </is>
      </c>
      <c r="B2230" s="6" t="inlineStr">
        <is>
          <t>Jun</t>
        </is>
      </c>
      <c r="C2230" s="6" t="inlineStr">
        <is>
          <t>AP/TS</t>
        </is>
      </c>
      <c r="D2230" s="7" t="inlineStr">
        <is>
          <t>AP39DW0459</t>
        </is>
      </c>
      <c r="E2230" s="7" t="inlineStr">
        <is>
          <t>MARUTI SUZUKI</t>
        </is>
      </c>
      <c r="F2230" s="7" t="inlineStr">
        <is>
          <t>Ignis</t>
        </is>
      </c>
      <c r="G2230" s="7" t="inlineStr">
        <is>
          <t>GUTHI RAVI KRISHNA</t>
        </is>
      </c>
      <c r="H2230" s="7" t="inlineStr">
        <is>
          <t>Non-Captive</t>
        </is>
      </c>
      <c r="I2230" s="7" t="inlineStr">
        <is>
          <t>Suresh Ginjupalli</t>
        </is>
      </c>
      <c r="J2230" s="8" t="n">
        <v>2019</v>
      </c>
      <c r="K2230" s="9" t="n">
        <v>72520</v>
      </c>
      <c r="L2230" s="10" t="n">
        <v>287500</v>
      </c>
      <c r="M2230" s="10" t="n">
        <v>6355.93</v>
      </c>
      <c r="N2230" s="11">
        <f>IF(M2230="","",ROUND(M2230*1.18,2))</f>
        <v/>
      </c>
      <c r="O2230" s="12">
        <f>IF(M2230="","",ROUND(N2230-M2230,2))</f>
        <v/>
      </c>
      <c r="P2230" s="13">
        <f>IF(AND(A2230&lt;&gt;"",B2230&lt;&gt;""), A2230&amp;" · "&amp;B2230, "")</f>
        <v/>
      </c>
    </row>
    <row r="2231">
      <c r="A2231" s="6" t="inlineStr">
        <is>
          <t>FY27</t>
        </is>
      </c>
      <c r="B2231" s="6" t="inlineStr">
        <is>
          <t>Jun</t>
        </is>
      </c>
      <c r="C2231" s="6" t="inlineStr">
        <is>
          <t>AP/TS</t>
        </is>
      </c>
      <c r="D2231" s="7" t="inlineStr">
        <is>
          <t>AP39JD8006</t>
        </is>
      </c>
      <c r="E2231" s="7" t="inlineStr">
        <is>
          <t>HYUNDAI</t>
        </is>
      </c>
      <c r="F2231" s="7" t="inlineStr">
        <is>
          <t>i20</t>
        </is>
      </c>
      <c r="G2231" s="7" t="inlineStr">
        <is>
          <t>EXCHANGE</t>
        </is>
      </c>
      <c r="H2231" s="7" t="inlineStr">
        <is>
          <t>Captive</t>
        </is>
      </c>
      <c r="I2231" s="7" t="inlineStr">
        <is>
          <t>Shaik Rasul</t>
        </is>
      </c>
      <c r="J2231" s="8" t="n">
        <v>2021</v>
      </c>
      <c r="K2231" s="9" t="n">
        <v>32101</v>
      </c>
      <c r="L2231" s="10" t="n">
        <v>380000</v>
      </c>
      <c r="M2231" s="10" t="n">
        <v>8474.58</v>
      </c>
      <c r="N2231" s="11">
        <f>IF(M2231="","",ROUND(M2231*1.18,2))</f>
        <v/>
      </c>
      <c r="O2231" s="12">
        <f>IF(M2231="","",ROUND(N2231-M2231,2))</f>
        <v/>
      </c>
      <c r="P2231" s="13">
        <f>IF(AND(A2231&lt;&gt;"",B2231&lt;&gt;""), A2231&amp;" · "&amp;B2231, "")</f>
        <v/>
      </c>
    </row>
    <row r="2232">
      <c r="A2232" s="6" t="inlineStr">
        <is>
          <t>FY27</t>
        </is>
      </c>
      <c r="B2232" s="6" t="inlineStr">
        <is>
          <t>Jun</t>
        </is>
      </c>
      <c r="C2232" s="6" t="inlineStr">
        <is>
          <t>AP/TS</t>
        </is>
      </c>
      <c r="D2232" s="7" t="inlineStr">
        <is>
          <t>AP39LV2488</t>
        </is>
      </c>
      <c r="E2232" s="7" t="inlineStr">
        <is>
          <t>HONDA</t>
        </is>
      </c>
      <c r="F2232" s="7" t="inlineStr">
        <is>
          <t>City</t>
        </is>
      </c>
      <c r="G2232" s="7" t="inlineStr">
        <is>
          <t>EXCHANGE</t>
        </is>
      </c>
      <c r="H2232" s="7" t="inlineStr">
        <is>
          <t>Captive</t>
        </is>
      </c>
      <c r="I2232" s="7" t="inlineStr">
        <is>
          <t>Kesireddy Saikiran</t>
        </is>
      </c>
      <c r="J2232" s="8" t="n">
        <v>2021</v>
      </c>
      <c r="K2232" s="9" t="n">
        <v>54274</v>
      </c>
      <c r="L2232" s="10" t="n">
        <v>692000</v>
      </c>
      <c r="M2232" s="10" t="n">
        <v>10169.49</v>
      </c>
      <c r="N2232" s="11">
        <f>IF(M2232="","",ROUND(M2232*1.18,2))</f>
        <v/>
      </c>
      <c r="O2232" s="12">
        <f>IF(M2232="","",ROUND(N2232-M2232,2))</f>
        <v/>
      </c>
      <c r="P2232" s="13">
        <f>IF(AND(A2232&lt;&gt;"",B2232&lt;&gt;""), A2232&amp;" · "&amp;B2232, "")</f>
        <v/>
      </c>
    </row>
    <row r="2233">
      <c r="A2233" s="6" t="inlineStr">
        <is>
          <t>FY27</t>
        </is>
      </c>
      <c r="B2233" s="6" t="inlineStr">
        <is>
          <t>Jun</t>
        </is>
      </c>
      <c r="C2233" s="6" t="inlineStr">
        <is>
          <t>AP/TS</t>
        </is>
      </c>
      <c r="D2233" s="7" t="inlineStr">
        <is>
          <t>AP39LZ8860</t>
        </is>
      </c>
      <c r="E2233" s="7" t="inlineStr">
        <is>
          <t>HONDA</t>
        </is>
      </c>
      <c r="F2233" s="7" t="inlineStr">
        <is>
          <t>Amaze</t>
        </is>
      </c>
      <c r="G2233" s="7" t="inlineStr">
        <is>
          <t>EXCHANGE</t>
        </is>
      </c>
      <c r="H2233" s="7" t="inlineStr">
        <is>
          <t>Captive</t>
        </is>
      </c>
      <c r="I2233" s="7" t="inlineStr">
        <is>
          <t>Kesireddy Saikiran</t>
        </is>
      </c>
      <c r="J2233" s="8" t="n">
        <v>2022</v>
      </c>
      <c r="K2233" s="9" t="n">
        <v>41567</v>
      </c>
      <c r="L2233" s="10" t="n">
        <v>540000</v>
      </c>
      <c r="M2233" s="10" t="n">
        <v>16949.15</v>
      </c>
      <c r="N2233" s="11">
        <f>IF(M2233="","",ROUND(M2233*1.18,2))</f>
        <v/>
      </c>
      <c r="O2233" s="12">
        <f>IF(M2233="","",ROUND(N2233-M2233,2))</f>
        <v/>
      </c>
      <c r="P2233" s="13">
        <f>IF(AND(A2233&lt;&gt;"",B2233&lt;&gt;""), A2233&amp;" · "&amp;B2233, "")</f>
        <v/>
      </c>
    </row>
    <row r="2234">
      <c r="A2234" s="6" t="inlineStr">
        <is>
          <t>FY27</t>
        </is>
      </c>
      <c r="B2234" s="6" t="inlineStr">
        <is>
          <t>Jun</t>
        </is>
      </c>
      <c r="C2234" s="6" t="inlineStr">
        <is>
          <t>AP/TS</t>
        </is>
      </c>
      <c r="D2234" s="7" t="inlineStr">
        <is>
          <t>AP40DB5888</t>
        </is>
      </c>
      <c r="E2234" s="7" t="inlineStr">
        <is>
          <t>HONDA</t>
        </is>
      </c>
      <c r="F2234" s="7" t="inlineStr">
        <is>
          <t>Elevate</t>
        </is>
      </c>
      <c r="G2234" s="7" t="inlineStr">
        <is>
          <t>EXCHANGE</t>
        </is>
      </c>
      <c r="H2234" s="7" t="inlineStr">
        <is>
          <t>Captive</t>
        </is>
      </c>
      <c r="I2234" s="7" t="inlineStr">
        <is>
          <t>Odapally Sandeep</t>
        </is>
      </c>
      <c r="J2234" s="8" t="n">
        <v>2024</v>
      </c>
      <c r="K2234" s="9" t="n">
        <v>50541</v>
      </c>
      <c r="L2234" s="10" t="n">
        <v>985000</v>
      </c>
      <c r="M2234" s="10" t="n">
        <v>16949.15</v>
      </c>
      <c r="N2234" s="11">
        <f>IF(M2234="","",ROUND(M2234*1.18,2))</f>
        <v/>
      </c>
      <c r="O2234" s="12">
        <f>IF(M2234="","",ROUND(N2234-M2234,2))</f>
        <v/>
      </c>
      <c r="P2234" s="13">
        <f>IF(AND(A2234&lt;&gt;"",B2234&lt;&gt;""), A2234&amp;" · "&amp;B2234, "")</f>
        <v/>
      </c>
    </row>
    <row r="2235">
      <c r="A2235" s="6" t="inlineStr">
        <is>
          <t>FY27</t>
        </is>
      </c>
      <c r="B2235" s="6" t="inlineStr">
        <is>
          <t>Jun</t>
        </is>
      </c>
      <c r="C2235" s="6" t="inlineStr">
        <is>
          <t>AP/TS</t>
        </is>
      </c>
      <c r="D2235" s="7" t="inlineStr">
        <is>
          <t>AP40H9819</t>
        </is>
      </c>
      <c r="E2235" s="7" t="inlineStr">
        <is>
          <t>MAHINDRA</t>
        </is>
      </c>
      <c r="F2235" s="7" t="inlineStr">
        <is>
          <t>XUV300</t>
        </is>
      </c>
      <c r="G2235" s="7" t="inlineStr">
        <is>
          <t>EXCHANGE</t>
        </is>
      </c>
      <c r="H2235" s="7" t="inlineStr">
        <is>
          <t>Captive</t>
        </is>
      </c>
      <c r="I2235" s="7" t="inlineStr">
        <is>
          <t>Vedicherla Sudheer Reddy - VSR Cars</t>
        </is>
      </c>
      <c r="J2235" s="8" t="n">
        <v>2023</v>
      </c>
      <c r="K2235" s="9" t="n">
        <v>70110</v>
      </c>
      <c r="L2235" s="10" t="n">
        <v>825000</v>
      </c>
      <c r="M2235" s="10" t="n">
        <v>12711.86</v>
      </c>
      <c r="N2235" s="11">
        <f>IF(M2235="","",ROUND(M2235*1.18,2))</f>
        <v/>
      </c>
      <c r="O2235" s="12">
        <f>IF(M2235="","",ROUND(N2235-M2235,2))</f>
        <v/>
      </c>
      <c r="P2235" s="13">
        <f>IF(AND(A2235&lt;&gt;"",B2235&lt;&gt;""), A2235&amp;" · "&amp;B2235, "")</f>
        <v/>
      </c>
    </row>
    <row r="2236">
      <c r="A2236" s="6" t="inlineStr">
        <is>
          <t>FY27</t>
        </is>
      </c>
      <c r="B2236" s="6" t="inlineStr">
        <is>
          <t>Jun</t>
        </is>
      </c>
      <c r="C2236" s="6" t="inlineStr">
        <is>
          <t>AP/TS</t>
        </is>
      </c>
      <c r="D2236" s="7" t="inlineStr">
        <is>
          <t>TS07EU2967</t>
        </is>
      </c>
      <c r="E2236" s="7" t="inlineStr">
        <is>
          <t>HYUNDAI</t>
        </is>
      </c>
      <c r="F2236" s="7" t="inlineStr">
        <is>
          <t>Eon</t>
        </is>
      </c>
      <c r="G2236" s="7" t="inlineStr">
        <is>
          <t>EXCHANGE</t>
        </is>
      </c>
      <c r="H2236" s="7" t="inlineStr">
        <is>
          <t>Captive</t>
        </is>
      </c>
      <c r="I2236" s="7" t="inlineStr">
        <is>
          <t>Odapally Sandeep</t>
        </is>
      </c>
      <c r="J2236" s="8" t="n">
        <v>2015</v>
      </c>
      <c r="K2236" s="9" t="n">
        <v>127894</v>
      </c>
      <c r="L2236" s="10" t="n">
        <v>126000</v>
      </c>
      <c r="M2236" s="10" t="n">
        <v>5084.75</v>
      </c>
      <c r="N2236" s="11">
        <f>IF(M2236="","",ROUND(M2236*1.18,2))</f>
        <v/>
      </c>
      <c r="O2236" s="12">
        <f>IF(M2236="","",ROUND(N2236-M2236,2))</f>
        <v/>
      </c>
      <c r="P2236" s="13">
        <f>IF(AND(A2236&lt;&gt;"",B2236&lt;&gt;""), A2236&amp;" · "&amp;B2236, "")</f>
        <v/>
      </c>
    </row>
    <row r="2237">
      <c r="A2237" s="6" t="inlineStr">
        <is>
          <t>FY27</t>
        </is>
      </c>
      <c r="B2237" s="6" t="inlineStr">
        <is>
          <t>Jun</t>
        </is>
      </c>
      <c r="C2237" s="6" t="inlineStr">
        <is>
          <t>AP/TS</t>
        </is>
      </c>
      <c r="D2237" s="7" t="inlineStr">
        <is>
          <t>TS07EW1889</t>
        </is>
      </c>
      <c r="E2237" s="7" t="inlineStr">
        <is>
          <t>FORD</t>
        </is>
      </c>
      <c r="F2237" s="7" t="inlineStr">
        <is>
          <t>Figo</t>
        </is>
      </c>
      <c r="G2237" s="7" t="inlineStr">
        <is>
          <t>BUKYA SANTHOSH NAIK</t>
        </is>
      </c>
      <c r="H2237" s="7" t="inlineStr">
        <is>
          <t>Non-Captive</t>
        </is>
      </c>
      <c r="I2237" s="7" t="inlineStr">
        <is>
          <t>Odapally Sandeep</t>
        </is>
      </c>
      <c r="J2237" s="8" t="n">
        <v>2015</v>
      </c>
      <c r="K2237" s="9" t="n">
        <v>102521</v>
      </c>
      <c r="L2237" s="10" t="n">
        <v>308000</v>
      </c>
      <c r="M2237" s="10" t="n">
        <v>6779.66</v>
      </c>
      <c r="N2237" s="11">
        <f>IF(M2237="","",ROUND(M2237*1.18,2))</f>
        <v/>
      </c>
      <c r="O2237" s="12">
        <f>IF(M2237="","",ROUND(N2237-M2237,2))</f>
        <v/>
      </c>
      <c r="P2237" s="13">
        <f>IF(AND(A2237&lt;&gt;"",B2237&lt;&gt;""), A2237&amp;" · "&amp;B2237, "")</f>
        <v/>
      </c>
    </row>
    <row r="2238">
      <c r="A2238" s="6" t="inlineStr">
        <is>
          <t>FY27</t>
        </is>
      </c>
      <c r="B2238" s="6" t="inlineStr">
        <is>
          <t>Jun</t>
        </is>
      </c>
      <c r="C2238" s="6" t="inlineStr">
        <is>
          <t>AP/TS</t>
        </is>
      </c>
      <c r="D2238" s="7" t="inlineStr">
        <is>
          <t>TS07FM9848</t>
        </is>
      </c>
      <c r="E2238" s="7" t="inlineStr">
        <is>
          <t>RENAULT</t>
        </is>
      </c>
      <c r="F2238" s="7" t="inlineStr">
        <is>
          <t>Kwid</t>
        </is>
      </c>
      <c r="G2238" s="7" t="inlineStr">
        <is>
          <t>PUNEET GUPTA</t>
        </is>
      </c>
      <c r="H2238" s="7" t="inlineStr">
        <is>
          <t>Non-Captive</t>
        </is>
      </c>
      <c r="I2238" s="7" t="inlineStr">
        <is>
          <t>Uppari Sandeep Kumar</t>
        </is>
      </c>
      <c r="J2238" s="8" t="n">
        <v>2017</v>
      </c>
      <c r="K2238" s="9" t="n">
        <v>141580</v>
      </c>
      <c r="L2238" s="10" t="n">
        <v>168000</v>
      </c>
      <c r="M2238" s="10" t="n">
        <v>5932.2</v>
      </c>
      <c r="N2238" s="11">
        <f>IF(M2238="","",ROUND(M2238*1.18,2))</f>
        <v/>
      </c>
      <c r="O2238" s="12">
        <f>IF(M2238="","",ROUND(N2238-M2238,2))</f>
        <v/>
      </c>
      <c r="P2238" s="13">
        <f>IF(AND(A2238&lt;&gt;"",B2238&lt;&gt;""), A2238&amp;" · "&amp;B2238, "")</f>
        <v/>
      </c>
    </row>
    <row r="2239">
      <c r="A2239" s="6" t="inlineStr">
        <is>
          <t>FY27</t>
        </is>
      </c>
      <c r="B2239" s="6" t="inlineStr">
        <is>
          <t>Jun</t>
        </is>
      </c>
      <c r="C2239" s="6" t="inlineStr">
        <is>
          <t>AP/TS</t>
        </is>
      </c>
      <c r="D2239" s="7" t="inlineStr">
        <is>
          <t>TS07GZ0599</t>
        </is>
      </c>
      <c r="E2239" s="7" t="inlineStr">
        <is>
          <t>SKODA</t>
        </is>
      </c>
      <c r="F2239" s="7" t="inlineStr">
        <is>
          <t>Rapid</t>
        </is>
      </c>
      <c r="G2239" s="7" t="inlineStr">
        <is>
          <t>EXCHANGE</t>
        </is>
      </c>
      <c r="H2239" s="7" t="inlineStr">
        <is>
          <t>Captive</t>
        </is>
      </c>
      <c r="I2239" s="7" t="inlineStr">
        <is>
          <t>Kaki Dinesh Kumar</t>
        </is>
      </c>
      <c r="J2239" s="8" t="n">
        <v>2019</v>
      </c>
      <c r="K2239" s="9" t="n">
        <v>111023</v>
      </c>
      <c r="L2239" s="10" t="n">
        <v>394000</v>
      </c>
      <c r="M2239" s="10" t="n">
        <v>8474.58</v>
      </c>
      <c r="N2239" s="11">
        <f>IF(M2239="","",ROUND(M2239*1.18,2))</f>
        <v/>
      </c>
      <c r="O2239" s="12">
        <f>IF(M2239="","",ROUND(N2239-M2239,2))</f>
        <v/>
      </c>
      <c r="P2239" s="13">
        <f>IF(AND(A2239&lt;&gt;"",B2239&lt;&gt;""), A2239&amp;" · "&amp;B2239, "")</f>
        <v/>
      </c>
    </row>
    <row r="2240">
      <c r="A2240" s="6" t="inlineStr">
        <is>
          <t>FY27</t>
        </is>
      </c>
      <c r="B2240" s="6" t="inlineStr">
        <is>
          <t>Jun</t>
        </is>
      </c>
      <c r="C2240" s="6" t="inlineStr">
        <is>
          <t>AP/TS</t>
        </is>
      </c>
      <c r="D2240" s="7" t="inlineStr">
        <is>
          <t>TS07HR1050</t>
        </is>
      </c>
      <c r="E2240" s="7" t="inlineStr">
        <is>
          <t>MARUTI SUZUKI</t>
        </is>
      </c>
      <c r="F2240" s="7" t="inlineStr">
        <is>
          <t>Swift</t>
        </is>
      </c>
      <c r="G2240" s="7" t="inlineStr">
        <is>
          <t>EXCHANGE</t>
        </is>
      </c>
      <c r="H2240" s="7" t="inlineStr">
        <is>
          <t>Captive</t>
        </is>
      </c>
      <c r="I2240" s="7" t="inlineStr">
        <is>
          <t>K Surendra Reddy</t>
        </is>
      </c>
      <c r="J2240" s="8" t="n">
        <v>2021</v>
      </c>
      <c r="K2240" s="9" t="n">
        <v>44361</v>
      </c>
      <c r="L2240" s="10" t="n">
        <v>450000</v>
      </c>
      <c r="M2240" s="10" t="n">
        <v>8474.58</v>
      </c>
      <c r="N2240" s="11">
        <f>IF(M2240="","",ROUND(M2240*1.18,2))</f>
        <v/>
      </c>
      <c r="O2240" s="12">
        <f>IF(M2240="","",ROUND(N2240-M2240,2))</f>
        <v/>
      </c>
      <c r="P2240" s="13">
        <f>IF(AND(A2240&lt;&gt;"",B2240&lt;&gt;""), A2240&amp;" · "&amp;B2240, "")</f>
        <v/>
      </c>
    </row>
    <row r="2241">
      <c r="A2241" s="6" t="inlineStr">
        <is>
          <t>FY27</t>
        </is>
      </c>
      <c r="B2241" s="6" t="inlineStr">
        <is>
          <t>Jun</t>
        </is>
      </c>
      <c r="C2241" s="6" t="inlineStr">
        <is>
          <t>AP/TS</t>
        </is>
      </c>
      <c r="D2241" s="7" t="inlineStr">
        <is>
          <t>TS07JS3369</t>
        </is>
      </c>
      <c r="E2241" s="7" t="inlineStr">
        <is>
          <t>CITROEN</t>
        </is>
      </c>
      <c r="F2241" s="7" t="inlineStr">
        <is>
          <t>C3</t>
        </is>
      </c>
      <c r="G2241" s="7" t="inlineStr">
        <is>
          <t>EXCHANGE</t>
        </is>
      </c>
      <c r="H2241" s="7" t="inlineStr">
        <is>
          <t>Captive</t>
        </is>
      </c>
      <c r="I2241" s="7" t="inlineStr">
        <is>
          <t>Addla Mithin (Sri Venkateswara Cars</t>
        </is>
      </c>
      <c r="J2241" s="8" t="n">
        <v>2023</v>
      </c>
      <c r="K2241" s="9" t="n">
        <v>45459</v>
      </c>
      <c r="L2241" s="10" t="n">
        <v>270000</v>
      </c>
      <c r="M2241" s="10" t="n">
        <v>8474.58</v>
      </c>
      <c r="N2241" s="11">
        <f>IF(M2241="","",ROUND(M2241*1.18,2))</f>
        <v/>
      </c>
      <c r="O2241" s="12">
        <f>IF(M2241="","",ROUND(N2241-M2241,2))</f>
        <v/>
      </c>
      <c r="P2241" s="13">
        <f>IF(AND(A2241&lt;&gt;"",B2241&lt;&gt;""), A2241&amp;" · "&amp;B2241, "")</f>
        <v/>
      </c>
    </row>
    <row r="2242">
      <c r="A2242" s="6" t="inlineStr">
        <is>
          <t>FY27</t>
        </is>
      </c>
      <c r="B2242" s="6" t="inlineStr">
        <is>
          <t>Jun</t>
        </is>
      </c>
      <c r="C2242" s="6" t="inlineStr">
        <is>
          <t>AP/TS</t>
        </is>
      </c>
      <c r="D2242" s="7" t="inlineStr">
        <is>
          <t>TS08GD8188</t>
        </is>
      </c>
      <c r="E2242" s="7" t="inlineStr">
        <is>
          <t>MARUTI SUZUKI</t>
        </is>
      </c>
      <c r="F2242" s="7" t="inlineStr">
        <is>
          <t>Eeco</t>
        </is>
      </c>
      <c r="G2242" s="7" t="inlineStr">
        <is>
          <t>BUKYA SANTHOSH NAIK</t>
        </is>
      </c>
      <c r="H2242" s="7" t="inlineStr">
        <is>
          <t>Non-Captive</t>
        </is>
      </c>
      <c r="I2242" s="7" t="inlineStr">
        <is>
          <t>Odapally Sandeep</t>
        </is>
      </c>
      <c r="J2242" s="8" t="n">
        <v>2018</v>
      </c>
      <c r="K2242" s="9" t="n">
        <v>125644</v>
      </c>
      <c r="L2242" s="10" t="n">
        <v>126000</v>
      </c>
      <c r="M2242" s="10" t="n">
        <v>5084.75</v>
      </c>
      <c r="N2242" s="11">
        <f>IF(M2242="","",ROUND(M2242*1.18,2))</f>
        <v/>
      </c>
      <c r="O2242" s="12">
        <f>IF(M2242="","",ROUND(N2242-M2242,2))</f>
        <v/>
      </c>
      <c r="P2242" s="13">
        <f>IF(AND(A2242&lt;&gt;"",B2242&lt;&gt;""), A2242&amp;" · "&amp;B2242, "")</f>
        <v/>
      </c>
    </row>
    <row r="2243">
      <c r="A2243" s="6" t="inlineStr">
        <is>
          <t>FY27</t>
        </is>
      </c>
      <c r="B2243" s="6" t="inlineStr">
        <is>
          <t>Jun</t>
        </is>
      </c>
      <c r="C2243" s="6" t="inlineStr">
        <is>
          <t>AP/TS</t>
        </is>
      </c>
      <c r="D2243" s="7" t="inlineStr">
        <is>
          <t>TS09EP6325</t>
        </is>
      </c>
      <c r="E2243" s="7" t="inlineStr">
        <is>
          <t>HONDA</t>
        </is>
      </c>
      <c r="F2243" s="7" t="inlineStr">
        <is>
          <t>Jazz</t>
        </is>
      </c>
      <c r="G2243" s="7" t="inlineStr">
        <is>
          <t>MOHAMMED GOUSE BASHA</t>
        </is>
      </c>
      <c r="H2243" s="7" t="inlineStr">
        <is>
          <t>Non-Captive</t>
        </is>
      </c>
      <c r="I2243" s="7" t="inlineStr">
        <is>
          <t>Guthi Ravi Krishna</t>
        </is>
      </c>
      <c r="J2243" s="8" t="n">
        <v>2016</v>
      </c>
      <c r="K2243" s="9" t="n">
        <v>129952</v>
      </c>
      <c r="L2243" s="10" t="n">
        <v>190000</v>
      </c>
      <c r="M2243" s="10" t="n">
        <v>5084.75</v>
      </c>
      <c r="N2243" s="11">
        <f>IF(M2243="","",ROUND(M2243*1.18,2))</f>
        <v/>
      </c>
      <c r="O2243" s="12">
        <f>IF(M2243="","",ROUND(N2243-M2243,2))</f>
        <v/>
      </c>
      <c r="P2243" s="13">
        <f>IF(AND(A2243&lt;&gt;"",B2243&lt;&gt;""), A2243&amp;" · "&amp;B2243, "")</f>
        <v/>
      </c>
    </row>
    <row r="2244">
      <c r="A2244" s="6" t="inlineStr">
        <is>
          <t>FY27</t>
        </is>
      </c>
      <c r="B2244" s="6" t="inlineStr">
        <is>
          <t>Jun</t>
        </is>
      </c>
      <c r="C2244" s="6" t="inlineStr">
        <is>
          <t>AP/TS</t>
        </is>
      </c>
      <c r="D2244" s="7" t="inlineStr">
        <is>
          <t>TS09ES1602</t>
        </is>
      </c>
      <c r="E2244" s="7" t="inlineStr">
        <is>
          <t>HONDA</t>
        </is>
      </c>
      <c r="F2244" s="7" t="inlineStr">
        <is>
          <t>Brio</t>
        </is>
      </c>
      <c r="G2244" s="7" t="inlineStr">
        <is>
          <t>MOHAMMED GHOUSE</t>
        </is>
      </c>
      <c r="H2244" s="7" t="inlineStr">
        <is>
          <t>Non-Captive</t>
        </is>
      </c>
      <c r="I2244" s="7" t="inlineStr">
        <is>
          <t>Odapally Sandeep</t>
        </is>
      </c>
      <c r="J2244" s="8" t="n">
        <v>2016</v>
      </c>
      <c r="K2244" s="9" t="n">
        <v>101252</v>
      </c>
      <c r="L2244" s="10" t="n">
        <v>190000</v>
      </c>
      <c r="M2244" s="10" t="n">
        <v>5932.2</v>
      </c>
      <c r="N2244" s="11">
        <f>IF(M2244="","",ROUND(M2244*1.18,2))</f>
        <v/>
      </c>
      <c r="O2244" s="12">
        <f>IF(M2244="","",ROUND(N2244-M2244,2))</f>
        <v/>
      </c>
      <c r="P2244" s="13">
        <f>IF(AND(A2244&lt;&gt;"",B2244&lt;&gt;""), A2244&amp;" · "&amp;B2244, "")</f>
        <v/>
      </c>
    </row>
    <row r="2245">
      <c r="A2245" s="6" t="inlineStr">
        <is>
          <t>FY27</t>
        </is>
      </c>
      <c r="B2245" s="6" t="inlineStr">
        <is>
          <t>Jun</t>
        </is>
      </c>
      <c r="C2245" s="6" t="inlineStr">
        <is>
          <t>AP/TS</t>
        </is>
      </c>
      <c r="D2245" s="7" t="inlineStr">
        <is>
          <t>TS09ET3105</t>
        </is>
      </c>
      <c r="E2245" s="7" t="inlineStr">
        <is>
          <t>MARUTI SUZUKI</t>
        </is>
      </c>
      <c r="F2245" s="7" t="inlineStr">
        <is>
          <t>Baleno</t>
        </is>
      </c>
      <c r="G2245" s="7" t="inlineStr">
        <is>
          <t>EXCHANGE</t>
        </is>
      </c>
      <c r="H2245" s="7" t="inlineStr">
        <is>
          <t>Captive</t>
        </is>
      </c>
      <c r="I2245" s="7" t="inlineStr">
        <is>
          <t>Abdul Mugees</t>
        </is>
      </c>
      <c r="J2245" s="8" t="n">
        <v>2017</v>
      </c>
      <c r="K2245" s="9" t="n">
        <v>55021</v>
      </c>
      <c r="L2245" s="10" t="n">
        <v>370000</v>
      </c>
      <c r="M2245" s="10" t="n">
        <v>8474.58</v>
      </c>
      <c r="N2245" s="11">
        <f>IF(M2245="","",ROUND(M2245*1.18,2))</f>
        <v/>
      </c>
      <c r="O2245" s="12">
        <f>IF(M2245="","",ROUND(N2245-M2245,2))</f>
        <v/>
      </c>
      <c r="P2245" s="13">
        <f>IF(AND(A2245&lt;&gt;"",B2245&lt;&gt;""), A2245&amp;" · "&amp;B2245, "")</f>
        <v/>
      </c>
    </row>
    <row r="2246">
      <c r="A2246" s="6" t="inlineStr">
        <is>
          <t>FY27</t>
        </is>
      </c>
      <c r="B2246" s="6" t="inlineStr">
        <is>
          <t>Jun</t>
        </is>
      </c>
      <c r="C2246" s="6" t="inlineStr">
        <is>
          <t>AP/TS</t>
        </is>
      </c>
      <c r="D2246" s="7" t="inlineStr">
        <is>
          <t>TS09FB4820</t>
        </is>
      </c>
      <c r="E2246" s="7" t="inlineStr">
        <is>
          <t>RENAULT</t>
        </is>
      </c>
      <c r="F2246" s="7" t="inlineStr">
        <is>
          <t>Kwid</t>
        </is>
      </c>
      <c r="G2246" s="7" t="inlineStr">
        <is>
          <t>BUKYA SANTHOSH NAIK</t>
        </is>
      </c>
      <c r="H2246" s="7" t="inlineStr">
        <is>
          <t>Non-Captive</t>
        </is>
      </c>
      <c r="I2246" s="7" t="inlineStr">
        <is>
          <t>Odapally Sandeep</t>
        </is>
      </c>
      <c r="J2246" s="8" t="n">
        <v>2018</v>
      </c>
      <c r="K2246" s="9" t="n">
        <v>130964</v>
      </c>
      <c r="L2246" s="10" t="n">
        <v>186000</v>
      </c>
      <c r="M2246" s="10" t="n">
        <v>5084.75</v>
      </c>
      <c r="N2246" s="11">
        <f>IF(M2246="","",ROUND(M2246*1.18,2))</f>
        <v/>
      </c>
      <c r="O2246" s="12">
        <f>IF(M2246="","",ROUND(N2246-M2246,2))</f>
        <v/>
      </c>
      <c r="P2246" s="13">
        <f>IF(AND(A2246&lt;&gt;"",B2246&lt;&gt;""), A2246&amp;" · "&amp;B2246, "")</f>
        <v/>
      </c>
    </row>
    <row r="2247">
      <c r="A2247" s="6" t="inlineStr">
        <is>
          <t>FY27</t>
        </is>
      </c>
      <c r="B2247" s="6" t="inlineStr">
        <is>
          <t>Jun</t>
        </is>
      </c>
      <c r="C2247" s="6" t="inlineStr">
        <is>
          <t>AP/TS</t>
        </is>
      </c>
      <c r="D2247" s="7" t="inlineStr">
        <is>
          <t>TS09FS1056</t>
        </is>
      </c>
      <c r="E2247" s="7" t="inlineStr">
        <is>
          <t>MARUTI SUZUKI</t>
        </is>
      </c>
      <c r="F2247" s="7" t="inlineStr">
        <is>
          <t>Ciaz</t>
        </is>
      </c>
      <c r="G2247" s="7" t="inlineStr">
        <is>
          <t>EXCHANGE</t>
        </is>
      </c>
      <c r="H2247" s="7" t="inlineStr">
        <is>
          <t>Captive</t>
        </is>
      </c>
      <c r="I2247" s="7" t="inlineStr">
        <is>
          <t>Prabjyoth Singh Wasu</t>
        </is>
      </c>
      <c r="J2247" s="8" t="n">
        <v>2021</v>
      </c>
      <c r="K2247" s="9" t="n">
        <v>108765</v>
      </c>
      <c r="L2247" s="10" t="n">
        <v>460000</v>
      </c>
      <c r="M2247" s="10" t="n">
        <v>8474.58</v>
      </c>
      <c r="N2247" s="11">
        <f>IF(M2247="","",ROUND(M2247*1.18,2))</f>
        <v/>
      </c>
      <c r="O2247" s="12">
        <f>IF(M2247="","",ROUND(N2247-M2247,2))</f>
        <v/>
      </c>
      <c r="P2247" s="13">
        <f>IF(AND(A2247&lt;&gt;"",B2247&lt;&gt;""), A2247&amp;" · "&amp;B2247, "")</f>
        <v/>
      </c>
    </row>
    <row r="2248">
      <c r="A2248" s="6" t="inlineStr">
        <is>
          <t>FY27</t>
        </is>
      </c>
      <c r="B2248" s="6" t="inlineStr">
        <is>
          <t>Jun</t>
        </is>
      </c>
      <c r="C2248" s="6" t="inlineStr">
        <is>
          <t>AP/TS</t>
        </is>
      </c>
      <c r="D2248" s="7" t="inlineStr">
        <is>
          <t>TS15EX5285</t>
        </is>
      </c>
      <c r="E2248" s="7" t="inlineStr">
        <is>
          <t>MARUTI SUZUKI</t>
        </is>
      </c>
      <c r="F2248" s="7" t="inlineStr">
        <is>
          <t>Alto</t>
        </is>
      </c>
      <c r="G2248" s="7" t="inlineStr">
        <is>
          <t>MOHAMMED GHOUSE</t>
        </is>
      </c>
      <c r="H2248" s="7" t="inlineStr">
        <is>
          <t>Non-Captive</t>
        </is>
      </c>
      <c r="I2248" s="7" t="inlineStr">
        <is>
          <t>Odapally Sandeep</t>
        </is>
      </c>
      <c r="J2248" s="8" t="n">
        <v>2019</v>
      </c>
      <c r="K2248" s="9" t="n">
        <v>105457</v>
      </c>
      <c r="L2248" s="10" t="n">
        <v>190000</v>
      </c>
      <c r="M2248" s="10" t="n">
        <v>5084.75</v>
      </c>
      <c r="N2248" s="11">
        <f>IF(M2248="","",ROUND(M2248*1.18,2))</f>
        <v/>
      </c>
      <c r="O2248" s="12">
        <f>IF(M2248="","",ROUND(N2248-M2248,2))</f>
        <v/>
      </c>
      <c r="P2248" s="13">
        <f>IF(AND(A2248&lt;&gt;"",B2248&lt;&gt;""), A2248&amp;" · "&amp;B2248, "")</f>
        <v/>
      </c>
    </row>
    <row r="2249">
      <c r="A2249" s="6" t="inlineStr">
        <is>
          <t>FY27</t>
        </is>
      </c>
      <c r="B2249" s="6" t="inlineStr">
        <is>
          <t>Jun</t>
        </is>
      </c>
      <c r="C2249" s="6" t="inlineStr">
        <is>
          <t>AP/TS</t>
        </is>
      </c>
      <c r="D2249" s="7" t="inlineStr">
        <is>
          <t>TS32B3368</t>
        </is>
      </c>
      <c r="E2249" s="7" t="inlineStr">
        <is>
          <t>RENAULT</t>
        </is>
      </c>
      <c r="F2249" s="7" t="inlineStr">
        <is>
          <t>Kwid</t>
        </is>
      </c>
      <c r="G2249" s="7" t="inlineStr">
        <is>
          <t>MOHAMMED GHOUSE</t>
        </is>
      </c>
      <c r="H2249" s="7" t="inlineStr">
        <is>
          <t>Non-Captive</t>
        </is>
      </c>
      <c r="I2249" s="7" t="inlineStr">
        <is>
          <t>Odapally Sandeep</t>
        </is>
      </c>
      <c r="J2249" s="8" t="n">
        <v>2017</v>
      </c>
      <c r="K2249" s="9" t="n">
        <v>121589</v>
      </c>
      <c r="L2249" s="10" t="n">
        <v>148000</v>
      </c>
      <c r="M2249" s="10" t="n">
        <v>5084.75</v>
      </c>
      <c r="N2249" s="11">
        <f>IF(M2249="","",ROUND(M2249*1.18,2))</f>
        <v/>
      </c>
      <c r="O2249" s="12">
        <f>IF(M2249="","",ROUND(N2249-M2249,2))</f>
        <v/>
      </c>
      <c r="P2249" s="13">
        <f>IF(AND(A2249&lt;&gt;"",B2249&lt;&gt;""), A2249&amp;" · "&amp;B2249, "")</f>
        <v/>
      </c>
    </row>
    <row r="2250">
      <c r="A2250" s="6" t="inlineStr">
        <is>
          <t>FY27</t>
        </is>
      </c>
      <c r="B2250" s="6" t="inlineStr">
        <is>
          <t>Jun</t>
        </is>
      </c>
      <c r="C2250" s="6" t="inlineStr">
        <is>
          <t>Kerala</t>
        </is>
      </c>
      <c r="D2250" s="7" t="inlineStr">
        <is>
          <t>KL01AK2417</t>
        </is>
      </c>
      <c r="E2250" s="7" t="inlineStr">
        <is>
          <t>MARUTI SUZUKI</t>
        </is>
      </c>
      <c r="F2250" s="7" t="inlineStr">
        <is>
          <t>Wagon R</t>
        </is>
      </c>
      <c r="G2250" s="7" t="inlineStr">
        <is>
          <t>POPULAR MARUTI</t>
        </is>
      </c>
      <c r="H2250" s="7" t="inlineStr">
        <is>
          <t>Non-Captive</t>
        </is>
      </c>
      <c r="I2250" s="7" t="inlineStr">
        <is>
          <t>SANTHOSH</t>
        </is>
      </c>
      <c r="J2250" s="8" t="n">
        <v>2005</v>
      </c>
      <c r="K2250" s="9" t="n">
        <v>120000</v>
      </c>
      <c r="L2250" s="10" t="n">
        <v>60000</v>
      </c>
      <c r="M2250" s="10" t="n">
        <v>8474.58</v>
      </c>
      <c r="N2250" s="11">
        <f>IF(M2250="","",ROUND(M2250*1.18,2))</f>
        <v/>
      </c>
      <c r="O2250" s="12">
        <f>IF(M2250="","",ROUND(N2250-M2250,2))</f>
        <v/>
      </c>
      <c r="P2250" s="13">
        <f>IF(AND(A2250&lt;&gt;"",B2250&lt;&gt;""), A2250&amp;" · "&amp;B2250, "")</f>
        <v/>
      </c>
    </row>
    <row r="2251">
      <c r="A2251" s="6" t="inlineStr">
        <is>
          <t>FY27</t>
        </is>
      </c>
      <c r="B2251" s="6" t="inlineStr">
        <is>
          <t>Jun</t>
        </is>
      </c>
      <c r="C2251" s="6" t="inlineStr">
        <is>
          <t>Kerala</t>
        </is>
      </c>
      <c r="D2251" s="7" t="inlineStr">
        <is>
          <t>KL01AQ1603</t>
        </is>
      </c>
      <c r="E2251" s="7" t="inlineStr">
        <is>
          <t>MARUTI SUZUKI</t>
        </is>
      </c>
      <c r="F2251" s="7" t="inlineStr">
        <is>
          <t>Wagon R</t>
        </is>
      </c>
      <c r="G2251" s="7" t="inlineStr">
        <is>
          <t>MAXX MOTORS</t>
        </is>
      </c>
      <c r="H2251" s="7" t="inlineStr">
        <is>
          <t>Non-Captive</t>
        </is>
      </c>
      <c r="I2251" s="7" t="inlineStr">
        <is>
          <t>KISHORE</t>
        </is>
      </c>
      <c r="J2251" s="8" t="n">
        <v>2007</v>
      </c>
      <c r="K2251" s="9" t="n">
        <v>110000</v>
      </c>
      <c r="L2251" s="10" t="n">
        <v>65000</v>
      </c>
      <c r="M2251" s="10" t="n">
        <v>4237.29</v>
      </c>
      <c r="N2251" s="11">
        <f>IF(M2251="","",ROUND(M2251*1.18,2))</f>
        <v/>
      </c>
      <c r="O2251" s="12">
        <f>IF(M2251="","",ROUND(N2251-M2251,2))</f>
        <v/>
      </c>
      <c r="P2251" s="13">
        <f>IF(AND(A2251&lt;&gt;"",B2251&lt;&gt;""), A2251&amp;" · "&amp;B2251, "")</f>
        <v/>
      </c>
    </row>
    <row r="2252">
      <c r="A2252" s="6" t="inlineStr">
        <is>
          <t>FY27</t>
        </is>
      </c>
      <c r="B2252" s="6" t="inlineStr">
        <is>
          <t>Jun</t>
        </is>
      </c>
      <c r="C2252" s="6" t="inlineStr">
        <is>
          <t>Kerala</t>
        </is>
      </c>
      <c r="D2252" s="7" t="inlineStr">
        <is>
          <t>KL01AR2999</t>
        </is>
      </c>
      <c r="E2252" s="7" t="inlineStr">
        <is>
          <t>FORD</t>
        </is>
      </c>
      <c r="F2252" s="7" t="inlineStr">
        <is>
          <t>Ikon</t>
        </is>
      </c>
      <c r="G2252" s="7" t="inlineStr">
        <is>
          <t>LUXON TATA</t>
        </is>
      </c>
      <c r="H2252" s="7" t="inlineStr">
        <is>
          <t>Non-Captive</t>
        </is>
      </c>
      <c r="I2252" s="7" t="inlineStr">
        <is>
          <t>ABHISHEK</t>
        </is>
      </c>
      <c r="J2252" s="8" t="n">
        <v>2007</v>
      </c>
      <c r="K2252" s="9" t="n">
        <v>85000</v>
      </c>
      <c r="L2252" s="10" t="n">
        <v>35000</v>
      </c>
      <c r="M2252" s="10" t="n">
        <v>4237.29</v>
      </c>
      <c r="N2252" s="11">
        <f>IF(M2252="","",ROUND(M2252*1.18,2))</f>
        <v/>
      </c>
      <c r="O2252" s="12">
        <f>IF(M2252="","",ROUND(N2252-M2252,2))</f>
        <v/>
      </c>
      <c r="P2252" s="13">
        <f>IF(AND(A2252&lt;&gt;"",B2252&lt;&gt;""), A2252&amp;" · "&amp;B2252, "")</f>
        <v/>
      </c>
    </row>
    <row r="2253">
      <c r="A2253" s="6" t="inlineStr">
        <is>
          <t>FY27</t>
        </is>
      </c>
      <c r="B2253" s="6" t="inlineStr">
        <is>
          <t>Jun</t>
        </is>
      </c>
      <c r="C2253" s="6" t="inlineStr">
        <is>
          <t>Kerala</t>
        </is>
      </c>
      <c r="D2253" s="7" t="inlineStr">
        <is>
          <t>KL01AT8175</t>
        </is>
      </c>
      <c r="E2253" s="7" t="inlineStr">
        <is>
          <t>HYUNDAI</t>
        </is>
      </c>
      <c r="F2253" s="7" t="inlineStr">
        <is>
          <t>Santro</t>
        </is>
      </c>
      <c r="G2253" s="7" t="inlineStr">
        <is>
          <t>POPULAR MARUTI</t>
        </is>
      </c>
      <c r="H2253" s="7" t="inlineStr">
        <is>
          <t>Non-Captive</t>
        </is>
      </c>
      <c r="I2253" s="7" t="inlineStr">
        <is>
          <t>MAHESH</t>
        </is>
      </c>
      <c r="J2253" s="8" t="n">
        <v>2000</v>
      </c>
      <c r="K2253" s="9" t="n">
        <v>85000</v>
      </c>
      <c r="L2253" s="10" t="n">
        <v>26000</v>
      </c>
      <c r="M2253" s="10" t="n">
        <v>5084.75</v>
      </c>
      <c r="N2253" s="11">
        <f>IF(M2253="","",ROUND(M2253*1.18,2))</f>
        <v/>
      </c>
      <c r="O2253" s="12">
        <f>IF(M2253="","",ROUND(N2253-M2253,2))</f>
        <v/>
      </c>
      <c r="P2253" s="13">
        <f>IF(AND(A2253&lt;&gt;"",B2253&lt;&gt;""), A2253&amp;" · "&amp;B2253, "")</f>
        <v/>
      </c>
    </row>
    <row r="2254">
      <c r="A2254" s="6" t="inlineStr">
        <is>
          <t>FY27</t>
        </is>
      </c>
      <c r="B2254" s="6" t="inlineStr">
        <is>
          <t>Jun</t>
        </is>
      </c>
      <c r="C2254" s="6" t="inlineStr">
        <is>
          <t>Kerala</t>
        </is>
      </c>
      <c r="D2254" s="7" t="inlineStr">
        <is>
          <t>KL01BD7133</t>
        </is>
      </c>
      <c r="E2254" s="7" t="inlineStr">
        <is>
          <t>NISSAN</t>
        </is>
      </c>
      <c r="F2254" s="7" t="inlineStr">
        <is>
          <t>Magnite</t>
        </is>
      </c>
      <c r="G2254" s="7" t="inlineStr">
        <is>
          <t>INCHEON KIA</t>
        </is>
      </c>
      <c r="H2254" s="7" t="inlineStr">
        <is>
          <t>Non-Captive</t>
        </is>
      </c>
      <c r="I2254" s="7" t="inlineStr">
        <is>
          <t>ABHISHEK</t>
        </is>
      </c>
      <c r="J2254" s="8" t="n">
        <v>2011</v>
      </c>
      <c r="K2254" s="9" t="n">
        <v>19800</v>
      </c>
      <c r="L2254" s="10" t="n">
        <v>407000</v>
      </c>
      <c r="M2254" s="10" t="n">
        <v>5932.2</v>
      </c>
      <c r="N2254" s="11">
        <f>IF(M2254="","",ROUND(M2254*1.18,2))</f>
        <v/>
      </c>
      <c r="O2254" s="12">
        <f>IF(M2254="","",ROUND(N2254-M2254,2))</f>
        <v/>
      </c>
      <c r="P2254" s="13">
        <f>IF(AND(A2254&lt;&gt;"",B2254&lt;&gt;""), A2254&amp;" · "&amp;B2254, "")</f>
        <v/>
      </c>
    </row>
    <row r="2255">
      <c r="A2255" s="6" t="inlineStr">
        <is>
          <t>FY27</t>
        </is>
      </c>
      <c r="B2255" s="6" t="inlineStr">
        <is>
          <t>Jun</t>
        </is>
      </c>
      <c r="C2255" s="6" t="inlineStr">
        <is>
          <t>Kerala</t>
        </is>
      </c>
      <c r="D2255" s="7" t="inlineStr">
        <is>
          <t>KL01BF3550</t>
        </is>
      </c>
      <c r="E2255" s="7" t="inlineStr">
        <is>
          <t>MARUTI SUZUKI</t>
        </is>
      </c>
      <c r="F2255" s="7" t="inlineStr">
        <is>
          <t>Wagon R</t>
        </is>
      </c>
      <c r="G2255" s="7" t="inlineStr">
        <is>
          <t>POPULAR MARUTI</t>
        </is>
      </c>
      <c r="H2255" s="7" t="inlineStr">
        <is>
          <t>Non-Captive</t>
        </is>
      </c>
      <c r="I2255" s="7" t="inlineStr">
        <is>
          <t>PRAJOD</t>
        </is>
      </c>
      <c r="J2255" s="8" t="n">
        <v>2012</v>
      </c>
      <c r="K2255" s="9" t="n">
        <v>145400</v>
      </c>
      <c r="L2255" s="10" t="n">
        <v>120000</v>
      </c>
      <c r="M2255" s="10" t="n">
        <v>12711.86</v>
      </c>
      <c r="N2255" s="11">
        <f>IF(M2255="","",ROUND(M2255*1.18,2))</f>
        <v/>
      </c>
      <c r="O2255" s="12">
        <f>IF(M2255="","",ROUND(N2255-M2255,2))</f>
        <v/>
      </c>
      <c r="P2255" s="13">
        <f>IF(AND(A2255&lt;&gt;"",B2255&lt;&gt;""), A2255&amp;" · "&amp;B2255, "")</f>
        <v/>
      </c>
    </row>
    <row r="2256">
      <c r="A2256" s="6" t="inlineStr">
        <is>
          <t>FY27</t>
        </is>
      </c>
      <c r="B2256" s="6" t="inlineStr">
        <is>
          <t>Jun</t>
        </is>
      </c>
      <c r="C2256" s="6" t="inlineStr">
        <is>
          <t>Kerala</t>
        </is>
      </c>
      <c r="D2256" s="7" t="inlineStr">
        <is>
          <t>KL01BJ5173</t>
        </is>
      </c>
      <c r="E2256" s="7" t="inlineStr">
        <is>
          <t>MARUTI SUZUKI</t>
        </is>
      </c>
      <c r="F2256" s="7" t="inlineStr">
        <is>
          <t>Alto K10</t>
        </is>
      </c>
      <c r="G2256" s="7" t="inlineStr">
        <is>
          <t>POPULAR MARUTI</t>
        </is>
      </c>
      <c r="H2256" s="7" t="inlineStr">
        <is>
          <t>Non-Captive</t>
        </is>
      </c>
      <c r="I2256" s="7" t="inlineStr">
        <is>
          <t>RATHEESH</t>
        </is>
      </c>
      <c r="J2256" s="8" t="n">
        <v>2012</v>
      </c>
      <c r="K2256" s="9" t="n">
        <v>88994</v>
      </c>
      <c r="L2256" s="10" t="n">
        <v>92000</v>
      </c>
      <c r="M2256" s="10" t="n">
        <v>5932.2</v>
      </c>
      <c r="N2256" s="11">
        <f>IF(M2256="","",ROUND(M2256*1.18,2))</f>
        <v/>
      </c>
      <c r="O2256" s="12">
        <f>IF(M2256="","",ROUND(N2256-M2256,2))</f>
        <v/>
      </c>
      <c r="P2256" s="13">
        <f>IF(AND(A2256&lt;&gt;"",B2256&lt;&gt;""), A2256&amp;" · "&amp;B2256, "")</f>
        <v/>
      </c>
    </row>
    <row r="2257">
      <c r="A2257" s="6" t="inlineStr">
        <is>
          <t>FY27</t>
        </is>
      </c>
      <c r="B2257" s="6" t="inlineStr">
        <is>
          <t>Jun</t>
        </is>
      </c>
      <c r="C2257" s="6" t="inlineStr">
        <is>
          <t>Kerala</t>
        </is>
      </c>
      <c r="D2257" s="7" t="inlineStr">
        <is>
          <t>KL01BN4901</t>
        </is>
      </c>
      <c r="E2257" s="7" t="inlineStr">
        <is>
          <t>MARUTI SUZUKI</t>
        </is>
      </c>
      <c r="F2257" s="7" t="inlineStr">
        <is>
          <t>Ritz</t>
        </is>
      </c>
      <c r="G2257" s="7" t="inlineStr">
        <is>
          <t>POPULAR MARUTI</t>
        </is>
      </c>
      <c r="H2257" s="7" t="inlineStr">
        <is>
          <t>Non-Captive</t>
        </is>
      </c>
      <c r="I2257" s="7" t="inlineStr">
        <is>
          <t>RATHEESH</t>
        </is>
      </c>
      <c r="J2257" s="8" t="n">
        <v>2013</v>
      </c>
      <c r="K2257" s="9" t="n">
        <v>93882</v>
      </c>
      <c r="L2257" s="10" t="n">
        <v>195000</v>
      </c>
      <c r="M2257" s="10" t="n">
        <v>8474.58</v>
      </c>
      <c r="N2257" s="11">
        <f>IF(M2257="","",ROUND(M2257*1.18,2))</f>
        <v/>
      </c>
      <c r="O2257" s="12">
        <f>IF(M2257="","",ROUND(N2257-M2257,2))</f>
        <v/>
      </c>
      <c r="P2257" s="13">
        <f>IF(AND(A2257&lt;&gt;"",B2257&lt;&gt;""), A2257&amp;" · "&amp;B2257, "")</f>
        <v/>
      </c>
    </row>
    <row r="2258">
      <c r="A2258" s="6" t="inlineStr">
        <is>
          <t>FY27</t>
        </is>
      </c>
      <c r="B2258" s="6" t="inlineStr">
        <is>
          <t>Jun</t>
        </is>
      </c>
      <c r="C2258" s="6" t="inlineStr">
        <is>
          <t>Kerala</t>
        </is>
      </c>
      <c r="D2258" s="7" t="inlineStr">
        <is>
          <t>KL01BQ2626</t>
        </is>
      </c>
      <c r="E2258" s="7" t="inlineStr">
        <is>
          <t>RENAULT</t>
        </is>
      </c>
      <c r="F2258" s="7" t="inlineStr">
        <is>
          <t>Duster</t>
        </is>
      </c>
      <c r="G2258" s="7" t="inlineStr">
        <is>
          <t>SABU MATHEW</t>
        </is>
      </c>
      <c r="H2258" s="7" t="inlineStr">
        <is>
          <t>Non-Captive</t>
        </is>
      </c>
      <c r="I2258" s="7" t="inlineStr">
        <is>
          <t>HUSSAIN O E</t>
        </is>
      </c>
      <c r="J2258" s="8" t="n">
        <v>2014</v>
      </c>
      <c r="K2258" s="9" t="n">
        <v>155233</v>
      </c>
      <c r="L2258" s="10" t="n">
        <v>190000</v>
      </c>
      <c r="M2258" s="10" t="n">
        <v>8474.58</v>
      </c>
      <c r="N2258" s="11">
        <f>IF(M2258="","",ROUND(M2258*1.18,2))</f>
        <v/>
      </c>
      <c r="O2258" s="12">
        <f>IF(M2258="","",ROUND(N2258-M2258,2))</f>
        <v/>
      </c>
      <c r="P2258" s="13">
        <f>IF(AND(A2258&lt;&gt;"",B2258&lt;&gt;""), A2258&amp;" · "&amp;B2258, "")</f>
        <v/>
      </c>
    </row>
    <row r="2259">
      <c r="A2259" s="6" t="inlineStr">
        <is>
          <t>FY27</t>
        </is>
      </c>
      <c r="B2259" s="6" t="inlineStr">
        <is>
          <t>Jun</t>
        </is>
      </c>
      <c r="C2259" s="6" t="inlineStr">
        <is>
          <t>Kerala</t>
        </is>
      </c>
      <c r="D2259" s="7" t="inlineStr">
        <is>
          <t>KL01CC7884</t>
        </is>
      </c>
      <c r="E2259" s="7" t="inlineStr">
        <is>
          <t>HYUNDAI</t>
        </is>
      </c>
      <c r="F2259" s="7" t="inlineStr">
        <is>
          <t>i10</t>
        </is>
      </c>
      <c r="G2259" s="7" t="inlineStr">
        <is>
          <t>KVR TATA</t>
        </is>
      </c>
      <c r="H2259" s="7" t="inlineStr">
        <is>
          <t>Non-Captive</t>
        </is>
      </c>
      <c r="I2259" s="7" t="inlineStr">
        <is>
          <t>ANSHWAL P ANIL</t>
        </is>
      </c>
      <c r="J2259" s="8" t="n">
        <v>2017</v>
      </c>
      <c r="K2259" s="9" t="n">
        <v>82000</v>
      </c>
      <c r="L2259" s="10" t="n">
        <v>215000</v>
      </c>
      <c r="M2259" s="10" t="n">
        <v>4237.29</v>
      </c>
      <c r="N2259" s="11">
        <f>IF(M2259="","",ROUND(M2259*1.18,2))</f>
        <v/>
      </c>
      <c r="O2259" s="12">
        <f>IF(M2259="","",ROUND(N2259-M2259,2))</f>
        <v/>
      </c>
      <c r="P2259" s="13">
        <f>IF(AND(A2259&lt;&gt;"",B2259&lt;&gt;""), A2259&amp;" · "&amp;B2259, "")</f>
        <v/>
      </c>
    </row>
    <row r="2260">
      <c r="A2260" s="6" t="inlineStr">
        <is>
          <t>FY27</t>
        </is>
      </c>
      <c r="B2260" s="6" t="inlineStr">
        <is>
          <t>Jun</t>
        </is>
      </c>
      <c r="C2260" s="6" t="inlineStr">
        <is>
          <t>Kerala</t>
        </is>
      </c>
      <c r="D2260" s="7" t="inlineStr">
        <is>
          <t>KL01CQ4227</t>
        </is>
      </c>
      <c r="E2260" s="7" t="inlineStr">
        <is>
          <t>RENAULT</t>
        </is>
      </c>
      <c r="F2260" s="7" t="inlineStr">
        <is>
          <t>Triber</t>
        </is>
      </c>
      <c r="G2260" s="7" t="inlineStr">
        <is>
          <t>INCHEON KIA</t>
        </is>
      </c>
      <c r="H2260" s="7" t="inlineStr">
        <is>
          <t>Non-Captive</t>
        </is>
      </c>
      <c r="I2260" s="7" t="inlineStr">
        <is>
          <t>Umesh Kumar T U</t>
        </is>
      </c>
      <c r="J2260" s="8" t="n">
        <v>2020</v>
      </c>
      <c r="K2260" s="9" t="n">
        <v>65951</v>
      </c>
      <c r="L2260" s="10" t="n">
        <v>390000</v>
      </c>
      <c r="M2260" s="10" t="n">
        <v>8474.58</v>
      </c>
      <c r="N2260" s="11">
        <f>IF(M2260="","",ROUND(M2260*1.18,2))</f>
        <v/>
      </c>
      <c r="O2260" s="12">
        <f>IF(M2260="","",ROUND(N2260-M2260,2))</f>
        <v/>
      </c>
      <c r="P2260" s="13">
        <f>IF(AND(A2260&lt;&gt;"",B2260&lt;&gt;""), A2260&amp;" · "&amp;B2260, "")</f>
        <v/>
      </c>
    </row>
    <row r="2261">
      <c r="A2261" s="6" t="inlineStr">
        <is>
          <t>FY27</t>
        </is>
      </c>
      <c r="B2261" s="6" t="inlineStr">
        <is>
          <t>Jun</t>
        </is>
      </c>
      <c r="C2261" s="6" t="inlineStr">
        <is>
          <t>Kerala</t>
        </is>
      </c>
      <c r="D2261" s="7" t="inlineStr">
        <is>
          <t>KL02AD8256</t>
        </is>
      </c>
      <c r="E2261" s="7" t="inlineStr">
        <is>
          <t>MARUTI SUZUKI</t>
        </is>
      </c>
      <c r="F2261" s="7" t="inlineStr">
        <is>
          <t>A-Star</t>
        </is>
      </c>
      <c r="G2261" s="7" t="inlineStr">
        <is>
          <t>LUXON TATA</t>
        </is>
      </c>
      <c r="H2261" s="7" t="inlineStr">
        <is>
          <t>Non-Captive</t>
        </is>
      </c>
      <c r="I2261" s="7" t="inlineStr">
        <is>
          <t>VARUN BABU</t>
        </is>
      </c>
      <c r="J2261" s="8" t="n">
        <v>2009</v>
      </c>
      <c r="K2261" s="9" t="n">
        <v>86783</v>
      </c>
      <c r="L2261" s="10" t="n">
        <v>90000</v>
      </c>
      <c r="M2261" s="10" t="n">
        <v>5932.2</v>
      </c>
      <c r="N2261" s="11">
        <f>IF(M2261="","",ROUND(M2261*1.18,2))</f>
        <v/>
      </c>
      <c r="O2261" s="12">
        <f>IF(M2261="","",ROUND(N2261-M2261,2))</f>
        <v/>
      </c>
      <c r="P2261" s="13">
        <f>IF(AND(A2261&lt;&gt;"",B2261&lt;&gt;""), A2261&amp;" · "&amp;B2261, "")</f>
        <v/>
      </c>
    </row>
    <row r="2262">
      <c r="A2262" s="6" t="inlineStr">
        <is>
          <t>FY27</t>
        </is>
      </c>
      <c r="B2262" s="6" t="inlineStr">
        <is>
          <t>Jun</t>
        </is>
      </c>
      <c r="C2262" s="6" t="inlineStr">
        <is>
          <t>Kerala</t>
        </is>
      </c>
      <c r="D2262" s="7" t="inlineStr">
        <is>
          <t>KL02AT1367</t>
        </is>
      </c>
      <c r="E2262" s="7" t="inlineStr">
        <is>
          <t>MARUTI SUZUKI</t>
        </is>
      </c>
      <c r="F2262" s="7" t="inlineStr">
        <is>
          <t>Celerio</t>
        </is>
      </c>
      <c r="G2262" s="7" t="inlineStr">
        <is>
          <t>POPULAR MARUTI</t>
        </is>
      </c>
      <c r="H2262" s="7" t="inlineStr">
        <is>
          <t>Non-Captive</t>
        </is>
      </c>
      <c r="I2262" s="7" t="inlineStr">
        <is>
          <t>INDUS MOTORS</t>
        </is>
      </c>
      <c r="J2262" s="8" t="n">
        <v>2014</v>
      </c>
      <c r="K2262" s="9" t="n">
        <v>37900</v>
      </c>
      <c r="L2262" s="10" t="n">
        <v>230000</v>
      </c>
      <c r="M2262" s="10" t="n">
        <v>8474.58</v>
      </c>
      <c r="N2262" s="11">
        <f>IF(M2262="","",ROUND(M2262*1.18,2))</f>
        <v/>
      </c>
      <c r="O2262" s="12">
        <f>IF(M2262="","",ROUND(N2262-M2262,2))</f>
        <v/>
      </c>
      <c r="P2262" s="13">
        <f>IF(AND(A2262&lt;&gt;"",B2262&lt;&gt;""), A2262&amp;" · "&amp;B2262, "")</f>
        <v/>
      </c>
    </row>
    <row r="2263">
      <c r="A2263" s="6" t="inlineStr">
        <is>
          <t>FY27</t>
        </is>
      </c>
      <c r="B2263" s="6" t="inlineStr">
        <is>
          <t>Jun</t>
        </is>
      </c>
      <c r="C2263" s="6" t="inlineStr">
        <is>
          <t>Kerala</t>
        </is>
      </c>
      <c r="D2263" s="7" t="inlineStr">
        <is>
          <t>KL02AV5619</t>
        </is>
      </c>
      <c r="E2263" s="7" t="inlineStr">
        <is>
          <t>HYUNDAI</t>
        </is>
      </c>
      <c r="F2263" s="7" t="inlineStr">
        <is>
          <t>i10</t>
        </is>
      </c>
      <c r="G2263" s="7" t="inlineStr">
        <is>
          <t>MUTHOOT HONDA</t>
        </is>
      </c>
      <c r="H2263" s="7" t="inlineStr">
        <is>
          <t>Non-Captive</t>
        </is>
      </c>
      <c r="I2263" s="7" t="inlineStr">
        <is>
          <t>SAIDALI</t>
        </is>
      </c>
      <c r="J2263" s="8" t="n">
        <v>2015</v>
      </c>
      <c r="K2263" s="9" t="n">
        <v>70506</v>
      </c>
      <c r="L2263" s="10" t="n">
        <v>258000</v>
      </c>
      <c r="M2263" s="10" t="n">
        <v>6779.66</v>
      </c>
      <c r="N2263" s="11">
        <f>IF(M2263="","",ROUND(M2263*1.18,2))</f>
        <v/>
      </c>
      <c r="O2263" s="12">
        <f>IF(M2263="","",ROUND(N2263-M2263,2))</f>
        <v/>
      </c>
      <c r="P2263" s="13">
        <f>IF(AND(A2263&lt;&gt;"",B2263&lt;&gt;""), A2263&amp;" · "&amp;B2263, "")</f>
        <v/>
      </c>
    </row>
    <row r="2264">
      <c r="A2264" s="6" t="inlineStr">
        <is>
          <t>FY27</t>
        </is>
      </c>
      <c r="B2264" s="6" t="inlineStr">
        <is>
          <t>Jun</t>
        </is>
      </c>
      <c r="C2264" s="6" t="inlineStr">
        <is>
          <t>Kerala</t>
        </is>
      </c>
      <c r="D2264" s="7" t="inlineStr">
        <is>
          <t>KL02AZ2147</t>
        </is>
      </c>
      <c r="E2264" s="7" t="inlineStr">
        <is>
          <t>MARUTI SUZUKI</t>
        </is>
      </c>
      <c r="F2264" s="7" t="inlineStr">
        <is>
          <t>Dzire</t>
        </is>
      </c>
      <c r="G2264" s="7" t="inlineStr">
        <is>
          <t>INCHEON KIA</t>
        </is>
      </c>
      <c r="H2264" s="7" t="inlineStr">
        <is>
          <t>Non-Captive</t>
        </is>
      </c>
      <c r="I2264" s="7" t="inlineStr">
        <is>
          <t>RATHEESH</t>
        </is>
      </c>
      <c r="J2264" s="8" t="n">
        <v>2018</v>
      </c>
      <c r="K2264" s="9" t="n">
        <v>69600</v>
      </c>
      <c r="L2264" s="10" t="n">
        <v>420000</v>
      </c>
      <c r="M2264" s="10" t="n">
        <v>4237.29</v>
      </c>
      <c r="N2264" s="11">
        <f>IF(M2264="","",ROUND(M2264*1.18,2))</f>
        <v/>
      </c>
      <c r="O2264" s="12">
        <f>IF(M2264="","",ROUND(N2264-M2264,2))</f>
        <v/>
      </c>
      <c r="P2264" s="13">
        <f>IF(AND(A2264&lt;&gt;"",B2264&lt;&gt;""), A2264&amp;" · "&amp;B2264, "")</f>
        <v/>
      </c>
    </row>
    <row r="2265">
      <c r="A2265" s="6" t="inlineStr">
        <is>
          <t>FY27</t>
        </is>
      </c>
      <c r="B2265" s="6" t="inlineStr">
        <is>
          <t>Jun</t>
        </is>
      </c>
      <c r="C2265" s="6" t="inlineStr">
        <is>
          <t>Kerala</t>
        </is>
      </c>
      <c r="D2265" s="7" t="inlineStr">
        <is>
          <t>KL02AZ3386</t>
        </is>
      </c>
      <c r="E2265" s="7" t="inlineStr">
        <is>
          <t>HONDA</t>
        </is>
      </c>
      <c r="F2265" s="7" t="inlineStr">
        <is>
          <t>BR-V</t>
        </is>
      </c>
      <c r="G2265" s="7" t="inlineStr">
        <is>
          <t>AKHILNATH</t>
        </is>
      </c>
      <c r="H2265" s="7" t="inlineStr">
        <is>
          <t>Non-Captive</t>
        </is>
      </c>
      <c r="I2265" s="7" t="inlineStr">
        <is>
          <t>ATHUL RAJ</t>
        </is>
      </c>
      <c r="J2265" s="8" t="n">
        <v>2016</v>
      </c>
      <c r="K2265" s="9" t="n">
        <v>136005</v>
      </c>
      <c r="L2265" s="10" t="n">
        <v>347000</v>
      </c>
      <c r="M2265" s="10" t="n">
        <v>5932.2</v>
      </c>
      <c r="N2265" s="11">
        <f>IF(M2265="","",ROUND(M2265*1.18,2))</f>
        <v/>
      </c>
      <c r="O2265" s="12">
        <f>IF(M2265="","",ROUND(N2265-M2265,2))</f>
        <v/>
      </c>
      <c r="P2265" s="13">
        <f>IF(AND(A2265&lt;&gt;"",B2265&lt;&gt;""), A2265&amp;" · "&amp;B2265, "")</f>
        <v/>
      </c>
    </row>
    <row r="2266">
      <c r="A2266" s="6" t="inlineStr">
        <is>
          <t>FY27</t>
        </is>
      </c>
      <c r="B2266" s="6" t="inlineStr">
        <is>
          <t>Jun</t>
        </is>
      </c>
      <c r="C2266" s="6" t="inlineStr">
        <is>
          <t>Kerala</t>
        </is>
      </c>
      <c r="D2266" s="7" t="inlineStr">
        <is>
          <t>KL02BC2353</t>
        </is>
      </c>
      <c r="E2266" s="7" t="inlineStr">
        <is>
          <t>HYUNDAI</t>
        </is>
      </c>
      <c r="F2266" s="7" t="inlineStr">
        <is>
          <t>Grand i10</t>
        </is>
      </c>
      <c r="G2266" s="7" t="inlineStr">
        <is>
          <t>FORTUNE MG</t>
        </is>
      </c>
      <c r="H2266" s="7" t="inlineStr">
        <is>
          <t>Non-Captive</t>
        </is>
      </c>
      <c r="I2266" s="7" t="inlineStr">
        <is>
          <t>RAMSHAD</t>
        </is>
      </c>
      <c r="J2266" s="8" t="n">
        <v>2017</v>
      </c>
      <c r="K2266" s="9" t="n">
        <v>51662</v>
      </c>
      <c r="L2266" s="10" t="n">
        <v>286000</v>
      </c>
      <c r="M2266" s="10" t="n">
        <v>5084.75</v>
      </c>
      <c r="N2266" s="11">
        <f>IF(M2266="","",ROUND(M2266*1.18,2))</f>
        <v/>
      </c>
      <c r="O2266" s="12">
        <f>IF(M2266="","",ROUND(N2266-M2266,2))</f>
        <v/>
      </c>
      <c r="P2266" s="13">
        <f>IF(AND(A2266&lt;&gt;"",B2266&lt;&gt;""), A2266&amp;" · "&amp;B2266, "")</f>
        <v/>
      </c>
    </row>
    <row r="2267">
      <c r="A2267" s="6" t="inlineStr">
        <is>
          <t>FY27</t>
        </is>
      </c>
      <c r="B2267" s="6" t="inlineStr">
        <is>
          <t>Jun</t>
        </is>
      </c>
      <c r="C2267" s="6" t="inlineStr">
        <is>
          <t>Kerala</t>
        </is>
      </c>
      <c r="D2267" s="7" t="inlineStr">
        <is>
          <t>KL02BD1219</t>
        </is>
      </c>
      <c r="E2267" s="7" t="inlineStr">
        <is>
          <t>MAHINDRA</t>
        </is>
      </c>
      <c r="F2267" s="7" t="inlineStr">
        <is>
          <t>KUV100</t>
        </is>
      </c>
      <c r="G2267" s="7" t="inlineStr">
        <is>
          <t>INCHEON KIA</t>
        </is>
      </c>
      <c r="H2267" s="7" t="inlineStr">
        <is>
          <t>Non-Captive</t>
        </is>
      </c>
      <c r="I2267" s="7" t="inlineStr">
        <is>
          <t>NASIM</t>
        </is>
      </c>
      <c r="J2267" s="8" t="n">
        <v>2017</v>
      </c>
      <c r="K2267" s="9" t="n">
        <v>67554</v>
      </c>
      <c r="L2267" s="10" t="n">
        <v>150000</v>
      </c>
      <c r="M2267" s="10" t="n">
        <v>5932.2</v>
      </c>
      <c r="N2267" s="11">
        <f>IF(M2267="","",ROUND(M2267*1.18,2))</f>
        <v/>
      </c>
      <c r="O2267" s="12">
        <f>IF(M2267="","",ROUND(N2267-M2267,2))</f>
        <v/>
      </c>
      <c r="P2267" s="13">
        <f>IF(AND(A2267&lt;&gt;"",B2267&lt;&gt;""), A2267&amp;" · "&amp;B2267, "")</f>
        <v/>
      </c>
    </row>
    <row r="2268">
      <c r="A2268" s="6" t="inlineStr">
        <is>
          <t>FY27</t>
        </is>
      </c>
      <c r="B2268" s="6" t="inlineStr">
        <is>
          <t>Jun</t>
        </is>
      </c>
      <c r="C2268" s="6" t="inlineStr">
        <is>
          <t>Kerala</t>
        </is>
      </c>
      <c r="D2268" s="7" t="inlineStr">
        <is>
          <t>KL02V4666</t>
        </is>
      </c>
      <c r="E2268" s="7" t="inlineStr">
        <is>
          <t>MARUTI SUZUKI</t>
        </is>
      </c>
      <c r="F2268" s="7" t="inlineStr">
        <is>
          <t>Wagon R</t>
        </is>
      </c>
      <c r="G2268" s="7" t="inlineStr">
        <is>
          <t>INCHEON KIA</t>
        </is>
      </c>
      <c r="H2268" s="7" t="inlineStr">
        <is>
          <t>Non-Captive</t>
        </is>
      </c>
      <c r="I2268" s="7" t="inlineStr">
        <is>
          <t>SHAHAR</t>
        </is>
      </c>
      <c r="J2268" s="8" t="n">
        <v>2005</v>
      </c>
      <c r="K2268" s="9" t="n">
        <v>105272</v>
      </c>
      <c r="L2268" s="10" t="n">
        <v>23000</v>
      </c>
      <c r="M2268" s="10" t="n">
        <v>6779.66</v>
      </c>
      <c r="N2268" s="11">
        <f>IF(M2268="","",ROUND(M2268*1.18,2))</f>
        <v/>
      </c>
      <c r="O2268" s="12">
        <f>IF(M2268="","",ROUND(N2268-M2268,2))</f>
        <v/>
      </c>
      <c r="P2268" s="13">
        <f>IF(AND(A2268&lt;&gt;"",B2268&lt;&gt;""), A2268&amp;" · "&amp;B2268, "")</f>
        <v/>
      </c>
    </row>
    <row r="2269">
      <c r="A2269" s="6" t="inlineStr">
        <is>
          <t>FY27</t>
        </is>
      </c>
      <c r="B2269" s="6" t="inlineStr">
        <is>
          <t>Jun</t>
        </is>
      </c>
      <c r="C2269" s="6" t="inlineStr">
        <is>
          <t>Kerala</t>
        </is>
      </c>
      <c r="D2269" s="7" t="inlineStr">
        <is>
          <t>KL03AF1626</t>
        </is>
      </c>
      <c r="E2269" s="7" t="inlineStr">
        <is>
          <t>MARUTI SUZUKI</t>
        </is>
      </c>
      <c r="F2269" s="7" t="inlineStr">
        <is>
          <t>Wagon R</t>
        </is>
      </c>
      <c r="G2269" s="7" t="inlineStr">
        <is>
          <t>POPULAR MARUTI</t>
        </is>
      </c>
      <c r="H2269" s="7" t="inlineStr">
        <is>
          <t>Non-Captive</t>
        </is>
      </c>
      <c r="I2269" s="7" t="inlineStr">
        <is>
          <t>MUHAMMAD SHAJI</t>
        </is>
      </c>
      <c r="J2269" s="8" t="n">
        <v>2020</v>
      </c>
      <c r="K2269" s="9" t="n">
        <v>170768</v>
      </c>
      <c r="L2269" s="10" t="n">
        <v>300000</v>
      </c>
      <c r="M2269" s="10" t="n">
        <v>12711.86</v>
      </c>
      <c r="N2269" s="11">
        <f>IF(M2269="","",ROUND(M2269*1.18,2))</f>
        <v/>
      </c>
      <c r="O2269" s="12">
        <f>IF(M2269="","",ROUND(N2269-M2269,2))</f>
        <v/>
      </c>
      <c r="P2269" s="13">
        <f>IF(AND(A2269&lt;&gt;"",B2269&lt;&gt;""), A2269&amp;" · "&amp;B2269, "")</f>
        <v/>
      </c>
    </row>
    <row r="2270">
      <c r="A2270" s="6" t="inlineStr">
        <is>
          <t>FY27</t>
        </is>
      </c>
      <c r="B2270" s="6" t="inlineStr">
        <is>
          <t>Jun</t>
        </is>
      </c>
      <c r="C2270" s="6" t="inlineStr">
        <is>
          <t>Kerala</t>
        </is>
      </c>
      <c r="D2270" s="7" t="inlineStr">
        <is>
          <t>KL04AG2466</t>
        </is>
      </c>
      <c r="E2270" s="7" t="inlineStr">
        <is>
          <t>TOYOTA</t>
        </is>
      </c>
      <c r="F2270" s="7" t="inlineStr">
        <is>
          <t>Etios</t>
        </is>
      </c>
      <c r="G2270" s="7" t="inlineStr">
        <is>
          <t>POPULAR MARUTI</t>
        </is>
      </c>
      <c r="H2270" s="7" t="inlineStr">
        <is>
          <t>Non-Captive</t>
        </is>
      </c>
      <c r="I2270" s="7" t="inlineStr">
        <is>
          <t>Aitos Cars</t>
        </is>
      </c>
      <c r="J2270" s="8" t="n">
        <v>2014</v>
      </c>
      <c r="K2270" s="9" t="n">
        <v>98000</v>
      </c>
      <c r="L2270" s="10" t="n">
        <v>375000</v>
      </c>
      <c r="M2270" s="10" t="n">
        <v>12711.86</v>
      </c>
      <c r="N2270" s="11">
        <f>IF(M2270="","",ROUND(M2270*1.18,2))</f>
        <v/>
      </c>
      <c r="O2270" s="12">
        <f>IF(M2270="","",ROUND(N2270-M2270,2))</f>
        <v/>
      </c>
      <c r="P2270" s="13">
        <f>IF(AND(A2270&lt;&gt;"",B2270&lt;&gt;""), A2270&amp;" · "&amp;B2270, "")</f>
        <v/>
      </c>
    </row>
    <row r="2271">
      <c r="A2271" s="6" t="inlineStr">
        <is>
          <t>FY27</t>
        </is>
      </c>
      <c r="B2271" s="6" t="inlineStr">
        <is>
          <t>Jun</t>
        </is>
      </c>
      <c r="C2271" s="6" t="inlineStr">
        <is>
          <t>Kerala</t>
        </is>
      </c>
      <c r="D2271" s="7" t="inlineStr">
        <is>
          <t>KL04AH4379</t>
        </is>
      </c>
      <c r="E2271" s="7" t="inlineStr">
        <is>
          <t>VOLKSWAGEN</t>
        </is>
      </c>
      <c r="F2271" s="7" t="inlineStr">
        <is>
          <t>Polo</t>
        </is>
      </c>
      <c r="G2271" s="7" t="inlineStr">
        <is>
          <t>POPULAR MARUTI</t>
        </is>
      </c>
      <c r="H2271" s="7" t="inlineStr">
        <is>
          <t>Non-Captive</t>
        </is>
      </c>
      <c r="I2271" s="7" t="inlineStr">
        <is>
          <t>SANOOB V A</t>
        </is>
      </c>
      <c r="J2271" s="8" t="n">
        <v>2015</v>
      </c>
      <c r="K2271" s="9" t="n">
        <v>89864</v>
      </c>
      <c r="L2271" s="10" t="n">
        <v>268000</v>
      </c>
      <c r="M2271" s="10" t="n">
        <v>8813.559999999999</v>
      </c>
      <c r="N2271" s="11">
        <f>IF(M2271="","",ROUND(M2271*1.18,2))</f>
        <v/>
      </c>
      <c r="O2271" s="12">
        <f>IF(M2271="","",ROUND(N2271-M2271,2))</f>
        <v/>
      </c>
      <c r="P2271" s="13">
        <f>IF(AND(A2271&lt;&gt;"",B2271&lt;&gt;""), A2271&amp;" · "&amp;B2271, "")</f>
        <v/>
      </c>
    </row>
    <row r="2272">
      <c r="A2272" s="6" t="inlineStr">
        <is>
          <t>FY27</t>
        </is>
      </c>
      <c r="B2272" s="6" t="inlineStr">
        <is>
          <t>Jun</t>
        </is>
      </c>
      <c r="C2272" s="6" t="inlineStr">
        <is>
          <t>Kerala</t>
        </is>
      </c>
      <c r="D2272" s="7" t="inlineStr">
        <is>
          <t>KL04AT5471</t>
        </is>
      </c>
      <c r="E2272" s="7" t="inlineStr">
        <is>
          <t>TATA</t>
        </is>
      </c>
      <c r="F2272" s="7" t="inlineStr">
        <is>
          <t>Punch</t>
        </is>
      </c>
      <c r="G2272" s="7" t="inlineStr">
        <is>
          <t>KESHVIN HYUNDAI</t>
        </is>
      </c>
      <c r="H2272" s="7" t="inlineStr">
        <is>
          <t>Non-Captive</t>
        </is>
      </c>
      <c r="I2272" s="7" t="inlineStr">
        <is>
          <t>Aitos Cars</t>
        </is>
      </c>
      <c r="J2272" s="8" t="n">
        <v>2023</v>
      </c>
      <c r="K2272" s="9" t="n">
        <v>18456</v>
      </c>
      <c r="L2272" s="10" t="n">
        <v>510000</v>
      </c>
      <c r="M2272" s="10" t="n">
        <v>8474.58</v>
      </c>
      <c r="N2272" s="11">
        <f>IF(M2272="","",ROUND(M2272*1.18,2))</f>
        <v/>
      </c>
      <c r="O2272" s="12">
        <f>IF(M2272="","",ROUND(N2272-M2272,2))</f>
        <v/>
      </c>
      <c r="P2272" s="13">
        <f>IF(AND(A2272&lt;&gt;"",B2272&lt;&gt;""), A2272&amp;" · "&amp;B2272, "")</f>
        <v/>
      </c>
    </row>
    <row r="2273">
      <c r="A2273" s="6" t="inlineStr">
        <is>
          <t>FY27</t>
        </is>
      </c>
      <c r="B2273" s="6" t="inlineStr">
        <is>
          <t>Jun</t>
        </is>
      </c>
      <c r="C2273" s="6" t="inlineStr">
        <is>
          <t>Kerala</t>
        </is>
      </c>
      <c r="D2273" s="7" t="inlineStr">
        <is>
          <t>KL04X8744</t>
        </is>
      </c>
      <c r="E2273" s="7" t="inlineStr">
        <is>
          <t>MARUTI SUZUKI</t>
        </is>
      </c>
      <c r="F2273" s="7" t="inlineStr">
        <is>
          <t>SX4</t>
        </is>
      </c>
      <c r="G2273" s="7" t="inlineStr">
        <is>
          <t>POPULAR MARUTI</t>
        </is>
      </c>
      <c r="H2273" s="7" t="inlineStr">
        <is>
          <t>Non-Captive</t>
        </is>
      </c>
      <c r="I2273" s="7" t="inlineStr">
        <is>
          <t>JOSHY</t>
        </is>
      </c>
      <c r="J2273" s="8" t="n">
        <v>2008</v>
      </c>
      <c r="K2273" s="9" t="n">
        <v>102170</v>
      </c>
      <c r="L2273" s="10" t="n">
        <v>65000</v>
      </c>
      <c r="M2273" s="10" t="n">
        <v>12711.86</v>
      </c>
      <c r="N2273" s="11">
        <f>IF(M2273="","",ROUND(M2273*1.18,2))</f>
        <v/>
      </c>
      <c r="O2273" s="12">
        <f>IF(M2273="","",ROUND(N2273-M2273,2))</f>
        <v/>
      </c>
      <c r="P2273" s="13">
        <f>IF(AND(A2273&lt;&gt;"",B2273&lt;&gt;""), A2273&amp;" · "&amp;B2273, "")</f>
        <v/>
      </c>
    </row>
    <row r="2274">
      <c r="A2274" s="6" t="inlineStr">
        <is>
          <t>FY27</t>
        </is>
      </c>
      <c r="B2274" s="6" t="inlineStr">
        <is>
          <t>Jun</t>
        </is>
      </c>
      <c r="C2274" s="6" t="inlineStr">
        <is>
          <t>Kerala</t>
        </is>
      </c>
      <c r="D2274" s="7" t="inlineStr">
        <is>
          <t>KL05AA7236</t>
        </is>
      </c>
      <c r="E2274" s="7" t="inlineStr">
        <is>
          <t>MARUTI SUZUKI</t>
        </is>
      </c>
      <c r="F2274" s="7" t="inlineStr">
        <is>
          <t>Alto</t>
        </is>
      </c>
      <c r="G2274" s="7" t="inlineStr">
        <is>
          <t>MUTHOOT TATA</t>
        </is>
      </c>
      <c r="H2274" s="7" t="inlineStr">
        <is>
          <t>Non-Captive</t>
        </is>
      </c>
      <c r="I2274" s="7" t="inlineStr">
        <is>
          <t>ATHUL RAJ</t>
        </is>
      </c>
      <c r="J2274" s="8" t="n">
        <v>2010</v>
      </c>
      <c r="K2274" s="9" t="n">
        <v>67000</v>
      </c>
      <c r="L2274" s="10" t="n">
        <v>60000</v>
      </c>
      <c r="M2274" s="10" t="n">
        <v>5084.75</v>
      </c>
      <c r="N2274" s="11">
        <f>IF(M2274="","",ROUND(M2274*1.18,2))</f>
        <v/>
      </c>
      <c r="O2274" s="12">
        <f>IF(M2274="","",ROUND(N2274-M2274,2))</f>
        <v/>
      </c>
      <c r="P2274" s="13">
        <f>IF(AND(A2274&lt;&gt;"",B2274&lt;&gt;""), A2274&amp;" · "&amp;B2274, "")</f>
        <v/>
      </c>
    </row>
    <row r="2275">
      <c r="A2275" s="6" t="inlineStr">
        <is>
          <t>FY27</t>
        </is>
      </c>
      <c r="B2275" s="6" t="inlineStr">
        <is>
          <t>Jun</t>
        </is>
      </c>
      <c r="C2275" s="6" t="inlineStr">
        <is>
          <t>Kerala</t>
        </is>
      </c>
      <c r="D2275" s="7" t="inlineStr">
        <is>
          <t>KL05AC8627</t>
        </is>
      </c>
      <c r="E2275" s="7" t="inlineStr">
        <is>
          <t>MARUTI SUZUKI</t>
        </is>
      </c>
      <c r="F2275" s="7" t="inlineStr">
        <is>
          <t>Alto</t>
        </is>
      </c>
      <c r="G2275" s="7" t="inlineStr">
        <is>
          <t>POPULAR MARUTI</t>
        </is>
      </c>
      <c r="H2275" s="7" t="inlineStr">
        <is>
          <t>Non-Captive</t>
        </is>
      </c>
      <c r="I2275" s="7" t="inlineStr">
        <is>
          <t>ANAS VH</t>
        </is>
      </c>
      <c r="J2275" s="8" t="n">
        <v>2011</v>
      </c>
      <c r="K2275" s="9" t="n">
        <v>100276</v>
      </c>
      <c r="L2275" s="10" t="n">
        <v>51500</v>
      </c>
      <c r="M2275" s="10" t="n">
        <v>9745.76</v>
      </c>
      <c r="N2275" s="11">
        <f>IF(M2275="","",ROUND(M2275*1.18,2))</f>
        <v/>
      </c>
      <c r="O2275" s="12">
        <f>IF(M2275="","",ROUND(N2275-M2275,2))</f>
        <v/>
      </c>
      <c r="P2275" s="13">
        <f>IF(AND(A2275&lt;&gt;"",B2275&lt;&gt;""), A2275&amp;" · "&amp;B2275, "")</f>
        <v/>
      </c>
    </row>
    <row r="2276">
      <c r="A2276" s="6" t="inlineStr">
        <is>
          <t>FY27</t>
        </is>
      </c>
      <c r="B2276" s="6" t="inlineStr">
        <is>
          <t>Jun</t>
        </is>
      </c>
      <c r="C2276" s="6" t="inlineStr">
        <is>
          <t>Kerala</t>
        </is>
      </c>
      <c r="D2276" s="7" t="inlineStr">
        <is>
          <t>KL05AP5775</t>
        </is>
      </c>
      <c r="E2276" s="7" t="inlineStr">
        <is>
          <t>FORD</t>
        </is>
      </c>
      <c r="F2276" s="7" t="inlineStr">
        <is>
          <t>Figo</t>
        </is>
      </c>
      <c r="G2276" s="7" t="inlineStr">
        <is>
          <t>PHOENIX VOLKSWAGEN</t>
        </is>
      </c>
      <c r="H2276" s="7" t="inlineStr">
        <is>
          <t>Non-Captive</t>
        </is>
      </c>
      <c r="I2276" s="7" t="inlineStr">
        <is>
          <t>Aitos Cars</t>
        </is>
      </c>
      <c r="J2276" s="8" t="n">
        <v>2017</v>
      </c>
      <c r="K2276" s="9" t="n">
        <v>99547</v>
      </c>
      <c r="L2276" s="10" t="n">
        <v>235000</v>
      </c>
      <c r="M2276" s="10" t="n">
        <v>8474.58</v>
      </c>
      <c r="N2276" s="11">
        <f>IF(M2276="","",ROUND(M2276*1.18,2))</f>
        <v/>
      </c>
      <c r="O2276" s="12">
        <f>IF(M2276="","",ROUND(N2276-M2276,2))</f>
        <v/>
      </c>
      <c r="P2276" s="13">
        <f>IF(AND(A2276&lt;&gt;"",B2276&lt;&gt;""), A2276&amp;" · "&amp;B2276, "")</f>
        <v/>
      </c>
    </row>
    <row r="2277">
      <c r="A2277" s="6" t="inlineStr">
        <is>
          <t>FY27</t>
        </is>
      </c>
      <c r="B2277" s="6" t="inlineStr">
        <is>
          <t>Jun</t>
        </is>
      </c>
      <c r="C2277" s="6" t="inlineStr">
        <is>
          <t>Kerala</t>
        </is>
      </c>
      <c r="D2277" s="7" t="inlineStr">
        <is>
          <t>KL05AU3382</t>
        </is>
      </c>
      <c r="E2277" s="7" t="inlineStr">
        <is>
          <t>TOYOTA</t>
        </is>
      </c>
      <c r="F2277" s="7" t="inlineStr">
        <is>
          <t>Innova Crysta</t>
        </is>
      </c>
      <c r="G2277" s="7" t="inlineStr">
        <is>
          <t>ANAS HAMEED</t>
        </is>
      </c>
      <c r="H2277" s="7" t="inlineStr">
        <is>
          <t>Non-Captive</t>
        </is>
      </c>
      <c r="I2277" s="7" t="inlineStr">
        <is>
          <t>HUSSAIN O E</t>
        </is>
      </c>
      <c r="J2277" s="8" t="n">
        <v>2019</v>
      </c>
      <c r="K2277" s="9" t="n">
        <v>135454</v>
      </c>
      <c r="L2277" s="10" t="n">
        <v>1540000</v>
      </c>
      <c r="M2277" s="10" t="n">
        <v>12711.86</v>
      </c>
      <c r="N2277" s="11">
        <f>IF(M2277="","",ROUND(M2277*1.18,2))</f>
        <v/>
      </c>
      <c r="O2277" s="12">
        <f>IF(M2277="","",ROUND(N2277-M2277,2))</f>
        <v/>
      </c>
      <c r="P2277" s="13">
        <f>IF(AND(A2277&lt;&gt;"",B2277&lt;&gt;""), A2277&amp;" · "&amp;B2277, "")</f>
        <v/>
      </c>
    </row>
    <row r="2278">
      <c r="A2278" s="6" t="inlineStr">
        <is>
          <t>FY27</t>
        </is>
      </c>
      <c r="B2278" s="6" t="inlineStr">
        <is>
          <t>Jun</t>
        </is>
      </c>
      <c r="C2278" s="6" t="inlineStr">
        <is>
          <t>Kerala</t>
        </is>
      </c>
      <c r="D2278" s="7" t="inlineStr">
        <is>
          <t>KL05AX0604</t>
        </is>
      </c>
      <c r="E2278" s="7" t="inlineStr">
        <is>
          <t>MARUTI SUZUKI</t>
        </is>
      </c>
      <c r="F2278" s="7" t="inlineStr">
        <is>
          <t>S-Presso</t>
        </is>
      </c>
      <c r="G2278" s="7" t="inlineStr">
        <is>
          <t>POPULAR MARUTI</t>
        </is>
      </c>
      <c r="H2278" s="7" t="inlineStr">
        <is>
          <t>Non-Captive</t>
        </is>
      </c>
      <c r="I2278" s="7" t="inlineStr">
        <is>
          <t>MAXX DRIVE</t>
        </is>
      </c>
      <c r="J2278" s="8" t="n">
        <v>2021</v>
      </c>
      <c r="K2278" s="9" t="n">
        <v>123243</v>
      </c>
      <c r="L2278" s="10" t="n">
        <v>240000</v>
      </c>
      <c r="M2278" s="10" t="n">
        <v>12711.86</v>
      </c>
      <c r="N2278" s="11">
        <f>IF(M2278="","",ROUND(M2278*1.18,2))</f>
        <v/>
      </c>
      <c r="O2278" s="12">
        <f>IF(M2278="","",ROUND(N2278-M2278,2))</f>
        <v/>
      </c>
      <c r="P2278" s="13">
        <f>IF(AND(A2278&lt;&gt;"",B2278&lt;&gt;""), A2278&amp;" · "&amp;B2278, "")</f>
        <v/>
      </c>
    </row>
    <row r="2279">
      <c r="A2279" s="6" t="inlineStr">
        <is>
          <t>FY27</t>
        </is>
      </c>
      <c r="B2279" s="6" t="inlineStr">
        <is>
          <t>Jun</t>
        </is>
      </c>
      <c r="C2279" s="6" t="inlineStr">
        <is>
          <t>Kerala</t>
        </is>
      </c>
      <c r="D2279" s="7" t="inlineStr">
        <is>
          <t>KL05AX6989</t>
        </is>
      </c>
      <c r="E2279" s="7" t="inlineStr">
        <is>
          <t>RENAULT</t>
        </is>
      </c>
      <c r="F2279" s="7" t="inlineStr">
        <is>
          <t>Kwid</t>
        </is>
      </c>
      <c r="G2279" s="7" t="inlineStr">
        <is>
          <t>DREAM DRIVE</t>
        </is>
      </c>
      <c r="H2279" s="7" t="inlineStr">
        <is>
          <t>Non-Captive</t>
        </is>
      </c>
      <c r="I2279" s="7" t="inlineStr">
        <is>
          <t>SUDHEESH K SATHEESH</t>
        </is>
      </c>
      <c r="J2279" s="8" t="n">
        <v>2021</v>
      </c>
      <c r="K2279" s="9" t="n">
        <v>51232</v>
      </c>
      <c r="L2279" s="10" t="n">
        <v>350000</v>
      </c>
      <c r="M2279" s="10" t="n">
        <v>8474.58</v>
      </c>
      <c r="N2279" s="11">
        <f>IF(M2279="","",ROUND(M2279*1.18,2))</f>
        <v/>
      </c>
      <c r="O2279" s="12">
        <f>IF(M2279="","",ROUND(N2279-M2279,2))</f>
        <v/>
      </c>
      <c r="P2279" s="13">
        <f>IF(AND(A2279&lt;&gt;"",B2279&lt;&gt;""), A2279&amp;" · "&amp;B2279, "")</f>
        <v/>
      </c>
    </row>
    <row r="2280">
      <c r="A2280" s="6" t="inlineStr">
        <is>
          <t>FY27</t>
        </is>
      </c>
      <c r="B2280" s="6" t="inlineStr">
        <is>
          <t>Jun</t>
        </is>
      </c>
      <c r="C2280" s="6" t="inlineStr">
        <is>
          <t>Kerala</t>
        </is>
      </c>
      <c r="D2280" s="7" t="inlineStr">
        <is>
          <t>KL05V4126</t>
        </is>
      </c>
      <c r="E2280" s="7" t="inlineStr">
        <is>
          <t>MARUTI SUZUKI</t>
        </is>
      </c>
      <c r="F2280" s="7" t="inlineStr">
        <is>
          <t>Alto</t>
        </is>
      </c>
      <c r="G2280" s="7" t="inlineStr">
        <is>
          <t>POPULAR MARUTI</t>
        </is>
      </c>
      <c r="H2280" s="7" t="inlineStr">
        <is>
          <t>Non-Captive</t>
        </is>
      </c>
      <c r="I2280" s="7" t="inlineStr">
        <is>
          <t>AKHIL KT</t>
        </is>
      </c>
      <c r="J2280" s="8" t="n">
        <v>2006</v>
      </c>
      <c r="K2280" s="9" t="n">
        <v>74565</v>
      </c>
      <c r="L2280" s="10" t="n">
        <v>55000</v>
      </c>
      <c r="M2280" s="10" t="n">
        <v>8474.58</v>
      </c>
      <c r="N2280" s="11">
        <f>IF(M2280="","",ROUND(M2280*1.18,2))</f>
        <v/>
      </c>
      <c r="O2280" s="12">
        <f>IF(M2280="","",ROUND(N2280-M2280,2))</f>
        <v/>
      </c>
      <c r="P2280" s="13">
        <f>IF(AND(A2280&lt;&gt;"",B2280&lt;&gt;""), A2280&amp;" · "&amp;B2280, "")</f>
        <v/>
      </c>
    </row>
    <row r="2281">
      <c r="A2281" s="6" t="inlineStr">
        <is>
          <t>FY27</t>
        </is>
      </c>
      <c r="B2281" s="6" t="inlineStr">
        <is>
          <t>Jun</t>
        </is>
      </c>
      <c r="C2281" s="6" t="inlineStr">
        <is>
          <t>Kerala</t>
        </is>
      </c>
      <c r="D2281" s="7" t="inlineStr">
        <is>
          <t>KL06H0250</t>
        </is>
      </c>
      <c r="E2281" s="7" t="inlineStr">
        <is>
          <t>MARUTI SUZUKI</t>
        </is>
      </c>
      <c r="F2281" s="7" t="inlineStr">
        <is>
          <t>Swift</t>
        </is>
      </c>
      <c r="G2281" s="7" t="inlineStr">
        <is>
          <t>POPULAR MARUTI</t>
        </is>
      </c>
      <c r="H2281" s="7" t="inlineStr">
        <is>
          <t>Non-Captive</t>
        </is>
      </c>
      <c r="I2281" s="7" t="inlineStr">
        <is>
          <t>MUHAMMAD SHAJI</t>
        </is>
      </c>
      <c r="J2281" s="8" t="n">
        <v>2014</v>
      </c>
      <c r="K2281" s="9" t="n">
        <v>164252</v>
      </c>
      <c r="L2281" s="10" t="n">
        <v>220000</v>
      </c>
      <c r="M2281" s="10" t="n">
        <v>12711.86</v>
      </c>
      <c r="N2281" s="11">
        <f>IF(M2281="","",ROUND(M2281*1.18,2))</f>
        <v/>
      </c>
      <c r="O2281" s="12">
        <f>IF(M2281="","",ROUND(N2281-M2281,2))</f>
        <v/>
      </c>
      <c r="P2281" s="13">
        <f>IF(AND(A2281&lt;&gt;"",B2281&lt;&gt;""), A2281&amp;" · "&amp;B2281, "")</f>
        <v/>
      </c>
    </row>
    <row r="2282">
      <c r="A2282" s="6" t="inlineStr">
        <is>
          <t>FY27</t>
        </is>
      </c>
      <c r="B2282" s="6" t="inlineStr">
        <is>
          <t>Jun</t>
        </is>
      </c>
      <c r="C2282" s="6" t="inlineStr">
        <is>
          <t>Kerala</t>
        </is>
      </c>
      <c r="D2282" s="7" t="inlineStr">
        <is>
          <t>KL07AH4199</t>
        </is>
      </c>
      <c r="E2282" s="7" t="inlineStr">
        <is>
          <t>MARUTI SUZUKI</t>
        </is>
      </c>
      <c r="F2282" s="7" t="inlineStr">
        <is>
          <t>800</t>
        </is>
      </c>
      <c r="G2282" s="7" t="inlineStr">
        <is>
          <t>POPULAR MARUTI</t>
        </is>
      </c>
      <c r="H2282" s="7" t="inlineStr">
        <is>
          <t>Non-Captive</t>
        </is>
      </c>
      <c r="I2282" s="7" t="inlineStr">
        <is>
          <t>ABHINASH P V</t>
        </is>
      </c>
      <c r="J2282" s="8" t="n">
        <v>2002</v>
      </c>
      <c r="K2282" s="9" t="n">
        <v>132432</v>
      </c>
      <c r="L2282" s="10" t="n">
        <v>25000</v>
      </c>
      <c r="M2282" s="10" t="n">
        <v>8474.58</v>
      </c>
      <c r="N2282" s="11">
        <f>IF(M2282="","",ROUND(M2282*1.18,2))</f>
        <v/>
      </c>
      <c r="O2282" s="12">
        <f>IF(M2282="","",ROUND(N2282-M2282,2))</f>
        <v/>
      </c>
      <c r="P2282" s="13">
        <f>IF(AND(A2282&lt;&gt;"",B2282&lt;&gt;""), A2282&amp;" · "&amp;B2282, "")</f>
        <v/>
      </c>
    </row>
    <row r="2283">
      <c r="A2283" s="6" t="inlineStr">
        <is>
          <t>FY27</t>
        </is>
      </c>
      <c r="B2283" s="6" t="inlineStr">
        <is>
          <t>Jun</t>
        </is>
      </c>
      <c r="C2283" s="6" t="inlineStr">
        <is>
          <t>Kerala</t>
        </is>
      </c>
      <c r="D2283" s="7" t="inlineStr">
        <is>
          <t>KL07BL8854</t>
        </is>
      </c>
      <c r="E2283" s="7" t="inlineStr">
        <is>
          <t>MARUTI SUZUKI</t>
        </is>
      </c>
      <c r="F2283" s="7" t="inlineStr">
        <is>
          <t>Alto</t>
        </is>
      </c>
      <c r="G2283" s="7" t="inlineStr">
        <is>
          <t>POPULAR MARUTI</t>
        </is>
      </c>
      <c r="H2283" s="7" t="inlineStr">
        <is>
          <t>Non-Captive</t>
        </is>
      </c>
      <c r="I2283" s="7" t="inlineStr">
        <is>
          <t>SUMESH CHOYS CARS</t>
        </is>
      </c>
      <c r="J2283" s="8" t="n">
        <v>2009</v>
      </c>
      <c r="K2283" s="9" t="n">
        <v>90000</v>
      </c>
      <c r="L2283" s="10" t="n">
        <v>80000</v>
      </c>
      <c r="M2283" s="10" t="n">
        <v>8474.58</v>
      </c>
      <c r="N2283" s="11">
        <f>IF(M2283="","",ROUND(M2283*1.18,2))</f>
        <v/>
      </c>
      <c r="O2283" s="12">
        <f>IF(M2283="","",ROUND(N2283-M2283,2))</f>
        <v/>
      </c>
      <c r="P2283" s="13">
        <f>IF(AND(A2283&lt;&gt;"",B2283&lt;&gt;""), A2283&amp;" · "&amp;B2283, "")</f>
        <v/>
      </c>
    </row>
    <row r="2284">
      <c r="A2284" s="6" t="inlineStr">
        <is>
          <t>FY27</t>
        </is>
      </c>
      <c r="B2284" s="6" t="inlineStr">
        <is>
          <t>Jun</t>
        </is>
      </c>
      <c r="C2284" s="6" t="inlineStr">
        <is>
          <t>Kerala</t>
        </is>
      </c>
      <c r="D2284" s="7" t="inlineStr">
        <is>
          <t>KL07BS3220</t>
        </is>
      </c>
      <c r="E2284" s="7" t="inlineStr">
        <is>
          <t>MARUTI SUZUKI</t>
        </is>
      </c>
      <c r="F2284" s="7" t="inlineStr">
        <is>
          <t>Alto</t>
        </is>
      </c>
      <c r="G2284" s="7" t="inlineStr">
        <is>
          <t>POPULAR MARUTI</t>
        </is>
      </c>
      <c r="H2284" s="7" t="inlineStr">
        <is>
          <t>Non-Captive</t>
        </is>
      </c>
      <c r="I2284" s="7" t="inlineStr">
        <is>
          <t>RAFEEK T A</t>
        </is>
      </c>
      <c r="J2284" s="8" t="n">
        <v>2011</v>
      </c>
      <c r="K2284" s="9" t="n">
        <v>30166</v>
      </c>
      <c r="L2284" s="10" t="n">
        <v>90000</v>
      </c>
      <c r="M2284" s="10" t="n">
        <v>8474.58</v>
      </c>
      <c r="N2284" s="11">
        <f>IF(M2284="","",ROUND(M2284*1.18,2))</f>
        <v/>
      </c>
      <c r="O2284" s="12">
        <f>IF(M2284="","",ROUND(N2284-M2284,2))</f>
        <v/>
      </c>
      <c r="P2284" s="13">
        <f>IF(AND(A2284&lt;&gt;"",B2284&lt;&gt;""), A2284&amp;" · "&amp;B2284, "")</f>
        <v/>
      </c>
    </row>
    <row r="2285">
      <c r="A2285" s="6" t="inlineStr">
        <is>
          <t>FY27</t>
        </is>
      </c>
      <c r="B2285" s="6" t="inlineStr">
        <is>
          <t>Jun</t>
        </is>
      </c>
      <c r="C2285" s="6" t="inlineStr">
        <is>
          <t>Kerala</t>
        </is>
      </c>
      <c r="D2285" s="7" t="inlineStr">
        <is>
          <t>KL07BT4296</t>
        </is>
      </c>
      <c r="E2285" s="7" t="inlineStr">
        <is>
          <t>MAHINDRA</t>
        </is>
      </c>
      <c r="F2285" s="7" t="inlineStr">
        <is>
          <t>XUV500</t>
        </is>
      </c>
      <c r="G2285" s="7" t="inlineStr">
        <is>
          <t>POPULAR MARUTI</t>
        </is>
      </c>
      <c r="H2285" s="7" t="inlineStr">
        <is>
          <t>Non-Captive</t>
        </is>
      </c>
      <c r="I2285" s="7" t="inlineStr">
        <is>
          <t>VARUN</t>
        </is>
      </c>
      <c r="J2285" s="8" t="n">
        <v>2012</v>
      </c>
      <c r="K2285" s="9" t="n">
        <v>124000</v>
      </c>
      <c r="L2285" s="10" t="n">
        <v>270000</v>
      </c>
      <c r="M2285" s="10" t="n">
        <v>8474.58</v>
      </c>
      <c r="N2285" s="11">
        <f>IF(M2285="","",ROUND(M2285*1.18,2))</f>
        <v/>
      </c>
      <c r="O2285" s="12">
        <f>IF(M2285="","",ROUND(N2285-M2285,2))</f>
        <v/>
      </c>
      <c r="P2285" s="13">
        <f>IF(AND(A2285&lt;&gt;"",B2285&lt;&gt;""), A2285&amp;" · "&amp;B2285, "")</f>
        <v/>
      </c>
    </row>
    <row r="2286">
      <c r="A2286" s="6" t="inlineStr">
        <is>
          <t>FY27</t>
        </is>
      </c>
      <c r="B2286" s="6" t="inlineStr">
        <is>
          <t>Jun</t>
        </is>
      </c>
      <c r="C2286" s="6" t="inlineStr">
        <is>
          <t>Kerala</t>
        </is>
      </c>
      <c r="D2286" s="7" t="inlineStr">
        <is>
          <t>KL07BT4317</t>
        </is>
      </c>
      <c r="E2286" s="7" t="inlineStr">
        <is>
          <t>MARUTI SUZUKI</t>
        </is>
      </c>
      <c r="F2286" s="7" t="inlineStr">
        <is>
          <t>Ritz</t>
        </is>
      </c>
      <c r="G2286" s="7" t="inlineStr">
        <is>
          <t>INDUS MARUTI</t>
        </is>
      </c>
      <c r="H2286" s="7" t="inlineStr">
        <is>
          <t>Non-Captive</t>
        </is>
      </c>
      <c r="I2286" s="7" t="inlineStr">
        <is>
          <t>VTJ</t>
        </is>
      </c>
      <c r="J2286" s="8" t="n">
        <v>2011</v>
      </c>
      <c r="K2286" s="9" t="n">
        <v>70134</v>
      </c>
      <c r="L2286" s="10" t="n">
        <v>180000</v>
      </c>
      <c r="M2286" s="10" t="n">
        <v>8474.58</v>
      </c>
      <c r="N2286" s="11">
        <f>IF(M2286="","",ROUND(M2286*1.18,2))</f>
        <v/>
      </c>
      <c r="O2286" s="12">
        <f>IF(M2286="","",ROUND(N2286-M2286,2))</f>
        <v/>
      </c>
      <c r="P2286" s="13">
        <f>IF(AND(A2286&lt;&gt;"",B2286&lt;&gt;""), A2286&amp;" · "&amp;B2286, "")</f>
        <v/>
      </c>
    </row>
    <row r="2287">
      <c r="A2287" s="6" t="inlineStr">
        <is>
          <t>FY27</t>
        </is>
      </c>
      <c r="B2287" s="6" t="inlineStr">
        <is>
          <t>Jun</t>
        </is>
      </c>
      <c r="C2287" s="6" t="inlineStr">
        <is>
          <t>Kerala</t>
        </is>
      </c>
      <c r="D2287" s="7" t="inlineStr">
        <is>
          <t>KL07BT9081</t>
        </is>
      </c>
      <c r="E2287" s="7" t="inlineStr">
        <is>
          <t>MARUTI SUZUKI</t>
        </is>
      </c>
      <c r="F2287" s="7" t="inlineStr">
        <is>
          <t>Ritz</t>
        </is>
      </c>
      <c r="G2287" s="7" t="inlineStr">
        <is>
          <t>POPULAR MARUTI</t>
        </is>
      </c>
      <c r="H2287" s="7" t="inlineStr">
        <is>
          <t>Non-Captive</t>
        </is>
      </c>
      <c r="I2287" s="7" t="inlineStr">
        <is>
          <t>RAJEEV O C</t>
        </is>
      </c>
      <c r="J2287" s="8" t="n">
        <v>2012</v>
      </c>
      <c r="K2287" s="9" t="n">
        <v>170987</v>
      </c>
      <c r="L2287" s="10" t="n">
        <v>140000</v>
      </c>
      <c r="M2287" s="10" t="n">
        <v>8474.58</v>
      </c>
      <c r="N2287" s="11">
        <f>IF(M2287="","",ROUND(M2287*1.18,2))</f>
        <v/>
      </c>
      <c r="O2287" s="12">
        <f>IF(M2287="","",ROUND(N2287-M2287,2))</f>
        <v/>
      </c>
      <c r="P2287" s="13">
        <f>IF(AND(A2287&lt;&gt;"",B2287&lt;&gt;""), A2287&amp;" · "&amp;B2287, "")</f>
        <v/>
      </c>
    </row>
    <row r="2288">
      <c r="A2288" s="6" t="inlineStr">
        <is>
          <t>FY27</t>
        </is>
      </c>
      <c r="B2288" s="6" t="inlineStr">
        <is>
          <t>Jun</t>
        </is>
      </c>
      <c r="C2288" s="6" t="inlineStr">
        <is>
          <t>Kerala</t>
        </is>
      </c>
      <c r="D2288" s="7" t="inlineStr">
        <is>
          <t>KL07BU7788</t>
        </is>
      </c>
      <c r="E2288" s="7" t="inlineStr">
        <is>
          <t>FORD</t>
        </is>
      </c>
      <c r="F2288" s="7" t="inlineStr">
        <is>
          <t>Figo</t>
        </is>
      </c>
      <c r="G2288" s="7" t="inlineStr">
        <is>
          <t>POPULAR MARUTI</t>
        </is>
      </c>
      <c r="H2288" s="7" t="inlineStr">
        <is>
          <t>Non-Captive</t>
        </is>
      </c>
      <c r="I2288" s="7" t="inlineStr">
        <is>
          <t>VTJ</t>
        </is>
      </c>
      <c r="J2288" s="8" t="n">
        <v>2012</v>
      </c>
      <c r="K2288" s="9" t="n">
        <v>169000</v>
      </c>
      <c r="L2288" s="10" t="n">
        <v>54000</v>
      </c>
      <c r="M2288" s="10" t="n">
        <v>10169.49</v>
      </c>
      <c r="N2288" s="11">
        <f>IF(M2288="","",ROUND(M2288*1.18,2))</f>
        <v/>
      </c>
      <c r="O2288" s="12">
        <f>IF(M2288="","",ROUND(N2288-M2288,2))</f>
        <v/>
      </c>
      <c r="P2288" s="13">
        <f>IF(AND(A2288&lt;&gt;"",B2288&lt;&gt;""), A2288&amp;" · "&amp;B2288, "")</f>
        <v/>
      </c>
    </row>
    <row r="2289">
      <c r="A2289" s="6" t="inlineStr">
        <is>
          <t>FY27</t>
        </is>
      </c>
      <c r="B2289" s="6" t="inlineStr">
        <is>
          <t>Jun</t>
        </is>
      </c>
      <c r="C2289" s="6" t="inlineStr">
        <is>
          <t>Kerala</t>
        </is>
      </c>
      <c r="D2289" s="7" t="inlineStr">
        <is>
          <t>KL07BX3312</t>
        </is>
      </c>
      <c r="E2289" s="7" t="inlineStr">
        <is>
          <t>MARUTI SUZUKI</t>
        </is>
      </c>
      <c r="F2289" s="7" t="inlineStr">
        <is>
          <t>Alto 800</t>
        </is>
      </c>
      <c r="G2289" s="7" t="inlineStr">
        <is>
          <t>SAI MARUTI</t>
        </is>
      </c>
      <c r="H2289" s="7" t="inlineStr">
        <is>
          <t>Non-Captive</t>
        </is>
      </c>
      <c r="I2289" s="7" t="inlineStr">
        <is>
          <t>SANOOB</t>
        </is>
      </c>
      <c r="J2289" s="8" t="n">
        <v>2013</v>
      </c>
      <c r="K2289" s="9" t="n">
        <v>84718</v>
      </c>
      <c r="L2289" s="10" t="n">
        <v>100000</v>
      </c>
      <c r="M2289" s="10" t="n">
        <v>8474.58</v>
      </c>
      <c r="N2289" s="11">
        <f>IF(M2289="","",ROUND(M2289*1.18,2))</f>
        <v/>
      </c>
      <c r="O2289" s="12">
        <f>IF(M2289="","",ROUND(N2289-M2289,2))</f>
        <v/>
      </c>
      <c r="P2289" s="13">
        <f>IF(AND(A2289&lt;&gt;"",B2289&lt;&gt;""), A2289&amp;" · "&amp;B2289, "")</f>
        <v/>
      </c>
    </row>
    <row r="2290">
      <c r="A2290" s="6" t="inlineStr">
        <is>
          <t>FY27</t>
        </is>
      </c>
      <c r="B2290" s="6" t="inlineStr">
        <is>
          <t>Jun</t>
        </is>
      </c>
      <c r="C2290" s="6" t="inlineStr">
        <is>
          <t>Kerala</t>
        </is>
      </c>
      <c r="D2290" s="7" t="inlineStr">
        <is>
          <t>KL07BZ3376</t>
        </is>
      </c>
      <c r="E2290" s="7" t="inlineStr">
        <is>
          <t>MAHINDRA</t>
        </is>
      </c>
      <c r="F2290" s="7" t="inlineStr">
        <is>
          <t>Verito</t>
        </is>
      </c>
      <c r="G2290" s="7" t="inlineStr">
        <is>
          <t>SAI MARUTI</t>
        </is>
      </c>
      <c r="H2290" s="7" t="inlineStr">
        <is>
          <t>Non-Captive</t>
        </is>
      </c>
      <c r="I2290" s="7" t="inlineStr">
        <is>
          <t>RAFEEK T A</t>
        </is>
      </c>
      <c r="J2290" s="8" t="n">
        <v>2013</v>
      </c>
      <c r="K2290" s="9" t="n">
        <v>256000</v>
      </c>
      <c r="L2290" s="10" t="n">
        <v>60000</v>
      </c>
      <c r="M2290" s="10" t="n">
        <v>8474.58</v>
      </c>
      <c r="N2290" s="11">
        <f>IF(M2290="","",ROUND(M2290*1.18,2))</f>
        <v/>
      </c>
      <c r="O2290" s="12">
        <f>IF(M2290="","",ROUND(N2290-M2290,2))</f>
        <v/>
      </c>
      <c r="P2290" s="13">
        <f>IF(AND(A2290&lt;&gt;"",B2290&lt;&gt;""), A2290&amp;" · "&amp;B2290, "")</f>
        <v/>
      </c>
    </row>
    <row r="2291">
      <c r="A2291" s="6" t="inlineStr">
        <is>
          <t>FY27</t>
        </is>
      </c>
      <c r="B2291" s="6" t="inlineStr">
        <is>
          <t>Jun</t>
        </is>
      </c>
      <c r="C2291" s="6" t="inlineStr">
        <is>
          <t>Kerala</t>
        </is>
      </c>
      <c r="D2291" s="7" t="inlineStr">
        <is>
          <t>KL07CF6157</t>
        </is>
      </c>
      <c r="E2291" s="7" t="inlineStr">
        <is>
          <t>MARUTI SUZUKI</t>
        </is>
      </c>
      <c r="F2291" s="7" t="inlineStr">
        <is>
          <t>Wagon R</t>
        </is>
      </c>
      <c r="G2291" s="7" t="inlineStr">
        <is>
          <t>KESHVIN HYUNDAI</t>
        </is>
      </c>
      <c r="H2291" s="7" t="inlineStr">
        <is>
          <t>Non-Captive</t>
        </is>
      </c>
      <c r="I2291" s="7" t="inlineStr">
        <is>
          <t>4 WHEEL DRIVE</t>
        </is>
      </c>
      <c r="J2291" s="8" t="n">
        <v>2016</v>
      </c>
      <c r="K2291" s="9" t="n">
        <v>43500</v>
      </c>
      <c r="L2291" s="10" t="n">
        <v>340000</v>
      </c>
      <c r="M2291" s="10" t="n">
        <v>8474.58</v>
      </c>
      <c r="N2291" s="11">
        <f>IF(M2291="","",ROUND(M2291*1.18,2))</f>
        <v/>
      </c>
      <c r="O2291" s="12">
        <f>IF(M2291="","",ROUND(N2291-M2291,2))</f>
        <v/>
      </c>
      <c r="P2291" s="13">
        <f>IF(AND(A2291&lt;&gt;"",B2291&lt;&gt;""), A2291&amp;" · "&amp;B2291, "")</f>
        <v/>
      </c>
    </row>
    <row r="2292">
      <c r="A2292" s="6" t="inlineStr">
        <is>
          <t>FY27</t>
        </is>
      </c>
      <c r="B2292" s="6" t="inlineStr">
        <is>
          <t>Jun</t>
        </is>
      </c>
      <c r="C2292" s="6" t="inlineStr">
        <is>
          <t>Kerala</t>
        </is>
      </c>
      <c r="D2292" s="7" t="inlineStr">
        <is>
          <t>KL07CP2721</t>
        </is>
      </c>
      <c r="E2292" s="7" t="inlineStr">
        <is>
          <t>MARUTI SUZUKI</t>
        </is>
      </c>
      <c r="F2292" s="7" t="inlineStr">
        <is>
          <t>Omni</t>
        </is>
      </c>
      <c r="G2292" s="7" t="inlineStr">
        <is>
          <t>POPULAR MARUTI</t>
        </is>
      </c>
      <c r="H2292" s="7" t="inlineStr">
        <is>
          <t>Non-Captive</t>
        </is>
      </c>
      <c r="I2292" s="7" t="inlineStr">
        <is>
          <t>VTJ</t>
        </is>
      </c>
      <c r="J2292" s="8" t="n">
        <v>2018</v>
      </c>
      <c r="K2292" s="9" t="n">
        <v>101800</v>
      </c>
      <c r="L2292" s="10" t="n">
        <v>112000</v>
      </c>
      <c r="M2292" s="10" t="n">
        <v>10169.49</v>
      </c>
      <c r="N2292" s="11">
        <f>IF(M2292="","",ROUND(M2292*1.18,2))</f>
        <v/>
      </c>
      <c r="O2292" s="12">
        <f>IF(M2292="","",ROUND(N2292-M2292,2))</f>
        <v/>
      </c>
      <c r="P2292" s="13">
        <f>IF(AND(A2292&lt;&gt;"",B2292&lt;&gt;""), A2292&amp;" · "&amp;B2292, "")</f>
        <v/>
      </c>
    </row>
    <row r="2293">
      <c r="A2293" s="6" t="inlineStr">
        <is>
          <t>FY27</t>
        </is>
      </c>
      <c r="B2293" s="6" t="inlineStr">
        <is>
          <t>Jun</t>
        </is>
      </c>
      <c r="C2293" s="6" t="inlineStr">
        <is>
          <t>Kerala</t>
        </is>
      </c>
      <c r="D2293" s="7" t="inlineStr">
        <is>
          <t>KL07CS9215</t>
        </is>
      </c>
      <c r="E2293" s="7" t="inlineStr">
        <is>
          <t>HYUNDAI</t>
        </is>
      </c>
      <c r="F2293" s="7" t="inlineStr">
        <is>
          <t>Grand i10 Nios</t>
        </is>
      </c>
      <c r="G2293" s="7" t="inlineStr">
        <is>
          <t>INCHEON KIA</t>
        </is>
      </c>
      <c r="H2293" s="7" t="inlineStr">
        <is>
          <t>Non-Captive</t>
        </is>
      </c>
      <c r="I2293" s="7" t="inlineStr">
        <is>
          <t>HAVEN MOTORS</t>
        </is>
      </c>
      <c r="J2293" s="8" t="n">
        <v>2019</v>
      </c>
      <c r="K2293" s="9" t="n">
        <v>57300</v>
      </c>
      <c r="L2293" s="10" t="n">
        <v>435000</v>
      </c>
      <c r="M2293" s="10" t="n">
        <v>8474.58</v>
      </c>
      <c r="N2293" s="11">
        <f>IF(M2293="","",ROUND(M2293*1.18,2))</f>
        <v/>
      </c>
      <c r="O2293" s="12">
        <f>IF(M2293="","",ROUND(N2293-M2293,2))</f>
        <v/>
      </c>
      <c r="P2293" s="13">
        <f>IF(AND(A2293&lt;&gt;"",B2293&lt;&gt;""), A2293&amp;" · "&amp;B2293, "")</f>
        <v/>
      </c>
    </row>
    <row r="2294">
      <c r="A2294" s="6" t="inlineStr">
        <is>
          <t>FY27</t>
        </is>
      </c>
      <c r="B2294" s="6" t="inlineStr">
        <is>
          <t>Jun</t>
        </is>
      </c>
      <c r="C2294" s="6" t="inlineStr">
        <is>
          <t>Kerala</t>
        </is>
      </c>
      <c r="D2294" s="7" t="inlineStr">
        <is>
          <t>KL07CY9107</t>
        </is>
      </c>
      <c r="E2294" s="7" t="inlineStr">
        <is>
          <t>TATA</t>
        </is>
      </c>
      <c r="F2294" s="7" t="inlineStr">
        <is>
          <t>Nexon</t>
        </is>
      </c>
      <c r="G2294" s="7" t="inlineStr">
        <is>
          <t>PHOENIX VOLKSWAGEN</t>
        </is>
      </c>
      <c r="H2294" s="7" t="inlineStr">
        <is>
          <t>Non-Captive</t>
        </is>
      </c>
      <c r="I2294" s="7" t="inlineStr">
        <is>
          <t>Umesh Kumar T U</t>
        </is>
      </c>
      <c r="J2294" s="8" t="n">
        <v>2022</v>
      </c>
      <c r="K2294" s="9" t="n">
        <v>25673</v>
      </c>
      <c r="L2294" s="10" t="n">
        <v>940000</v>
      </c>
      <c r="M2294" s="10" t="n">
        <v>8474.58</v>
      </c>
      <c r="N2294" s="11">
        <f>IF(M2294="","",ROUND(M2294*1.18,2))</f>
        <v/>
      </c>
      <c r="O2294" s="12">
        <f>IF(M2294="","",ROUND(N2294-M2294,2))</f>
        <v/>
      </c>
      <c r="P2294" s="13">
        <f>IF(AND(A2294&lt;&gt;"",B2294&lt;&gt;""), A2294&amp;" · "&amp;B2294, "")</f>
        <v/>
      </c>
    </row>
    <row r="2295">
      <c r="A2295" s="6" t="inlineStr">
        <is>
          <t>FY27</t>
        </is>
      </c>
      <c r="B2295" s="6" t="inlineStr">
        <is>
          <t>Jun</t>
        </is>
      </c>
      <c r="C2295" s="6" t="inlineStr">
        <is>
          <t>Kerala</t>
        </is>
      </c>
      <c r="D2295" s="7" t="inlineStr">
        <is>
          <t>KL07U3009</t>
        </is>
      </c>
      <c r="E2295" s="7" t="inlineStr">
        <is>
          <t>MARUTI SUZUKI</t>
        </is>
      </c>
      <c r="F2295" s="7" t="inlineStr">
        <is>
          <t>Alto 800</t>
        </is>
      </c>
      <c r="G2295" s="7" t="inlineStr">
        <is>
          <t>POPULAR MARUTI</t>
        </is>
      </c>
      <c r="H2295" s="7" t="inlineStr">
        <is>
          <t>Non-Captive</t>
        </is>
      </c>
      <c r="I2295" s="7" t="inlineStr">
        <is>
          <t>RAFEEK T A</t>
        </is>
      </c>
      <c r="J2295" s="8" t="n">
        <v>1998</v>
      </c>
      <c r="K2295" s="9" t="n">
        <v>83000</v>
      </c>
      <c r="L2295" s="10" t="n">
        <v>20000</v>
      </c>
      <c r="M2295" s="10" t="n">
        <v>4237.29</v>
      </c>
      <c r="N2295" s="11">
        <f>IF(M2295="","",ROUND(M2295*1.18,2))</f>
        <v/>
      </c>
      <c r="O2295" s="12">
        <f>IF(M2295="","",ROUND(N2295-M2295,2))</f>
        <v/>
      </c>
      <c r="P2295" s="13">
        <f>IF(AND(A2295&lt;&gt;"",B2295&lt;&gt;""), A2295&amp;" · "&amp;B2295, "")</f>
        <v/>
      </c>
    </row>
    <row r="2296">
      <c r="A2296" s="6" t="inlineStr">
        <is>
          <t>FY27</t>
        </is>
      </c>
      <c r="B2296" s="6" t="inlineStr">
        <is>
          <t>Jun</t>
        </is>
      </c>
      <c r="C2296" s="6" t="inlineStr">
        <is>
          <t>Kerala</t>
        </is>
      </c>
      <c r="D2296" s="7" t="inlineStr">
        <is>
          <t>KL08AC8323</t>
        </is>
      </c>
      <c r="E2296" s="7" t="inlineStr">
        <is>
          <t>MARUTI SUZUKI</t>
        </is>
      </c>
      <c r="F2296" s="7" t="inlineStr">
        <is>
          <t>Alto 800</t>
        </is>
      </c>
      <c r="G2296" s="7" t="inlineStr">
        <is>
          <t>POPULAR MARUTI</t>
        </is>
      </c>
      <c r="H2296" s="7" t="inlineStr">
        <is>
          <t>Non-Captive</t>
        </is>
      </c>
      <c r="I2296" s="7" t="inlineStr">
        <is>
          <t>DEAMS CARS-ARNOLD</t>
        </is>
      </c>
      <c r="J2296" s="8" t="n">
        <v>2005</v>
      </c>
      <c r="K2296" s="9" t="n">
        <v>48814</v>
      </c>
      <c r="L2296" s="10" t="n">
        <v>51000</v>
      </c>
      <c r="M2296" s="10" t="n">
        <v>8474.58</v>
      </c>
      <c r="N2296" s="11">
        <f>IF(M2296="","",ROUND(M2296*1.18,2))</f>
        <v/>
      </c>
      <c r="O2296" s="12">
        <f>IF(M2296="","",ROUND(N2296-M2296,2))</f>
        <v/>
      </c>
      <c r="P2296" s="13">
        <f>IF(AND(A2296&lt;&gt;"",B2296&lt;&gt;""), A2296&amp;" · "&amp;B2296, "")</f>
        <v/>
      </c>
    </row>
    <row r="2297">
      <c r="A2297" s="6" t="inlineStr">
        <is>
          <t>FY27</t>
        </is>
      </c>
      <c r="B2297" s="6" t="inlineStr">
        <is>
          <t>Jun</t>
        </is>
      </c>
      <c r="C2297" s="6" t="inlineStr">
        <is>
          <t>Kerala</t>
        </is>
      </c>
      <c r="D2297" s="7" t="inlineStr">
        <is>
          <t>KL08AN0023</t>
        </is>
      </c>
      <c r="E2297" s="7" t="inlineStr">
        <is>
          <t>TATA</t>
        </is>
      </c>
      <c r="F2297" s="7" t="inlineStr">
        <is>
          <t>Indica</t>
        </is>
      </c>
      <c r="G2297" s="7" t="inlineStr">
        <is>
          <t>POPULAR MARUTI</t>
        </is>
      </c>
      <c r="H2297" s="7" t="inlineStr">
        <is>
          <t>Non-Captive</t>
        </is>
      </c>
      <c r="I2297" s="7" t="inlineStr">
        <is>
          <t>RAFEEK T A</t>
        </is>
      </c>
      <c r="J2297" s="8" t="n">
        <v>2007</v>
      </c>
      <c r="K2297" s="9" t="n">
        <v>101138</v>
      </c>
      <c r="L2297" s="10" t="n">
        <v>35000</v>
      </c>
      <c r="M2297" s="10" t="n">
        <v>8474.58</v>
      </c>
      <c r="N2297" s="11">
        <f>IF(M2297="","",ROUND(M2297*1.18,2))</f>
        <v/>
      </c>
      <c r="O2297" s="12">
        <f>IF(M2297="","",ROUND(N2297-M2297,2))</f>
        <v/>
      </c>
      <c r="P2297" s="13">
        <f>IF(AND(A2297&lt;&gt;"",B2297&lt;&gt;""), A2297&amp;" · "&amp;B2297, "")</f>
        <v/>
      </c>
    </row>
    <row r="2298">
      <c r="A2298" s="6" t="inlineStr">
        <is>
          <t>FY27</t>
        </is>
      </c>
      <c r="B2298" s="6" t="inlineStr">
        <is>
          <t>Jun</t>
        </is>
      </c>
      <c r="C2298" s="6" t="inlineStr">
        <is>
          <t>Kerala</t>
        </is>
      </c>
      <c r="D2298" s="7" t="inlineStr">
        <is>
          <t>KL08AP7825</t>
        </is>
      </c>
      <c r="E2298" s="7" t="inlineStr">
        <is>
          <t>HYUNDAI</t>
        </is>
      </c>
      <c r="F2298" s="7" t="inlineStr">
        <is>
          <t>i10</t>
        </is>
      </c>
      <c r="G2298" s="7" t="inlineStr">
        <is>
          <t>KVR TATA</t>
        </is>
      </c>
      <c r="H2298" s="7" t="inlineStr">
        <is>
          <t>Non-Captive</t>
        </is>
      </c>
      <c r="I2298" s="7" t="inlineStr">
        <is>
          <t>RAFEEK</t>
        </is>
      </c>
      <c r="J2298" s="8" t="n">
        <v>2008</v>
      </c>
      <c r="K2298" s="9" t="n">
        <v>106000</v>
      </c>
      <c r="L2298" s="10" t="n">
        <v>80000</v>
      </c>
      <c r="M2298" s="10" t="n">
        <v>8474.58</v>
      </c>
      <c r="N2298" s="11">
        <f>IF(M2298="","",ROUND(M2298*1.18,2))</f>
        <v/>
      </c>
      <c r="O2298" s="12">
        <f>IF(M2298="","",ROUND(N2298-M2298,2))</f>
        <v/>
      </c>
      <c r="P2298" s="13">
        <f>IF(AND(A2298&lt;&gt;"",B2298&lt;&gt;""), A2298&amp;" · "&amp;B2298, "")</f>
        <v/>
      </c>
    </row>
    <row r="2299">
      <c r="A2299" s="6" t="inlineStr">
        <is>
          <t>FY27</t>
        </is>
      </c>
      <c r="B2299" s="6" t="inlineStr">
        <is>
          <t>Jun</t>
        </is>
      </c>
      <c r="C2299" s="6" t="inlineStr">
        <is>
          <t>Kerala</t>
        </is>
      </c>
      <c r="D2299" s="7" t="inlineStr">
        <is>
          <t>KL08AQ6896</t>
        </is>
      </c>
      <c r="E2299" s="7" t="inlineStr">
        <is>
          <t>MARUTI SUZUKI</t>
        </is>
      </c>
      <c r="F2299" s="7" t="inlineStr">
        <is>
          <t>Omni</t>
        </is>
      </c>
      <c r="G2299" s="7" t="inlineStr">
        <is>
          <t>POPULAR MARUTI</t>
        </is>
      </c>
      <c r="H2299" s="7" t="inlineStr">
        <is>
          <t>Non-Captive</t>
        </is>
      </c>
      <c r="I2299" s="7" t="inlineStr">
        <is>
          <t>RAJEEV A C</t>
        </is>
      </c>
      <c r="J2299" s="8" t="n">
        <v>2009</v>
      </c>
      <c r="K2299" s="9" t="n">
        <v>108936</v>
      </c>
      <c r="L2299" s="10" t="n">
        <v>31000</v>
      </c>
      <c r="M2299" s="10" t="n">
        <v>9322.030000000001</v>
      </c>
      <c r="N2299" s="11">
        <f>IF(M2299="","",ROUND(M2299*1.18,2))</f>
        <v/>
      </c>
      <c r="O2299" s="12">
        <f>IF(M2299="","",ROUND(N2299-M2299,2))</f>
        <v/>
      </c>
      <c r="P2299" s="13">
        <f>IF(AND(A2299&lt;&gt;"",B2299&lt;&gt;""), A2299&amp;" · "&amp;B2299, "")</f>
        <v/>
      </c>
    </row>
    <row r="2300">
      <c r="A2300" s="6" t="inlineStr">
        <is>
          <t>FY27</t>
        </is>
      </c>
      <c r="B2300" s="6" t="inlineStr">
        <is>
          <t>Jun</t>
        </is>
      </c>
      <c r="C2300" s="6" t="inlineStr">
        <is>
          <t>Kerala</t>
        </is>
      </c>
      <c r="D2300" s="7" t="inlineStr">
        <is>
          <t>KL08BN9182</t>
        </is>
      </c>
      <c r="E2300" s="7" t="inlineStr">
        <is>
          <t>MARUTI SUZUKI</t>
        </is>
      </c>
      <c r="F2300" s="7" t="inlineStr">
        <is>
          <t>Vitara Brezza</t>
        </is>
      </c>
      <c r="G2300" s="7" t="inlineStr">
        <is>
          <t>EVM CITROEN</t>
        </is>
      </c>
      <c r="H2300" s="7" t="inlineStr">
        <is>
          <t>Non-Captive</t>
        </is>
      </c>
      <c r="I2300" s="7" t="inlineStr">
        <is>
          <t>HAVEN MOTORS</t>
        </is>
      </c>
      <c r="J2300" s="8" t="n">
        <v>2017</v>
      </c>
      <c r="K2300" s="9" t="n">
        <v>37000</v>
      </c>
      <c r="L2300" s="10" t="n">
        <v>630000</v>
      </c>
      <c r="M2300" s="10" t="n">
        <v>8474.58</v>
      </c>
      <c r="N2300" s="11">
        <f>IF(M2300="","",ROUND(M2300*1.18,2))</f>
        <v/>
      </c>
      <c r="O2300" s="12">
        <f>IF(M2300="","",ROUND(N2300-M2300,2))</f>
        <v/>
      </c>
      <c r="P2300" s="13">
        <f>IF(AND(A2300&lt;&gt;"",B2300&lt;&gt;""), A2300&amp;" · "&amp;B2300, "")</f>
        <v/>
      </c>
    </row>
    <row r="2301">
      <c r="A2301" s="6" t="inlineStr">
        <is>
          <t>FY27</t>
        </is>
      </c>
      <c r="B2301" s="6" t="inlineStr">
        <is>
          <t>Jun</t>
        </is>
      </c>
      <c r="C2301" s="6" t="inlineStr">
        <is>
          <t>Kerala</t>
        </is>
      </c>
      <c r="D2301" s="7" t="inlineStr">
        <is>
          <t>KL10AL1795</t>
        </is>
      </c>
      <c r="E2301" s="7" t="inlineStr">
        <is>
          <t>MARUTI SUZUKI</t>
        </is>
      </c>
      <c r="F2301" s="7" t="inlineStr">
        <is>
          <t>Swift</t>
        </is>
      </c>
      <c r="G2301" s="7" t="inlineStr">
        <is>
          <t>POPULAR MARUTI</t>
        </is>
      </c>
      <c r="H2301" s="7" t="inlineStr">
        <is>
          <t>Non-Captive</t>
        </is>
      </c>
      <c r="I2301" s="7" t="inlineStr">
        <is>
          <t>UNAIS CARS</t>
        </is>
      </c>
      <c r="J2301" s="8" t="n">
        <v>2012</v>
      </c>
      <c r="K2301" s="9" t="n">
        <v>128000</v>
      </c>
      <c r="L2301" s="10" t="n">
        <v>256000</v>
      </c>
      <c r="M2301" s="10" t="n">
        <v>5084.75</v>
      </c>
      <c r="N2301" s="11">
        <f>IF(M2301="","",ROUND(M2301*1.18,2))</f>
        <v/>
      </c>
      <c r="O2301" s="12">
        <f>IF(M2301="","",ROUND(N2301-M2301,2))</f>
        <v/>
      </c>
      <c r="P2301" s="13">
        <f>IF(AND(A2301&lt;&gt;"",B2301&lt;&gt;""), A2301&amp;" · "&amp;B2301, "")</f>
        <v/>
      </c>
    </row>
    <row r="2302">
      <c r="A2302" s="6" t="inlineStr">
        <is>
          <t>FY27</t>
        </is>
      </c>
      <c r="B2302" s="6" t="inlineStr">
        <is>
          <t>Jun</t>
        </is>
      </c>
      <c r="C2302" s="6" t="inlineStr">
        <is>
          <t>Kerala</t>
        </is>
      </c>
      <c r="D2302" s="7" t="inlineStr">
        <is>
          <t>KL10AN1022</t>
        </is>
      </c>
      <c r="E2302" s="7" t="inlineStr">
        <is>
          <t>HYUNDAI</t>
        </is>
      </c>
      <c r="F2302" s="7" t="inlineStr">
        <is>
          <t>Eon</t>
        </is>
      </c>
      <c r="G2302" s="7" t="inlineStr">
        <is>
          <t>POPULAR MARUTI</t>
        </is>
      </c>
      <c r="H2302" s="7" t="inlineStr">
        <is>
          <t>Non-Captive</t>
        </is>
      </c>
      <c r="I2302" s="7" t="inlineStr">
        <is>
          <t>HAMSA</t>
        </is>
      </c>
      <c r="J2302" s="8" t="n">
        <v>2012</v>
      </c>
      <c r="K2302" s="9" t="n">
        <v>90000</v>
      </c>
      <c r="L2302" s="10" t="n">
        <v>100000</v>
      </c>
      <c r="M2302" s="10" t="n">
        <v>8474.58</v>
      </c>
      <c r="N2302" s="11">
        <f>IF(M2302="","",ROUND(M2302*1.18,2))</f>
        <v/>
      </c>
      <c r="O2302" s="12">
        <f>IF(M2302="","",ROUND(N2302-M2302,2))</f>
        <v/>
      </c>
      <c r="P2302" s="13">
        <f>IF(AND(A2302&lt;&gt;"",B2302&lt;&gt;""), A2302&amp;" · "&amp;B2302, "")</f>
        <v/>
      </c>
    </row>
    <row r="2303">
      <c r="A2303" s="6" t="inlineStr">
        <is>
          <t>FY27</t>
        </is>
      </c>
      <c r="B2303" s="6" t="inlineStr">
        <is>
          <t>Jun</t>
        </is>
      </c>
      <c r="C2303" s="6" t="inlineStr">
        <is>
          <t>Kerala</t>
        </is>
      </c>
      <c r="D2303" s="7" t="inlineStr">
        <is>
          <t>KL11AG7164</t>
        </is>
      </c>
      <c r="E2303" s="7" t="inlineStr">
        <is>
          <t>FORD</t>
        </is>
      </c>
      <c r="F2303" s="7" t="inlineStr">
        <is>
          <t>Figo</t>
        </is>
      </c>
      <c r="G2303" s="7" t="inlineStr">
        <is>
          <t>BIMAL</t>
        </is>
      </c>
      <c r="H2303" s="7" t="inlineStr">
        <is>
          <t>Non-Captive</t>
        </is>
      </c>
      <c r="I2303" s="7" t="inlineStr">
        <is>
          <t>JIMMY</t>
        </is>
      </c>
      <c r="J2303" s="8" t="n">
        <v>2010</v>
      </c>
      <c r="K2303" s="9" t="n">
        <v>139000</v>
      </c>
      <c r="L2303" s="10" t="n">
        <v>75000</v>
      </c>
      <c r="M2303" s="10" t="n">
        <v>4237.29</v>
      </c>
      <c r="N2303" s="11">
        <f>IF(M2303="","",ROUND(M2303*1.18,2))</f>
        <v/>
      </c>
      <c r="O2303" s="12">
        <f>IF(M2303="","",ROUND(N2303-M2303,2))</f>
        <v/>
      </c>
      <c r="P2303" s="13">
        <f>IF(AND(A2303&lt;&gt;"",B2303&lt;&gt;""), A2303&amp;" · "&amp;B2303, "")</f>
        <v/>
      </c>
    </row>
    <row r="2304">
      <c r="A2304" s="6" t="inlineStr">
        <is>
          <t>FY27</t>
        </is>
      </c>
      <c r="B2304" s="6" t="inlineStr">
        <is>
          <t>Jun</t>
        </is>
      </c>
      <c r="C2304" s="6" t="inlineStr">
        <is>
          <t>Kerala</t>
        </is>
      </c>
      <c r="D2304" s="7" t="inlineStr">
        <is>
          <t>KL11AT0120</t>
        </is>
      </c>
      <c r="E2304" s="7" t="inlineStr">
        <is>
          <t>MARUTI SUZUKI</t>
        </is>
      </c>
      <c r="F2304" s="7" t="inlineStr">
        <is>
          <t>Alto K10</t>
        </is>
      </c>
      <c r="G2304" s="7" t="inlineStr">
        <is>
          <t>POPULAR MARUTI</t>
        </is>
      </c>
      <c r="H2304" s="7" t="inlineStr">
        <is>
          <t>Non-Captive</t>
        </is>
      </c>
      <c r="I2304" s="7" t="inlineStr">
        <is>
          <t>TOKYO CARS</t>
        </is>
      </c>
      <c r="J2304" s="8" t="n">
        <v>2013</v>
      </c>
      <c r="K2304" s="9" t="n">
        <v>89000</v>
      </c>
      <c r="L2304" s="10" t="n">
        <v>101000</v>
      </c>
      <c r="M2304" s="10" t="n">
        <v>5084.75</v>
      </c>
      <c r="N2304" s="11">
        <f>IF(M2304="","",ROUND(M2304*1.18,2))</f>
        <v/>
      </c>
      <c r="O2304" s="12">
        <f>IF(M2304="","",ROUND(N2304-M2304,2))</f>
        <v/>
      </c>
      <c r="P2304" s="13">
        <f>IF(AND(A2304&lt;&gt;"",B2304&lt;&gt;""), A2304&amp;" · "&amp;B2304, "")</f>
        <v/>
      </c>
    </row>
    <row r="2305">
      <c r="A2305" s="6" t="inlineStr">
        <is>
          <t>FY27</t>
        </is>
      </c>
      <c r="B2305" s="6" t="inlineStr">
        <is>
          <t>Jun</t>
        </is>
      </c>
      <c r="C2305" s="6" t="inlineStr">
        <is>
          <t>Kerala</t>
        </is>
      </c>
      <c r="D2305" s="7" t="inlineStr">
        <is>
          <t>KL11BA8734</t>
        </is>
      </c>
      <c r="E2305" s="7" t="inlineStr">
        <is>
          <t>MARUTI SUZUKI</t>
        </is>
      </c>
      <c r="F2305" s="7" t="inlineStr">
        <is>
          <t>Wagon R</t>
        </is>
      </c>
      <c r="G2305" s="7" t="inlineStr">
        <is>
          <t>BIMAL</t>
        </is>
      </c>
      <c r="H2305" s="7" t="inlineStr">
        <is>
          <t>Non-Captive</t>
        </is>
      </c>
      <c r="I2305" s="7" t="inlineStr">
        <is>
          <t>MUHAMMED NISAB</t>
        </is>
      </c>
      <c r="J2305" s="8" t="n">
        <v>2015</v>
      </c>
      <c r="K2305" s="9" t="n">
        <v>57000</v>
      </c>
      <c r="L2305" s="10" t="n">
        <v>320000</v>
      </c>
      <c r="M2305" s="10" t="n">
        <v>8474.58</v>
      </c>
      <c r="N2305" s="11">
        <f>IF(M2305="","",ROUND(M2305*1.18,2))</f>
        <v/>
      </c>
      <c r="O2305" s="12">
        <f>IF(M2305="","",ROUND(N2305-M2305,2))</f>
        <v/>
      </c>
      <c r="P2305" s="13">
        <f>IF(AND(A2305&lt;&gt;"",B2305&lt;&gt;""), A2305&amp;" · "&amp;B2305, "")</f>
        <v/>
      </c>
    </row>
    <row r="2306">
      <c r="A2306" s="6" t="inlineStr">
        <is>
          <t>FY27</t>
        </is>
      </c>
      <c r="B2306" s="6" t="inlineStr">
        <is>
          <t>Jun</t>
        </is>
      </c>
      <c r="C2306" s="6" t="inlineStr">
        <is>
          <t>Kerala</t>
        </is>
      </c>
      <c r="D2306" s="7" t="inlineStr">
        <is>
          <t>KL11BF3827</t>
        </is>
      </c>
      <c r="E2306" s="7" t="inlineStr">
        <is>
          <t>MARUTI SUZUKI</t>
        </is>
      </c>
      <c r="F2306" s="7" t="inlineStr">
        <is>
          <t>Ignis</t>
        </is>
      </c>
      <c r="G2306" s="7" t="inlineStr">
        <is>
          <t>APCO HYUNDAI</t>
        </is>
      </c>
      <c r="H2306" s="7" t="inlineStr">
        <is>
          <t>Non-Captive</t>
        </is>
      </c>
      <c r="I2306" s="7" t="inlineStr">
        <is>
          <t>SANOOP</t>
        </is>
      </c>
      <c r="J2306" s="8" t="n">
        <v>2017</v>
      </c>
      <c r="K2306" s="9" t="n">
        <v>74000</v>
      </c>
      <c r="L2306" s="10" t="n">
        <v>368000</v>
      </c>
      <c r="M2306" s="10" t="n">
        <v>5084.75</v>
      </c>
      <c r="N2306" s="11">
        <f>IF(M2306="","",ROUND(M2306*1.18,2))</f>
        <v/>
      </c>
      <c r="O2306" s="12">
        <f>IF(M2306="","",ROUND(N2306-M2306,2))</f>
        <v/>
      </c>
      <c r="P2306" s="13">
        <f>IF(AND(A2306&lt;&gt;"",B2306&lt;&gt;""), A2306&amp;" · "&amp;B2306, "")</f>
        <v/>
      </c>
    </row>
    <row r="2307">
      <c r="A2307" s="6" t="inlineStr">
        <is>
          <t>FY27</t>
        </is>
      </c>
      <c r="B2307" s="6" t="inlineStr">
        <is>
          <t>Jun</t>
        </is>
      </c>
      <c r="C2307" s="6" t="inlineStr">
        <is>
          <t>Kerala</t>
        </is>
      </c>
      <c r="D2307" s="7" t="inlineStr">
        <is>
          <t>KL11BU3142</t>
        </is>
      </c>
      <c r="E2307" s="7" t="inlineStr">
        <is>
          <t>TATA</t>
        </is>
      </c>
      <c r="F2307" s="7" t="inlineStr">
        <is>
          <t>Altroz</t>
        </is>
      </c>
      <c r="G2307" s="7" t="inlineStr">
        <is>
          <t>BIMAL</t>
        </is>
      </c>
      <c r="H2307" s="7" t="inlineStr">
        <is>
          <t>Non-Captive</t>
        </is>
      </c>
      <c r="I2307" s="7" t="inlineStr">
        <is>
          <t>VASIL</t>
        </is>
      </c>
      <c r="J2307" s="8" t="n">
        <v>2021</v>
      </c>
      <c r="K2307" s="9" t="n">
        <v>15000</v>
      </c>
      <c r="L2307" s="10" t="n">
        <v>392000</v>
      </c>
      <c r="M2307" s="10" t="n">
        <v>5932.2</v>
      </c>
      <c r="N2307" s="11">
        <f>IF(M2307="","",ROUND(M2307*1.18,2))</f>
        <v/>
      </c>
      <c r="O2307" s="12">
        <f>IF(M2307="","",ROUND(N2307-M2307,2))</f>
        <v/>
      </c>
      <c r="P2307" s="13">
        <f>IF(AND(A2307&lt;&gt;"",B2307&lt;&gt;""), A2307&amp;" · "&amp;B2307, "")</f>
        <v/>
      </c>
    </row>
    <row r="2308">
      <c r="A2308" s="6" t="inlineStr">
        <is>
          <t>FY27</t>
        </is>
      </c>
      <c r="B2308" s="6" t="inlineStr">
        <is>
          <t>Jun</t>
        </is>
      </c>
      <c r="C2308" s="6" t="inlineStr">
        <is>
          <t>Kerala</t>
        </is>
      </c>
      <c r="D2308" s="7" t="inlineStr">
        <is>
          <t>KL11BV0440</t>
        </is>
      </c>
      <c r="E2308" s="7" t="inlineStr">
        <is>
          <t>MAHINDRA</t>
        </is>
      </c>
      <c r="F2308" s="7" t="inlineStr">
        <is>
          <t>Thar</t>
        </is>
      </c>
      <c r="G2308" s="7" t="inlineStr">
        <is>
          <t>NIDHEESH UCD</t>
        </is>
      </c>
      <c r="H2308" s="7" t="inlineStr">
        <is>
          <t>Non-Captive</t>
        </is>
      </c>
      <c r="I2308" s="7" t="inlineStr">
        <is>
          <t>ASHIN P</t>
        </is>
      </c>
      <c r="J2308" s="8" t="n">
        <v>2021</v>
      </c>
      <c r="K2308" s="9" t="n">
        <v>100000</v>
      </c>
      <c r="L2308" s="10" t="n">
        <v>1010000</v>
      </c>
      <c r="M2308" s="10" t="n">
        <v>8474.58</v>
      </c>
      <c r="N2308" s="11">
        <f>IF(M2308="","",ROUND(M2308*1.18,2))</f>
        <v/>
      </c>
      <c r="O2308" s="12">
        <f>IF(M2308="","",ROUND(N2308-M2308,2))</f>
        <v/>
      </c>
      <c r="P2308" s="13">
        <f>IF(AND(A2308&lt;&gt;"",B2308&lt;&gt;""), A2308&amp;" · "&amp;B2308, "")</f>
        <v/>
      </c>
    </row>
    <row r="2309">
      <c r="A2309" s="6" t="inlineStr">
        <is>
          <t>FY27</t>
        </is>
      </c>
      <c r="B2309" s="6" t="inlineStr">
        <is>
          <t>Jun</t>
        </is>
      </c>
      <c r="C2309" s="6" t="inlineStr">
        <is>
          <t>Kerala</t>
        </is>
      </c>
      <c r="D2309" s="7" t="inlineStr">
        <is>
          <t>KL11Z8845</t>
        </is>
      </c>
      <c r="E2309" s="7" t="inlineStr">
        <is>
          <t>MARUTI SUZUKI</t>
        </is>
      </c>
      <c r="F2309" s="7" t="inlineStr">
        <is>
          <t>800</t>
        </is>
      </c>
      <c r="G2309" s="7" t="inlineStr">
        <is>
          <t>POPULAR MARUTI</t>
        </is>
      </c>
      <c r="H2309" s="7" t="inlineStr">
        <is>
          <t>Non-Captive</t>
        </is>
      </c>
      <c r="I2309" s="7" t="inlineStr">
        <is>
          <t>AUTOTRUST</t>
        </is>
      </c>
      <c r="J2309" s="8" t="n">
        <v>2007</v>
      </c>
      <c r="K2309" s="9" t="n">
        <v>190000</v>
      </c>
      <c r="L2309" s="10" t="n">
        <v>32000</v>
      </c>
      <c r="M2309" s="10" t="n">
        <v>5932.2</v>
      </c>
      <c r="N2309" s="11">
        <f>IF(M2309="","",ROUND(M2309*1.18,2))</f>
        <v/>
      </c>
      <c r="O2309" s="12">
        <f>IF(M2309="","",ROUND(N2309-M2309,2))</f>
        <v/>
      </c>
      <c r="P2309" s="13">
        <f>IF(AND(A2309&lt;&gt;"",B2309&lt;&gt;""), A2309&amp;" · "&amp;B2309, "")</f>
        <v/>
      </c>
    </row>
    <row r="2310">
      <c r="A2310" s="6" t="inlineStr">
        <is>
          <t>FY27</t>
        </is>
      </c>
      <c r="B2310" s="6" t="inlineStr">
        <is>
          <t>Jun</t>
        </is>
      </c>
      <c r="C2310" s="6" t="inlineStr">
        <is>
          <t>Kerala</t>
        </is>
      </c>
      <c r="D2310" s="7" t="inlineStr">
        <is>
          <t>KL13AA2544</t>
        </is>
      </c>
      <c r="E2310" s="7" t="inlineStr">
        <is>
          <t>MARUTI SUZUKI</t>
        </is>
      </c>
      <c r="F2310" s="7" t="inlineStr">
        <is>
          <t>A-Star</t>
        </is>
      </c>
      <c r="G2310" s="7" t="inlineStr">
        <is>
          <t>POPULAR MARUTI</t>
        </is>
      </c>
      <c r="H2310" s="7" t="inlineStr">
        <is>
          <t>Non-Captive</t>
        </is>
      </c>
      <c r="I2310" s="7" t="inlineStr">
        <is>
          <t>SANOOP K M</t>
        </is>
      </c>
      <c r="J2310" s="8" t="n">
        <v>2013</v>
      </c>
      <c r="K2310" s="9" t="n">
        <v>95000</v>
      </c>
      <c r="L2310" s="10" t="n">
        <v>95000</v>
      </c>
      <c r="M2310" s="10" t="n">
        <v>8474.58</v>
      </c>
      <c r="N2310" s="11">
        <f>IF(M2310="","",ROUND(M2310*1.18,2))</f>
        <v/>
      </c>
      <c r="O2310" s="12">
        <f>IF(M2310="","",ROUND(N2310-M2310,2))</f>
        <v/>
      </c>
      <c r="P2310" s="13">
        <f>IF(AND(A2310&lt;&gt;"",B2310&lt;&gt;""), A2310&amp;" · "&amp;B2310, "")</f>
        <v/>
      </c>
    </row>
    <row r="2311">
      <c r="A2311" s="6" t="inlineStr">
        <is>
          <t>FY27</t>
        </is>
      </c>
      <c r="B2311" s="6" t="inlineStr">
        <is>
          <t>Jun</t>
        </is>
      </c>
      <c r="C2311" s="6" t="inlineStr">
        <is>
          <t>Kerala</t>
        </is>
      </c>
      <c r="D2311" s="7" t="inlineStr">
        <is>
          <t>KL13AE8873</t>
        </is>
      </c>
      <c r="E2311" s="7" t="inlineStr">
        <is>
          <t>HYUNDAI</t>
        </is>
      </c>
      <c r="F2311" s="7" t="inlineStr">
        <is>
          <t>Xcent</t>
        </is>
      </c>
      <c r="G2311" s="7" t="inlineStr">
        <is>
          <t>LUXON TATA</t>
        </is>
      </c>
      <c r="H2311" s="7" t="inlineStr">
        <is>
          <t>Non-Captive</t>
        </is>
      </c>
      <c r="I2311" s="7" t="inlineStr">
        <is>
          <t>SANTHOSH</t>
        </is>
      </c>
      <c r="J2311" s="8" t="n">
        <v>2015</v>
      </c>
      <c r="K2311" s="9" t="n">
        <v>58500</v>
      </c>
      <c r="L2311" s="10" t="n">
        <v>255000</v>
      </c>
      <c r="M2311" s="10" t="n">
        <v>4237.29</v>
      </c>
      <c r="N2311" s="11">
        <f>IF(M2311="","",ROUND(M2311*1.18,2))</f>
        <v/>
      </c>
      <c r="O2311" s="12">
        <f>IF(M2311="","",ROUND(N2311-M2311,2))</f>
        <v/>
      </c>
      <c r="P2311" s="13">
        <f>IF(AND(A2311&lt;&gt;"",B2311&lt;&gt;""), A2311&amp;" · "&amp;B2311, "")</f>
        <v/>
      </c>
    </row>
    <row r="2312">
      <c r="A2312" s="6" t="inlineStr">
        <is>
          <t>FY27</t>
        </is>
      </c>
      <c r="B2312" s="6" t="inlineStr">
        <is>
          <t>Jun</t>
        </is>
      </c>
      <c r="C2312" s="6" t="inlineStr">
        <is>
          <t>Kerala</t>
        </is>
      </c>
      <c r="D2312" s="7" t="inlineStr">
        <is>
          <t>KL13AF2123</t>
        </is>
      </c>
      <c r="E2312" s="7" t="inlineStr">
        <is>
          <t>FORD</t>
        </is>
      </c>
      <c r="F2312" s="7" t="inlineStr">
        <is>
          <t>EcoSport</t>
        </is>
      </c>
      <c r="G2312" s="7" t="inlineStr">
        <is>
          <t>ANAS HAMEED</t>
        </is>
      </c>
      <c r="H2312" s="7" t="inlineStr">
        <is>
          <t>Non-Captive</t>
        </is>
      </c>
      <c r="I2312" s="7" t="inlineStr">
        <is>
          <t>DREAM DRIVE</t>
        </is>
      </c>
      <c r="J2312" s="8" t="n">
        <v>2015</v>
      </c>
      <c r="K2312" s="9" t="n">
        <v>89797</v>
      </c>
      <c r="L2312" s="10" t="n">
        <v>464000</v>
      </c>
      <c r="M2312" s="10" t="n">
        <v>10169.49</v>
      </c>
      <c r="N2312" s="11">
        <f>IF(M2312="","",ROUND(M2312*1.18,2))</f>
        <v/>
      </c>
      <c r="O2312" s="12">
        <f>IF(M2312="","",ROUND(N2312-M2312,2))</f>
        <v/>
      </c>
      <c r="P2312" s="13">
        <f>IF(AND(A2312&lt;&gt;"",B2312&lt;&gt;""), A2312&amp;" · "&amp;B2312, "")</f>
        <v/>
      </c>
    </row>
    <row r="2313">
      <c r="A2313" s="6" t="inlineStr">
        <is>
          <t>FY27</t>
        </is>
      </c>
      <c r="B2313" s="6" t="inlineStr">
        <is>
          <t>Jun</t>
        </is>
      </c>
      <c r="C2313" s="6" t="inlineStr">
        <is>
          <t>Kerala</t>
        </is>
      </c>
      <c r="D2313" s="7" t="inlineStr">
        <is>
          <t>KL13AG3334</t>
        </is>
      </c>
      <c r="E2313" s="7" t="inlineStr">
        <is>
          <t>HONDA</t>
        </is>
      </c>
      <c r="F2313" s="7" t="inlineStr">
        <is>
          <t>Jazz</t>
        </is>
      </c>
      <c r="G2313" s="7" t="inlineStr">
        <is>
          <t>DKH KIA</t>
        </is>
      </c>
      <c r="H2313" s="7" t="inlineStr">
        <is>
          <t>Non-Captive</t>
        </is>
      </c>
      <c r="I2313" s="7" t="inlineStr">
        <is>
          <t>NADIR</t>
        </is>
      </c>
      <c r="J2313" s="8" t="n">
        <v>2016</v>
      </c>
      <c r="K2313" s="9" t="n">
        <v>77000</v>
      </c>
      <c r="L2313" s="10" t="n">
        <v>375000</v>
      </c>
      <c r="M2313" s="10" t="n">
        <v>8474.58</v>
      </c>
      <c r="N2313" s="11">
        <f>IF(M2313="","",ROUND(M2313*1.18,2))</f>
        <v/>
      </c>
      <c r="O2313" s="12">
        <f>IF(M2313="","",ROUND(N2313-M2313,2))</f>
        <v/>
      </c>
      <c r="P2313" s="13">
        <f>IF(AND(A2313&lt;&gt;"",B2313&lt;&gt;""), A2313&amp;" · "&amp;B2313, "")</f>
        <v/>
      </c>
    </row>
    <row r="2314">
      <c r="A2314" s="6" t="inlineStr">
        <is>
          <t>FY27</t>
        </is>
      </c>
      <c r="B2314" s="6" t="inlineStr">
        <is>
          <t>Jun</t>
        </is>
      </c>
      <c r="C2314" s="6" t="inlineStr">
        <is>
          <t>Kerala</t>
        </is>
      </c>
      <c r="D2314" s="7" t="inlineStr">
        <is>
          <t>KL13AP2737</t>
        </is>
      </c>
      <c r="E2314" s="7" t="inlineStr">
        <is>
          <t>MARUTI SUZUKI</t>
        </is>
      </c>
      <c r="F2314" s="7" t="inlineStr">
        <is>
          <t>Vitara Brezza</t>
        </is>
      </c>
      <c r="G2314" s="7" t="inlineStr">
        <is>
          <t>POPULAR MARUTI</t>
        </is>
      </c>
      <c r="H2314" s="7" t="inlineStr">
        <is>
          <t>Non-Captive</t>
        </is>
      </c>
      <c r="I2314" s="7" t="inlineStr">
        <is>
          <t>HASNA</t>
        </is>
      </c>
      <c r="J2314" s="8" t="n">
        <v>2019</v>
      </c>
      <c r="K2314" s="9" t="n">
        <v>160000</v>
      </c>
      <c r="L2314" s="10" t="n">
        <v>410000</v>
      </c>
      <c r="M2314" s="10" t="n">
        <v>8474.58</v>
      </c>
      <c r="N2314" s="11">
        <f>IF(M2314="","",ROUND(M2314*1.18,2))</f>
        <v/>
      </c>
      <c r="O2314" s="12">
        <f>IF(M2314="","",ROUND(N2314-M2314,2))</f>
        <v/>
      </c>
      <c r="P2314" s="13">
        <f>IF(AND(A2314&lt;&gt;"",B2314&lt;&gt;""), A2314&amp;" · "&amp;B2314, "")</f>
        <v/>
      </c>
    </row>
    <row r="2315">
      <c r="A2315" s="6" t="inlineStr">
        <is>
          <t>FY27</t>
        </is>
      </c>
      <c r="B2315" s="6" t="inlineStr">
        <is>
          <t>Jun</t>
        </is>
      </c>
      <c r="C2315" s="6" t="inlineStr">
        <is>
          <t>Kerala</t>
        </is>
      </c>
      <c r="D2315" s="7" t="inlineStr">
        <is>
          <t>KL13AU8739</t>
        </is>
      </c>
      <c r="E2315" s="7" t="inlineStr">
        <is>
          <t>MARUTI SUZUKI</t>
        </is>
      </c>
      <c r="F2315" s="7" t="inlineStr">
        <is>
          <t>S-Presso</t>
        </is>
      </c>
      <c r="G2315" s="7" t="inlineStr">
        <is>
          <t>KVR TATA</t>
        </is>
      </c>
      <c r="H2315" s="7" t="inlineStr">
        <is>
          <t>Non-Captive</t>
        </is>
      </c>
      <c r="I2315" s="7" t="inlineStr">
        <is>
          <t>VASIL</t>
        </is>
      </c>
      <c r="J2315" s="8" t="n">
        <v>2022</v>
      </c>
      <c r="K2315" s="9" t="n">
        <v>10000</v>
      </c>
      <c r="L2315" s="10" t="n">
        <v>317000</v>
      </c>
      <c r="M2315" s="10" t="n">
        <v>5932.2</v>
      </c>
      <c r="N2315" s="11">
        <f>IF(M2315="","",ROUND(M2315*1.18,2))</f>
        <v/>
      </c>
      <c r="O2315" s="12">
        <f>IF(M2315="","",ROUND(N2315-M2315,2))</f>
        <v/>
      </c>
      <c r="P2315" s="13">
        <f>IF(AND(A2315&lt;&gt;"",B2315&lt;&gt;""), A2315&amp;" · "&amp;B2315, "")</f>
        <v/>
      </c>
    </row>
    <row r="2316">
      <c r="A2316" s="6" t="inlineStr">
        <is>
          <t>FY27</t>
        </is>
      </c>
      <c r="B2316" s="6" t="inlineStr">
        <is>
          <t>Jun</t>
        </is>
      </c>
      <c r="C2316" s="6" t="inlineStr">
        <is>
          <t>Kerala</t>
        </is>
      </c>
      <c r="D2316" s="7" t="inlineStr">
        <is>
          <t>KL13Q9183</t>
        </is>
      </c>
      <c r="E2316" s="7" t="inlineStr">
        <is>
          <t>HYUNDAI</t>
        </is>
      </c>
      <c r="F2316" s="7" t="inlineStr">
        <is>
          <t>Santro</t>
        </is>
      </c>
      <c r="G2316" s="7" t="inlineStr">
        <is>
          <t>POPULAR MARUTI</t>
        </is>
      </c>
      <c r="H2316" s="7" t="inlineStr">
        <is>
          <t>Non-Captive</t>
        </is>
      </c>
      <c r="I2316" s="7" t="inlineStr">
        <is>
          <t>AUTOTRUST</t>
        </is>
      </c>
      <c r="J2316" s="8" t="n">
        <v>2006</v>
      </c>
      <c r="K2316" s="9" t="n">
        <v>135000</v>
      </c>
      <c r="L2316" s="10" t="n">
        <v>12000</v>
      </c>
      <c r="M2316" s="10" t="n">
        <v>5084.75</v>
      </c>
      <c r="N2316" s="11">
        <f>IF(M2316="","",ROUND(M2316*1.18,2))</f>
        <v/>
      </c>
      <c r="O2316" s="12">
        <f>IF(M2316="","",ROUND(N2316-M2316,2))</f>
        <v/>
      </c>
      <c r="P2316" s="13">
        <f>IF(AND(A2316&lt;&gt;"",B2316&lt;&gt;""), A2316&amp;" · "&amp;B2316, "")</f>
        <v/>
      </c>
    </row>
    <row r="2317">
      <c r="A2317" s="6" t="inlineStr">
        <is>
          <t>FY27</t>
        </is>
      </c>
      <c r="B2317" s="6" t="inlineStr">
        <is>
          <t>Jun</t>
        </is>
      </c>
      <c r="C2317" s="6" t="inlineStr">
        <is>
          <t>Kerala</t>
        </is>
      </c>
      <c r="D2317" s="7" t="inlineStr">
        <is>
          <t>KL13S0094</t>
        </is>
      </c>
      <c r="E2317" s="7" t="inlineStr">
        <is>
          <t>MARUTI SUZUKI</t>
        </is>
      </c>
      <c r="F2317" s="7" t="inlineStr">
        <is>
          <t>Omni</t>
        </is>
      </c>
      <c r="G2317" s="7" t="inlineStr">
        <is>
          <t>POPULAR MARUTI</t>
        </is>
      </c>
      <c r="H2317" s="7" t="inlineStr">
        <is>
          <t>Non-Captive</t>
        </is>
      </c>
      <c r="I2317" s="7" t="inlineStr">
        <is>
          <t>AYSHA</t>
        </is>
      </c>
      <c r="J2317" s="8" t="n">
        <v>2007</v>
      </c>
      <c r="K2317" s="9" t="n">
        <v>130000</v>
      </c>
      <c r="L2317" s="10" t="n">
        <v>45000</v>
      </c>
      <c r="M2317" s="10" t="n">
        <v>8474.58</v>
      </c>
      <c r="N2317" s="11">
        <f>IF(M2317="","",ROUND(M2317*1.18,2))</f>
        <v/>
      </c>
      <c r="O2317" s="12">
        <f>IF(M2317="","",ROUND(N2317-M2317,2))</f>
        <v/>
      </c>
      <c r="P2317" s="13">
        <f>IF(AND(A2317&lt;&gt;"",B2317&lt;&gt;""), A2317&amp;" · "&amp;B2317, "")</f>
        <v/>
      </c>
    </row>
    <row r="2318">
      <c r="A2318" s="6" t="inlineStr">
        <is>
          <t>FY27</t>
        </is>
      </c>
      <c r="B2318" s="6" t="inlineStr">
        <is>
          <t>Jun</t>
        </is>
      </c>
      <c r="C2318" s="6" t="inlineStr">
        <is>
          <t>Kerala</t>
        </is>
      </c>
      <c r="D2318" s="7" t="inlineStr">
        <is>
          <t>KL13T5377</t>
        </is>
      </c>
      <c r="E2318" s="7" t="inlineStr">
        <is>
          <t>MARUTI SUZUKI</t>
        </is>
      </c>
      <c r="F2318" s="7" t="inlineStr">
        <is>
          <t>A-Star</t>
        </is>
      </c>
      <c r="G2318" s="7" t="inlineStr">
        <is>
          <t>POPULAR MARUTI</t>
        </is>
      </c>
      <c r="H2318" s="7" t="inlineStr">
        <is>
          <t>Non-Captive</t>
        </is>
      </c>
      <c r="I2318" s="7" t="inlineStr">
        <is>
          <t>ANEES</t>
        </is>
      </c>
      <c r="J2318" s="8" t="n">
        <v>2009</v>
      </c>
      <c r="K2318" s="9" t="n">
        <v>52000</v>
      </c>
      <c r="L2318" s="10" t="n">
        <v>80000</v>
      </c>
      <c r="M2318" s="10" t="n">
        <v>8474.58</v>
      </c>
      <c r="N2318" s="11">
        <f>IF(M2318="","",ROUND(M2318*1.18,2))</f>
        <v/>
      </c>
      <c r="O2318" s="12">
        <f>IF(M2318="","",ROUND(N2318-M2318,2))</f>
        <v/>
      </c>
      <c r="P2318" s="13">
        <f>IF(AND(A2318&lt;&gt;"",B2318&lt;&gt;""), A2318&amp;" · "&amp;B2318, "")</f>
        <v/>
      </c>
    </row>
    <row r="2319">
      <c r="A2319" s="6" t="inlineStr">
        <is>
          <t>FY27</t>
        </is>
      </c>
      <c r="B2319" s="6" t="inlineStr">
        <is>
          <t>Jun</t>
        </is>
      </c>
      <c r="C2319" s="6" t="inlineStr">
        <is>
          <t>Kerala</t>
        </is>
      </c>
      <c r="D2319" s="7" t="inlineStr">
        <is>
          <t>KL13Y6105</t>
        </is>
      </c>
      <c r="E2319" s="7" t="inlineStr">
        <is>
          <t>MARUTI SUZUKI</t>
        </is>
      </c>
      <c r="F2319" s="7" t="inlineStr">
        <is>
          <t>Wagon R</t>
        </is>
      </c>
      <c r="G2319" s="7" t="inlineStr">
        <is>
          <t>POPULAR MARUTI</t>
        </is>
      </c>
      <c r="H2319" s="7" t="inlineStr">
        <is>
          <t>Non-Captive</t>
        </is>
      </c>
      <c r="I2319" s="7" t="inlineStr">
        <is>
          <t>UNAIS CARS</t>
        </is>
      </c>
      <c r="J2319" s="8" t="n">
        <v>2012</v>
      </c>
      <c r="K2319" s="9" t="n">
        <v>63000</v>
      </c>
      <c r="L2319" s="10" t="n">
        <v>202000</v>
      </c>
      <c r="M2319" s="10" t="n">
        <v>5932.2</v>
      </c>
      <c r="N2319" s="11">
        <f>IF(M2319="","",ROUND(M2319*1.18,2))</f>
        <v/>
      </c>
      <c r="O2319" s="12">
        <f>IF(M2319="","",ROUND(N2319-M2319,2))</f>
        <v/>
      </c>
      <c r="P2319" s="13">
        <f>IF(AND(A2319&lt;&gt;"",B2319&lt;&gt;""), A2319&amp;" · "&amp;B2319, "")</f>
        <v/>
      </c>
    </row>
    <row r="2320">
      <c r="A2320" s="6" t="inlineStr">
        <is>
          <t>FY27</t>
        </is>
      </c>
      <c r="B2320" s="6" t="inlineStr">
        <is>
          <t>Jun</t>
        </is>
      </c>
      <c r="C2320" s="6" t="inlineStr">
        <is>
          <t>Kerala</t>
        </is>
      </c>
      <c r="D2320" s="7" t="inlineStr">
        <is>
          <t>KL13Z3455</t>
        </is>
      </c>
      <c r="E2320" s="7" t="inlineStr">
        <is>
          <t>MARUTI SUZUKI</t>
        </is>
      </c>
      <c r="F2320" s="7" t="inlineStr">
        <is>
          <t>Swift</t>
        </is>
      </c>
      <c r="G2320" s="7" t="inlineStr">
        <is>
          <t>POPULAR MARUTI</t>
        </is>
      </c>
      <c r="H2320" s="7" t="inlineStr">
        <is>
          <t>Non-Captive</t>
        </is>
      </c>
      <c r="I2320" s="7" t="inlineStr">
        <is>
          <t>THANSEER CARS</t>
        </is>
      </c>
      <c r="J2320" s="8" t="n">
        <v>2012</v>
      </c>
      <c r="K2320" s="9" t="n">
        <v>110000</v>
      </c>
      <c r="L2320" s="10" t="n">
        <v>225000</v>
      </c>
      <c r="M2320" s="10" t="n">
        <v>8474.58</v>
      </c>
      <c r="N2320" s="11">
        <f>IF(M2320="","",ROUND(M2320*1.18,2))</f>
        <v/>
      </c>
      <c r="O2320" s="12">
        <f>IF(M2320="","",ROUND(N2320-M2320,2))</f>
        <v/>
      </c>
      <c r="P2320" s="13">
        <f>IF(AND(A2320&lt;&gt;"",B2320&lt;&gt;""), A2320&amp;" · "&amp;B2320, "")</f>
        <v/>
      </c>
    </row>
    <row r="2321">
      <c r="A2321" s="6" t="inlineStr">
        <is>
          <t>FY27</t>
        </is>
      </c>
      <c r="B2321" s="6" t="inlineStr">
        <is>
          <t>Jun</t>
        </is>
      </c>
      <c r="C2321" s="6" t="inlineStr">
        <is>
          <t>Kerala</t>
        </is>
      </c>
      <c r="D2321" s="7" t="inlineStr">
        <is>
          <t>KL14K8154</t>
        </is>
      </c>
      <c r="E2321" s="7" t="inlineStr">
        <is>
          <t>MARUTI SUZUKI</t>
        </is>
      </c>
      <c r="F2321" s="7" t="inlineStr">
        <is>
          <t>Alto</t>
        </is>
      </c>
      <c r="G2321" s="7" t="inlineStr">
        <is>
          <t>POPULAR MARUTI</t>
        </is>
      </c>
      <c r="H2321" s="7" t="inlineStr">
        <is>
          <t>Non-Captive</t>
        </is>
      </c>
      <c r="I2321" s="7" t="inlineStr">
        <is>
          <t>AUTOTRUST</t>
        </is>
      </c>
      <c r="J2321" s="8" t="n">
        <v>2011</v>
      </c>
      <c r="K2321" s="9" t="n">
        <v>200000</v>
      </c>
      <c r="L2321" s="10" t="n">
        <v>6000</v>
      </c>
      <c r="M2321" s="10" t="n">
        <v>5084.75</v>
      </c>
      <c r="N2321" s="11">
        <f>IF(M2321="","",ROUND(M2321*1.18,2))</f>
        <v/>
      </c>
      <c r="O2321" s="12">
        <f>IF(M2321="","",ROUND(N2321-M2321,2))</f>
        <v/>
      </c>
      <c r="P2321" s="13">
        <f>IF(AND(A2321&lt;&gt;"",B2321&lt;&gt;""), A2321&amp;" · "&amp;B2321, "")</f>
        <v/>
      </c>
    </row>
    <row r="2322">
      <c r="A2322" s="6" t="inlineStr">
        <is>
          <t>FY27</t>
        </is>
      </c>
      <c r="B2322" s="6" t="inlineStr">
        <is>
          <t>Jun</t>
        </is>
      </c>
      <c r="C2322" s="6" t="inlineStr">
        <is>
          <t>Kerala</t>
        </is>
      </c>
      <c r="D2322" s="7" t="inlineStr">
        <is>
          <t>KL14P5143</t>
        </is>
      </c>
      <c r="E2322" s="7" t="inlineStr">
        <is>
          <t>MARUTI SUZUKI</t>
        </is>
      </c>
      <c r="F2322" s="7" t="inlineStr">
        <is>
          <t>Alto</t>
        </is>
      </c>
      <c r="G2322" s="7" t="inlineStr">
        <is>
          <t>POPULAR MARUTI</t>
        </is>
      </c>
      <c r="H2322" s="7" t="inlineStr">
        <is>
          <t>Non-Captive</t>
        </is>
      </c>
      <c r="I2322" s="7" t="inlineStr">
        <is>
          <t>ANEEFA</t>
        </is>
      </c>
      <c r="J2322" s="8" t="n">
        <v>2014</v>
      </c>
      <c r="K2322" s="9" t="n">
        <v>81000</v>
      </c>
      <c r="L2322" s="10" t="n">
        <v>130000</v>
      </c>
      <c r="M2322" s="10" t="n">
        <v>5932.2</v>
      </c>
      <c r="N2322" s="11">
        <f>IF(M2322="","",ROUND(M2322*1.18,2))</f>
        <v/>
      </c>
      <c r="O2322" s="12">
        <f>IF(M2322="","",ROUND(N2322-M2322,2))</f>
        <v/>
      </c>
      <c r="P2322" s="13">
        <f>IF(AND(A2322&lt;&gt;"",B2322&lt;&gt;""), A2322&amp;" · "&amp;B2322, "")</f>
        <v/>
      </c>
    </row>
    <row r="2323">
      <c r="A2323" s="6" t="inlineStr">
        <is>
          <t>FY27</t>
        </is>
      </c>
      <c r="B2323" s="6" t="inlineStr">
        <is>
          <t>Jun</t>
        </is>
      </c>
      <c r="C2323" s="6" t="inlineStr">
        <is>
          <t>Kerala</t>
        </is>
      </c>
      <c r="D2323" s="7" t="inlineStr">
        <is>
          <t>KL14Z2695</t>
        </is>
      </c>
      <c r="E2323" s="7" t="inlineStr">
        <is>
          <t>HYUNDAI</t>
        </is>
      </c>
      <c r="F2323" s="7" t="inlineStr">
        <is>
          <t>i10</t>
        </is>
      </c>
      <c r="G2323" s="7" t="inlineStr">
        <is>
          <t>APCO HYUNDAI</t>
        </is>
      </c>
      <c r="H2323" s="7" t="inlineStr">
        <is>
          <t>Non-Captive</t>
        </is>
      </c>
      <c r="I2323" s="7" t="inlineStr">
        <is>
          <t>SARITH</t>
        </is>
      </c>
      <c r="J2323" s="8" t="n">
        <v>2020</v>
      </c>
      <c r="K2323" s="9" t="n">
        <v>76000</v>
      </c>
      <c r="L2323" s="10" t="n">
        <v>380000</v>
      </c>
      <c r="M2323" s="10" t="n">
        <v>8474.58</v>
      </c>
      <c r="N2323" s="11">
        <f>IF(M2323="","",ROUND(M2323*1.18,2))</f>
        <v/>
      </c>
      <c r="O2323" s="12">
        <f>IF(M2323="","",ROUND(N2323-M2323,2))</f>
        <v/>
      </c>
      <c r="P2323" s="13">
        <f>IF(AND(A2323&lt;&gt;"",B2323&lt;&gt;""), A2323&amp;" · "&amp;B2323, "")</f>
        <v/>
      </c>
    </row>
    <row r="2324">
      <c r="A2324" s="6" t="inlineStr">
        <is>
          <t>FY27</t>
        </is>
      </c>
      <c r="B2324" s="6" t="inlineStr">
        <is>
          <t>Jun</t>
        </is>
      </c>
      <c r="C2324" s="6" t="inlineStr">
        <is>
          <t>Kerala</t>
        </is>
      </c>
      <c r="D2324" s="7" t="inlineStr">
        <is>
          <t>KL16D2941</t>
        </is>
      </c>
      <c r="E2324" s="7" t="inlineStr">
        <is>
          <t>MARUTI SUZUKI</t>
        </is>
      </c>
      <c r="F2324" s="7" t="inlineStr">
        <is>
          <t>Swift</t>
        </is>
      </c>
      <c r="G2324" s="7" t="inlineStr">
        <is>
          <t>POPULAR MARUTI</t>
        </is>
      </c>
      <c r="H2324" s="7" t="inlineStr">
        <is>
          <t>Non-Captive</t>
        </is>
      </c>
      <c r="I2324" s="7" t="inlineStr">
        <is>
          <t>SARITH R</t>
        </is>
      </c>
      <c r="J2324" s="8" t="n">
        <v>2006</v>
      </c>
      <c r="K2324" s="9" t="n">
        <v>90000</v>
      </c>
      <c r="L2324" s="10" t="n">
        <v>36000</v>
      </c>
      <c r="M2324" s="10" t="n">
        <v>5084.75</v>
      </c>
      <c r="N2324" s="11">
        <f>IF(M2324="","",ROUND(M2324*1.18,2))</f>
        <v/>
      </c>
      <c r="O2324" s="12">
        <f>IF(M2324="","",ROUND(N2324-M2324,2))</f>
        <v/>
      </c>
      <c r="P2324" s="13">
        <f>IF(AND(A2324&lt;&gt;"",B2324&lt;&gt;""), A2324&amp;" · "&amp;B2324, "")</f>
        <v/>
      </c>
    </row>
    <row r="2325">
      <c r="A2325" s="6" t="inlineStr">
        <is>
          <t>FY27</t>
        </is>
      </c>
      <c r="B2325" s="6" t="inlineStr">
        <is>
          <t>Jun</t>
        </is>
      </c>
      <c r="C2325" s="6" t="inlineStr">
        <is>
          <t>Kerala</t>
        </is>
      </c>
      <c r="D2325" s="7" t="inlineStr">
        <is>
          <t>KL16H6697</t>
        </is>
      </c>
      <c r="E2325" s="7" t="inlineStr">
        <is>
          <t>HYUNDAI</t>
        </is>
      </c>
      <c r="F2325" s="7" t="inlineStr">
        <is>
          <t>i10</t>
        </is>
      </c>
      <c r="G2325" s="7" t="inlineStr">
        <is>
          <t>AMRITH V CHANDY</t>
        </is>
      </c>
      <c r="H2325" s="7" t="inlineStr">
        <is>
          <t>Non-Captive</t>
        </is>
      </c>
      <c r="I2325" s="7" t="inlineStr">
        <is>
          <t>MAXX DRIVE</t>
        </is>
      </c>
      <c r="J2325" s="8" t="n">
        <v>2012</v>
      </c>
      <c r="K2325" s="9" t="n">
        <v>115767</v>
      </c>
      <c r="L2325" s="10" t="n">
        <v>130000</v>
      </c>
      <c r="M2325" s="10" t="n">
        <v>8474.58</v>
      </c>
      <c r="N2325" s="11">
        <f>IF(M2325="","",ROUND(M2325*1.18,2))</f>
        <v/>
      </c>
      <c r="O2325" s="12">
        <f>IF(M2325="","",ROUND(N2325-M2325,2))</f>
        <v/>
      </c>
      <c r="P2325" s="13">
        <f>IF(AND(A2325&lt;&gt;"",B2325&lt;&gt;""), A2325&amp;" · "&amp;B2325, "")</f>
        <v/>
      </c>
    </row>
    <row r="2326">
      <c r="A2326" s="6" t="inlineStr">
        <is>
          <t>FY27</t>
        </is>
      </c>
      <c r="B2326" s="6" t="inlineStr">
        <is>
          <t>Jun</t>
        </is>
      </c>
      <c r="C2326" s="6" t="inlineStr">
        <is>
          <t>Kerala</t>
        </is>
      </c>
      <c r="D2326" s="7" t="inlineStr">
        <is>
          <t>KL18AD0975</t>
        </is>
      </c>
      <c r="E2326" s="7" t="inlineStr">
        <is>
          <t>MARUTI SUZUKI</t>
        </is>
      </c>
      <c r="F2326" s="7" t="inlineStr">
        <is>
          <t>Swift</t>
        </is>
      </c>
      <c r="G2326" s="7" t="inlineStr">
        <is>
          <t>BIMAL</t>
        </is>
      </c>
      <c r="H2326" s="7" t="inlineStr">
        <is>
          <t>Non-Captive</t>
        </is>
      </c>
      <c r="I2326" s="7" t="inlineStr">
        <is>
          <t>SARITH</t>
        </is>
      </c>
      <c r="J2326" s="8" t="n">
        <v>2023</v>
      </c>
      <c r="K2326" s="9" t="n">
        <v>40000</v>
      </c>
      <c r="L2326" s="10" t="n">
        <v>607000</v>
      </c>
      <c r="M2326" s="10" t="n">
        <v>5932.2</v>
      </c>
      <c r="N2326" s="11">
        <f>IF(M2326="","",ROUND(M2326*1.18,2))</f>
        <v/>
      </c>
      <c r="O2326" s="12">
        <f>IF(M2326="","",ROUND(N2326-M2326,2))</f>
        <v/>
      </c>
      <c r="P2326" s="13">
        <f>IF(AND(A2326&lt;&gt;"",B2326&lt;&gt;""), A2326&amp;" · "&amp;B2326, "")</f>
        <v/>
      </c>
    </row>
    <row r="2327">
      <c r="A2327" s="6" t="inlineStr">
        <is>
          <t>FY27</t>
        </is>
      </c>
      <c r="B2327" s="6" t="inlineStr">
        <is>
          <t>Jun</t>
        </is>
      </c>
      <c r="C2327" s="6" t="inlineStr">
        <is>
          <t>Kerala</t>
        </is>
      </c>
      <c r="D2327" s="7" t="inlineStr">
        <is>
          <t>KL18C2449</t>
        </is>
      </c>
      <c r="E2327" s="7" t="inlineStr">
        <is>
          <t>MARUTI SUZUKI</t>
        </is>
      </c>
      <c r="F2327" s="7" t="inlineStr">
        <is>
          <t>Alto</t>
        </is>
      </c>
      <c r="G2327" s="7" t="inlineStr">
        <is>
          <t>POPULAR MARUTI</t>
        </is>
      </c>
      <c r="H2327" s="7" t="inlineStr">
        <is>
          <t>Non-Captive</t>
        </is>
      </c>
      <c r="I2327" s="7" t="inlineStr">
        <is>
          <t>AUTOTRUST</t>
        </is>
      </c>
      <c r="J2327" s="8" t="n">
        <v>2006</v>
      </c>
      <c r="K2327" s="9" t="n">
        <v>200000</v>
      </c>
      <c r="L2327" s="10" t="n">
        <v>6000</v>
      </c>
      <c r="M2327" s="10" t="n">
        <v>5084.75</v>
      </c>
      <c r="N2327" s="11">
        <f>IF(M2327="","",ROUND(M2327*1.18,2))</f>
        <v/>
      </c>
      <c r="O2327" s="12">
        <f>IF(M2327="","",ROUND(N2327-M2327,2))</f>
        <v/>
      </c>
      <c r="P2327" s="13">
        <f>IF(AND(A2327&lt;&gt;"",B2327&lt;&gt;""), A2327&amp;" · "&amp;B2327, "")</f>
        <v/>
      </c>
    </row>
    <row r="2328">
      <c r="A2328" s="6" t="inlineStr">
        <is>
          <t>FY27</t>
        </is>
      </c>
      <c r="B2328" s="6" t="inlineStr">
        <is>
          <t>Jun</t>
        </is>
      </c>
      <c r="C2328" s="6" t="inlineStr">
        <is>
          <t>Kerala</t>
        </is>
      </c>
      <c r="D2328" s="7" t="inlineStr">
        <is>
          <t>KL18J7686</t>
        </is>
      </c>
      <c r="E2328" s="7" t="inlineStr">
        <is>
          <t>MARUTI SUZUKI</t>
        </is>
      </c>
      <c r="F2328" s="7" t="inlineStr">
        <is>
          <t>Alto</t>
        </is>
      </c>
      <c r="G2328" s="7" t="inlineStr">
        <is>
          <t>POPULAR MARUTI</t>
        </is>
      </c>
      <c r="H2328" s="7" t="inlineStr">
        <is>
          <t>Non-Captive</t>
        </is>
      </c>
      <c r="I2328" s="7" t="inlineStr">
        <is>
          <t>SANOOP K M</t>
        </is>
      </c>
      <c r="J2328" s="8" t="n">
        <v>2012</v>
      </c>
      <c r="K2328" s="9" t="n">
        <v>103000</v>
      </c>
      <c r="L2328" s="10" t="n">
        <v>110000</v>
      </c>
      <c r="M2328" s="10" t="n">
        <v>5932.2</v>
      </c>
      <c r="N2328" s="11">
        <f>IF(M2328="","",ROUND(M2328*1.18,2))</f>
        <v/>
      </c>
      <c r="O2328" s="12">
        <f>IF(M2328="","",ROUND(N2328-M2328,2))</f>
        <v/>
      </c>
      <c r="P2328" s="13">
        <f>IF(AND(A2328&lt;&gt;"",B2328&lt;&gt;""), A2328&amp;" · "&amp;B2328, "")</f>
        <v/>
      </c>
    </row>
    <row r="2329">
      <c r="A2329" s="6" t="inlineStr">
        <is>
          <t>FY27</t>
        </is>
      </c>
      <c r="B2329" s="6" t="inlineStr">
        <is>
          <t>Jun</t>
        </is>
      </c>
      <c r="C2329" s="6" t="inlineStr">
        <is>
          <t>Kerala</t>
        </is>
      </c>
      <c r="D2329" s="7" t="inlineStr">
        <is>
          <t>KL18U0592</t>
        </is>
      </c>
      <c r="E2329" s="7" t="inlineStr">
        <is>
          <t>RENAULT</t>
        </is>
      </c>
      <c r="F2329" s="7" t="inlineStr">
        <is>
          <t>Kwid</t>
        </is>
      </c>
      <c r="G2329" s="7" t="inlineStr">
        <is>
          <t>BIMAL</t>
        </is>
      </c>
      <c r="H2329" s="7" t="inlineStr">
        <is>
          <t>Non-Captive</t>
        </is>
      </c>
      <c r="I2329" s="7" t="inlineStr">
        <is>
          <t>RUKSANA CARS</t>
        </is>
      </c>
      <c r="J2329" s="8" t="n">
        <v>2017</v>
      </c>
      <c r="K2329" s="9" t="n">
        <v>120000</v>
      </c>
      <c r="L2329" s="10" t="n">
        <v>110000</v>
      </c>
      <c r="M2329" s="10" t="n">
        <v>8474.58</v>
      </c>
      <c r="N2329" s="11">
        <f>IF(M2329="","",ROUND(M2329*1.18,2))</f>
        <v/>
      </c>
      <c r="O2329" s="12">
        <f>IF(M2329="","",ROUND(N2329-M2329,2))</f>
        <v/>
      </c>
      <c r="P2329" s="13">
        <f>IF(AND(A2329&lt;&gt;"",B2329&lt;&gt;""), A2329&amp;" · "&amp;B2329, "")</f>
        <v/>
      </c>
    </row>
    <row r="2330">
      <c r="A2330" s="6" t="inlineStr">
        <is>
          <t>FY27</t>
        </is>
      </c>
      <c r="B2330" s="6" t="inlineStr">
        <is>
          <t>Jun</t>
        </is>
      </c>
      <c r="C2330" s="6" t="inlineStr">
        <is>
          <t>Kerala</t>
        </is>
      </c>
      <c r="D2330" s="7" t="inlineStr">
        <is>
          <t>KL193067</t>
        </is>
      </c>
      <c r="E2330" s="7" t="inlineStr">
        <is>
          <t>MARUTI SUZUKI</t>
        </is>
      </c>
      <c r="F2330" s="7" t="inlineStr">
        <is>
          <t>Zen</t>
        </is>
      </c>
      <c r="G2330" s="7" t="inlineStr">
        <is>
          <t>INCHEON KIA</t>
        </is>
      </c>
      <c r="H2330" s="7" t="inlineStr">
        <is>
          <t>Non-Captive</t>
        </is>
      </c>
      <c r="I2330" s="7" t="inlineStr">
        <is>
          <t>KISHORE</t>
        </is>
      </c>
      <c r="J2330" s="8" t="n">
        <v>2007</v>
      </c>
      <c r="K2330" s="9" t="n">
        <v>87900</v>
      </c>
      <c r="L2330" s="10" t="n">
        <v>46000</v>
      </c>
      <c r="M2330" s="10" t="n">
        <v>5084.75</v>
      </c>
      <c r="N2330" s="11">
        <f>IF(M2330="","",ROUND(M2330*1.18,2))</f>
        <v/>
      </c>
      <c r="O2330" s="12">
        <f>IF(M2330="","",ROUND(N2330-M2330,2))</f>
        <v/>
      </c>
      <c r="P2330" s="13">
        <f>IF(AND(A2330&lt;&gt;"",B2330&lt;&gt;""), A2330&amp;" · "&amp;B2330, "")</f>
        <v/>
      </c>
    </row>
    <row r="2331">
      <c r="A2331" s="6" t="inlineStr">
        <is>
          <t>FY27</t>
        </is>
      </c>
      <c r="B2331" s="6" t="inlineStr">
        <is>
          <t>Jun</t>
        </is>
      </c>
      <c r="C2331" s="6" t="inlineStr">
        <is>
          <t>Kerala</t>
        </is>
      </c>
      <c r="D2331" s="7" t="inlineStr">
        <is>
          <t>KL21R7438</t>
        </is>
      </c>
      <c r="E2331" s="7" t="inlineStr">
        <is>
          <t>MARUTI SUZUKI</t>
        </is>
      </c>
      <c r="F2331" s="7" t="inlineStr">
        <is>
          <t>Alto 800</t>
        </is>
      </c>
      <c r="G2331" s="7" t="inlineStr">
        <is>
          <t>TRIVANDRUM MOTORS</t>
        </is>
      </c>
      <c r="H2331" s="7" t="inlineStr">
        <is>
          <t>Non-Captive</t>
        </is>
      </c>
      <c r="I2331" s="7" t="inlineStr">
        <is>
          <t>ABHISHEK</t>
        </is>
      </c>
      <c r="J2331" s="8" t="n">
        <v>2018</v>
      </c>
      <c r="K2331" s="9" t="n">
        <v>71663</v>
      </c>
      <c r="L2331" s="10" t="n">
        <v>200000</v>
      </c>
      <c r="M2331" s="10" t="n">
        <v>8474.58</v>
      </c>
      <c r="N2331" s="11">
        <f>IF(M2331="","",ROUND(M2331*1.18,2))</f>
        <v/>
      </c>
      <c r="O2331" s="12">
        <f>IF(M2331="","",ROUND(N2331-M2331,2))</f>
        <v/>
      </c>
      <c r="P2331" s="13">
        <f>IF(AND(A2331&lt;&gt;"",B2331&lt;&gt;""), A2331&amp;" · "&amp;B2331, "")</f>
        <v/>
      </c>
    </row>
    <row r="2332">
      <c r="A2332" s="6" t="inlineStr">
        <is>
          <t>FY27</t>
        </is>
      </c>
      <c r="B2332" s="6" t="inlineStr">
        <is>
          <t>Jun</t>
        </is>
      </c>
      <c r="C2332" s="6" t="inlineStr">
        <is>
          <t>Kerala</t>
        </is>
      </c>
      <c r="D2332" s="7" t="inlineStr">
        <is>
          <t>KL21W9317</t>
        </is>
      </c>
      <c r="E2332" s="7" t="inlineStr">
        <is>
          <t>MARUTI SUZUKI</t>
        </is>
      </c>
      <c r="F2332" s="7" t="inlineStr">
        <is>
          <t>Dzire</t>
        </is>
      </c>
      <c r="G2332" s="7" t="inlineStr">
        <is>
          <t>POPULAR MARUTI</t>
        </is>
      </c>
      <c r="H2332" s="7" t="inlineStr">
        <is>
          <t>Non-Captive</t>
        </is>
      </c>
      <c r="I2332" s="7" t="inlineStr">
        <is>
          <t>RATHEESH</t>
        </is>
      </c>
      <c r="J2332" s="8" t="n">
        <v>2021</v>
      </c>
      <c r="K2332" s="9" t="n">
        <v>67885</v>
      </c>
      <c r="L2332" s="10" t="n">
        <v>448000</v>
      </c>
      <c r="M2332" s="10" t="n">
        <v>6779.66</v>
      </c>
      <c r="N2332" s="11">
        <f>IF(M2332="","",ROUND(M2332*1.18,2))</f>
        <v/>
      </c>
      <c r="O2332" s="12">
        <f>IF(M2332="","",ROUND(N2332-M2332,2))</f>
        <v/>
      </c>
      <c r="P2332" s="13">
        <f>IF(AND(A2332&lt;&gt;"",B2332&lt;&gt;""), A2332&amp;" · "&amp;B2332, "")</f>
        <v/>
      </c>
    </row>
    <row r="2333">
      <c r="A2333" s="6" t="inlineStr">
        <is>
          <t>FY27</t>
        </is>
      </c>
      <c r="B2333" s="6" t="inlineStr">
        <is>
          <t>Jun</t>
        </is>
      </c>
      <c r="C2333" s="6" t="inlineStr">
        <is>
          <t>Kerala</t>
        </is>
      </c>
      <c r="D2333" s="7" t="inlineStr">
        <is>
          <t>KL22G1848</t>
        </is>
      </c>
      <c r="E2333" s="7" t="inlineStr">
        <is>
          <t>MARUTI SUZUKI</t>
        </is>
      </c>
      <c r="F2333" s="7" t="inlineStr">
        <is>
          <t>Ritz</t>
        </is>
      </c>
      <c r="G2333" s="7" t="inlineStr">
        <is>
          <t>POPULAR MARUTI</t>
        </is>
      </c>
      <c r="H2333" s="7" t="inlineStr">
        <is>
          <t>Non-Captive</t>
        </is>
      </c>
      <c r="I2333" s="7" t="inlineStr">
        <is>
          <t>Autobot</t>
        </is>
      </c>
      <c r="J2333" s="8" t="n">
        <v>2014</v>
      </c>
      <c r="K2333" s="9" t="n">
        <v>100000</v>
      </c>
      <c r="L2333" s="10" t="n">
        <v>130000</v>
      </c>
      <c r="M2333" s="10" t="n">
        <v>25423.73</v>
      </c>
      <c r="N2333" s="11">
        <f>IF(M2333="","",ROUND(M2333*1.18,2))</f>
        <v/>
      </c>
      <c r="O2333" s="12">
        <f>IF(M2333="","",ROUND(N2333-M2333,2))</f>
        <v/>
      </c>
      <c r="P2333" s="13">
        <f>IF(AND(A2333&lt;&gt;"",B2333&lt;&gt;""), A2333&amp;" · "&amp;B2333, "")</f>
        <v/>
      </c>
    </row>
    <row r="2334">
      <c r="A2334" s="6" t="inlineStr">
        <is>
          <t>FY27</t>
        </is>
      </c>
      <c r="B2334" s="6" t="inlineStr">
        <is>
          <t>Jun</t>
        </is>
      </c>
      <c r="C2334" s="6" t="inlineStr">
        <is>
          <t>Kerala</t>
        </is>
      </c>
      <c r="D2334" s="7" t="inlineStr">
        <is>
          <t>KL22L7036</t>
        </is>
      </c>
      <c r="E2334" s="7" t="inlineStr">
        <is>
          <t>MARUTI SUZUKI</t>
        </is>
      </c>
      <c r="F2334" s="7" t="inlineStr">
        <is>
          <t>Alto K10</t>
        </is>
      </c>
      <c r="G2334" s="7" t="inlineStr">
        <is>
          <t>MUHAMMED SHAJI</t>
        </is>
      </c>
      <c r="H2334" s="7" t="inlineStr">
        <is>
          <t>Non-Captive</t>
        </is>
      </c>
      <c r="I2334" s="7" t="inlineStr">
        <is>
          <t>SUDHEESH K SATHEESH</t>
        </is>
      </c>
      <c r="J2334" s="8" t="n">
        <v>2018</v>
      </c>
      <c r="K2334" s="9" t="n">
        <v>17656</v>
      </c>
      <c r="L2334" s="10" t="n">
        <v>370000</v>
      </c>
      <c r="M2334" s="10" t="n">
        <v>8474.58</v>
      </c>
      <c r="N2334" s="11">
        <f>IF(M2334="","",ROUND(M2334*1.18,2))</f>
        <v/>
      </c>
      <c r="O2334" s="12">
        <f>IF(M2334="","",ROUND(N2334-M2334,2))</f>
        <v/>
      </c>
      <c r="P2334" s="13">
        <f>IF(AND(A2334&lt;&gt;"",B2334&lt;&gt;""), A2334&amp;" · "&amp;B2334, "")</f>
        <v/>
      </c>
    </row>
    <row r="2335">
      <c r="A2335" s="6" t="inlineStr">
        <is>
          <t>FY27</t>
        </is>
      </c>
      <c r="B2335" s="6" t="inlineStr">
        <is>
          <t>Jun</t>
        </is>
      </c>
      <c r="C2335" s="6" t="inlineStr">
        <is>
          <t>Kerala</t>
        </is>
      </c>
      <c r="D2335" s="7" t="inlineStr">
        <is>
          <t>KL231007</t>
        </is>
      </c>
      <c r="E2335" s="7" t="inlineStr">
        <is>
          <t>MARUTI SUZUKI</t>
        </is>
      </c>
      <c r="F2335" s="7" t="inlineStr">
        <is>
          <t>Alto</t>
        </is>
      </c>
      <c r="G2335" s="7" t="inlineStr">
        <is>
          <t>POPULAR MARUTI</t>
        </is>
      </c>
      <c r="H2335" s="7" t="inlineStr">
        <is>
          <t>Non-Captive</t>
        </is>
      </c>
      <c r="I2335" s="7" t="inlineStr">
        <is>
          <t>RAFEEK T A</t>
        </is>
      </c>
      <c r="J2335" s="8" t="n">
        <v>2006</v>
      </c>
      <c r="K2335" s="9" t="n">
        <v>158938</v>
      </c>
      <c r="L2335" s="10" t="n">
        <v>32000</v>
      </c>
      <c r="M2335" s="10" t="n">
        <v>8474.58</v>
      </c>
      <c r="N2335" s="11">
        <f>IF(M2335="","",ROUND(M2335*1.18,2))</f>
        <v/>
      </c>
      <c r="O2335" s="12">
        <f>IF(M2335="","",ROUND(N2335-M2335,2))</f>
        <v/>
      </c>
      <c r="P2335" s="13">
        <f>IF(AND(A2335&lt;&gt;"",B2335&lt;&gt;""), A2335&amp;" · "&amp;B2335, "")</f>
        <v/>
      </c>
    </row>
    <row r="2336">
      <c r="A2336" s="6" t="inlineStr">
        <is>
          <t>FY27</t>
        </is>
      </c>
      <c r="B2336" s="6" t="inlineStr">
        <is>
          <t>Jun</t>
        </is>
      </c>
      <c r="C2336" s="6" t="inlineStr">
        <is>
          <t>Kerala</t>
        </is>
      </c>
      <c r="D2336" s="7" t="inlineStr">
        <is>
          <t>KL23B8269</t>
        </is>
      </c>
      <c r="E2336" s="7" t="inlineStr">
        <is>
          <t>MARUTI SUZUKI</t>
        </is>
      </c>
      <c r="F2336" s="7" t="inlineStr">
        <is>
          <t>Alto</t>
        </is>
      </c>
      <c r="G2336" s="7" t="inlineStr">
        <is>
          <t>EVM</t>
        </is>
      </c>
      <c r="H2336" s="7" t="inlineStr">
        <is>
          <t>Non-Captive</t>
        </is>
      </c>
      <c r="I2336" s="7" t="inlineStr">
        <is>
          <t>SANOOB V A</t>
        </is>
      </c>
      <c r="J2336" s="8" t="n">
        <v>2010</v>
      </c>
      <c r="K2336" s="9" t="n">
        <v>76867</v>
      </c>
      <c r="L2336" s="10" t="n">
        <v>90000</v>
      </c>
      <c r="M2336" s="10" t="n">
        <v>12711.86</v>
      </c>
      <c r="N2336" s="11">
        <f>IF(M2336="","",ROUND(M2336*1.18,2))</f>
        <v/>
      </c>
      <c r="O2336" s="12">
        <f>IF(M2336="","",ROUND(N2336-M2336,2))</f>
        <v/>
      </c>
      <c r="P2336" s="13">
        <f>IF(AND(A2336&lt;&gt;"",B2336&lt;&gt;""), A2336&amp;" · "&amp;B2336, "")</f>
        <v/>
      </c>
    </row>
    <row r="2337">
      <c r="A2337" s="6" t="inlineStr">
        <is>
          <t>FY27</t>
        </is>
      </c>
      <c r="B2337" s="6" t="inlineStr">
        <is>
          <t>Jun</t>
        </is>
      </c>
      <c r="C2337" s="6" t="inlineStr">
        <is>
          <t>Kerala</t>
        </is>
      </c>
      <c r="D2337" s="7" t="inlineStr">
        <is>
          <t>KL23P6390</t>
        </is>
      </c>
      <c r="E2337" s="7" t="inlineStr">
        <is>
          <t>TATA</t>
        </is>
      </c>
      <c r="F2337" s="7" t="inlineStr">
        <is>
          <t>Tigor</t>
        </is>
      </c>
      <c r="G2337" s="7" t="inlineStr">
        <is>
          <t>POPULAR MARUTI</t>
        </is>
      </c>
      <c r="H2337" s="7" t="inlineStr">
        <is>
          <t>Non-Captive</t>
        </is>
      </c>
      <c r="I2337" s="7" t="inlineStr">
        <is>
          <t>FAHAD (Auto Bot Kannur</t>
        </is>
      </c>
      <c r="J2337" s="8" t="n">
        <v>2017</v>
      </c>
      <c r="K2337" s="9" t="n">
        <v>98755</v>
      </c>
      <c r="L2337" s="10" t="n">
        <v>275000</v>
      </c>
      <c r="M2337" s="10" t="n">
        <v>21186.44</v>
      </c>
      <c r="N2337" s="11">
        <f>IF(M2337="","",ROUND(M2337*1.18,2))</f>
        <v/>
      </c>
      <c r="O2337" s="12">
        <f>IF(M2337="","",ROUND(N2337-M2337,2))</f>
        <v/>
      </c>
      <c r="P2337" s="13">
        <f>IF(AND(A2337&lt;&gt;"",B2337&lt;&gt;""), A2337&amp;" · "&amp;B2337, "")</f>
        <v/>
      </c>
    </row>
    <row r="2338">
      <c r="A2338" s="6" t="inlineStr">
        <is>
          <t>FY27</t>
        </is>
      </c>
      <c r="B2338" s="6" t="inlineStr">
        <is>
          <t>Jun</t>
        </is>
      </c>
      <c r="C2338" s="6" t="inlineStr">
        <is>
          <t>Kerala</t>
        </is>
      </c>
      <c r="D2338" s="7" t="inlineStr">
        <is>
          <t>KL23S6607</t>
        </is>
      </c>
      <c r="E2338" s="7" t="inlineStr">
        <is>
          <t>HYUNDAI</t>
        </is>
      </c>
      <c r="F2338" s="7" t="inlineStr">
        <is>
          <t>i20</t>
        </is>
      </c>
      <c r="G2338" s="7" t="inlineStr">
        <is>
          <t>INCHEON KIA</t>
        </is>
      </c>
      <c r="H2338" s="7" t="inlineStr">
        <is>
          <t>Non-Captive</t>
        </is>
      </c>
      <c r="I2338" s="7" t="inlineStr">
        <is>
          <t>HAREESH</t>
        </is>
      </c>
      <c r="J2338" s="8" t="n">
        <v>2020</v>
      </c>
      <c r="K2338" s="9" t="n">
        <v>21334</v>
      </c>
      <c r="L2338" s="10" t="n">
        <v>495000</v>
      </c>
      <c r="M2338" s="10" t="n">
        <v>8474.58</v>
      </c>
      <c r="N2338" s="11">
        <f>IF(M2338="","",ROUND(M2338*1.18,2))</f>
        <v/>
      </c>
      <c r="O2338" s="12">
        <f>IF(M2338="","",ROUND(N2338-M2338,2))</f>
        <v/>
      </c>
      <c r="P2338" s="13">
        <f>IF(AND(A2338&lt;&gt;"",B2338&lt;&gt;""), A2338&amp;" · "&amp;B2338, "")</f>
        <v/>
      </c>
    </row>
    <row r="2339">
      <c r="A2339" s="6" t="inlineStr">
        <is>
          <t>FY27</t>
        </is>
      </c>
      <c r="B2339" s="6" t="inlineStr">
        <is>
          <t>Jun</t>
        </is>
      </c>
      <c r="C2339" s="6" t="inlineStr">
        <is>
          <t>Kerala</t>
        </is>
      </c>
      <c r="D2339" s="7" t="inlineStr">
        <is>
          <t>KL245155</t>
        </is>
      </c>
      <c r="E2339" s="7" t="inlineStr">
        <is>
          <t>MARUTI SUZUKI</t>
        </is>
      </c>
      <c r="F2339" s="7" t="inlineStr">
        <is>
          <t>Alto</t>
        </is>
      </c>
      <c r="G2339" s="7" t="inlineStr">
        <is>
          <t>POPULAR MARUTI</t>
        </is>
      </c>
      <c r="H2339" s="7" t="inlineStr">
        <is>
          <t>Non-Captive</t>
        </is>
      </c>
      <c r="I2339" s="7" t="inlineStr">
        <is>
          <t>SANTHOSH</t>
        </is>
      </c>
      <c r="J2339" s="8" t="n">
        <v>2007</v>
      </c>
      <c r="K2339" s="9" t="n">
        <v>45764</v>
      </c>
      <c r="L2339" s="10" t="n">
        <v>55000</v>
      </c>
      <c r="M2339" s="10" t="n">
        <v>8474.58</v>
      </c>
      <c r="N2339" s="11">
        <f>IF(M2339="","",ROUND(M2339*1.18,2))</f>
        <v/>
      </c>
      <c r="O2339" s="12">
        <f>IF(M2339="","",ROUND(N2339-M2339,2))</f>
        <v/>
      </c>
      <c r="P2339" s="13">
        <f>IF(AND(A2339&lt;&gt;"",B2339&lt;&gt;""), A2339&amp;" · "&amp;B2339, "")</f>
        <v/>
      </c>
    </row>
    <row r="2340">
      <c r="A2340" s="6" t="inlineStr">
        <is>
          <t>FY27</t>
        </is>
      </c>
      <c r="B2340" s="6" t="inlineStr">
        <is>
          <t>Jun</t>
        </is>
      </c>
      <c r="C2340" s="6" t="inlineStr">
        <is>
          <t>Kerala</t>
        </is>
      </c>
      <c r="D2340" s="7" t="inlineStr">
        <is>
          <t>KL24B2560</t>
        </is>
      </c>
      <c r="E2340" s="7" t="inlineStr">
        <is>
          <t>MARUTI SUZUKI</t>
        </is>
      </c>
      <c r="F2340" s="7" t="inlineStr">
        <is>
          <t>Wagon R</t>
        </is>
      </c>
      <c r="G2340" s="7" t="inlineStr">
        <is>
          <t>POPULAR MARUTI</t>
        </is>
      </c>
      <c r="H2340" s="7" t="inlineStr">
        <is>
          <t>Non-Captive</t>
        </is>
      </c>
      <c r="I2340" s="7" t="inlineStr">
        <is>
          <t>MAXX MOTORS</t>
        </is>
      </c>
      <c r="J2340" s="8" t="n">
        <v>2009</v>
      </c>
      <c r="K2340" s="9" t="n">
        <v>106554</v>
      </c>
      <c r="L2340" s="10" t="n">
        <v>105000</v>
      </c>
      <c r="M2340" s="10" t="n">
        <v>8474.58</v>
      </c>
      <c r="N2340" s="11">
        <f>IF(M2340="","",ROUND(M2340*1.18,2))</f>
        <v/>
      </c>
      <c r="O2340" s="12">
        <f>IF(M2340="","",ROUND(N2340-M2340,2))</f>
        <v/>
      </c>
      <c r="P2340" s="13">
        <f>IF(AND(A2340&lt;&gt;"",B2340&lt;&gt;""), A2340&amp;" · "&amp;B2340, "")</f>
        <v/>
      </c>
    </row>
    <row r="2341">
      <c r="A2341" s="6" t="inlineStr">
        <is>
          <t>FY27</t>
        </is>
      </c>
      <c r="B2341" s="6" t="inlineStr">
        <is>
          <t>Jun</t>
        </is>
      </c>
      <c r="C2341" s="6" t="inlineStr">
        <is>
          <t>Kerala</t>
        </is>
      </c>
      <c r="D2341" s="7" t="inlineStr">
        <is>
          <t>KL24J1157</t>
        </is>
      </c>
      <c r="E2341" s="7" t="inlineStr">
        <is>
          <t>MARUTI SUZUKI</t>
        </is>
      </c>
      <c r="F2341" s="7" t="inlineStr">
        <is>
          <t>Ertiga</t>
        </is>
      </c>
      <c r="G2341" s="7" t="inlineStr">
        <is>
          <t>AKHILNATH</t>
        </is>
      </c>
      <c r="H2341" s="7" t="inlineStr">
        <is>
          <t>Non-Captive</t>
        </is>
      </c>
      <c r="I2341" s="7" t="inlineStr">
        <is>
          <t>RATHEESH V</t>
        </is>
      </c>
      <c r="J2341" s="8" t="n">
        <v>2014</v>
      </c>
      <c r="K2341" s="9" t="n">
        <v>93000</v>
      </c>
      <c r="L2341" s="10" t="n">
        <v>300000</v>
      </c>
      <c r="M2341" s="10" t="n">
        <v>5932.2</v>
      </c>
      <c r="N2341" s="11">
        <f>IF(M2341="","",ROUND(M2341*1.18,2))</f>
        <v/>
      </c>
      <c r="O2341" s="12">
        <f>IF(M2341="","",ROUND(N2341-M2341,2))</f>
        <v/>
      </c>
      <c r="P2341" s="13">
        <f>IF(AND(A2341&lt;&gt;"",B2341&lt;&gt;""), A2341&amp;" · "&amp;B2341, "")</f>
        <v/>
      </c>
    </row>
    <row r="2342">
      <c r="A2342" s="6" t="inlineStr">
        <is>
          <t>FY27</t>
        </is>
      </c>
      <c r="B2342" s="6" t="inlineStr">
        <is>
          <t>Jun</t>
        </is>
      </c>
      <c r="C2342" s="6" t="inlineStr">
        <is>
          <t>Kerala</t>
        </is>
      </c>
      <c r="D2342" s="7" t="inlineStr">
        <is>
          <t>KL24J3001</t>
        </is>
      </c>
      <c r="E2342" s="7" t="inlineStr">
        <is>
          <t>HONDA</t>
        </is>
      </c>
      <c r="F2342" s="7" t="inlineStr">
        <is>
          <t>City</t>
        </is>
      </c>
      <c r="G2342" s="7" t="inlineStr">
        <is>
          <t>CBC MAHINDRA</t>
        </is>
      </c>
      <c r="H2342" s="7" t="inlineStr">
        <is>
          <t>Non-Captive</t>
        </is>
      </c>
      <c r="I2342" s="7" t="inlineStr">
        <is>
          <t>Dileep S</t>
        </is>
      </c>
      <c r="J2342" s="8" t="n">
        <v>2014</v>
      </c>
      <c r="K2342" s="9" t="n">
        <v>181000</v>
      </c>
      <c r="L2342" s="10" t="n">
        <v>281000</v>
      </c>
      <c r="M2342" s="10" t="n">
        <v>5084.75</v>
      </c>
      <c r="N2342" s="11">
        <f>IF(M2342="","",ROUND(M2342*1.18,2))</f>
        <v/>
      </c>
      <c r="O2342" s="12">
        <f>IF(M2342="","",ROUND(N2342-M2342,2))</f>
        <v/>
      </c>
      <c r="P2342" s="13">
        <f>IF(AND(A2342&lt;&gt;"",B2342&lt;&gt;""), A2342&amp;" · "&amp;B2342, "")</f>
        <v/>
      </c>
    </row>
    <row r="2343">
      <c r="A2343" s="6" t="inlineStr">
        <is>
          <t>FY27</t>
        </is>
      </c>
      <c r="B2343" s="6" t="inlineStr">
        <is>
          <t>Jun</t>
        </is>
      </c>
      <c r="C2343" s="6" t="inlineStr">
        <is>
          <t>Kerala</t>
        </is>
      </c>
      <c r="D2343" s="7" t="inlineStr">
        <is>
          <t>KL24K3388</t>
        </is>
      </c>
      <c r="E2343" s="7" t="inlineStr">
        <is>
          <t>MARUTI SUZUKI</t>
        </is>
      </c>
      <c r="F2343" s="7" t="inlineStr">
        <is>
          <t>Alto</t>
        </is>
      </c>
      <c r="G2343" s="7" t="inlineStr">
        <is>
          <t>INCHEON KIA</t>
        </is>
      </c>
      <c r="H2343" s="7" t="inlineStr">
        <is>
          <t>Non-Captive</t>
        </is>
      </c>
      <c r="I2343" s="7" t="inlineStr">
        <is>
          <t>ANANDHU</t>
        </is>
      </c>
      <c r="J2343" s="8" t="n">
        <v>2015</v>
      </c>
      <c r="K2343" s="9" t="n">
        <v>50000</v>
      </c>
      <c r="L2343" s="10" t="n">
        <v>200000</v>
      </c>
      <c r="M2343" s="10" t="n">
        <v>4237.29</v>
      </c>
      <c r="N2343" s="11">
        <f>IF(M2343="","",ROUND(M2343*1.18,2))</f>
        <v/>
      </c>
      <c r="O2343" s="12">
        <f>IF(M2343="","",ROUND(N2343-M2343,2))</f>
        <v/>
      </c>
      <c r="P2343" s="13">
        <f>IF(AND(A2343&lt;&gt;"",B2343&lt;&gt;""), A2343&amp;" · "&amp;B2343, "")</f>
        <v/>
      </c>
    </row>
    <row r="2344">
      <c r="A2344" s="6" t="inlineStr">
        <is>
          <t>FY27</t>
        </is>
      </c>
      <c r="B2344" s="6" t="inlineStr">
        <is>
          <t>Jun</t>
        </is>
      </c>
      <c r="C2344" s="6" t="inlineStr">
        <is>
          <t>Kerala</t>
        </is>
      </c>
      <c r="D2344" s="7" t="inlineStr">
        <is>
          <t>KL24T3539</t>
        </is>
      </c>
      <c r="E2344" s="7" t="inlineStr">
        <is>
          <t>RENAULT</t>
        </is>
      </c>
      <c r="F2344" s="7" t="inlineStr">
        <is>
          <t>Kwid</t>
        </is>
      </c>
      <c r="G2344" s="7" t="inlineStr">
        <is>
          <t>KESHVIN HYUNDAI</t>
        </is>
      </c>
      <c r="H2344" s="7" t="inlineStr">
        <is>
          <t>Non-Captive</t>
        </is>
      </c>
      <c r="I2344" s="7" t="inlineStr">
        <is>
          <t>Aitos Cars</t>
        </is>
      </c>
      <c r="J2344" s="8" t="n">
        <v>2019</v>
      </c>
      <c r="K2344" s="9" t="n">
        <v>64500</v>
      </c>
      <c r="L2344" s="10" t="n">
        <v>269000</v>
      </c>
      <c r="M2344" s="10" t="n">
        <v>8474.58</v>
      </c>
      <c r="N2344" s="11">
        <f>IF(M2344="","",ROUND(M2344*1.18,2))</f>
        <v/>
      </c>
      <c r="O2344" s="12">
        <f>IF(M2344="","",ROUND(N2344-M2344,2))</f>
        <v/>
      </c>
      <c r="P2344" s="13">
        <f>IF(AND(A2344&lt;&gt;"",B2344&lt;&gt;""), A2344&amp;" · "&amp;B2344, "")</f>
        <v/>
      </c>
    </row>
    <row r="2345">
      <c r="A2345" s="6" t="inlineStr">
        <is>
          <t>FY27</t>
        </is>
      </c>
      <c r="B2345" s="6" t="inlineStr">
        <is>
          <t>Jun</t>
        </is>
      </c>
      <c r="C2345" s="6" t="inlineStr">
        <is>
          <t>Kerala</t>
        </is>
      </c>
      <c r="D2345" s="7" t="inlineStr">
        <is>
          <t>KL25D5211</t>
        </is>
      </c>
      <c r="E2345" s="7" t="inlineStr">
        <is>
          <t>TATA</t>
        </is>
      </c>
      <c r="F2345" s="7" t="inlineStr">
        <is>
          <t>Nano</t>
        </is>
      </c>
      <c r="G2345" s="7" t="inlineStr">
        <is>
          <t>POPULAR MAHINDRA</t>
        </is>
      </c>
      <c r="H2345" s="7" t="inlineStr">
        <is>
          <t>Non-Captive</t>
        </is>
      </c>
      <c r="I2345" s="7" t="inlineStr">
        <is>
          <t>ANOOP</t>
        </is>
      </c>
      <c r="J2345" s="8" t="n">
        <v>2012</v>
      </c>
      <c r="K2345" s="9" t="n">
        <v>110000</v>
      </c>
      <c r="L2345" s="10" t="n">
        <v>20000</v>
      </c>
      <c r="M2345" s="10" t="n">
        <v>4237.29</v>
      </c>
      <c r="N2345" s="11">
        <f>IF(M2345="","",ROUND(M2345*1.18,2))</f>
        <v/>
      </c>
      <c r="O2345" s="12">
        <f>IF(M2345="","",ROUND(N2345-M2345,2))</f>
        <v/>
      </c>
      <c r="P2345" s="13">
        <f>IF(AND(A2345&lt;&gt;"",B2345&lt;&gt;""), A2345&amp;" · "&amp;B2345, "")</f>
        <v/>
      </c>
    </row>
    <row r="2346">
      <c r="A2346" s="6" t="inlineStr">
        <is>
          <t>FY27</t>
        </is>
      </c>
      <c r="B2346" s="6" t="inlineStr">
        <is>
          <t>Jun</t>
        </is>
      </c>
      <c r="C2346" s="6" t="inlineStr">
        <is>
          <t>Kerala</t>
        </is>
      </c>
      <c r="D2346" s="7" t="inlineStr">
        <is>
          <t>KL25L7266</t>
        </is>
      </c>
      <c r="E2346" s="7" t="inlineStr">
        <is>
          <t>MARUTI SUZUKI</t>
        </is>
      </c>
      <c r="F2346" s="7" t="inlineStr">
        <is>
          <t>Ertiga</t>
        </is>
      </c>
      <c r="G2346" s="7" t="inlineStr">
        <is>
          <t>POPULAR MARUTI</t>
        </is>
      </c>
      <c r="H2346" s="7" t="inlineStr">
        <is>
          <t>Non-Captive</t>
        </is>
      </c>
      <c r="I2346" s="7" t="inlineStr">
        <is>
          <t>RAMSHAD</t>
        </is>
      </c>
      <c r="J2346" s="8" t="n">
        <v>2018</v>
      </c>
      <c r="K2346" s="9" t="n">
        <v>102000</v>
      </c>
      <c r="L2346" s="10" t="n">
        <v>640000</v>
      </c>
      <c r="M2346" s="10" t="n">
        <v>8474.58</v>
      </c>
      <c r="N2346" s="11">
        <f>IF(M2346="","",ROUND(M2346*1.18,2))</f>
        <v/>
      </c>
      <c r="O2346" s="12">
        <f>IF(M2346="","",ROUND(N2346-M2346,2))</f>
        <v/>
      </c>
      <c r="P2346" s="13">
        <f>IF(AND(A2346&lt;&gt;"",B2346&lt;&gt;""), A2346&amp;" · "&amp;B2346, "")</f>
        <v/>
      </c>
    </row>
    <row r="2347">
      <c r="A2347" s="6" t="inlineStr">
        <is>
          <t>FY27</t>
        </is>
      </c>
      <c r="B2347" s="6" t="inlineStr">
        <is>
          <t>Jun</t>
        </is>
      </c>
      <c r="C2347" s="6" t="inlineStr">
        <is>
          <t>Kerala</t>
        </is>
      </c>
      <c r="D2347" s="7" t="inlineStr">
        <is>
          <t>KL25M3083</t>
        </is>
      </c>
      <c r="E2347" s="7" t="inlineStr">
        <is>
          <t>MAHINDRA</t>
        </is>
      </c>
      <c r="F2347" s="7" t="inlineStr">
        <is>
          <t>KUV100</t>
        </is>
      </c>
      <c r="G2347" s="7" t="inlineStr">
        <is>
          <t>POPULAR MAHINDRA</t>
        </is>
      </c>
      <c r="H2347" s="7" t="inlineStr">
        <is>
          <t>Non-Captive</t>
        </is>
      </c>
      <c r="I2347" s="7" t="inlineStr">
        <is>
          <t>AKHILNATH</t>
        </is>
      </c>
      <c r="J2347" s="8" t="n">
        <v>2018</v>
      </c>
      <c r="K2347" s="9" t="n">
        <v>39065</v>
      </c>
      <c r="L2347" s="10" t="n">
        <v>225000</v>
      </c>
      <c r="M2347" s="10" t="n">
        <v>4237.29</v>
      </c>
      <c r="N2347" s="11">
        <f>IF(M2347="","",ROUND(M2347*1.18,2))</f>
        <v/>
      </c>
      <c r="O2347" s="12">
        <f>IF(M2347="","",ROUND(N2347-M2347,2))</f>
        <v/>
      </c>
      <c r="P2347" s="13">
        <f>IF(AND(A2347&lt;&gt;"",B2347&lt;&gt;""), A2347&amp;" · "&amp;B2347, "")</f>
        <v/>
      </c>
    </row>
    <row r="2348">
      <c r="A2348" s="6" t="inlineStr">
        <is>
          <t>FY27</t>
        </is>
      </c>
      <c r="B2348" s="6" t="inlineStr">
        <is>
          <t>Jun</t>
        </is>
      </c>
      <c r="C2348" s="6" t="inlineStr">
        <is>
          <t>Kerala</t>
        </is>
      </c>
      <c r="D2348" s="7" t="inlineStr">
        <is>
          <t>KL26H8821</t>
        </is>
      </c>
      <c r="E2348" s="7" t="inlineStr">
        <is>
          <t>RENAULT</t>
        </is>
      </c>
      <c r="F2348" s="7" t="inlineStr">
        <is>
          <t>Kwid</t>
        </is>
      </c>
      <c r="G2348" s="7" t="inlineStr">
        <is>
          <t>INCHEON KIA</t>
        </is>
      </c>
      <c r="H2348" s="7" t="inlineStr">
        <is>
          <t>Non-Captive</t>
        </is>
      </c>
      <c r="I2348" s="7" t="inlineStr">
        <is>
          <t>RENJITH</t>
        </is>
      </c>
      <c r="J2348" s="8" t="n">
        <v>2016</v>
      </c>
      <c r="K2348" s="9" t="n">
        <v>90000</v>
      </c>
      <c r="L2348" s="10" t="n">
        <v>120000</v>
      </c>
      <c r="M2348" s="10" t="n">
        <v>5084.75</v>
      </c>
      <c r="N2348" s="11">
        <f>IF(M2348="","",ROUND(M2348*1.18,2))</f>
        <v/>
      </c>
      <c r="O2348" s="12">
        <f>IF(M2348="","",ROUND(N2348-M2348,2))</f>
        <v/>
      </c>
      <c r="P2348" s="13">
        <f>IF(AND(A2348&lt;&gt;"",B2348&lt;&gt;""), A2348&amp;" · "&amp;B2348, "")</f>
        <v/>
      </c>
    </row>
    <row r="2349">
      <c r="A2349" s="6" t="inlineStr">
        <is>
          <t>FY27</t>
        </is>
      </c>
      <c r="B2349" s="6" t="inlineStr">
        <is>
          <t>Jun</t>
        </is>
      </c>
      <c r="C2349" s="6" t="inlineStr">
        <is>
          <t>Kerala</t>
        </is>
      </c>
      <c r="D2349" s="7" t="inlineStr">
        <is>
          <t>KL27M7417</t>
        </is>
      </c>
      <c r="E2349" s="7" t="inlineStr">
        <is>
          <t>NISSAN</t>
        </is>
      </c>
      <c r="F2349" s="7" t="inlineStr">
        <is>
          <t>Magnite</t>
        </is>
      </c>
      <c r="G2349" s="7" t="inlineStr">
        <is>
          <t>AUTOMOTIVE</t>
        </is>
      </c>
      <c r="H2349" s="7" t="inlineStr">
        <is>
          <t>Non-Captive</t>
        </is>
      </c>
      <c r="I2349" s="7" t="inlineStr">
        <is>
          <t>HAVEN MOTORS</t>
        </is>
      </c>
      <c r="J2349" s="8" t="n">
        <v>2024</v>
      </c>
      <c r="K2349" s="9" t="n">
        <v>13500</v>
      </c>
      <c r="L2349" s="10" t="n">
        <v>625000</v>
      </c>
      <c r="M2349" s="10" t="n">
        <v>8474.58</v>
      </c>
      <c r="N2349" s="11">
        <f>IF(M2349="","",ROUND(M2349*1.18,2))</f>
        <v/>
      </c>
      <c r="O2349" s="12">
        <f>IF(M2349="","",ROUND(N2349-M2349,2))</f>
        <v/>
      </c>
      <c r="P2349" s="13">
        <f>IF(AND(A2349&lt;&gt;"",B2349&lt;&gt;""), A2349&amp;" · "&amp;B2349, "")</f>
        <v/>
      </c>
    </row>
    <row r="2350">
      <c r="A2350" s="6" t="inlineStr">
        <is>
          <t>FY27</t>
        </is>
      </c>
      <c r="B2350" s="6" t="inlineStr">
        <is>
          <t>Jun</t>
        </is>
      </c>
      <c r="C2350" s="6" t="inlineStr">
        <is>
          <t>Kerala</t>
        </is>
      </c>
      <c r="D2350" s="7" t="inlineStr">
        <is>
          <t>KL28D7329</t>
        </is>
      </c>
      <c r="E2350" s="7" t="inlineStr">
        <is>
          <t>MARUTI SUZUKI</t>
        </is>
      </c>
      <c r="F2350" s="7" t="inlineStr">
        <is>
          <t>Wagon R</t>
        </is>
      </c>
      <c r="G2350" s="7" t="inlineStr">
        <is>
          <t>GOKULAM TATA</t>
        </is>
      </c>
      <c r="H2350" s="7" t="inlineStr">
        <is>
          <t>Non-Captive</t>
        </is>
      </c>
      <c r="I2350" s="7" t="inlineStr">
        <is>
          <t>SHAMSUDEEN C E</t>
        </is>
      </c>
      <c r="J2350" s="8" t="n">
        <v>2019</v>
      </c>
      <c r="K2350" s="9" t="n">
        <v>57954</v>
      </c>
      <c r="L2350" s="10" t="n">
        <v>430000</v>
      </c>
      <c r="M2350" s="10" t="n">
        <v>8474.58</v>
      </c>
      <c r="N2350" s="11">
        <f>IF(M2350="","",ROUND(M2350*1.18,2))</f>
        <v/>
      </c>
      <c r="O2350" s="12">
        <f>IF(M2350="","",ROUND(N2350-M2350,2))</f>
        <v/>
      </c>
      <c r="P2350" s="13">
        <f>IF(AND(A2350&lt;&gt;"",B2350&lt;&gt;""), A2350&amp;" · "&amp;B2350, "")</f>
        <v/>
      </c>
    </row>
    <row r="2351">
      <c r="A2351" s="6" t="inlineStr">
        <is>
          <t>FY27</t>
        </is>
      </c>
      <c r="B2351" s="6" t="inlineStr">
        <is>
          <t>Jun</t>
        </is>
      </c>
      <c r="C2351" s="6" t="inlineStr">
        <is>
          <t>Kerala</t>
        </is>
      </c>
      <c r="D2351" s="7" t="inlineStr">
        <is>
          <t>KL30E5044</t>
        </is>
      </c>
      <c r="E2351" s="7" t="inlineStr">
        <is>
          <t>TATA</t>
        </is>
      </c>
      <c r="F2351" s="7" t="inlineStr">
        <is>
          <t>Nano</t>
        </is>
      </c>
      <c r="G2351" s="7" t="inlineStr">
        <is>
          <t>POPULAR MARUTI</t>
        </is>
      </c>
      <c r="H2351" s="7" t="inlineStr">
        <is>
          <t>Non-Captive</t>
        </is>
      </c>
      <c r="I2351" s="7" t="inlineStr">
        <is>
          <t>DREAM DRIVE</t>
        </is>
      </c>
      <c r="J2351" s="8" t="n">
        <v>2016</v>
      </c>
      <c r="K2351" s="9" t="n">
        <v>92737</v>
      </c>
      <c r="L2351" s="10" t="n">
        <v>110000</v>
      </c>
      <c r="M2351" s="10" t="n">
        <v>12711.86</v>
      </c>
      <c r="N2351" s="11">
        <f>IF(M2351="","",ROUND(M2351*1.18,2))</f>
        <v/>
      </c>
      <c r="O2351" s="12">
        <f>IF(M2351="","",ROUND(N2351-M2351,2))</f>
        <v/>
      </c>
      <c r="P2351" s="13">
        <f>IF(AND(A2351&lt;&gt;"",B2351&lt;&gt;""), A2351&amp;" · "&amp;B2351, "")</f>
        <v/>
      </c>
    </row>
    <row r="2352">
      <c r="A2352" s="6" t="inlineStr">
        <is>
          <t>FY27</t>
        </is>
      </c>
      <c r="B2352" s="6" t="inlineStr">
        <is>
          <t>Jun</t>
        </is>
      </c>
      <c r="C2352" s="6" t="inlineStr">
        <is>
          <t>Kerala</t>
        </is>
      </c>
      <c r="D2352" s="7" t="inlineStr">
        <is>
          <t>KL31C6667</t>
        </is>
      </c>
      <c r="E2352" s="7" t="inlineStr">
        <is>
          <t>MARUTI SUZUKI</t>
        </is>
      </c>
      <c r="F2352" s="7" t="inlineStr">
        <is>
          <t>Fronx</t>
        </is>
      </c>
      <c r="G2352" s="7" t="inlineStr">
        <is>
          <t>MG FORTUNE</t>
        </is>
      </c>
      <c r="H2352" s="7" t="inlineStr">
        <is>
          <t>Non-Captive</t>
        </is>
      </c>
      <c r="I2352" s="7" t="inlineStr">
        <is>
          <t>INDUS MARUTI</t>
        </is>
      </c>
      <c r="J2352" s="8" t="n">
        <v>2011</v>
      </c>
      <c r="K2352" s="9" t="n">
        <v>12966</v>
      </c>
      <c r="L2352" s="10" t="n">
        <v>473145</v>
      </c>
      <c r="M2352" s="10" t="n">
        <v>9529.66</v>
      </c>
      <c r="N2352" s="11">
        <f>IF(M2352="","",ROUND(M2352*1.18,2))</f>
        <v/>
      </c>
      <c r="O2352" s="12">
        <f>IF(M2352="","",ROUND(N2352-M2352,2))</f>
        <v/>
      </c>
      <c r="P2352" s="13">
        <f>IF(AND(A2352&lt;&gt;"",B2352&lt;&gt;""), A2352&amp;" · "&amp;B2352, "")</f>
        <v/>
      </c>
    </row>
    <row r="2353">
      <c r="A2353" s="6" t="inlineStr">
        <is>
          <t>FY27</t>
        </is>
      </c>
      <c r="B2353" s="6" t="inlineStr">
        <is>
          <t>Jun</t>
        </is>
      </c>
      <c r="C2353" s="6" t="inlineStr">
        <is>
          <t>Kerala</t>
        </is>
      </c>
      <c r="D2353" s="7" t="inlineStr">
        <is>
          <t>KL31G2480</t>
        </is>
      </c>
      <c r="E2353" s="7" t="inlineStr">
        <is>
          <t>MARUTI SUZUKI</t>
        </is>
      </c>
      <c r="F2353" s="7" t="inlineStr">
        <is>
          <t>Dzire</t>
        </is>
      </c>
      <c r="G2353" s="7" t="inlineStr">
        <is>
          <t>AMRITH V CHANDY</t>
        </is>
      </c>
      <c r="H2353" s="7" t="inlineStr">
        <is>
          <t>Non-Captive</t>
        </is>
      </c>
      <c r="I2353" s="7" t="inlineStr">
        <is>
          <t>Anas Hameed</t>
        </is>
      </c>
      <c r="J2353" s="8" t="n">
        <v>2014</v>
      </c>
      <c r="K2353" s="9" t="n">
        <v>88978</v>
      </c>
      <c r="L2353" s="10" t="n">
        <v>340000</v>
      </c>
      <c r="M2353" s="10" t="n">
        <v>12711.86</v>
      </c>
      <c r="N2353" s="11">
        <f>IF(M2353="","",ROUND(M2353*1.18,2))</f>
        <v/>
      </c>
      <c r="O2353" s="12">
        <f>IF(M2353="","",ROUND(N2353-M2353,2))</f>
        <v/>
      </c>
      <c r="P2353" s="13">
        <f>IF(AND(A2353&lt;&gt;"",B2353&lt;&gt;""), A2353&amp;" · "&amp;B2353, "")</f>
        <v/>
      </c>
    </row>
    <row r="2354">
      <c r="A2354" s="6" t="inlineStr">
        <is>
          <t>FY27</t>
        </is>
      </c>
      <c r="B2354" s="6" t="inlineStr">
        <is>
          <t>Jun</t>
        </is>
      </c>
      <c r="C2354" s="6" t="inlineStr">
        <is>
          <t>Kerala</t>
        </is>
      </c>
      <c r="D2354" s="7" t="inlineStr">
        <is>
          <t>KL31J9894</t>
        </is>
      </c>
      <c r="E2354" s="7" t="inlineStr">
        <is>
          <t>MARUTI SUZUKI</t>
        </is>
      </c>
      <c r="F2354" s="7" t="inlineStr">
        <is>
          <t>Dzire</t>
        </is>
      </c>
      <c r="G2354" s="7" t="inlineStr">
        <is>
          <t>AMANA TOYOTA</t>
        </is>
      </c>
      <c r="H2354" s="7" t="inlineStr">
        <is>
          <t>Non-Captive</t>
        </is>
      </c>
      <c r="I2354" s="7" t="inlineStr">
        <is>
          <t>THANSEER CARS</t>
        </is>
      </c>
      <c r="J2354" s="8" t="n">
        <v>2016</v>
      </c>
      <c r="K2354" s="9" t="n">
        <v>59000</v>
      </c>
      <c r="L2354" s="10" t="n">
        <v>310000</v>
      </c>
      <c r="M2354" s="10" t="n">
        <v>8474.58</v>
      </c>
      <c r="N2354" s="11">
        <f>IF(M2354="","",ROUND(M2354*1.18,2))</f>
        <v/>
      </c>
      <c r="O2354" s="12">
        <f>IF(M2354="","",ROUND(N2354-M2354,2))</f>
        <v/>
      </c>
      <c r="P2354" s="13">
        <f>IF(AND(A2354&lt;&gt;"",B2354&lt;&gt;""), A2354&amp;" · "&amp;B2354, "")</f>
        <v/>
      </c>
    </row>
    <row r="2355">
      <c r="A2355" s="6" t="inlineStr">
        <is>
          <t>FY27</t>
        </is>
      </c>
      <c r="B2355" s="6" t="inlineStr">
        <is>
          <t>Jun</t>
        </is>
      </c>
      <c r="C2355" s="6" t="inlineStr">
        <is>
          <t>Kerala</t>
        </is>
      </c>
      <c r="D2355" s="7" t="inlineStr">
        <is>
          <t>KL32J3566</t>
        </is>
      </c>
      <c r="E2355" s="7" t="inlineStr">
        <is>
          <t>HYUNDAI</t>
        </is>
      </c>
      <c r="F2355" s="7" t="inlineStr">
        <is>
          <t>Verna</t>
        </is>
      </c>
      <c r="G2355" s="7" t="inlineStr">
        <is>
          <t>ANAS HAMEED</t>
        </is>
      </c>
      <c r="H2355" s="7" t="inlineStr">
        <is>
          <t>Non-Captive</t>
        </is>
      </c>
      <c r="I2355" s="7" t="inlineStr">
        <is>
          <t>HAVEN MOTORS</t>
        </is>
      </c>
      <c r="J2355" s="8" t="n">
        <v>2016</v>
      </c>
      <c r="K2355" s="9" t="n">
        <v>69878</v>
      </c>
      <c r="L2355" s="10" t="n">
        <v>360000</v>
      </c>
      <c r="M2355" s="10" t="n">
        <v>16949.15</v>
      </c>
      <c r="N2355" s="11">
        <f>IF(M2355="","",ROUND(M2355*1.18,2))</f>
        <v/>
      </c>
      <c r="O2355" s="12">
        <f>IF(M2355="","",ROUND(N2355-M2355,2))</f>
        <v/>
      </c>
      <c r="P2355" s="13">
        <f>IF(AND(A2355&lt;&gt;"",B2355&lt;&gt;""), A2355&amp;" · "&amp;B2355, "")</f>
        <v/>
      </c>
    </row>
    <row r="2356">
      <c r="A2356" s="6" t="inlineStr">
        <is>
          <t>FY27</t>
        </is>
      </c>
      <c r="B2356" s="6" t="inlineStr">
        <is>
          <t>Jun</t>
        </is>
      </c>
      <c r="C2356" s="6" t="inlineStr">
        <is>
          <t>Kerala</t>
        </is>
      </c>
      <c r="D2356" s="7" t="inlineStr">
        <is>
          <t>KL32J9515</t>
        </is>
      </c>
      <c r="E2356" s="7" t="inlineStr">
        <is>
          <t>HYUNDAI</t>
        </is>
      </c>
      <c r="F2356" s="7" t="inlineStr">
        <is>
          <t>Grand i10</t>
        </is>
      </c>
      <c r="G2356" s="7" t="inlineStr">
        <is>
          <t>CARS24</t>
        </is>
      </c>
      <c r="H2356" s="7" t="inlineStr">
        <is>
          <t>Non-Captive</t>
        </is>
      </c>
      <c r="I2356" s="7" t="inlineStr">
        <is>
          <t>ABDUL SALAM K K</t>
        </is>
      </c>
      <c r="J2356" s="8" t="n">
        <v>2016</v>
      </c>
      <c r="K2356" s="9" t="n">
        <v>49000</v>
      </c>
      <c r="L2356" s="10" t="n">
        <v>220000</v>
      </c>
      <c r="M2356" s="10" t="n">
        <v>8474.58</v>
      </c>
      <c r="N2356" s="11">
        <f>IF(M2356="","",ROUND(M2356*1.18,2))</f>
        <v/>
      </c>
      <c r="O2356" s="12">
        <f>IF(M2356="","",ROUND(N2356-M2356,2))</f>
        <v/>
      </c>
      <c r="P2356" s="13">
        <f>IF(AND(A2356&lt;&gt;"",B2356&lt;&gt;""), A2356&amp;" · "&amp;B2356, "")</f>
        <v/>
      </c>
    </row>
    <row r="2357">
      <c r="A2357" s="6" t="inlineStr">
        <is>
          <t>FY27</t>
        </is>
      </c>
      <c r="B2357" s="6" t="inlineStr">
        <is>
          <t>Jun</t>
        </is>
      </c>
      <c r="C2357" s="6" t="inlineStr">
        <is>
          <t>Kerala</t>
        </is>
      </c>
      <c r="D2357" s="7" t="inlineStr">
        <is>
          <t>KL32M1717</t>
        </is>
      </c>
      <c r="E2357" s="7" t="inlineStr">
        <is>
          <t>MARUTI SUZUKI</t>
        </is>
      </c>
      <c r="F2357" s="7" t="inlineStr">
        <is>
          <t>Swift</t>
        </is>
      </c>
      <c r="G2357" s="7" t="inlineStr">
        <is>
          <t>ERAM MOTORS</t>
        </is>
      </c>
      <c r="H2357" s="7" t="inlineStr">
        <is>
          <t>Non-Captive</t>
        </is>
      </c>
      <c r="I2357" s="7" t="inlineStr">
        <is>
          <t>HAVEN MOTORS</t>
        </is>
      </c>
      <c r="J2357" s="8" t="n">
        <v>2018</v>
      </c>
      <c r="K2357" s="9" t="n">
        <v>90000</v>
      </c>
      <c r="L2357" s="10" t="n">
        <v>502000</v>
      </c>
      <c r="M2357" s="10" t="n">
        <v>8474.58</v>
      </c>
      <c r="N2357" s="11">
        <f>IF(M2357="","",ROUND(M2357*1.18,2))</f>
        <v/>
      </c>
      <c r="O2357" s="12">
        <f>IF(M2357="","",ROUND(N2357-M2357,2))</f>
        <v/>
      </c>
      <c r="P2357" s="13">
        <f>IF(AND(A2357&lt;&gt;"",B2357&lt;&gt;""), A2357&amp;" · "&amp;B2357, "")</f>
        <v/>
      </c>
    </row>
    <row r="2358">
      <c r="A2358" s="6" t="inlineStr">
        <is>
          <t>FY27</t>
        </is>
      </c>
      <c r="B2358" s="6" t="inlineStr">
        <is>
          <t>Jun</t>
        </is>
      </c>
      <c r="C2358" s="6" t="inlineStr">
        <is>
          <t>Kerala</t>
        </is>
      </c>
      <c r="D2358" s="7" t="inlineStr">
        <is>
          <t>KL32Q2534</t>
        </is>
      </c>
      <c r="E2358" s="7" t="inlineStr">
        <is>
          <t>MARUTI SUZUKI</t>
        </is>
      </c>
      <c r="F2358" s="7" t="inlineStr">
        <is>
          <t>S-Presso</t>
        </is>
      </c>
      <c r="G2358" s="7" t="inlineStr">
        <is>
          <t>LUXON</t>
        </is>
      </c>
      <c r="H2358" s="7" t="inlineStr">
        <is>
          <t>Non-Captive</t>
        </is>
      </c>
      <c r="I2358" s="7" t="inlineStr">
        <is>
          <t>4 WHEEL DRIVE</t>
        </is>
      </c>
      <c r="J2358" s="8" t="n">
        <v>2019</v>
      </c>
      <c r="K2358" s="9" t="n">
        <v>52434</v>
      </c>
      <c r="L2358" s="10" t="n">
        <v>375000</v>
      </c>
      <c r="M2358" s="10" t="n">
        <v>12711.86</v>
      </c>
      <c r="N2358" s="11">
        <f>IF(M2358="","",ROUND(M2358*1.18,2))</f>
        <v/>
      </c>
      <c r="O2358" s="12">
        <f>IF(M2358="","",ROUND(N2358-M2358,2))</f>
        <v/>
      </c>
      <c r="P2358" s="13">
        <f>IF(AND(A2358&lt;&gt;"",B2358&lt;&gt;""), A2358&amp;" · "&amp;B2358, "")</f>
        <v/>
      </c>
    </row>
    <row r="2359">
      <c r="A2359" s="6" t="inlineStr">
        <is>
          <t>FY27</t>
        </is>
      </c>
      <c r="B2359" s="6" t="inlineStr">
        <is>
          <t>Jun</t>
        </is>
      </c>
      <c r="C2359" s="6" t="inlineStr">
        <is>
          <t>Kerala</t>
        </is>
      </c>
      <c r="D2359" s="7" t="inlineStr">
        <is>
          <t>KL33N0864</t>
        </is>
      </c>
      <c r="E2359" s="7" t="inlineStr">
        <is>
          <t>SML ISUZU</t>
        </is>
      </c>
      <c r="F2359" s="7" t="inlineStr">
        <is>
          <t>Samrat</t>
        </is>
      </c>
      <c r="G2359" s="7" t="inlineStr">
        <is>
          <t>REFERENCE</t>
        </is>
      </c>
      <c r="H2359" s="7" t="inlineStr">
        <is>
          <t>Non-Captive</t>
        </is>
      </c>
      <c r="I2359" s="7" t="inlineStr">
        <is>
          <t>Ali Happy Drive</t>
        </is>
      </c>
      <c r="J2359" s="8" t="n">
        <v>2021</v>
      </c>
      <c r="K2359" s="9" t="n">
        <v>120000</v>
      </c>
      <c r="L2359" s="10" t="n">
        <v>860000</v>
      </c>
      <c r="M2359" s="10" t="n">
        <v>8474.58</v>
      </c>
      <c r="N2359" s="11">
        <f>IF(M2359="","",ROUND(M2359*1.18,2))</f>
        <v/>
      </c>
      <c r="O2359" s="12">
        <f>IF(M2359="","",ROUND(N2359-M2359,2))</f>
        <v/>
      </c>
      <c r="P2359" s="13">
        <f>IF(AND(A2359&lt;&gt;"",B2359&lt;&gt;""), A2359&amp;" · "&amp;B2359, "")</f>
        <v/>
      </c>
    </row>
    <row r="2360">
      <c r="A2360" s="6" t="inlineStr">
        <is>
          <t>FY27</t>
        </is>
      </c>
      <c r="B2360" s="6" t="inlineStr">
        <is>
          <t>Jun</t>
        </is>
      </c>
      <c r="C2360" s="6" t="inlineStr">
        <is>
          <t>Kerala</t>
        </is>
      </c>
      <c r="D2360" s="7" t="inlineStr">
        <is>
          <t>KL33P9697</t>
        </is>
      </c>
      <c r="E2360" s="7" t="inlineStr">
        <is>
          <t>RENAULT</t>
        </is>
      </c>
      <c r="F2360" s="7" t="inlineStr">
        <is>
          <t>Triber</t>
        </is>
      </c>
      <c r="G2360" s="7" t="inlineStr">
        <is>
          <t>FAHAD</t>
        </is>
      </c>
      <c r="H2360" s="7" t="inlineStr">
        <is>
          <t>Non-Captive</t>
        </is>
      </c>
      <c r="I2360" s="7" t="inlineStr">
        <is>
          <t>Aitos Cars</t>
        </is>
      </c>
      <c r="J2360" s="8" t="n">
        <v>2023</v>
      </c>
      <c r="K2360" s="9" t="n">
        <v>13000</v>
      </c>
      <c r="L2360" s="10" t="n">
        <v>490000</v>
      </c>
      <c r="M2360" s="10" t="n">
        <v>12711.86</v>
      </c>
      <c r="N2360" s="11">
        <f>IF(M2360="","",ROUND(M2360*1.18,2))</f>
        <v/>
      </c>
      <c r="O2360" s="12">
        <f>IF(M2360="","",ROUND(N2360-M2360,2))</f>
        <v/>
      </c>
      <c r="P2360" s="13">
        <f>IF(AND(A2360&lt;&gt;"",B2360&lt;&gt;""), A2360&amp;" · "&amp;B2360, "")</f>
        <v/>
      </c>
    </row>
    <row r="2361">
      <c r="A2361" s="6" t="inlineStr">
        <is>
          <t>FY27</t>
        </is>
      </c>
      <c r="B2361" s="6" t="inlineStr">
        <is>
          <t>Jun</t>
        </is>
      </c>
      <c r="C2361" s="6" t="inlineStr">
        <is>
          <t>Kerala</t>
        </is>
      </c>
      <c r="D2361" s="7" t="inlineStr">
        <is>
          <t>KL35F3657</t>
        </is>
      </c>
      <c r="E2361" s="7" t="inlineStr">
        <is>
          <t>MARUTI SUZUKI</t>
        </is>
      </c>
      <c r="F2361" s="7" t="inlineStr">
        <is>
          <t>Celerio</t>
        </is>
      </c>
      <c r="G2361" s="7" t="inlineStr">
        <is>
          <t>PINNACLE NISSAN</t>
        </is>
      </c>
      <c r="H2361" s="7" t="inlineStr">
        <is>
          <t>Non-Captive</t>
        </is>
      </c>
      <c r="I2361" s="7" t="inlineStr">
        <is>
          <t>INDUS MOTORS</t>
        </is>
      </c>
      <c r="J2361" s="8" t="n">
        <v>2014</v>
      </c>
      <c r="K2361" s="9" t="n">
        <v>76883</v>
      </c>
      <c r="L2361" s="10" t="n">
        <v>200000</v>
      </c>
      <c r="M2361" s="10" t="n">
        <v>8474.58</v>
      </c>
      <c r="N2361" s="11">
        <f>IF(M2361="","",ROUND(M2361*1.18,2))</f>
        <v/>
      </c>
      <c r="O2361" s="12">
        <f>IF(M2361="","",ROUND(N2361-M2361,2))</f>
        <v/>
      </c>
      <c r="P2361" s="13">
        <f>IF(AND(A2361&lt;&gt;"",B2361&lt;&gt;""), A2361&amp;" · "&amp;B2361, "")</f>
        <v/>
      </c>
    </row>
    <row r="2362">
      <c r="A2362" s="6" t="inlineStr">
        <is>
          <t>FY27</t>
        </is>
      </c>
      <c r="B2362" s="6" t="inlineStr">
        <is>
          <t>Jun</t>
        </is>
      </c>
      <c r="C2362" s="6" t="inlineStr">
        <is>
          <t>Kerala</t>
        </is>
      </c>
      <c r="D2362" s="7" t="inlineStr">
        <is>
          <t>KL35G3962</t>
        </is>
      </c>
      <c r="E2362" s="7" t="inlineStr">
        <is>
          <t>HONDA</t>
        </is>
      </c>
      <c r="F2362" s="7" t="inlineStr">
        <is>
          <t>City</t>
        </is>
      </c>
      <c r="G2362" s="7" t="inlineStr">
        <is>
          <t>PHOENIX VOLKSWAGEN</t>
        </is>
      </c>
      <c r="H2362" s="7" t="inlineStr">
        <is>
          <t>Non-Captive</t>
        </is>
      </c>
      <c r="I2362" s="7" t="inlineStr">
        <is>
          <t>JAMSHEER</t>
        </is>
      </c>
      <c r="J2362" s="8" t="n">
        <v>2016</v>
      </c>
      <c r="K2362" s="9" t="n">
        <v>11900</v>
      </c>
      <c r="L2362" s="10" t="n">
        <v>450000</v>
      </c>
      <c r="M2362" s="10" t="n">
        <v>8474.58</v>
      </c>
      <c r="N2362" s="11">
        <f>IF(M2362="","",ROUND(M2362*1.18,2))</f>
        <v/>
      </c>
      <c r="O2362" s="12">
        <f>IF(M2362="","",ROUND(N2362-M2362,2))</f>
        <v/>
      </c>
      <c r="P2362" s="13">
        <f>IF(AND(A2362&lt;&gt;"",B2362&lt;&gt;""), A2362&amp;" · "&amp;B2362, "")</f>
        <v/>
      </c>
    </row>
    <row r="2363">
      <c r="A2363" s="6" t="inlineStr">
        <is>
          <t>FY27</t>
        </is>
      </c>
      <c r="B2363" s="6" t="inlineStr">
        <is>
          <t>Jun</t>
        </is>
      </c>
      <c r="C2363" s="6" t="inlineStr">
        <is>
          <t>Kerala</t>
        </is>
      </c>
      <c r="D2363" s="7" t="inlineStr">
        <is>
          <t>KL35M8259</t>
        </is>
      </c>
      <c r="E2363" s="7" t="inlineStr">
        <is>
          <t>RENAULT</t>
        </is>
      </c>
      <c r="F2363" s="7" t="inlineStr">
        <is>
          <t>Kwid</t>
        </is>
      </c>
      <c r="G2363" s="7" t="inlineStr">
        <is>
          <t>SAI MARUTI</t>
        </is>
      </c>
      <c r="H2363" s="7" t="inlineStr">
        <is>
          <t>Non-Captive</t>
        </is>
      </c>
      <c r="I2363" s="7" t="inlineStr">
        <is>
          <t>Aitos Cars</t>
        </is>
      </c>
      <c r="J2363" s="8" t="n">
        <v>2024</v>
      </c>
      <c r="K2363" s="9" t="n">
        <v>17383</v>
      </c>
      <c r="L2363" s="10" t="n">
        <v>360000</v>
      </c>
      <c r="M2363" s="10" t="n">
        <v>8474.58</v>
      </c>
      <c r="N2363" s="11">
        <f>IF(M2363="","",ROUND(M2363*1.18,2))</f>
        <v/>
      </c>
      <c r="O2363" s="12">
        <f>IF(M2363="","",ROUND(N2363-M2363,2))</f>
        <v/>
      </c>
      <c r="P2363" s="13">
        <f>IF(AND(A2363&lt;&gt;"",B2363&lt;&gt;""), A2363&amp;" · "&amp;B2363, "")</f>
        <v/>
      </c>
    </row>
    <row r="2364">
      <c r="A2364" s="6" t="inlineStr">
        <is>
          <t>FY27</t>
        </is>
      </c>
      <c r="B2364" s="6" t="inlineStr">
        <is>
          <t>Jun</t>
        </is>
      </c>
      <c r="C2364" s="6" t="inlineStr">
        <is>
          <t>Kerala</t>
        </is>
      </c>
      <c r="D2364" s="7" t="inlineStr">
        <is>
          <t>KL37B2122</t>
        </is>
      </c>
      <c r="E2364" s="7" t="inlineStr">
        <is>
          <t>MARUTI SUZUKI</t>
        </is>
      </c>
      <c r="F2364" s="7" t="inlineStr">
        <is>
          <t>SX4</t>
        </is>
      </c>
      <c r="G2364" s="7" t="inlineStr">
        <is>
          <t>POPULAR MARUTI</t>
        </is>
      </c>
      <c r="H2364" s="7" t="inlineStr">
        <is>
          <t>Non-Captive</t>
        </is>
      </c>
      <c r="I2364" s="7" t="inlineStr">
        <is>
          <t>DREAM DRIVE</t>
        </is>
      </c>
      <c r="J2364" s="8" t="n">
        <v>2012</v>
      </c>
      <c r="K2364" s="9" t="n">
        <v>184373</v>
      </c>
      <c r="L2364" s="10" t="n">
        <v>102000</v>
      </c>
      <c r="M2364" s="10" t="n">
        <v>10169.49</v>
      </c>
      <c r="N2364" s="11">
        <f>IF(M2364="","",ROUND(M2364*1.18,2))</f>
        <v/>
      </c>
      <c r="O2364" s="12">
        <f>IF(M2364="","",ROUND(N2364-M2364,2))</f>
        <v/>
      </c>
      <c r="P2364" s="13">
        <f>IF(AND(A2364&lt;&gt;"",B2364&lt;&gt;""), A2364&amp;" · "&amp;B2364, "")</f>
        <v/>
      </c>
    </row>
    <row r="2365">
      <c r="A2365" s="6" t="inlineStr">
        <is>
          <t>FY27</t>
        </is>
      </c>
      <c r="B2365" s="6" t="inlineStr">
        <is>
          <t>Jun</t>
        </is>
      </c>
      <c r="C2365" s="6" t="inlineStr">
        <is>
          <t>Kerala</t>
        </is>
      </c>
      <c r="D2365" s="7" t="inlineStr">
        <is>
          <t>KL38L0347</t>
        </is>
      </c>
      <c r="E2365" s="7" t="inlineStr">
        <is>
          <t>TATA</t>
        </is>
      </c>
      <c r="F2365" s="7" t="inlineStr">
        <is>
          <t>Altroz</t>
        </is>
      </c>
      <c r="G2365" s="7" t="inlineStr">
        <is>
          <t>CARS24</t>
        </is>
      </c>
      <c r="H2365" s="7" t="inlineStr">
        <is>
          <t>Non-Captive</t>
        </is>
      </c>
      <c r="I2365" s="7" t="inlineStr">
        <is>
          <t>DINESH P S</t>
        </is>
      </c>
      <c r="J2365" s="8" t="n">
        <v>2023</v>
      </c>
      <c r="K2365" s="9" t="n">
        <v>21789</v>
      </c>
      <c r="L2365" s="10" t="n">
        <v>330000</v>
      </c>
      <c r="M2365" s="10" t="n">
        <v>8474.58</v>
      </c>
      <c r="N2365" s="11">
        <f>IF(M2365="","",ROUND(M2365*1.18,2))</f>
        <v/>
      </c>
      <c r="O2365" s="12">
        <f>IF(M2365="","",ROUND(N2365-M2365,2))</f>
        <v/>
      </c>
      <c r="P2365" s="13">
        <f>IF(AND(A2365&lt;&gt;"",B2365&lt;&gt;""), A2365&amp;" · "&amp;B2365, "")</f>
        <v/>
      </c>
    </row>
    <row r="2366">
      <c r="A2366" s="6" t="inlineStr">
        <is>
          <t>FY27</t>
        </is>
      </c>
      <c r="B2366" s="6" t="inlineStr">
        <is>
          <t>Jun</t>
        </is>
      </c>
      <c r="C2366" s="6" t="inlineStr">
        <is>
          <t>Kerala</t>
        </is>
      </c>
      <c r="D2366" s="7" t="inlineStr">
        <is>
          <t>KL39A5739</t>
        </is>
      </c>
      <c r="E2366" s="7" t="inlineStr">
        <is>
          <t>HYUNDAI</t>
        </is>
      </c>
      <c r="F2366" s="7" t="inlineStr">
        <is>
          <t>Santro</t>
        </is>
      </c>
      <c r="G2366" s="7" t="inlineStr">
        <is>
          <t>POPULAR MARUTI</t>
        </is>
      </c>
      <c r="H2366" s="7" t="inlineStr">
        <is>
          <t>Non-Captive</t>
        </is>
      </c>
      <c r="I2366" s="7" t="inlineStr">
        <is>
          <t>PRAVEEN KUMAR</t>
        </is>
      </c>
      <c r="J2366" s="8" t="n">
        <v>2008</v>
      </c>
      <c r="K2366" s="9" t="n">
        <v>57000</v>
      </c>
      <c r="L2366" s="10" t="n">
        <v>65000</v>
      </c>
      <c r="M2366" s="10" t="n">
        <v>12711.86</v>
      </c>
      <c r="N2366" s="11">
        <f>IF(M2366="","",ROUND(M2366*1.18,2))</f>
        <v/>
      </c>
      <c r="O2366" s="12">
        <f>IF(M2366="","",ROUND(N2366-M2366,2))</f>
        <v/>
      </c>
      <c r="P2366" s="13">
        <f>IF(AND(A2366&lt;&gt;"",B2366&lt;&gt;""), A2366&amp;" · "&amp;B2366, "")</f>
        <v/>
      </c>
    </row>
    <row r="2367">
      <c r="A2367" s="6" t="inlineStr">
        <is>
          <t>FY27</t>
        </is>
      </c>
      <c r="B2367" s="6" t="inlineStr">
        <is>
          <t>Jun</t>
        </is>
      </c>
      <c r="C2367" s="6" t="inlineStr">
        <is>
          <t>Kerala</t>
        </is>
      </c>
      <c r="D2367" s="7" t="inlineStr">
        <is>
          <t>KL39R4921</t>
        </is>
      </c>
      <c r="E2367" s="7" t="inlineStr">
        <is>
          <t>NISSAN</t>
        </is>
      </c>
      <c r="F2367" s="7" t="inlineStr">
        <is>
          <t>Magnite</t>
        </is>
      </c>
      <c r="G2367" s="7" t="inlineStr">
        <is>
          <t>UCD SANTHOSH</t>
        </is>
      </c>
      <c r="H2367" s="7" t="inlineStr">
        <is>
          <t>Non-Captive</t>
        </is>
      </c>
      <c r="I2367" s="7" t="inlineStr">
        <is>
          <t>HARSHAD</t>
        </is>
      </c>
      <c r="J2367" s="8" t="n">
        <v>2021</v>
      </c>
      <c r="K2367" s="9" t="n">
        <v>38000</v>
      </c>
      <c r="L2367" s="10" t="n">
        <v>430000</v>
      </c>
      <c r="M2367" s="10" t="n">
        <v>8474.58</v>
      </c>
      <c r="N2367" s="11">
        <f>IF(M2367="","",ROUND(M2367*1.18,2))</f>
        <v/>
      </c>
      <c r="O2367" s="12">
        <f>IF(M2367="","",ROUND(N2367-M2367,2))</f>
        <v/>
      </c>
      <c r="P2367" s="13">
        <f>IF(AND(A2367&lt;&gt;"",B2367&lt;&gt;""), A2367&amp;" · "&amp;B2367, "")</f>
        <v/>
      </c>
    </row>
    <row r="2368">
      <c r="A2368" s="6" t="inlineStr">
        <is>
          <t>FY27</t>
        </is>
      </c>
      <c r="B2368" s="6" t="inlineStr">
        <is>
          <t>Jun</t>
        </is>
      </c>
      <c r="C2368" s="6" t="inlineStr">
        <is>
          <t>Kerala</t>
        </is>
      </c>
      <c r="D2368" s="7" t="inlineStr">
        <is>
          <t>KL40C3090</t>
        </is>
      </c>
      <c r="E2368" s="7" t="inlineStr">
        <is>
          <t>TOYOTA</t>
        </is>
      </c>
      <c r="F2368" s="7" t="inlineStr">
        <is>
          <t>Innova</t>
        </is>
      </c>
      <c r="G2368" s="7" t="inlineStr">
        <is>
          <t>AUTOMOTIVE MAHINDRA</t>
        </is>
      </c>
      <c r="H2368" s="7" t="inlineStr">
        <is>
          <t>Non-Captive</t>
        </is>
      </c>
      <c r="I2368" s="7" t="inlineStr">
        <is>
          <t>HUSSAIN O E</t>
        </is>
      </c>
      <c r="J2368" s="8" t="n">
        <v>2009</v>
      </c>
      <c r="K2368" s="9" t="n">
        <v>198318</v>
      </c>
      <c r="L2368" s="10" t="n">
        <v>435000</v>
      </c>
      <c r="M2368" s="10" t="n">
        <v>8474.58</v>
      </c>
      <c r="N2368" s="11">
        <f>IF(M2368="","",ROUND(M2368*1.18,2))</f>
        <v/>
      </c>
      <c r="O2368" s="12">
        <f>IF(M2368="","",ROUND(N2368-M2368,2))</f>
        <v/>
      </c>
      <c r="P2368" s="13">
        <f>IF(AND(A2368&lt;&gt;"",B2368&lt;&gt;""), A2368&amp;" · "&amp;B2368, "")</f>
        <v/>
      </c>
    </row>
    <row r="2369">
      <c r="A2369" s="6" t="inlineStr">
        <is>
          <t>FY27</t>
        </is>
      </c>
      <c r="B2369" s="6" t="inlineStr">
        <is>
          <t>Jun</t>
        </is>
      </c>
      <c r="C2369" s="6" t="inlineStr">
        <is>
          <t>Kerala</t>
        </is>
      </c>
      <c r="D2369" s="7" t="inlineStr">
        <is>
          <t>KL40M5220</t>
        </is>
      </c>
      <c r="E2369" s="7" t="inlineStr">
        <is>
          <t>MARUTI SUZUKI</t>
        </is>
      </c>
      <c r="F2369" s="7" t="inlineStr">
        <is>
          <t>Baleno</t>
        </is>
      </c>
      <c r="G2369" s="7" t="inlineStr">
        <is>
          <t>CITROEN EVM</t>
        </is>
      </c>
      <c r="H2369" s="7" t="inlineStr">
        <is>
          <t>Non-Captive</t>
        </is>
      </c>
      <c r="I2369" s="7" t="inlineStr">
        <is>
          <t>Umesh Kumar T U</t>
        </is>
      </c>
      <c r="J2369" s="8" t="n">
        <v>2016</v>
      </c>
      <c r="K2369" s="9" t="n">
        <v>55000</v>
      </c>
      <c r="L2369" s="10" t="n">
        <v>485000</v>
      </c>
      <c r="M2369" s="10" t="n">
        <v>8474.58</v>
      </c>
      <c r="N2369" s="11">
        <f>IF(M2369="","",ROUND(M2369*1.18,2))</f>
        <v/>
      </c>
      <c r="O2369" s="12">
        <f>IF(M2369="","",ROUND(N2369-M2369,2))</f>
        <v/>
      </c>
      <c r="P2369" s="13">
        <f>IF(AND(A2369&lt;&gt;"",B2369&lt;&gt;""), A2369&amp;" · "&amp;B2369, "")</f>
        <v/>
      </c>
    </row>
    <row r="2370">
      <c r="A2370" s="6" t="inlineStr">
        <is>
          <t>FY27</t>
        </is>
      </c>
      <c r="B2370" s="6" t="inlineStr">
        <is>
          <t>Jun</t>
        </is>
      </c>
      <c r="C2370" s="6" t="inlineStr">
        <is>
          <t>Kerala</t>
        </is>
      </c>
      <c r="D2370" s="7" t="inlineStr">
        <is>
          <t>KL41R5173</t>
        </is>
      </c>
      <c r="E2370" s="7" t="inlineStr">
        <is>
          <t>MARUTI SUZUKI</t>
        </is>
      </c>
      <c r="F2370" s="7" t="inlineStr">
        <is>
          <t>Ignis</t>
        </is>
      </c>
      <c r="G2370" s="7" t="inlineStr">
        <is>
          <t>EVM CITROEN</t>
        </is>
      </c>
      <c r="H2370" s="7" t="inlineStr">
        <is>
          <t>Non-Captive</t>
        </is>
      </c>
      <c r="I2370" s="7" t="inlineStr">
        <is>
          <t>YAHIYA</t>
        </is>
      </c>
      <c r="J2370" s="8" t="n">
        <v>2020</v>
      </c>
      <c r="K2370" s="9" t="n">
        <v>85500</v>
      </c>
      <c r="L2370" s="10" t="n">
        <v>480000</v>
      </c>
      <c r="M2370" s="10" t="n">
        <v>8474.58</v>
      </c>
      <c r="N2370" s="11">
        <f>IF(M2370="","",ROUND(M2370*1.18,2))</f>
        <v/>
      </c>
      <c r="O2370" s="12">
        <f>IF(M2370="","",ROUND(N2370-M2370,2))</f>
        <v/>
      </c>
      <c r="P2370" s="13">
        <f>IF(AND(A2370&lt;&gt;"",B2370&lt;&gt;""), A2370&amp;" · "&amp;B2370, "")</f>
        <v/>
      </c>
    </row>
    <row r="2371">
      <c r="A2371" s="6" t="inlineStr">
        <is>
          <t>FY27</t>
        </is>
      </c>
      <c r="B2371" s="6" t="inlineStr">
        <is>
          <t>Jun</t>
        </is>
      </c>
      <c r="C2371" s="6" t="inlineStr">
        <is>
          <t>Kerala</t>
        </is>
      </c>
      <c r="D2371" s="7" t="inlineStr">
        <is>
          <t>KL41R5744</t>
        </is>
      </c>
      <c r="E2371" s="7" t="inlineStr">
        <is>
          <t>RENAULT</t>
        </is>
      </c>
      <c r="F2371" s="7" t="inlineStr">
        <is>
          <t>Triber</t>
        </is>
      </c>
      <c r="G2371" s="7" t="inlineStr">
        <is>
          <t>ERAM MOTORS</t>
        </is>
      </c>
      <c r="H2371" s="7" t="inlineStr">
        <is>
          <t>Non-Captive</t>
        </is>
      </c>
      <c r="I2371" s="7" t="inlineStr">
        <is>
          <t>Umesh Kumar T U</t>
        </is>
      </c>
      <c r="J2371" s="8" t="n">
        <v>2020</v>
      </c>
      <c r="K2371" s="9" t="n">
        <v>43067</v>
      </c>
      <c r="L2371" s="10" t="n">
        <v>450000</v>
      </c>
      <c r="M2371" s="10" t="n">
        <v>10169.49</v>
      </c>
      <c r="N2371" s="11">
        <f>IF(M2371="","",ROUND(M2371*1.18,2))</f>
        <v/>
      </c>
      <c r="O2371" s="12">
        <f>IF(M2371="","",ROUND(N2371-M2371,2))</f>
        <v/>
      </c>
      <c r="P2371" s="13">
        <f>IF(AND(A2371&lt;&gt;"",B2371&lt;&gt;""), A2371&amp;" · "&amp;B2371, "")</f>
        <v/>
      </c>
    </row>
    <row r="2372">
      <c r="A2372" s="6" t="inlineStr">
        <is>
          <t>FY27</t>
        </is>
      </c>
      <c r="B2372" s="6" t="inlineStr">
        <is>
          <t>Jun</t>
        </is>
      </c>
      <c r="C2372" s="6" t="inlineStr">
        <is>
          <t>Kerala</t>
        </is>
      </c>
      <c r="D2372" s="7" t="inlineStr">
        <is>
          <t>KL42F8686</t>
        </is>
      </c>
      <c r="E2372" s="7" t="inlineStr">
        <is>
          <t>VOLKSWAGEN</t>
        </is>
      </c>
      <c r="F2372" s="7" t="inlineStr">
        <is>
          <t>Polo</t>
        </is>
      </c>
      <c r="G2372" s="7" t="inlineStr">
        <is>
          <t>CBC MAHINDRA</t>
        </is>
      </c>
      <c r="H2372" s="7" t="inlineStr">
        <is>
          <t>Non-Captive</t>
        </is>
      </c>
      <c r="I2372" s="7" t="inlineStr">
        <is>
          <t>KISHORE</t>
        </is>
      </c>
      <c r="J2372" s="8" t="n">
        <v>2012</v>
      </c>
      <c r="K2372" s="9" t="n">
        <v>92800</v>
      </c>
      <c r="L2372" s="10" t="n">
        <v>95000</v>
      </c>
      <c r="M2372" s="10" t="n">
        <v>4237.29</v>
      </c>
      <c r="N2372" s="11">
        <f>IF(M2372="","",ROUND(M2372*1.18,2))</f>
        <v/>
      </c>
      <c r="O2372" s="12">
        <f>IF(M2372="","",ROUND(N2372-M2372,2))</f>
        <v/>
      </c>
      <c r="P2372" s="13">
        <f>IF(AND(A2372&lt;&gt;"",B2372&lt;&gt;""), A2372&amp;" · "&amp;B2372, "")</f>
        <v/>
      </c>
    </row>
    <row r="2373">
      <c r="A2373" s="6" t="inlineStr">
        <is>
          <t>FY27</t>
        </is>
      </c>
      <c r="B2373" s="6" t="inlineStr">
        <is>
          <t>Jun</t>
        </is>
      </c>
      <c r="C2373" s="6" t="inlineStr">
        <is>
          <t>Kerala</t>
        </is>
      </c>
      <c r="D2373" s="7" t="inlineStr">
        <is>
          <t>KL42N5612</t>
        </is>
      </c>
      <c r="E2373" s="7" t="inlineStr">
        <is>
          <t>TOYOTA</t>
        </is>
      </c>
      <c r="F2373" s="7" t="inlineStr">
        <is>
          <t>Corolla Altis</t>
        </is>
      </c>
      <c r="G2373" s="7" t="inlineStr">
        <is>
          <t>EVM SKODA</t>
        </is>
      </c>
      <c r="H2373" s="7" t="inlineStr">
        <is>
          <t>Non-Captive</t>
        </is>
      </c>
      <c r="I2373" s="7" t="inlineStr">
        <is>
          <t>DINESH P S</t>
        </is>
      </c>
      <c r="J2373" s="8" t="n">
        <v>2006</v>
      </c>
      <c r="K2373" s="9" t="n">
        <v>97400</v>
      </c>
      <c r="L2373" s="10" t="n">
        <v>110000</v>
      </c>
      <c r="M2373" s="10" t="n">
        <v>8474.58</v>
      </c>
      <c r="N2373" s="11">
        <f>IF(M2373="","",ROUND(M2373*1.18,2))</f>
        <v/>
      </c>
      <c r="O2373" s="12">
        <f>IF(M2373="","",ROUND(N2373-M2373,2))</f>
        <v/>
      </c>
      <c r="P2373" s="13">
        <f>IF(AND(A2373&lt;&gt;"",B2373&lt;&gt;""), A2373&amp;" · "&amp;B2373, "")</f>
        <v/>
      </c>
    </row>
    <row r="2374">
      <c r="A2374" s="6" t="inlineStr">
        <is>
          <t>FY27</t>
        </is>
      </c>
      <c r="B2374" s="6" t="inlineStr">
        <is>
          <t>Jun</t>
        </is>
      </c>
      <c r="C2374" s="6" t="inlineStr">
        <is>
          <t>Kerala</t>
        </is>
      </c>
      <c r="D2374" s="7" t="inlineStr">
        <is>
          <t>KL43A5006</t>
        </is>
      </c>
      <c r="E2374" s="7" t="inlineStr">
        <is>
          <t>MARUTI SUZUKI</t>
        </is>
      </c>
      <c r="F2374" s="7" t="inlineStr">
        <is>
          <t>Wagon R</t>
        </is>
      </c>
      <c r="G2374" s="7" t="inlineStr">
        <is>
          <t>POPULAR MARUTI</t>
        </is>
      </c>
      <c r="H2374" s="7" t="inlineStr">
        <is>
          <t>Non-Captive</t>
        </is>
      </c>
      <c r="I2374" s="7" t="inlineStr">
        <is>
          <t>AKHIL KT</t>
        </is>
      </c>
      <c r="J2374" s="8" t="n">
        <v>2008</v>
      </c>
      <c r="K2374" s="9" t="n">
        <v>88992</v>
      </c>
      <c r="L2374" s="10" t="n">
        <v>77000</v>
      </c>
      <c r="M2374" s="10" t="n">
        <v>10169.49</v>
      </c>
      <c r="N2374" s="11">
        <f>IF(M2374="","",ROUND(M2374*1.18,2))</f>
        <v/>
      </c>
      <c r="O2374" s="12">
        <f>IF(M2374="","",ROUND(N2374-M2374,2))</f>
        <v/>
      </c>
      <c r="P2374" s="13">
        <f>IF(AND(A2374&lt;&gt;"",B2374&lt;&gt;""), A2374&amp;" · "&amp;B2374, "")</f>
        <v/>
      </c>
    </row>
    <row r="2375">
      <c r="A2375" s="6" t="inlineStr">
        <is>
          <t>FY27</t>
        </is>
      </c>
      <c r="B2375" s="6" t="inlineStr">
        <is>
          <t>Jun</t>
        </is>
      </c>
      <c r="C2375" s="6" t="inlineStr">
        <is>
          <t>Kerala</t>
        </is>
      </c>
      <c r="D2375" s="7" t="inlineStr">
        <is>
          <t>KL43C6969</t>
        </is>
      </c>
      <c r="E2375" s="7" t="inlineStr">
        <is>
          <t>CHEVROLET</t>
        </is>
      </c>
      <c r="F2375" s="7" t="inlineStr">
        <is>
          <t>Beat</t>
        </is>
      </c>
      <c r="G2375" s="7" t="inlineStr">
        <is>
          <t>MAIJO MARUTI</t>
        </is>
      </c>
      <c r="H2375" s="7" t="inlineStr">
        <is>
          <t>Non-Captive</t>
        </is>
      </c>
      <c r="I2375" s="7" t="inlineStr">
        <is>
          <t>HUSSAIN O E</t>
        </is>
      </c>
      <c r="J2375" s="8" t="n">
        <v>2011</v>
      </c>
      <c r="K2375" s="9" t="n">
        <v>57426</v>
      </c>
      <c r="L2375" s="10" t="n">
        <v>47000</v>
      </c>
      <c r="M2375" s="10" t="n">
        <v>8474.58</v>
      </c>
      <c r="N2375" s="11">
        <f>IF(M2375="","",ROUND(M2375*1.18,2))</f>
        <v/>
      </c>
      <c r="O2375" s="12">
        <f>IF(M2375="","",ROUND(N2375-M2375,2))</f>
        <v/>
      </c>
      <c r="P2375" s="13">
        <f>IF(AND(A2375&lt;&gt;"",B2375&lt;&gt;""), A2375&amp;" · "&amp;B2375, "")</f>
        <v/>
      </c>
    </row>
    <row r="2376">
      <c r="A2376" s="6" t="inlineStr">
        <is>
          <t>FY27</t>
        </is>
      </c>
      <c r="B2376" s="6" t="inlineStr">
        <is>
          <t>Jun</t>
        </is>
      </c>
      <c r="C2376" s="6" t="inlineStr">
        <is>
          <t>Kerala</t>
        </is>
      </c>
      <c r="D2376" s="7" t="inlineStr">
        <is>
          <t>KL44A9071</t>
        </is>
      </c>
      <c r="E2376" s="7" t="inlineStr">
        <is>
          <t>MARUTI SUZUKI</t>
        </is>
      </c>
      <c r="F2376" s="7" t="inlineStr">
        <is>
          <t>Dzire</t>
        </is>
      </c>
      <c r="G2376" s="7" t="inlineStr">
        <is>
          <t>POPULAR MARUTI</t>
        </is>
      </c>
      <c r="H2376" s="7" t="inlineStr">
        <is>
          <t>Non-Captive</t>
        </is>
      </c>
      <c r="I2376" s="7" t="inlineStr">
        <is>
          <t>Aitos Cars</t>
        </is>
      </c>
      <c r="J2376" s="8" t="n">
        <v>2011</v>
      </c>
      <c r="K2376" s="9" t="n">
        <v>144000</v>
      </c>
      <c r="L2376" s="10" t="n">
        <v>122500</v>
      </c>
      <c r="M2376" s="10" t="n">
        <v>10593.22</v>
      </c>
      <c r="N2376" s="11">
        <f>IF(M2376="","",ROUND(M2376*1.18,2))</f>
        <v/>
      </c>
      <c r="O2376" s="12">
        <f>IF(M2376="","",ROUND(N2376-M2376,2))</f>
        <v/>
      </c>
      <c r="P2376" s="13">
        <f>IF(AND(A2376&lt;&gt;"",B2376&lt;&gt;""), A2376&amp;" · "&amp;B2376, "")</f>
        <v/>
      </c>
    </row>
    <row r="2377">
      <c r="A2377" s="6" t="inlineStr">
        <is>
          <t>FY27</t>
        </is>
      </c>
      <c r="B2377" s="6" t="inlineStr">
        <is>
          <t>Jun</t>
        </is>
      </c>
      <c r="C2377" s="6" t="inlineStr">
        <is>
          <t>Kerala</t>
        </is>
      </c>
      <c r="D2377" s="7" t="inlineStr">
        <is>
          <t>KL45P6622</t>
        </is>
      </c>
      <c r="E2377" s="7" t="inlineStr">
        <is>
          <t>MAHINDRA</t>
        </is>
      </c>
      <c r="F2377" s="7" t="inlineStr">
        <is>
          <t>KUV100</t>
        </is>
      </c>
      <c r="G2377" s="7" t="inlineStr">
        <is>
          <t>EVM CITROEN</t>
        </is>
      </c>
      <c r="H2377" s="7" t="inlineStr">
        <is>
          <t>Non-Captive</t>
        </is>
      </c>
      <c r="I2377" s="7" t="inlineStr">
        <is>
          <t>Umesh Kumar T U</t>
        </is>
      </c>
      <c r="J2377" s="8" t="n">
        <v>2017</v>
      </c>
      <c r="K2377" s="9" t="n">
        <v>35000</v>
      </c>
      <c r="L2377" s="10" t="n">
        <v>250000</v>
      </c>
      <c r="M2377" s="10" t="n">
        <v>10169.49</v>
      </c>
      <c r="N2377" s="11">
        <f>IF(M2377="","",ROUND(M2377*1.18,2))</f>
        <v/>
      </c>
      <c r="O2377" s="12">
        <f>IF(M2377="","",ROUND(N2377-M2377,2))</f>
        <v/>
      </c>
      <c r="P2377" s="13">
        <f>IF(AND(A2377&lt;&gt;"",B2377&lt;&gt;""), A2377&amp;" · "&amp;B2377, "")</f>
        <v/>
      </c>
    </row>
    <row r="2378">
      <c r="A2378" s="6" t="inlineStr">
        <is>
          <t>FY27</t>
        </is>
      </c>
      <c r="B2378" s="6" t="inlineStr">
        <is>
          <t>Jun</t>
        </is>
      </c>
      <c r="C2378" s="6" t="inlineStr">
        <is>
          <t>Kerala</t>
        </is>
      </c>
      <c r="D2378" s="7" t="inlineStr">
        <is>
          <t>KL45Z1973</t>
        </is>
      </c>
      <c r="E2378" s="7" t="inlineStr">
        <is>
          <t>KIA</t>
        </is>
      </c>
      <c r="F2378" s="7" t="inlineStr">
        <is>
          <t>Sonet</t>
        </is>
      </c>
      <c r="G2378" s="7" t="inlineStr">
        <is>
          <t>KVR TATA</t>
        </is>
      </c>
      <c r="H2378" s="7" t="inlineStr">
        <is>
          <t>Non-Captive</t>
        </is>
      </c>
      <c r="I2378" s="7" t="inlineStr">
        <is>
          <t>Umesh Kumar T U</t>
        </is>
      </c>
      <c r="J2378" s="8" t="n">
        <v>2025</v>
      </c>
      <c r="K2378" s="9" t="n">
        <v>25000</v>
      </c>
      <c r="L2378" s="10" t="n">
        <v>1110000</v>
      </c>
      <c r="M2378" s="10" t="n">
        <v>8474.58</v>
      </c>
      <c r="N2378" s="11">
        <f>IF(M2378="","",ROUND(M2378*1.18,2))</f>
        <v/>
      </c>
      <c r="O2378" s="12">
        <f>IF(M2378="","",ROUND(N2378-M2378,2))</f>
        <v/>
      </c>
      <c r="P2378" s="13">
        <f>IF(AND(A2378&lt;&gt;"",B2378&lt;&gt;""), A2378&amp;" · "&amp;B2378, "")</f>
        <v/>
      </c>
    </row>
    <row r="2379">
      <c r="A2379" s="6" t="inlineStr">
        <is>
          <t>FY27</t>
        </is>
      </c>
      <c r="B2379" s="6" t="inlineStr">
        <is>
          <t>Jun</t>
        </is>
      </c>
      <c r="C2379" s="6" t="inlineStr">
        <is>
          <t>Kerala</t>
        </is>
      </c>
      <c r="D2379" s="7" t="inlineStr">
        <is>
          <t>KL460635</t>
        </is>
      </c>
      <c r="E2379" s="7" t="inlineStr">
        <is>
          <t>MARUTI SUZUKI</t>
        </is>
      </c>
      <c r="F2379" s="7" t="inlineStr">
        <is>
          <t>Wagon R</t>
        </is>
      </c>
      <c r="G2379" s="7" t="inlineStr">
        <is>
          <t>POPULAR MARUTI</t>
        </is>
      </c>
      <c r="H2379" s="7" t="inlineStr">
        <is>
          <t>Non-Captive</t>
        </is>
      </c>
      <c r="I2379" s="7" t="inlineStr">
        <is>
          <t>Aitos Cars</t>
        </is>
      </c>
      <c r="J2379" s="8" t="n">
        <v>2006</v>
      </c>
      <c r="K2379" s="9" t="n">
        <v>98000</v>
      </c>
      <c r="L2379" s="10" t="n">
        <v>110000</v>
      </c>
      <c r="M2379" s="10" t="n">
        <v>12711.86</v>
      </c>
      <c r="N2379" s="11">
        <f>IF(M2379="","",ROUND(M2379*1.18,2))</f>
        <v/>
      </c>
      <c r="O2379" s="12">
        <f>IF(M2379="","",ROUND(N2379-M2379,2))</f>
        <v/>
      </c>
      <c r="P2379" s="13">
        <f>IF(AND(A2379&lt;&gt;"",B2379&lt;&gt;""), A2379&amp;" · "&amp;B2379, "")</f>
        <v/>
      </c>
    </row>
    <row r="2380">
      <c r="A2380" s="6" t="inlineStr">
        <is>
          <t>FY27</t>
        </is>
      </c>
      <c r="B2380" s="6" t="inlineStr">
        <is>
          <t>Jun</t>
        </is>
      </c>
      <c r="C2380" s="6" t="inlineStr">
        <is>
          <t>Kerala</t>
        </is>
      </c>
      <c r="D2380" s="7" t="inlineStr">
        <is>
          <t>KL468858</t>
        </is>
      </c>
      <c r="E2380" s="7" t="inlineStr">
        <is>
          <t>MARUTI SUZUKI</t>
        </is>
      </c>
      <c r="F2380" s="7" t="inlineStr">
        <is>
          <t>Omni</t>
        </is>
      </c>
      <c r="G2380" s="7" t="inlineStr">
        <is>
          <t>POPULAR MARUTI</t>
        </is>
      </c>
      <c r="H2380" s="7" t="inlineStr">
        <is>
          <t>Non-Captive</t>
        </is>
      </c>
      <c r="I2380" s="7" t="inlineStr">
        <is>
          <t>Umesh Kumar T U</t>
        </is>
      </c>
      <c r="J2380" s="8" t="n">
        <v>2007</v>
      </c>
      <c r="K2380" s="9" t="n">
        <v>74234</v>
      </c>
      <c r="L2380" s="10" t="n">
        <v>40000</v>
      </c>
      <c r="M2380" s="10" t="n">
        <v>8474.58</v>
      </c>
      <c r="N2380" s="11">
        <f>IF(M2380="","",ROUND(M2380*1.18,2))</f>
        <v/>
      </c>
      <c r="O2380" s="12">
        <f>IF(M2380="","",ROUND(N2380-M2380,2))</f>
        <v/>
      </c>
      <c r="P2380" s="13">
        <f>IF(AND(A2380&lt;&gt;"",B2380&lt;&gt;""), A2380&amp;" · "&amp;B2380, "")</f>
        <v/>
      </c>
    </row>
    <row r="2381">
      <c r="A2381" s="6" t="inlineStr">
        <is>
          <t>FY27</t>
        </is>
      </c>
      <c r="B2381" s="6" t="inlineStr">
        <is>
          <t>Jun</t>
        </is>
      </c>
      <c r="C2381" s="6" t="inlineStr">
        <is>
          <t>Kerala</t>
        </is>
      </c>
      <c r="D2381" s="7" t="inlineStr">
        <is>
          <t>KL46C5856</t>
        </is>
      </c>
      <c r="E2381" s="7" t="inlineStr">
        <is>
          <t>HYUNDAI</t>
        </is>
      </c>
      <c r="F2381" s="7" t="inlineStr">
        <is>
          <t>i20</t>
        </is>
      </c>
      <c r="G2381" s="7" t="inlineStr">
        <is>
          <t>POPULAR MARUTI</t>
        </is>
      </c>
      <c r="H2381" s="7" t="inlineStr">
        <is>
          <t>Non-Captive</t>
        </is>
      </c>
      <c r="I2381" s="7" t="inlineStr">
        <is>
          <t>DEAMS CARS-ARNOLD</t>
        </is>
      </c>
      <c r="J2381" s="8" t="n">
        <v>2010</v>
      </c>
      <c r="K2381" s="9" t="n">
        <v>132000</v>
      </c>
      <c r="L2381" s="10" t="n">
        <v>114000</v>
      </c>
      <c r="M2381" s="10" t="n">
        <v>8474.58</v>
      </c>
      <c r="N2381" s="11">
        <f>IF(M2381="","",ROUND(M2381*1.18,2))</f>
        <v/>
      </c>
      <c r="O2381" s="12">
        <f>IF(M2381="","",ROUND(N2381-M2381,2))</f>
        <v/>
      </c>
      <c r="P2381" s="13">
        <f>IF(AND(A2381&lt;&gt;"",B2381&lt;&gt;""), A2381&amp;" · "&amp;B2381, "")</f>
        <v/>
      </c>
    </row>
    <row r="2382">
      <c r="A2382" s="6" t="inlineStr">
        <is>
          <t>FY27</t>
        </is>
      </c>
      <c r="B2382" s="6" t="inlineStr">
        <is>
          <t>Jun</t>
        </is>
      </c>
      <c r="C2382" s="6" t="inlineStr">
        <is>
          <t>Kerala</t>
        </is>
      </c>
      <c r="D2382" s="7" t="inlineStr">
        <is>
          <t>KL46S3974</t>
        </is>
      </c>
      <c r="E2382" s="7" t="inlineStr">
        <is>
          <t>MARUTI SUZUKI</t>
        </is>
      </c>
      <c r="F2382" s="7" t="inlineStr">
        <is>
          <t>Alto K10</t>
        </is>
      </c>
      <c r="G2382" s="7" t="inlineStr">
        <is>
          <t>PINNACLE MOTOR WORKS</t>
        </is>
      </c>
      <c r="H2382" s="7" t="inlineStr">
        <is>
          <t>Non-Captive</t>
        </is>
      </c>
      <c r="I2382" s="7" t="inlineStr">
        <is>
          <t>Aitos Cars</t>
        </is>
      </c>
      <c r="J2382" s="8" t="n">
        <v>2018</v>
      </c>
      <c r="K2382" s="9" t="n">
        <v>36167</v>
      </c>
      <c r="L2382" s="10" t="n">
        <v>310000</v>
      </c>
      <c r="M2382" s="10" t="n">
        <v>8474.58</v>
      </c>
      <c r="N2382" s="11">
        <f>IF(M2382="","",ROUND(M2382*1.18,2))</f>
        <v/>
      </c>
      <c r="O2382" s="12">
        <f>IF(M2382="","",ROUND(N2382-M2382,2))</f>
        <v/>
      </c>
      <c r="P2382" s="13">
        <f>IF(AND(A2382&lt;&gt;"",B2382&lt;&gt;""), A2382&amp;" · "&amp;B2382, "")</f>
        <v/>
      </c>
    </row>
    <row r="2383">
      <c r="A2383" s="6" t="inlineStr">
        <is>
          <t>FY27</t>
        </is>
      </c>
      <c r="B2383" s="6" t="inlineStr">
        <is>
          <t>Jun</t>
        </is>
      </c>
      <c r="C2383" s="6" t="inlineStr">
        <is>
          <t>Kerala</t>
        </is>
      </c>
      <c r="D2383" s="7" t="inlineStr">
        <is>
          <t>KL46Y3600</t>
        </is>
      </c>
      <c r="E2383" s="7" t="inlineStr">
        <is>
          <t>CITROEN</t>
        </is>
      </c>
      <c r="F2383" s="7" t="inlineStr">
        <is>
          <t>C3</t>
        </is>
      </c>
      <c r="G2383" s="7" t="inlineStr">
        <is>
          <t>INCHEON KIA</t>
        </is>
      </c>
      <c r="H2383" s="7" t="inlineStr">
        <is>
          <t>Non-Captive</t>
        </is>
      </c>
      <c r="I2383" s="7" t="inlineStr">
        <is>
          <t>Aitos Cars</t>
        </is>
      </c>
      <c r="J2383" s="8" t="n">
        <v>2023</v>
      </c>
      <c r="K2383" s="9" t="n">
        <v>24500</v>
      </c>
      <c r="L2383" s="10" t="n">
        <v>460000</v>
      </c>
      <c r="M2383" s="10" t="n">
        <v>8474.58</v>
      </c>
      <c r="N2383" s="11">
        <f>IF(M2383="","",ROUND(M2383*1.18,2))</f>
        <v/>
      </c>
      <c r="O2383" s="12">
        <f>IF(M2383="","",ROUND(N2383-M2383,2))</f>
        <v/>
      </c>
      <c r="P2383" s="13">
        <f>IF(AND(A2383&lt;&gt;"",B2383&lt;&gt;""), A2383&amp;" · "&amp;B2383, "")</f>
        <v/>
      </c>
    </row>
    <row r="2384">
      <c r="A2384" s="6" t="inlineStr">
        <is>
          <t>FY27</t>
        </is>
      </c>
      <c r="B2384" s="6" t="inlineStr">
        <is>
          <t>Jun</t>
        </is>
      </c>
      <c r="C2384" s="6" t="inlineStr">
        <is>
          <t>Kerala</t>
        </is>
      </c>
      <c r="D2384" s="7" t="inlineStr">
        <is>
          <t>KL46Y4107</t>
        </is>
      </c>
      <c r="E2384" s="7" t="inlineStr">
        <is>
          <t>MARUTI SUZUKI</t>
        </is>
      </c>
      <c r="F2384" s="7" t="inlineStr">
        <is>
          <t>Wagon R</t>
        </is>
      </c>
      <c r="G2384" s="7" t="inlineStr">
        <is>
          <t>PHOENIX VOLKSWAGEN</t>
        </is>
      </c>
      <c r="H2384" s="7" t="inlineStr">
        <is>
          <t>Non-Captive</t>
        </is>
      </c>
      <c r="I2384" s="7" t="inlineStr">
        <is>
          <t>Aitos Cars</t>
        </is>
      </c>
      <c r="J2384" s="8" t="n">
        <v>2023</v>
      </c>
      <c r="K2384" s="9" t="n">
        <v>54962</v>
      </c>
      <c r="L2384" s="10" t="n">
        <v>500000</v>
      </c>
      <c r="M2384" s="10" t="n">
        <v>8474.58</v>
      </c>
      <c r="N2384" s="11">
        <f>IF(M2384="","",ROUND(M2384*1.18,2))</f>
        <v/>
      </c>
      <c r="O2384" s="12">
        <f>IF(M2384="","",ROUND(N2384-M2384,2))</f>
        <v/>
      </c>
      <c r="P2384" s="13">
        <f>IF(AND(A2384&lt;&gt;"",B2384&lt;&gt;""), A2384&amp;" · "&amp;B2384, "")</f>
        <v/>
      </c>
    </row>
    <row r="2385">
      <c r="A2385" s="6" t="inlineStr">
        <is>
          <t>FY27</t>
        </is>
      </c>
      <c r="B2385" s="6" t="inlineStr">
        <is>
          <t>Jun</t>
        </is>
      </c>
      <c r="C2385" s="6" t="inlineStr">
        <is>
          <t>Kerala</t>
        </is>
      </c>
      <c r="D2385" s="7" t="inlineStr">
        <is>
          <t>KL48A2108</t>
        </is>
      </c>
      <c r="E2385" s="7" t="inlineStr">
        <is>
          <t>MARUTI SUZUKI</t>
        </is>
      </c>
      <c r="F2385" s="7" t="inlineStr">
        <is>
          <t>Alto</t>
        </is>
      </c>
      <c r="G2385" s="7" t="inlineStr">
        <is>
          <t>POPULAR MARUTI</t>
        </is>
      </c>
      <c r="H2385" s="7" t="inlineStr">
        <is>
          <t>Non-Captive</t>
        </is>
      </c>
      <c r="I2385" s="7" t="inlineStr">
        <is>
          <t>HONEY</t>
        </is>
      </c>
      <c r="J2385" s="8" t="n">
        <v>2008</v>
      </c>
      <c r="K2385" s="9" t="n">
        <v>66537</v>
      </c>
      <c r="L2385" s="10" t="n">
        <v>80000</v>
      </c>
      <c r="M2385" s="10" t="n">
        <v>8474.58</v>
      </c>
      <c r="N2385" s="11">
        <f>IF(M2385="","",ROUND(M2385*1.18,2))</f>
        <v/>
      </c>
      <c r="O2385" s="12">
        <f>IF(M2385="","",ROUND(N2385-M2385,2))</f>
        <v/>
      </c>
      <c r="P2385" s="13">
        <f>IF(AND(A2385&lt;&gt;"",B2385&lt;&gt;""), A2385&amp;" · "&amp;B2385, "")</f>
        <v/>
      </c>
    </row>
    <row r="2386">
      <c r="A2386" s="6" t="inlineStr">
        <is>
          <t>FY27</t>
        </is>
      </c>
      <c r="B2386" s="6" t="inlineStr">
        <is>
          <t>Jun</t>
        </is>
      </c>
      <c r="C2386" s="6" t="inlineStr">
        <is>
          <t>Kerala</t>
        </is>
      </c>
      <c r="D2386" s="7" t="inlineStr">
        <is>
          <t>KL51J5500</t>
        </is>
      </c>
      <c r="E2386" s="7" t="inlineStr">
        <is>
          <t>MAHINDRA</t>
        </is>
      </c>
      <c r="F2386" s="7" t="inlineStr">
        <is>
          <t>XUV500</t>
        </is>
      </c>
      <c r="G2386" s="7" t="inlineStr">
        <is>
          <t>MARVEL</t>
        </is>
      </c>
      <c r="H2386" s="7" t="inlineStr">
        <is>
          <t>Non-Captive</t>
        </is>
      </c>
      <c r="I2386" s="7" t="inlineStr">
        <is>
          <t>SHAROOQUE ANAS</t>
        </is>
      </c>
      <c r="J2386" s="8" t="n">
        <v>2018</v>
      </c>
      <c r="K2386" s="9" t="n">
        <v>77000</v>
      </c>
      <c r="L2386" s="10" t="n">
        <v>810000</v>
      </c>
      <c r="M2386" s="10" t="n">
        <v>8474.58</v>
      </c>
      <c r="N2386" s="11">
        <f>IF(M2386="","",ROUND(M2386*1.18,2))</f>
        <v/>
      </c>
      <c r="O2386" s="12">
        <f>IF(M2386="","",ROUND(N2386-M2386,2))</f>
        <v/>
      </c>
      <c r="P2386" s="13">
        <f>IF(AND(A2386&lt;&gt;"",B2386&lt;&gt;""), A2386&amp;" · "&amp;B2386, "")</f>
        <v/>
      </c>
    </row>
    <row r="2387">
      <c r="A2387" s="6" t="inlineStr">
        <is>
          <t>FY27</t>
        </is>
      </c>
      <c r="B2387" s="6" t="inlineStr">
        <is>
          <t>Jun</t>
        </is>
      </c>
      <c r="C2387" s="6" t="inlineStr">
        <is>
          <t>Kerala</t>
        </is>
      </c>
      <c r="D2387" s="7" t="inlineStr">
        <is>
          <t>KL53T9538</t>
        </is>
      </c>
      <c r="E2387" s="7" t="inlineStr">
        <is>
          <t>RENAULT</t>
        </is>
      </c>
      <c r="F2387" s="7" t="inlineStr">
        <is>
          <t>Triber</t>
        </is>
      </c>
      <c r="G2387" s="7" t="inlineStr">
        <is>
          <t>SAI MARUTI</t>
        </is>
      </c>
      <c r="H2387" s="7" t="inlineStr">
        <is>
          <t>Non-Captive</t>
        </is>
      </c>
      <c r="I2387" s="7" t="inlineStr">
        <is>
          <t>Aitos Cars</t>
        </is>
      </c>
      <c r="J2387" s="8" t="n">
        <v>2022</v>
      </c>
      <c r="K2387" s="9" t="n">
        <v>10080</v>
      </c>
      <c r="L2387" s="10" t="n">
        <v>500000</v>
      </c>
      <c r="M2387" s="10" t="n">
        <v>8474.58</v>
      </c>
      <c r="N2387" s="11">
        <f>IF(M2387="","",ROUND(M2387*1.18,2))</f>
        <v/>
      </c>
      <c r="O2387" s="12">
        <f>IF(M2387="","",ROUND(N2387-M2387,2))</f>
        <v/>
      </c>
      <c r="P2387" s="13">
        <f>IF(AND(A2387&lt;&gt;"",B2387&lt;&gt;""), A2387&amp;" · "&amp;B2387, "")</f>
        <v/>
      </c>
    </row>
    <row r="2388">
      <c r="A2388" s="6" t="inlineStr">
        <is>
          <t>FY27</t>
        </is>
      </c>
      <c r="B2388" s="6" t="inlineStr">
        <is>
          <t>Jun</t>
        </is>
      </c>
      <c r="C2388" s="6" t="inlineStr">
        <is>
          <t>Kerala</t>
        </is>
      </c>
      <c r="D2388" s="7" t="inlineStr">
        <is>
          <t>KL540980</t>
        </is>
      </c>
      <c r="E2388" s="7" t="inlineStr">
        <is>
          <t>MARUTI SUZUKI</t>
        </is>
      </c>
      <c r="F2388" s="7" t="inlineStr">
        <is>
          <t>800</t>
        </is>
      </c>
      <c r="G2388" s="7" t="inlineStr">
        <is>
          <t>UCD ADVAITH</t>
        </is>
      </c>
      <c r="H2388" s="7" t="inlineStr">
        <is>
          <t>Non-Captive</t>
        </is>
      </c>
      <c r="I2388" s="7" t="inlineStr">
        <is>
          <t>AUTOTRUST</t>
        </is>
      </c>
      <c r="J2388" s="8" t="n">
        <v>2006</v>
      </c>
      <c r="K2388" s="9" t="n">
        <v>208000</v>
      </c>
      <c r="L2388" s="10" t="n">
        <v>14000</v>
      </c>
      <c r="M2388" s="10" t="n">
        <v>5084.75</v>
      </c>
      <c r="N2388" s="11">
        <f>IF(M2388="","",ROUND(M2388*1.18,2))</f>
        <v/>
      </c>
      <c r="O2388" s="12">
        <f>IF(M2388="","",ROUND(N2388-M2388,2))</f>
        <v/>
      </c>
      <c r="P2388" s="13">
        <f>IF(AND(A2388&lt;&gt;"",B2388&lt;&gt;""), A2388&amp;" · "&amp;B2388, "")</f>
        <v/>
      </c>
    </row>
    <row r="2389">
      <c r="A2389" s="6" t="inlineStr">
        <is>
          <t>FY27</t>
        </is>
      </c>
      <c r="B2389" s="6" t="inlineStr">
        <is>
          <t>Jun</t>
        </is>
      </c>
      <c r="C2389" s="6" t="inlineStr">
        <is>
          <t>Kerala</t>
        </is>
      </c>
      <c r="D2389" s="7" t="inlineStr">
        <is>
          <t>KL54D3218</t>
        </is>
      </c>
      <c r="E2389" s="7" t="inlineStr">
        <is>
          <t>MARUTI SUZUKI</t>
        </is>
      </c>
      <c r="F2389" s="7" t="inlineStr">
        <is>
          <t>Swift</t>
        </is>
      </c>
      <c r="G2389" s="7" t="inlineStr">
        <is>
          <t>POPULAR MARUTI</t>
        </is>
      </c>
      <c r="H2389" s="7" t="inlineStr">
        <is>
          <t>Non-Captive</t>
        </is>
      </c>
      <c r="I2389" s="7" t="inlineStr">
        <is>
          <t>RUKSANA CARS</t>
        </is>
      </c>
      <c r="J2389" s="8" t="n">
        <v>2012</v>
      </c>
      <c r="K2389" s="9" t="n">
        <v>150000</v>
      </c>
      <c r="L2389" s="10" t="n">
        <v>264000</v>
      </c>
      <c r="M2389" s="10" t="n">
        <v>7627.12</v>
      </c>
      <c r="N2389" s="11">
        <f>IF(M2389="","",ROUND(M2389*1.18,2))</f>
        <v/>
      </c>
      <c r="O2389" s="12">
        <f>IF(M2389="","",ROUND(N2389-M2389,2))</f>
        <v/>
      </c>
      <c r="P2389" s="13">
        <f>IF(AND(A2389&lt;&gt;"",B2389&lt;&gt;""), A2389&amp;" · "&amp;B2389, "")</f>
        <v/>
      </c>
    </row>
    <row r="2390">
      <c r="A2390" s="6" t="inlineStr">
        <is>
          <t>FY27</t>
        </is>
      </c>
      <c r="B2390" s="6" t="inlineStr">
        <is>
          <t>Jun</t>
        </is>
      </c>
      <c r="C2390" s="6" t="inlineStr">
        <is>
          <t>Kerala</t>
        </is>
      </c>
      <c r="D2390" s="7" t="inlineStr">
        <is>
          <t>KL55G0510</t>
        </is>
      </c>
      <c r="E2390" s="7" t="inlineStr">
        <is>
          <t>HYUNDAI</t>
        </is>
      </c>
      <c r="F2390" s="7" t="inlineStr">
        <is>
          <t>i10</t>
        </is>
      </c>
      <c r="G2390" s="7" t="inlineStr">
        <is>
          <t>AMANA TOYOTA</t>
        </is>
      </c>
      <c r="H2390" s="7" t="inlineStr">
        <is>
          <t>Non-Captive</t>
        </is>
      </c>
      <c r="I2390" s="7" t="inlineStr">
        <is>
          <t>SARITH R</t>
        </is>
      </c>
      <c r="J2390" s="8" t="n">
        <v>2010</v>
      </c>
      <c r="K2390" s="9" t="n">
        <v>130000</v>
      </c>
      <c r="L2390" s="10" t="n">
        <v>117000</v>
      </c>
      <c r="M2390" s="10" t="n">
        <v>5932.2</v>
      </c>
      <c r="N2390" s="11">
        <f>IF(M2390="","",ROUND(M2390*1.18,2))</f>
        <v/>
      </c>
      <c r="O2390" s="12">
        <f>IF(M2390="","",ROUND(N2390-M2390,2))</f>
        <v/>
      </c>
      <c r="P2390" s="13">
        <f>IF(AND(A2390&lt;&gt;"",B2390&lt;&gt;""), A2390&amp;" · "&amp;B2390, "")</f>
        <v/>
      </c>
    </row>
    <row r="2391">
      <c r="A2391" s="6" t="inlineStr">
        <is>
          <t>FY27</t>
        </is>
      </c>
      <c r="B2391" s="6" t="inlineStr">
        <is>
          <t>Jun</t>
        </is>
      </c>
      <c r="C2391" s="6" t="inlineStr">
        <is>
          <t>Kerala</t>
        </is>
      </c>
      <c r="D2391" s="7" t="inlineStr">
        <is>
          <t>KL56F5335</t>
        </is>
      </c>
      <c r="E2391" s="7" t="inlineStr">
        <is>
          <t>FIAT</t>
        </is>
      </c>
      <c r="F2391" s="7" t="inlineStr">
        <is>
          <t>Punto</t>
        </is>
      </c>
      <c r="G2391" s="7" t="inlineStr">
        <is>
          <t>APCO HONDA</t>
        </is>
      </c>
      <c r="H2391" s="7" t="inlineStr">
        <is>
          <t>Non-Captive</t>
        </is>
      </c>
      <c r="I2391" s="7" t="inlineStr">
        <is>
          <t>RUKSANA CARS</t>
        </is>
      </c>
      <c r="J2391" s="8" t="n">
        <v>2012</v>
      </c>
      <c r="K2391" s="9" t="n">
        <v>80000</v>
      </c>
      <c r="L2391" s="10" t="n">
        <v>110000</v>
      </c>
      <c r="M2391" s="10" t="n">
        <v>8474.58</v>
      </c>
      <c r="N2391" s="11">
        <f>IF(M2391="","",ROUND(M2391*1.18,2))</f>
        <v/>
      </c>
      <c r="O2391" s="12">
        <f>IF(M2391="","",ROUND(N2391-M2391,2))</f>
        <v/>
      </c>
      <c r="P2391" s="13">
        <f>IF(AND(A2391&lt;&gt;"",B2391&lt;&gt;""), A2391&amp;" · "&amp;B2391, "")</f>
        <v/>
      </c>
    </row>
    <row r="2392">
      <c r="A2392" s="6" t="inlineStr">
        <is>
          <t>FY27</t>
        </is>
      </c>
      <c r="B2392" s="6" t="inlineStr">
        <is>
          <t>Jun</t>
        </is>
      </c>
      <c r="C2392" s="6" t="inlineStr">
        <is>
          <t>Kerala</t>
        </is>
      </c>
      <c r="D2392" s="7" t="inlineStr">
        <is>
          <t>KL56M7241</t>
        </is>
      </c>
      <c r="E2392" s="7" t="inlineStr">
        <is>
          <t>TATA</t>
        </is>
      </c>
      <c r="F2392" s="7" t="inlineStr">
        <is>
          <t>Bolt</t>
        </is>
      </c>
      <c r="G2392" s="7" t="inlineStr">
        <is>
          <t>KVR TATA</t>
        </is>
      </c>
      <c r="H2392" s="7" t="inlineStr">
        <is>
          <t>Non-Captive</t>
        </is>
      </c>
      <c r="I2392" s="7" t="inlineStr">
        <is>
          <t>SAYOOJ</t>
        </is>
      </c>
      <c r="J2392" s="8" t="n">
        <v>2015</v>
      </c>
      <c r="K2392" s="9" t="n">
        <v>56000</v>
      </c>
      <c r="L2392" s="10" t="n">
        <v>135000</v>
      </c>
      <c r="M2392" s="10" t="n">
        <v>4237.29</v>
      </c>
      <c r="N2392" s="11">
        <f>IF(M2392="","",ROUND(M2392*1.18,2))</f>
        <v/>
      </c>
      <c r="O2392" s="12">
        <f>IF(M2392="","",ROUND(N2392-M2392,2))</f>
        <v/>
      </c>
      <c r="P2392" s="13">
        <f>IF(AND(A2392&lt;&gt;"",B2392&lt;&gt;""), A2392&amp;" · "&amp;B2392, "")</f>
        <v/>
      </c>
    </row>
    <row r="2393">
      <c r="A2393" s="6" t="inlineStr">
        <is>
          <t>FY27</t>
        </is>
      </c>
      <c r="B2393" s="6" t="inlineStr">
        <is>
          <t>Jun</t>
        </is>
      </c>
      <c r="C2393" s="6" t="inlineStr">
        <is>
          <t>Kerala</t>
        </is>
      </c>
      <c r="D2393" s="7" t="inlineStr">
        <is>
          <t>KL57D8257</t>
        </is>
      </c>
      <c r="E2393" s="7" t="inlineStr">
        <is>
          <t>MARUTI SUZUKI</t>
        </is>
      </c>
      <c r="F2393" s="7" t="inlineStr">
        <is>
          <t>Ritz</t>
        </is>
      </c>
      <c r="G2393" s="7" t="inlineStr">
        <is>
          <t>UCD NITHEESH</t>
        </is>
      </c>
      <c r="H2393" s="7" t="inlineStr">
        <is>
          <t>Non-Captive</t>
        </is>
      </c>
      <c r="I2393" s="7" t="inlineStr">
        <is>
          <t>RATHEESH</t>
        </is>
      </c>
      <c r="J2393" s="8" t="n">
        <v>2011</v>
      </c>
      <c r="K2393" s="9" t="n">
        <v>95000</v>
      </c>
      <c r="L2393" s="10" t="n">
        <v>105000</v>
      </c>
      <c r="M2393" s="10" t="n">
        <v>4237.29</v>
      </c>
      <c r="N2393" s="11">
        <f>IF(M2393="","",ROUND(M2393*1.18,2))</f>
        <v/>
      </c>
      <c r="O2393" s="12">
        <f>IF(M2393="","",ROUND(N2393-M2393,2))</f>
        <v/>
      </c>
      <c r="P2393" s="13">
        <f>IF(AND(A2393&lt;&gt;"",B2393&lt;&gt;""), A2393&amp;" · "&amp;B2393, "")</f>
        <v/>
      </c>
    </row>
    <row r="2394">
      <c r="A2394" s="6" t="inlineStr">
        <is>
          <t>FY27</t>
        </is>
      </c>
      <c r="B2394" s="6" t="inlineStr">
        <is>
          <t>Jun</t>
        </is>
      </c>
      <c r="C2394" s="6" t="inlineStr">
        <is>
          <t>Kerala</t>
        </is>
      </c>
      <c r="D2394" s="7" t="inlineStr">
        <is>
          <t>KL580716</t>
        </is>
      </c>
      <c r="E2394" s="7" t="inlineStr">
        <is>
          <t>MARUTI SUZUKI</t>
        </is>
      </c>
      <c r="F2394" s="7" t="inlineStr">
        <is>
          <t>800</t>
        </is>
      </c>
      <c r="G2394" s="7" t="inlineStr">
        <is>
          <t>POPULAR MARUTI</t>
        </is>
      </c>
      <c r="H2394" s="7" t="inlineStr">
        <is>
          <t>Non-Captive</t>
        </is>
      </c>
      <c r="I2394" s="7" t="inlineStr">
        <is>
          <t>ANAS VH</t>
        </is>
      </c>
      <c r="J2394" s="8" t="n">
        <v>2006</v>
      </c>
      <c r="K2394" s="9" t="n">
        <v>126536</v>
      </c>
      <c r="L2394" s="10" t="n">
        <v>16000</v>
      </c>
      <c r="M2394" s="10" t="n">
        <v>4237.29</v>
      </c>
      <c r="N2394" s="11">
        <f>IF(M2394="","",ROUND(M2394*1.18,2))</f>
        <v/>
      </c>
      <c r="O2394" s="12">
        <f>IF(M2394="","",ROUND(N2394-M2394,2))</f>
        <v/>
      </c>
      <c r="P2394" s="13">
        <f>IF(AND(A2394&lt;&gt;"",B2394&lt;&gt;""), A2394&amp;" · "&amp;B2394, "")</f>
        <v/>
      </c>
    </row>
    <row r="2395">
      <c r="A2395" s="6" t="inlineStr">
        <is>
          <t>FY27</t>
        </is>
      </c>
      <c r="B2395" s="6" t="inlineStr">
        <is>
          <t>Jun</t>
        </is>
      </c>
      <c r="C2395" s="6" t="inlineStr">
        <is>
          <t>Kerala</t>
        </is>
      </c>
      <c r="D2395" s="7" t="inlineStr">
        <is>
          <t>KL58AA8135</t>
        </is>
      </c>
      <c r="E2395" s="7" t="inlineStr">
        <is>
          <t>DATSUN</t>
        </is>
      </c>
      <c r="F2395" s="7" t="inlineStr">
        <is>
          <t>Go</t>
        </is>
      </c>
      <c r="G2395" s="7" t="inlineStr">
        <is>
          <t>INDUS MARUTI</t>
        </is>
      </c>
      <c r="H2395" s="7" t="inlineStr">
        <is>
          <t>Non-Captive</t>
        </is>
      </c>
      <c r="I2395" s="7" t="inlineStr">
        <is>
          <t>THANSIR</t>
        </is>
      </c>
      <c r="J2395" s="8" t="n">
        <v>2019</v>
      </c>
      <c r="K2395" s="9" t="n">
        <v>23000</v>
      </c>
      <c r="L2395" s="10" t="n">
        <v>165000</v>
      </c>
      <c r="M2395" s="10" t="n">
        <v>4237.29</v>
      </c>
      <c r="N2395" s="11">
        <f>IF(M2395="","",ROUND(M2395*1.18,2))</f>
        <v/>
      </c>
      <c r="O2395" s="12">
        <f>IF(M2395="","",ROUND(N2395-M2395,2))</f>
        <v/>
      </c>
      <c r="P2395" s="13">
        <f>IF(AND(A2395&lt;&gt;"",B2395&lt;&gt;""), A2395&amp;" · "&amp;B2395, "")</f>
        <v/>
      </c>
    </row>
    <row r="2396">
      <c r="A2396" s="6" t="inlineStr">
        <is>
          <t>FY27</t>
        </is>
      </c>
      <c r="B2396" s="6" t="inlineStr">
        <is>
          <t>Jun</t>
        </is>
      </c>
      <c r="C2396" s="6" t="inlineStr">
        <is>
          <t>Kerala</t>
        </is>
      </c>
      <c r="D2396" s="7" t="inlineStr">
        <is>
          <t>KL58AD1916</t>
        </is>
      </c>
      <c r="E2396" s="7" t="inlineStr">
        <is>
          <t>MARUTI SUZUKI</t>
        </is>
      </c>
      <c r="F2396" s="7" t="inlineStr">
        <is>
          <t>Alto</t>
        </is>
      </c>
      <c r="G2396" s="7" t="inlineStr">
        <is>
          <t>INDUS MARUTI</t>
        </is>
      </c>
      <c r="H2396" s="7" t="inlineStr">
        <is>
          <t>Non-Captive</t>
        </is>
      </c>
      <c r="I2396" s="7" t="inlineStr">
        <is>
          <t>NIDHEESH</t>
        </is>
      </c>
      <c r="J2396" s="8" t="n">
        <v>2020</v>
      </c>
      <c r="K2396" s="9" t="n">
        <v>89000</v>
      </c>
      <c r="L2396" s="10" t="n">
        <v>215000</v>
      </c>
      <c r="M2396" s="10" t="n">
        <v>4237.29</v>
      </c>
      <c r="N2396" s="11">
        <f>IF(M2396="","",ROUND(M2396*1.18,2))</f>
        <v/>
      </c>
      <c r="O2396" s="12">
        <f>IF(M2396="","",ROUND(N2396-M2396,2))</f>
        <v/>
      </c>
      <c r="P2396" s="13">
        <f>IF(AND(A2396&lt;&gt;"",B2396&lt;&gt;""), A2396&amp;" · "&amp;B2396, "")</f>
        <v/>
      </c>
    </row>
    <row r="2397">
      <c r="A2397" s="6" t="inlineStr">
        <is>
          <t>FY27</t>
        </is>
      </c>
      <c r="B2397" s="6" t="inlineStr">
        <is>
          <t>Jun</t>
        </is>
      </c>
      <c r="C2397" s="6" t="inlineStr">
        <is>
          <t>Kerala</t>
        </is>
      </c>
      <c r="D2397" s="7" t="inlineStr">
        <is>
          <t>KL58AE0064</t>
        </is>
      </c>
      <c r="E2397" s="7" t="inlineStr">
        <is>
          <t>KIA</t>
        </is>
      </c>
      <c r="F2397" s="7" t="inlineStr">
        <is>
          <t>Seltos</t>
        </is>
      </c>
      <c r="G2397" s="7" t="inlineStr">
        <is>
          <t>DKH KIA</t>
        </is>
      </c>
      <c r="H2397" s="7" t="inlineStr">
        <is>
          <t>Non-Captive</t>
        </is>
      </c>
      <c r="I2397" s="7" t="inlineStr">
        <is>
          <t>ATTASSERY THABSHEER</t>
        </is>
      </c>
      <c r="J2397" s="8" t="n">
        <v>2021</v>
      </c>
      <c r="K2397" s="9" t="n">
        <v>60000</v>
      </c>
      <c r="L2397" s="10" t="n">
        <v>870000</v>
      </c>
      <c r="M2397" s="10" t="n">
        <v>8474.58</v>
      </c>
      <c r="N2397" s="11">
        <f>IF(M2397="","",ROUND(M2397*1.18,2))</f>
        <v/>
      </c>
      <c r="O2397" s="12">
        <f>IF(M2397="","",ROUND(N2397-M2397,2))</f>
        <v/>
      </c>
      <c r="P2397" s="13">
        <f>IF(AND(A2397&lt;&gt;"",B2397&lt;&gt;""), A2397&amp;" · "&amp;B2397, "")</f>
        <v/>
      </c>
    </row>
    <row r="2398">
      <c r="A2398" s="6" t="inlineStr">
        <is>
          <t>FY27</t>
        </is>
      </c>
      <c r="B2398" s="6" t="inlineStr">
        <is>
          <t>Jun</t>
        </is>
      </c>
      <c r="C2398" s="6" t="inlineStr">
        <is>
          <t>Kerala</t>
        </is>
      </c>
      <c r="D2398" s="7" t="inlineStr">
        <is>
          <t>KL58AF9993</t>
        </is>
      </c>
      <c r="E2398" s="7" t="inlineStr">
        <is>
          <t>HYUNDAI</t>
        </is>
      </c>
      <c r="F2398" s="7" t="inlineStr">
        <is>
          <t>i20</t>
        </is>
      </c>
      <c r="G2398" s="7" t="inlineStr">
        <is>
          <t>YESBANK</t>
        </is>
      </c>
      <c r="H2398" s="7" t="inlineStr">
        <is>
          <t>Non-Captive</t>
        </is>
      </c>
      <c r="I2398" s="7" t="inlineStr">
        <is>
          <t>MARVEL CARS</t>
        </is>
      </c>
      <c r="J2398" s="8" t="n">
        <v>2022</v>
      </c>
      <c r="K2398" s="9" t="n">
        <v>55000</v>
      </c>
      <c r="L2398" s="10" t="n">
        <v>510000</v>
      </c>
      <c r="M2398" s="10" t="n">
        <v>8474.58</v>
      </c>
      <c r="N2398" s="11">
        <f>IF(M2398="","",ROUND(M2398*1.18,2))</f>
        <v/>
      </c>
      <c r="O2398" s="12">
        <f>IF(M2398="","",ROUND(N2398-M2398,2))</f>
        <v/>
      </c>
      <c r="P2398" s="13">
        <f>IF(AND(A2398&lt;&gt;"",B2398&lt;&gt;""), A2398&amp;" · "&amp;B2398, "")</f>
        <v/>
      </c>
    </row>
    <row r="2399">
      <c r="A2399" s="6" t="inlineStr">
        <is>
          <t>FY27</t>
        </is>
      </c>
      <c r="B2399" s="6" t="inlineStr">
        <is>
          <t>Jun</t>
        </is>
      </c>
      <c r="C2399" s="6" t="inlineStr">
        <is>
          <t>Kerala</t>
        </is>
      </c>
      <c r="D2399" s="7" t="inlineStr">
        <is>
          <t>KL58AJ4564</t>
        </is>
      </c>
      <c r="E2399" s="7" t="inlineStr">
        <is>
          <t>TATA</t>
        </is>
      </c>
      <c r="F2399" s="7" t="inlineStr">
        <is>
          <t>Tiago</t>
        </is>
      </c>
      <c r="G2399" s="7" t="inlineStr">
        <is>
          <t>KVR TATA</t>
        </is>
      </c>
      <c r="H2399" s="7" t="inlineStr">
        <is>
          <t>Non-Captive</t>
        </is>
      </c>
      <c r="I2399" s="7" t="inlineStr">
        <is>
          <t>SARITH R</t>
        </is>
      </c>
      <c r="J2399" s="8" t="n">
        <v>2023</v>
      </c>
      <c r="K2399" s="9" t="n">
        <v>70000</v>
      </c>
      <c r="L2399" s="10" t="n">
        <v>277000</v>
      </c>
      <c r="M2399" s="10" t="n">
        <v>5932.2</v>
      </c>
      <c r="N2399" s="11">
        <f>IF(M2399="","",ROUND(M2399*1.18,2))</f>
        <v/>
      </c>
      <c r="O2399" s="12">
        <f>IF(M2399="","",ROUND(N2399-M2399,2))</f>
        <v/>
      </c>
      <c r="P2399" s="13">
        <f>IF(AND(A2399&lt;&gt;"",B2399&lt;&gt;""), A2399&amp;" · "&amp;B2399, "")</f>
        <v/>
      </c>
    </row>
    <row r="2400">
      <c r="A2400" s="6" t="inlineStr">
        <is>
          <t>FY27</t>
        </is>
      </c>
      <c r="B2400" s="6" t="inlineStr">
        <is>
          <t>Jun</t>
        </is>
      </c>
      <c r="C2400" s="6" t="inlineStr">
        <is>
          <t>Kerala</t>
        </is>
      </c>
      <c r="D2400" s="7" t="inlineStr">
        <is>
          <t>KL58C3021</t>
        </is>
      </c>
      <c r="E2400" s="7" t="inlineStr">
        <is>
          <t>MARUTI SUZUKI</t>
        </is>
      </c>
      <c r="F2400" s="7" t="inlineStr">
        <is>
          <t>Wagon R</t>
        </is>
      </c>
      <c r="G2400" s="7" t="inlineStr">
        <is>
          <t>DKH KIA</t>
        </is>
      </c>
      <c r="H2400" s="7" t="inlineStr">
        <is>
          <t>Non-Captive</t>
        </is>
      </c>
      <c r="I2400" s="7" t="inlineStr">
        <is>
          <t>ABDUL SALAM K K</t>
        </is>
      </c>
      <c r="J2400" s="8" t="n">
        <v>2010</v>
      </c>
      <c r="K2400" s="9" t="n">
        <v>85000</v>
      </c>
      <c r="L2400" s="10" t="n">
        <v>100000</v>
      </c>
      <c r="M2400" s="10" t="n">
        <v>4237.29</v>
      </c>
      <c r="N2400" s="11">
        <f>IF(M2400="","",ROUND(M2400*1.18,2))</f>
        <v/>
      </c>
      <c r="O2400" s="12">
        <f>IF(M2400="","",ROUND(N2400-M2400,2))</f>
        <v/>
      </c>
      <c r="P2400" s="13">
        <f>IF(AND(A2400&lt;&gt;"",B2400&lt;&gt;""), A2400&amp;" · "&amp;B2400, "")</f>
        <v/>
      </c>
    </row>
    <row r="2401">
      <c r="A2401" s="6" t="inlineStr">
        <is>
          <t>FY27</t>
        </is>
      </c>
      <c r="B2401" s="6" t="inlineStr">
        <is>
          <t>Jun</t>
        </is>
      </c>
      <c r="C2401" s="6" t="inlineStr">
        <is>
          <t>Kerala</t>
        </is>
      </c>
      <c r="D2401" s="7" t="inlineStr">
        <is>
          <t>KL58L5954</t>
        </is>
      </c>
      <c r="E2401" s="7" t="inlineStr">
        <is>
          <t>NISSAN</t>
        </is>
      </c>
      <c r="F2401" s="7" t="inlineStr">
        <is>
          <t>Evalia</t>
        </is>
      </c>
      <c r="G2401" s="7" t="inlineStr">
        <is>
          <t>ERAM MOTORS</t>
        </is>
      </c>
      <c r="H2401" s="7" t="inlineStr">
        <is>
          <t>Non-Captive</t>
        </is>
      </c>
      <c r="I2401" s="7" t="inlineStr">
        <is>
          <t>NIDHEESH</t>
        </is>
      </c>
      <c r="J2401" s="8" t="n">
        <v>2013</v>
      </c>
      <c r="K2401" s="9" t="n">
        <v>200000</v>
      </c>
      <c r="L2401" s="10" t="n">
        <v>225000</v>
      </c>
      <c r="M2401" s="10" t="n">
        <v>4237.29</v>
      </c>
      <c r="N2401" s="11">
        <f>IF(M2401="","",ROUND(M2401*1.18,2))</f>
        <v/>
      </c>
      <c r="O2401" s="12">
        <f>IF(M2401="","",ROUND(N2401-M2401,2))</f>
        <v/>
      </c>
      <c r="P2401" s="13">
        <f>IF(AND(A2401&lt;&gt;"",B2401&lt;&gt;""), A2401&amp;" · "&amp;B2401, "")</f>
        <v/>
      </c>
    </row>
    <row r="2402">
      <c r="A2402" s="6" t="inlineStr">
        <is>
          <t>FY27</t>
        </is>
      </c>
      <c r="B2402" s="6" t="inlineStr">
        <is>
          <t>Jun</t>
        </is>
      </c>
      <c r="C2402" s="6" t="inlineStr">
        <is>
          <t>Kerala</t>
        </is>
      </c>
      <c r="D2402" s="7" t="inlineStr">
        <is>
          <t>KL58M7384</t>
        </is>
      </c>
      <c r="E2402" s="7" t="inlineStr">
        <is>
          <t>DATSUN</t>
        </is>
      </c>
      <c r="F2402" s="7" t="inlineStr">
        <is>
          <t>Go</t>
        </is>
      </c>
      <c r="G2402" s="7" t="inlineStr">
        <is>
          <t>UCD DIAZ</t>
        </is>
      </c>
      <c r="H2402" s="7" t="inlineStr">
        <is>
          <t>Non-Captive</t>
        </is>
      </c>
      <c r="I2402" s="7" t="inlineStr">
        <is>
          <t>AUTOTRUST</t>
        </is>
      </c>
      <c r="J2402" s="8" t="n">
        <v>2014</v>
      </c>
      <c r="K2402" s="9" t="n">
        <v>87000</v>
      </c>
      <c r="L2402" s="10" t="n">
        <v>39007</v>
      </c>
      <c r="M2402" s="10" t="n">
        <v>5090.68</v>
      </c>
      <c r="N2402" s="11">
        <f>IF(M2402="","",ROUND(M2402*1.18,2))</f>
        <v/>
      </c>
      <c r="O2402" s="12">
        <f>IF(M2402="","",ROUND(N2402-M2402,2))</f>
        <v/>
      </c>
      <c r="P2402" s="13">
        <f>IF(AND(A2402&lt;&gt;"",B2402&lt;&gt;""), A2402&amp;" · "&amp;B2402, "")</f>
        <v/>
      </c>
    </row>
    <row r="2403">
      <c r="A2403" s="6" t="inlineStr">
        <is>
          <t>FY27</t>
        </is>
      </c>
      <c r="B2403" s="6" t="inlineStr">
        <is>
          <t>Jun</t>
        </is>
      </c>
      <c r="C2403" s="6" t="inlineStr">
        <is>
          <t>Kerala</t>
        </is>
      </c>
      <c r="D2403" s="7" t="inlineStr">
        <is>
          <t>KL58R0540</t>
        </is>
      </c>
      <c r="E2403" s="7" t="inlineStr">
        <is>
          <t>MARUTI SUZUKI</t>
        </is>
      </c>
      <c r="F2403" s="7" t="inlineStr">
        <is>
          <t>Celerio</t>
        </is>
      </c>
      <c r="G2403" s="7" t="inlineStr">
        <is>
          <t>CARBAZAR</t>
        </is>
      </c>
      <c r="H2403" s="7" t="inlineStr">
        <is>
          <t>Non-Captive</t>
        </is>
      </c>
      <c r="I2403" s="7" t="inlineStr">
        <is>
          <t>VASIL</t>
        </is>
      </c>
      <c r="J2403" s="8" t="n">
        <v>2015</v>
      </c>
      <c r="K2403" s="9" t="n">
        <v>40000</v>
      </c>
      <c r="L2403" s="10" t="n">
        <v>232000</v>
      </c>
      <c r="M2403" s="10" t="n">
        <v>5932.2</v>
      </c>
      <c r="N2403" s="11">
        <f>IF(M2403="","",ROUND(M2403*1.18,2))</f>
        <v/>
      </c>
      <c r="O2403" s="12">
        <f>IF(M2403="","",ROUND(N2403-M2403,2))</f>
        <v/>
      </c>
      <c r="P2403" s="13">
        <f>IF(AND(A2403&lt;&gt;"",B2403&lt;&gt;""), A2403&amp;" · "&amp;B2403, "")</f>
        <v/>
      </c>
    </row>
    <row r="2404">
      <c r="A2404" s="6" t="inlineStr">
        <is>
          <t>FY27</t>
        </is>
      </c>
      <c r="B2404" s="6" t="inlineStr">
        <is>
          <t>Jun</t>
        </is>
      </c>
      <c r="C2404" s="6" t="inlineStr">
        <is>
          <t>Kerala</t>
        </is>
      </c>
      <c r="D2404" s="7" t="inlineStr">
        <is>
          <t>KL58S8549</t>
        </is>
      </c>
      <c r="E2404" s="7" t="inlineStr">
        <is>
          <t>NISSAN</t>
        </is>
      </c>
      <c r="F2404" s="7" t="inlineStr">
        <is>
          <t>Terrano</t>
        </is>
      </c>
      <c r="G2404" s="7" t="inlineStr">
        <is>
          <t>UCD SANTHOSH</t>
        </is>
      </c>
      <c r="H2404" s="7" t="inlineStr">
        <is>
          <t>Non-Captive</t>
        </is>
      </c>
      <c r="I2404" s="7" t="inlineStr">
        <is>
          <t>AUTOTRUST</t>
        </is>
      </c>
      <c r="J2404" s="8" t="n">
        <v>2015</v>
      </c>
      <c r="K2404" s="9" t="n">
        <v>259000</v>
      </c>
      <c r="L2404" s="10" t="n">
        <v>210000</v>
      </c>
      <c r="M2404" s="10" t="n">
        <v>8474.58</v>
      </c>
      <c r="N2404" s="11">
        <f>IF(M2404="","",ROUND(M2404*1.18,2))</f>
        <v/>
      </c>
      <c r="O2404" s="12">
        <f>IF(M2404="","",ROUND(N2404-M2404,2))</f>
        <v/>
      </c>
      <c r="P2404" s="13">
        <f>IF(AND(A2404&lt;&gt;"",B2404&lt;&gt;""), A2404&amp;" · "&amp;B2404, "")</f>
        <v/>
      </c>
    </row>
    <row r="2405">
      <c r="A2405" s="6" t="inlineStr">
        <is>
          <t>FY27</t>
        </is>
      </c>
      <c r="B2405" s="6" t="inlineStr">
        <is>
          <t>Jun</t>
        </is>
      </c>
      <c r="C2405" s="6" t="inlineStr">
        <is>
          <t>Kerala</t>
        </is>
      </c>
      <c r="D2405" s="7" t="inlineStr">
        <is>
          <t>KL58U4464</t>
        </is>
      </c>
      <c r="E2405" s="7" t="inlineStr">
        <is>
          <t>MARUTI SUZUKI</t>
        </is>
      </c>
      <c r="F2405" s="7" t="inlineStr">
        <is>
          <t>Wagon R</t>
        </is>
      </c>
      <c r="G2405" s="7" t="inlineStr">
        <is>
          <t>ERAM MOTORS</t>
        </is>
      </c>
      <c r="H2405" s="7" t="inlineStr">
        <is>
          <t>Non-Captive</t>
        </is>
      </c>
      <c r="I2405" s="7" t="inlineStr">
        <is>
          <t>VARUN</t>
        </is>
      </c>
      <c r="J2405" s="8" t="n">
        <v>2016</v>
      </c>
      <c r="K2405" s="9" t="n">
        <v>105000</v>
      </c>
      <c r="L2405" s="10" t="n">
        <v>285000</v>
      </c>
      <c r="M2405" s="10" t="n">
        <v>4237.29</v>
      </c>
      <c r="N2405" s="11">
        <f>IF(M2405="","",ROUND(M2405*1.18,2))</f>
        <v/>
      </c>
      <c r="O2405" s="12">
        <f>IF(M2405="","",ROUND(N2405-M2405,2))</f>
        <v/>
      </c>
      <c r="P2405" s="13">
        <f>IF(AND(A2405&lt;&gt;"",B2405&lt;&gt;""), A2405&amp;" · "&amp;B2405, "")</f>
        <v/>
      </c>
    </row>
    <row r="2406">
      <c r="A2406" s="6" t="inlineStr">
        <is>
          <t>FY27</t>
        </is>
      </c>
      <c r="B2406" s="6" t="inlineStr">
        <is>
          <t>Jun</t>
        </is>
      </c>
      <c r="C2406" s="6" t="inlineStr">
        <is>
          <t>Kerala</t>
        </is>
      </c>
      <c r="D2406" s="7" t="inlineStr">
        <is>
          <t>KL597554</t>
        </is>
      </c>
      <c r="E2406" s="7" t="inlineStr">
        <is>
          <t>MARUTI SUZUKI</t>
        </is>
      </c>
      <c r="F2406" s="7" t="inlineStr">
        <is>
          <t>Alto</t>
        </is>
      </c>
      <c r="G2406" s="7" t="inlineStr">
        <is>
          <t>POPULAR MARUTI</t>
        </is>
      </c>
      <c r="H2406" s="7" t="inlineStr">
        <is>
          <t>Non-Captive</t>
        </is>
      </c>
      <c r="I2406" s="7" t="inlineStr">
        <is>
          <t>RIYAS</t>
        </is>
      </c>
      <c r="J2406" s="8" t="n">
        <v>2007</v>
      </c>
      <c r="K2406" s="9" t="n">
        <v>100000</v>
      </c>
      <c r="L2406" s="10" t="n">
        <v>40000</v>
      </c>
      <c r="M2406" s="10" t="n">
        <v>8474.58</v>
      </c>
      <c r="N2406" s="11">
        <f>IF(M2406="","",ROUND(M2406*1.18,2))</f>
        <v/>
      </c>
      <c r="O2406" s="12">
        <f>IF(M2406="","",ROUND(N2406-M2406,2))</f>
        <v/>
      </c>
      <c r="P2406" s="13">
        <f>IF(AND(A2406&lt;&gt;"",B2406&lt;&gt;""), A2406&amp;" · "&amp;B2406, "")</f>
        <v/>
      </c>
    </row>
    <row r="2407">
      <c r="A2407" s="6" t="inlineStr">
        <is>
          <t>FY27</t>
        </is>
      </c>
      <c r="B2407" s="6" t="inlineStr">
        <is>
          <t>Jun</t>
        </is>
      </c>
      <c r="C2407" s="6" t="inlineStr">
        <is>
          <t>Kerala</t>
        </is>
      </c>
      <c r="D2407" s="7" t="inlineStr">
        <is>
          <t>KL59AB6654</t>
        </is>
      </c>
      <c r="E2407" s="7" t="inlineStr">
        <is>
          <t>MARUTI SUZUKI</t>
        </is>
      </c>
      <c r="F2407" s="7" t="inlineStr">
        <is>
          <t>Swift</t>
        </is>
      </c>
      <c r="G2407" s="7" t="inlineStr">
        <is>
          <t>KVR TATA</t>
        </is>
      </c>
      <c r="H2407" s="7" t="inlineStr">
        <is>
          <t>Non-Captive</t>
        </is>
      </c>
      <c r="I2407" s="7" t="inlineStr">
        <is>
          <t>Varun Prakash</t>
        </is>
      </c>
      <c r="J2407" s="8" t="n">
        <v>2025</v>
      </c>
      <c r="K2407" s="9" t="n">
        <v>15000</v>
      </c>
      <c r="L2407" s="10" t="n">
        <v>620000</v>
      </c>
      <c r="M2407" s="10" t="n">
        <v>8474.58</v>
      </c>
      <c r="N2407" s="11">
        <f>IF(M2407="","",ROUND(M2407*1.18,2))</f>
        <v/>
      </c>
      <c r="O2407" s="12">
        <f>IF(M2407="","",ROUND(N2407-M2407,2))</f>
        <v/>
      </c>
      <c r="P2407" s="13">
        <f>IF(AND(A2407&lt;&gt;"",B2407&lt;&gt;""), A2407&amp;" · "&amp;B2407, "")</f>
        <v/>
      </c>
    </row>
    <row r="2408">
      <c r="A2408" s="6" t="inlineStr">
        <is>
          <t>FY27</t>
        </is>
      </c>
      <c r="B2408" s="6" t="inlineStr">
        <is>
          <t>Jun</t>
        </is>
      </c>
      <c r="C2408" s="6" t="inlineStr">
        <is>
          <t>Kerala</t>
        </is>
      </c>
      <c r="D2408" s="7" t="inlineStr">
        <is>
          <t>KL59B5271</t>
        </is>
      </c>
      <c r="E2408" s="7" t="inlineStr">
        <is>
          <t>MARUTI SUZUKI</t>
        </is>
      </c>
      <c r="F2408" s="7" t="inlineStr">
        <is>
          <t>Alto</t>
        </is>
      </c>
      <c r="G2408" s="7" t="inlineStr">
        <is>
          <t>POPULAR MARUTI</t>
        </is>
      </c>
      <c r="H2408" s="7" t="inlineStr">
        <is>
          <t>Non-Captive</t>
        </is>
      </c>
      <c r="I2408" s="7" t="inlineStr">
        <is>
          <t>SARITH R</t>
        </is>
      </c>
      <c r="J2408" s="8" t="n">
        <v>2010</v>
      </c>
      <c r="K2408" s="9" t="n">
        <v>89000</v>
      </c>
      <c r="L2408" s="10" t="n">
        <v>53000</v>
      </c>
      <c r="M2408" s="10" t="n">
        <v>6779.66</v>
      </c>
      <c r="N2408" s="11">
        <f>IF(M2408="","",ROUND(M2408*1.18,2))</f>
        <v/>
      </c>
      <c r="O2408" s="12">
        <f>IF(M2408="","",ROUND(N2408-M2408,2))</f>
        <v/>
      </c>
      <c r="P2408" s="13">
        <f>IF(AND(A2408&lt;&gt;"",B2408&lt;&gt;""), A2408&amp;" · "&amp;B2408, "")</f>
        <v/>
      </c>
    </row>
    <row r="2409">
      <c r="A2409" s="6" t="inlineStr">
        <is>
          <t>FY27</t>
        </is>
      </c>
      <c r="B2409" s="6" t="inlineStr">
        <is>
          <t>Jun</t>
        </is>
      </c>
      <c r="C2409" s="6" t="inlineStr">
        <is>
          <t>Kerala</t>
        </is>
      </c>
      <c r="D2409" s="7" t="inlineStr">
        <is>
          <t>KL59D7869</t>
        </is>
      </c>
      <c r="E2409" s="7" t="inlineStr">
        <is>
          <t>MAHINDRA</t>
        </is>
      </c>
      <c r="F2409" s="7" t="inlineStr">
        <is>
          <t>Verito</t>
        </is>
      </c>
      <c r="G2409" s="7" t="inlineStr">
        <is>
          <t>POPULAR MARUTI</t>
        </is>
      </c>
      <c r="H2409" s="7" t="inlineStr">
        <is>
          <t>Non-Captive</t>
        </is>
      </c>
      <c r="I2409" s="7" t="inlineStr">
        <is>
          <t>SARITH</t>
        </is>
      </c>
      <c r="J2409" s="8" t="n">
        <v>2011</v>
      </c>
      <c r="K2409" s="9" t="n">
        <v>160000</v>
      </c>
      <c r="L2409" s="10" t="n">
        <v>68000</v>
      </c>
      <c r="M2409" s="10" t="n">
        <v>6779.66</v>
      </c>
      <c r="N2409" s="11">
        <f>IF(M2409="","",ROUND(M2409*1.18,2))</f>
        <v/>
      </c>
      <c r="O2409" s="12">
        <f>IF(M2409="","",ROUND(N2409-M2409,2))</f>
        <v/>
      </c>
      <c r="P2409" s="13">
        <f>IF(AND(A2409&lt;&gt;"",B2409&lt;&gt;""), A2409&amp;" · "&amp;B2409, "")</f>
        <v/>
      </c>
    </row>
    <row r="2410">
      <c r="A2410" s="6" t="inlineStr">
        <is>
          <t>FY27</t>
        </is>
      </c>
      <c r="B2410" s="6" t="inlineStr">
        <is>
          <t>Jun</t>
        </is>
      </c>
      <c r="C2410" s="6" t="inlineStr">
        <is>
          <t>Kerala</t>
        </is>
      </c>
      <c r="D2410" s="7" t="inlineStr">
        <is>
          <t>KL59E6434</t>
        </is>
      </c>
      <c r="E2410" s="7" t="inlineStr">
        <is>
          <t>TATA</t>
        </is>
      </c>
      <c r="F2410" s="7" t="inlineStr">
        <is>
          <t>Nano</t>
        </is>
      </c>
      <c r="G2410" s="7" t="inlineStr">
        <is>
          <t>AUTOTRUST</t>
        </is>
      </c>
      <c r="H2410" s="7" t="inlineStr">
        <is>
          <t>Non-Captive</t>
        </is>
      </c>
      <c r="I2410" s="7" t="inlineStr">
        <is>
          <t>SARITH R</t>
        </is>
      </c>
      <c r="J2410" s="8" t="n">
        <v>2012</v>
      </c>
      <c r="K2410" s="9" t="n">
        <v>76000</v>
      </c>
      <c r="L2410" s="10" t="n">
        <v>25000</v>
      </c>
      <c r="M2410" s="10" t="n">
        <v>8474.58</v>
      </c>
      <c r="N2410" s="11">
        <f>IF(M2410="","",ROUND(M2410*1.18,2))</f>
        <v/>
      </c>
      <c r="O2410" s="12">
        <f>IF(M2410="","",ROUND(N2410-M2410,2))</f>
        <v/>
      </c>
      <c r="P2410" s="13">
        <f>IF(AND(A2410&lt;&gt;"",B2410&lt;&gt;""), A2410&amp;" · "&amp;B2410, "")</f>
        <v/>
      </c>
    </row>
    <row r="2411">
      <c r="A2411" s="6" t="inlineStr">
        <is>
          <t>FY27</t>
        </is>
      </c>
      <c r="B2411" s="6" t="inlineStr">
        <is>
          <t>Jun</t>
        </is>
      </c>
      <c r="C2411" s="6" t="inlineStr">
        <is>
          <t>Kerala</t>
        </is>
      </c>
      <c r="D2411" s="7" t="inlineStr">
        <is>
          <t>KL59H8028</t>
        </is>
      </c>
      <c r="E2411" s="7" t="inlineStr">
        <is>
          <t>MARUTI SUZUKI</t>
        </is>
      </c>
      <c r="F2411" s="7" t="inlineStr">
        <is>
          <t>Swift</t>
        </is>
      </c>
      <c r="G2411" s="7" t="inlineStr">
        <is>
          <t>POPULAR MARUTI</t>
        </is>
      </c>
      <c r="H2411" s="7" t="inlineStr">
        <is>
          <t>Non-Captive</t>
        </is>
      </c>
      <c r="I2411" s="7" t="inlineStr">
        <is>
          <t>RATHEESH</t>
        </is>
      </c>
      <c r="J2411" s="8" t="n">
        <v>2013</v>
      </c>
      <c r="K2411" s="9" t="n">
        <v>106000</v>
      </c>
      <c r="L2411" s="10" t="n">
        <v>220000</v>
      </c>
      <c r="M2411" s="10" t="n">
        <v>8474.58</v>
      </c>
      <c r="N2411" s="11">
        <f>IF(M2411="","",ROUND(M2411*1.18,2))</f>
        <v/>
      </c>
      <c r="O2411" s="12">
        <f>IF(M2411="","",ROUND(N2411-M2411,2))</f>
        <v/>
      </c>
      <c r="P2411" s="13">
        <f>IF(AND(A2411&lt;&gt;"",B2411&lt;&gt;""), A2411&amp;" · "&amp;B2411, "")</f>
        <v/>
      </c>
    </row>
    <row r="2412">
      <c r="A2412" s="6" t="inlineStr">
        <is>
          <t>FY27</t>
        </is>
      </c>
      <c r="B2412" s="6" t="inlineStr">
        <is>
          <t>Jun</t>
        </is>
      </c>
      <c r="C2412" s="6" t="inlineStr">
        <is>
          <t>Kerala</t>
        </is>
      </c>
      <c r="D2412" s="7" t="inlineStr">
        <is>
          <t>KL59L1096</t>
        </is>
      </c>
      <c r="E2412" s="7" t="inlineStr">
        <is>
          <t>MARUTI SUZUKI</t>
        </is>
      </c>
      <c r="F2412" s="7" t="inlineStr">
        <is>
          <t>Swift</t>
        </is>
      </c>
      <c r="G2412" s="7" t="inlineStr">
        <is>
          <t>MARVEL CARS</t>
        </is>
      </c>
      <c r="H2412" s="7" t="inlineStr">
        <is>
          <t>Non-Captive</t>
        </is>
      </c>
      <c r="I2412" s="7" t="inlineStr">
        <is>
          <t>RATHEESH V</t>
        </is>
      </c>
      <c r="J2412" s="8" t="n">
        <v>2015</v>
      </c>
      <c r="K2412" s="9" t="n">
        <v>152000</v>
      </c>
      <c r="L2412" s="10" t="n">
        <v>235000</v>
      </c>
      <c r="M2412" s="10" t="n">
        <v>12711.86</v>
      </c>
      <c r="N2412" s="11">
        <f>IF(M2412="","",ROUND(M2412*1.18,2))</f>
        <v/>
      </c>
      <c r="O2412" s="12">
        <f>IF(M2412="","",ROUND(N2412-M2412,2))</f>
        <v/>
      </c>
      <c r="P2412" s="13">
        <f>IF(AND(A2412&lt;&gt;"",B2412&lt;&gt;""), A2412&amp;" · "&amp;B2412, "")</f>
        <v/>
      </c>
    </row>
    <row r="2413">
      <c r="A2413" s="6" t="inlineStr">
        <is>
          <t>FY27</t>
        </is>
      </c>
      <c r="B2413" s="6" t="inlineStr">
        <is>
          <t>Jun</t>
        </is>
      </c>
      <c r="C2413" s="6" t="inlineStr">
        <is>
          <t>Kerala</t>
        </is>
      </c>
      <c r="D2413" s="7" t="inlineStr">
        <is>
          <t>KL59M4325</t>
        </is>
      </c>
      <c r="E2413" s="7" t="inlineStr">
        <is>
          <t>MARUTI SUZUKI</t>
        </is>
      </c>
      <c r="F2413" s="7" t="inlineStr">
        <is>
          <t>Baleno</t>
        </is>
      </c>
      <c r="G2413" s="7" t="inlineStr">
        <is>
          <t>UCD SANTHOSH</t>
        </is>
      </c>
      <c r="H2413" s="7" t="inlineStr">
        <is>
          <t>Non-Captive</t>
        </is>
      </c>
      <c r="I2413" s="7" t="inlineStr">
        <is>
          <t>RUKSANA</t>
        </is>
      </c>
      <c r="J2413" s="8" t="n">
        <v>2015</v>
      </c>
      <c r="K2413" s="9" t="n">
        <v>80000</v>
      </c>
      <c r="L2413" s="10" t="n">
        <v>385000</v>
      </c>
      <c r="M2413" s="10" t="n">
        <v>8474.58</v>
      </c>
      <c r="N2413" s="11">
        <f>IF(M2413="","",ROUND(M2413*1.18,2))</f>
        <v/>
      </c>
      <c r="O2413" s="12">
        <f>IF(M2413="","",ROUND(N2413-M2413,2))</f>
        <v/>
      </c>
      <c r="P2413" s="13">
        <f>IF(AND(A2413&lt;&gt;"",B2413&lt;&gt;""), A2413&amp;" · "&amp;B2413, "")</f>
        <v/>
      </c>
    </row>
    <row r="2414">
      <c r="A2414" s="6" t="inlineStr">
        <is>
          <t>FY27</t>
        </is>
      </c>
      <c r="B2414" s="6" t="inlineStr">
        <is>
          <t>Jun</t>
        </is>
      </c>
      <c r="C2414" s="6" t="inlineStr">
        <is>
          <t>Kerala</t>
        </is>
      </c>
      <c r="D2414" s="7" t="inlineStr">
        <is>
          <t>KL59W1483</t>
        </is>
      </c>
      <c r="E2414" s="7" t="inlineStr">
        <is>
          <t>FORD</t>
        </is>
      </c>
      <c r="F2414" s="7" t="inlineStr">
        <is>
          <t>EcoSport</t>
        </is>
      </c>
      <c r="G2414" s="7" t="inlineStr">
        <is>
          <t>SAI MARUTI</t>
        </is>
      </c>
      <c r="H2414" s="7" t="inlineStr">
        <is>
          <t>Non-Captive</t>
        </is>
      </c>
      <c r="I2414" s="7" t="inlineStr">
        <is>
          <t>CARNIVAL CARS Althaf</t>
        </is>
      </c>
      <c r="J2414" s="8" t="n">
        <v>2020</v>
      </c>
      <c r="K2414" s="9" t="n">
        <v>110000</v>
      </c>
      <c r="L2414" s="10" t="n">
        <v>620000</v>
      </c>
      <c r="M2414" s="10" t="n">
        <v>8474.58</v>
      </c>
      <c r="N2414" s="11">
        <f>IF(M2414="","",ROUND(M2414*1.18,2))</f>
        <v/>
      </c>
      <c r="O2414" s="12">
        <f>IF(M2414="","",ROUND(N2414-M2414,2))</f>
        <v/>
      </c>
      <c r="P2414" s="13">
        <f>IF(AND(A2414&lt;&gt;"",B2414&lt;&gt;""), A2414&amp;" · "&amp;B2414, "")</f>
        <v/>
      </c>
    </row>
    <row r="2415">
      <c r="A2415" s="6" t="inlineStr">
        <is>
          <t>FY27</t>
        </is>
      </c>
      <c r="B2415" s="6" t="inlineStr">
        <is>
          <t>Jun</t>
        </is>
      </c>
      <c r="C2415" s="6" t="inlineStr">
        <is>
          <t>Kerala</t>
        </is>
      </c>
      <c r="D2415" s="7" t="inlineStr">
        <is>
          <t>KL60D7693</t>
        </is>
      </c>
      <c r="E2415" s="7" t="inlineStr">
        <is>
          <t>MARUTI SUZUKI</t>
        </is>
      </c>
      <c r="F2415" s="7" t="inlineStr">
        <is>
          <t>Swift</t>
        </is>
      </c>
      <c r="G2415" s="7" t="inlineStr">
        <is>
          <t>KVR TATA</t>
        </is>
      </c>
      <c r="H2415" s="7" t="inlineStr">
        <is>
          <t>Non-Captive</t>
        </is>
      </c>
      <c r="I2415" s="7" t="inlineStr">
        <is>
          <t>VISHNU M S</t>
        </is>
      </c>
      <c r="J2415" s="8" t="n">
        <v>2012</v>
      </c>
      <c r="K2415" s="9" t="n">
        <v>84300</v>
      </c>
      <c r="L2415" s="10" t="n">
        <v>200000</v>
      </c>
      <c r="M2415" s="10" t="n">
        <v>8474.58</v>
      </c>
      <c r="N2415" s="11">
        <f>IF(M2415="","",ROUND(M2415*1.18,2))</f>
        <v/>
      </c>
      <c r="O2415" s="12">
        <f>IF(M2415="","",ROUND(N2415-M2415,2))</f>
        <v/>
      </c>
      <c r="P2415" s="13">
        <f>IF(AND(A2415&lt;&gt;"",B2415&lt;&gt;""), A2415&amp;" · "&amp;B2415, "")</f>
        <v/>
      </c>
    </row>
    <row r="2416">
      <c r="A2416" s="6" t="inlineStr">
        <is>
          <t>FY27</t>
        </is>
      </c>
      <c r="B2416" s="6" t="inlineStr">
        <is>
          <t>Jun</t>
        </is>
      </c>
      <c r="C2416" s="6" t="inlineStr">
        <is>
          <t>Kerala</t>
        </is>
      </c>
      <c r="D2416" s="7" t="inlineStr">
        <is>
          <t>KL60F6339</t>
        </is>
      </c>
      <c r="E2416" s="7" t="inlineStr">
        <is>
          <t>MARUTI SUZUKI</t>
        </is>
      </c>
      <c r="F2416" s="7" t="inlineStr">
        <is>
          <t>Swift</t>
        </is>
      </c>
      <c r="G2416" s="7" t="inlineStr">
        <is>
          <t>POPULAR MARUTI</t>
        </is>
      </c>
      <c r="H2416" s="7" t="inlineStr">
        <is>
          <t>Non-Captive</t>
        </is>
      </c>
      <c r="I2416" s="7" t="inlineStr">
        <is>
          <t>JIMMY</t>
        </is>
      </c>
      <c r="J2416" s="8" t="n">
        <v>2013</v>
      </c>
      <c r="K2416" s="9" t="n">
        <v>138000</v>
      </c>
      <c r="L2416" s="10" t="n">
        <v>212000</v>
      </c>
      <c r="M2416" s="10" t="n">
        <v>5932.2</v>
      </c>
      <c r="N2416" s="11">
        <f>IF(M2416="","",ROUND(M2416*1.18,2))</f>
        <v/>
      </c>
      <c r="O2416" s="12">
        <f>IF(M2416="","",ROUND(N2416-M2416,2))</f>
        <v/>
      </c>
      <c r="P2416" s="13">
        <f>IF(AND(A2416&lt;&gt;"",B2416&lt;&gt;""), A2416&amp;" · "&amp;B2416, "")</f>
        <v/>
      </c>
    </row>
    <row r="2417">
      <c r="A2417" s="6" t="inlineStr">
        <is>
          <t>FY27</t>
        </is>
      </c>
      <c r="B2417" s="6" t="inlineStr">
        <is>
          <t>Jun</t>
        </is>
      </c>
      <c r="C2417" s="6" t="inlineStr">
        <is>
          <t>Kerala</t>
        </is>
      </c>
      <c r="D2417" s="7" t="inlineStr">
        <is>
          <t>KL60H5503</t>
        </is>
      </c>
      <c r="E2417" s="7" t="inlineStr">
        <is>
          <t>FIAT</t>
        </is>
      </c>
      <c r="F2417" s="7" t="inlineStr">
        <is>
          <t>Punto</t>
        </is>
      </c>
      <c r="G2417" s="7" t="inlineStr">
        <is>
          <t>VEER</t>
        </is>
      </c>
      <c r="H2417" s="7" t="inlineStr">
        <is>
          <t>Non-Captive</t>
        </is>
      </c>
      <c r="I2417" s="7" t="inlineStr">
        <is>
          <t>VARUN</t>
        </is>
      </c>
      <c r="J2417" s="8" t="n">
        <v>2014</v>
      </c>
      <c r="K2417" s="9" t="n">
        <v>159000</v>
      </c>
      <c r="L2417" s="10" t="n">
        <v>155000</v>
      </c>
      <c r="M2417" s="10" t="n">
        <v>4237.29</v>
      </c>
      <c r="N2417" s="11">
        <f>IF(M2417="","",ROUND(M2417*1.18,2))</f>
        <v/>
      </c>
      <c r="O2417" s="12">
        <f>IF(M2417="","",ROUND(N2417-M2417,2))</f>
        <v/>
      </c>
      <c r="P2417" s="13">
        <f>IF(AND(A2417&lt;&gt;"",B2417&lt;&gt;""), A2417&amp;" · "&amp;B2417, "")</f>
        <v/>
      </c>
    </row>
    <row r="2418">
      <c r="A2418" s="6" t="inlineStr">
        <is>
          <t>FY27</t>
        </is>
      </c>
      <c r="B2418" s="6" t="inlineStr">
        <is>
          <t>Jun</t>
        </is>
      </c>
      <c r="C2418" s="6" t="inlineStr">
        <is>
          <t>Kerala</t>
        </is>
      </c>
      <c r="D2418" s="7" t="inlineStr">
        <is>
          <t>KL60J7319</t>
        </is>
      </c>
      <c r="E2418" s="7" t="inlineStr">
        <is>
          <t>MARUTI SUZUKI</t>
        </is>
      </c>
      <c r="F2418" s="7" t="inlineStr">
        <is>
          <t>Celerio</t>
        </is>
      </c>
      <c r="G2418" s="7" t="inlineStr">
        <is>
          <t>KVR TATA</t>
        </is>
      </c>
      <c r="H2418" s="7" t="inlineStr">
        <is>
          <t>Non-Captive</t>
        </is>
      </c>
      <c r="I2418" s="7" t="inlineStr">
        <is>
          <t>ANSHWAL P ANIL</t>
        </is>
      </c>
      <c r="J2418" s="8" t="n">
        <v>2015</v>
      </c>
      <c r="K2418" s="9" t="n">
        <v>115000</v>
      </c>
      <c r="L2418" s="10" t="n">
        <v>215000</v>
      </c>
      <c r="M2418" s="10" t="n">
        <v>4237.29</v>
      </c>
      <c r="N2418" s="11">
        <f>IF(M2418="","",ROUND(M2418*1.18,2))</f>
        <v/>
      </c>
      <c r="O2418" s="12">
        <f>IF(M2418="","",ROUND(N2418-M2418,2))</f>
        <v/>
      </c>
      <c r="P2418" s="13">
        <f>IF(AND(A2418&lt;&gt;"",B2418&lt;&gt;""), A2418&amp;" · "&amp;B2418, "")</f>
        <v/>
      </c>
    </row>
    <row r="2419">
      <c r="A2419" s="6" t="inlineStr">
        <is>
          <t>FY27</t>
        </is>
      </c>
      <c r="B2419" s="6" t="inlineStr">
        <is>
          <t>Jun</t>
        </is>
      </c>
      <c r="C2419" s="6" t="inlineStr">
        <is>
          <t>Kerala</t>
        </is>
      </c>
      <c r="D2419" s="7" t="inlineStr">
        <is>
          <t>KL620336</t>
        </is>
      </c>
      <c r="E2419" s="7" t="inlineStr">
        <is>
          <t>HYUNDAI</t>
        </is>
      </c>
      <c r="F2419" s="7" t="inlineStr">
        <is>
          <t>Santro</t>
        </is>
      </c>
      <c r="G2419" s="7" t="inlineStr">
        <is>
          <t>GOKULAM TATA</t>
        </is>
      </c>
      <c r="H2419" s="7" t="inlineStr">
        <is>
          <t>Non-Captive</t>
        </is>
      </c>
      <c r="I2419" s="7" t="inlineStr">
        <is>
          <t>HUSSAIN O E</t>
        </is>
      </c>
      <c r="J2419" s="8" t="n">
        <v>2011</v>
      </c>
      <c r="K2419" s="9" t="n">
        <v>81890</v>
      </c>
      <c r="L2419" s="10" t="n">
        <v>93000</v>
      </c>
      <c r="M2419" s="10" t="n">
        <v>8474.58</v>
      </c>
      <c r="N2419" s="11">
        <f>IF(M2419="","",ROUND(M2419*1.18,2))</f>
        <v/>
      </c>
      <c r="O2419" s="12">
        <f>IF(M2419="","",ROUND(N2419-M2419,2))</f>
        <v/>
      </c>
      <c r="P2419" s="13">
        <f>IF(AND(A2419&lt;&gt;"",B2419&lt;&gt;""), A2419&amp;" · "&amp;B2419, "")</f>
        <v/>
      </c>
    </row>
    <row r="2420">
      <c r="A2420" s="6" t="inlineStr">
        <is>
          <t>FY27</t>
        </is>
      </c>
      <c r="B2420" s="6" t="inlineStr">
        <is>
          <t>Jun</t>
        </is>
      </c>
      <c r="C2420" s="6" t="inlineStr">
        <is>
          <t>Kerala</t>
        </is>
      </c>
      <c r="D2420" s="7" t="inlineStr">
        <is>
          <t>KL63B7641</t>
        </is>
      </c>
      <c r="E2420" s="7" t="inlineStr">
        <is>
          <t>TATA</t>
        </is>
      </c>
      <c r="F2420" s="7" t="inlineStr">
        <is>
          <t>Nano</t>
        </is>
      </c>
      <c r="G2420" s="7" t="inlineStr">
        <is>
          <t>POPULAR MARUTI</t>
        </is>
      </c>
      <c r="H2420" s="7" t="inlineStr">
        <is>
          <t>Non-Captive</t>
        </is>
      </c>
      <c r="I2420" s="7" t="inlineStr">
        <is>
          <t>RAFEEK T A</t>
        </is>
      </c>
      <c r="J2420" s="8" t="n">
        <v>2014</v>
      </c>
      <c r="K2420" s="9" t="n">
        <v>78390</v>
      </c>
      <c r="L2420" s="10" t="n">
        <v>35000</v>
      </c>
      <c r="M2420" s="10" t="n">
        <v>8474.58</v>
      </c>
      <c r="N2420" s="11">
        <f>IF(M2420="","",ROUND(M2420*1.18,2))</f>
        <v/>
      </c>
      <c r="O2420" s="12">
        <f>IF(M2420="","",ROUND(N2420-M2420,2))</f>
        <v/>
      </c>
      <c r="P2420" s="13">
        <f>IF(AND(A2420&lt;&gt;"",B2420&lt;&gt;""), A2420&amp;" · "&amp;B2420, "")</f>
        <v/>
      </c>
    </row>
    <row r="2421">
      <c r="A2421" s="6" t="inlineStr">
        <is>
          <t>FY27</t>
        </is>
      </c>
      <c r="B2421" s="6" t="inlineStr">
        <is>
          <t>Jun</t>
        </is>
      </c>
      <c r="C2421" s="6" t="inlineStr">
        <is>
          <t>Kerala</t>
        </is>
      </c>
      <c r="D2421" s="7" t="inlineStr">
        <is>
          <t>KL654521</t>
        </is>
      </c>
      <c r="E2421" s="7" t="inlineStr">
        <is>
          <t>MARUTI SUZUKI</t>
        </is>
      </c>
      <c r="F2421" s="7" t="inlineStr">
        <is>
          <t>Alto</t>
        </is>
      </c>
      <c r="G2421" s="7" t="inlineStr">
        <is>
          <t>POPULAR MARUTI</t>
        </is>
      </c>
      <c r="H2421" s="7" t="inlineStr">
        <is>
          <t>Non-Captive</t>
        </is>
      </c>
      <c r="I2421" s="7" t="inlineStr">
        <is>
          <t>TOKYO CARS</t>
        </is>
      </c>
      <c r="J2421" s="8" t="n">
        <v>2011</v>
      </c>
      <c r="K2421" s="9" t="n">
        <v>71000</v>
      </c>
      <c r="L2421" s="10" t="n">
        <v>86000</v>
      </c>
      <c r="M2421" s="10" t="n">
        <v>5084.75</v>
      </c>
      <c r="N2421" s="11">
        <f>IF(M2421="","",ROUND(M2421*1.18,2))</f>
        <v/>
      </c>
      <c r="O2421" s="12">
        <f>IF(M2421="","",ROUND(N2421-M2421,2))</f>
        <v/>
      </c>
      <c r="P2421" s="13">
        <f>IF(AND(A2421&lt;&gt;"",B2421&lt;&gt;""), A2421&amp;" · "&amp;B2421, "")</f>
        <v/>
      </c>
    </row>
    <row r="2422">
      <c r="A2422" s="6" t="inlineStr">
        <is>
          <t>FY27</t>
        </is>
      </c>
      <c r="B2422" s="6" t="inlineStr">
        <is>
          <t>Jun</t>
        </is>
      </c>
      <c r="C2422" s="6" t="inlineStr">
        <is>
          <t>Kerala</t>
        </is>
      </c>
      <c r="D2422" s="7" t="inlineStr">
        <is>
          <t>KL65D0524</t>
        </is>
      </c>
      <c r="E2422" s="7" t="inlineStr">
        <is>
          <t>MARUTI SUZUKI</t>
        </is>
      </c>
      <c r="F2422" s="7" t="inlineStr">
        <is>
          <t>Alto</t>
        </is>
      </c>
      <c r="G2422" s="7" t="inlineStr">
        <is>
          <t>POPULAR MARUTI</t>
        </is>
      </c>
      <c r="H2422" s="7" t="inlineStr">
        <is>
          <t>Non-Captive</t>
        </is>
      </c>
      <c r="I2422" s="7" t="inlineStr">
        <is>
          <t>FAHAD</t>
        </is>
      </c>
      <c r="J2422" s="8" t="n">
        <v>2013</v>
      </c>
      <c r="K2422" s="9" t="n">
        <v>88000</v>
      </c>
      <c r="L2422" s="10" t="n">
        <v>140000</v>
      </c>
      <c r="M2422" s="10" t="n">
        <v>8474.58</v>
      </c>
      <c r="N2422" s="11">
        <f>IF(M2422="","",ROUND(M2422*1.18,2))</f>
        <v/>
      </c>
      <c r="O2422" s="12">
        <f>IF(M2422="","",ROUND(N2422-M2422,2))</f>
        <v/>
      </c>
      <c r="P2422" s="13">
        <f>IF(AND(A2422&lt;&gt;"",B2422&lt;&gt;""), A2422&amp;" · "&amp;B2422, "")</f>
        <v/>
      </c>
    </row>
    <row r="2423">
      <c r="A2423" s="6" t="inlineStr">
        <is>
          <t>FY27</t>
        </is>
      </c>
      <c r="B2423" s="6" t="inlineStr">
        <is>
          <t>Jun</t>
        </is>
      </c>
      <c r="C2423" s="6" t="inlineStr">
        <is>
          <t>Kerala</t>
        </is>
      </c>
      <c r="D2423" s="7" t="inlineStr">
        <is>
          <t>KL65D0869</t>
        </is>
      </c>
      <c r="E2423" s="7" t="inlineStr">
        <is>
          <t>MARUTI SUZUKI</t>
        </is>
      </c>
      <c r="F2423" s="7" t="inlineStr">
        <is>
          <t>Alto 800</t>
        </is>
      </c>
      <c r="G2423" s="7" t="inlineStr">
        <is>
          <t>POPULAR MARUTI</t>
        </is>
      </c>
      <c r="H2423" s="7" t="inlineStr">
        <is>
          <t>Non-Captive</t>
        </is>
      </c>
      <c r="I2423" s="7" t="inlineStr">
        <is>
          <t>SUMESH</t>
        </is>
      </c>
      <c r="J2423" s="8" t="n">
        <v>2013</v>
      </c>
      <c r="K2423" s="9" t="n">
        <v>71000</v>
      </c>
      <c r="L2423" s="10" t="n">
        <v>152000</v>
      </c>
      <c r="M2423" s="10" t="n">
        <v>5932.2</v>
      </c>
      <c r="N2423" s="11">
        <f>IF(M2423="","",ROUND(M2423*1.18,2))</f>
        <v/>
      </c>
      <c r="O2423" s="12">
        <f>IF(M2423="","",ROUND(N2423-M2423,2))</f>
        <v/>
      </c>
      <c r="P2423" s="13">
        <f>IF(AND(A2423&lt;&gt;"",B2423&lt;&gt;""), A2423&amp;" · "&amp;B2423, "")</f>
        <v/>
      </c>
    </row>
    <row r="2424">
      <c r="A2424" s="6" t="inlineStr">
        <is>
          <t>FY27</t>
        </is>
      </c>
      <c r="B2424" s="6" t="inlineStr">
        <is>
          <t>Jun</t>
        </is>
      </c>
      <c r="C2424" s="6" t="inlineStr">
        <is>
          <t>Kerala</t>
        </is>
      </c>
      <c r="D2424" s="7" t="inlineStr">
        <is>
          <t>KL66A8674</t>
        </is>
      </c>
      <c r="E2424" s="7" t="inlineStr">
        <is>
          <t>RENAULT</t>
        </is>
      </c>
      <c r="F2424" s="7" t="inlineStr">
        <is>
          <t>Kwid</t>
        </is>
      </c>
      <c r="G2424" s="7" t="inlineStr">
        <is>
          <t>ANAS</t>
        </is>
      </c>
      <c r="H2424" s="7" t="inlineStr">
        <is>
          <t>Non-Captive</t>
        </is>
      </c>
      <c r="I2424" s="7" t="inlineStr">
        <is>
          <t>SUDHEESH K SATHEESH</t>
        </is>
      </c>
      <c r="J2424" s="8" t="n">
        <v>2017</v>
      </c>
      <c r="K2424" s="9" t="n">
        <v>142434</v>
      </c>
      <c r="L2424" s="10" t="n">
        <v>195000</v>
      </c>
      <c r="M2424" s="10" t="n">
        <v>10169.49</v>
      </c>
      <c r="N2424" s="11">
        <f>IF(M2424="","",ROUND(M2424*1.18,2))</f>
        <v/>
      </c>
      <c r="O2424" s="12">
        <f>IF(M2424="","",ROUND(N2424-M2424,2))</f>
        <v/>
      </c>
      <c r="P2424" s="13">
        <f>IF(AND(A2424&lt;&gt;"",B2424&lt;&gt;""), A2424&amp;" · "&amp;B2424, "")</f>
        <v/>
      </c>
    </row>
    <row r="2425">
      <c r="A2425" s="6" t="inlineStr">
        <is>
          <t>FY27</t>
        </is>
      </c>
      <c r="B2425" s="6" t="inlineStr">
        <is>
          <t>Jun</t>
        </is>
      </c>
      <c r="C2425" s="6" t="inlineStr">
        <is>
          <t>Kerala</t>
        </is>
      </c>
      <c r="D2425" s="7" t="inlineStr">
        <is>
          <t>KL69B4433</t>
        </is>
      </c>
      <c r="E2425" s="7" t="inlineStr">
        <is>
          <t>MARUTI SUZUKI</t>
        </is>
      </c>
      <c r="F2425" s="7" t="inlineStr">
        <is>
          <t>Dzire</t>
        </is>
      </c>
      <c r="G2425" s="7" t="inlineStr">
        <is>
          <t>INDUS MARUTI</t>
        </is>
      </c>
      <c r="H2425" s="7" t="inlineStr">
        <is>
          <t>Non-Captive</t>
        </is>
      </c>
      <c r="I2425" s="7" t="inlineStr">
        <is>
          <t>NIDHEESH</t>
        </is>
      </c>
      <c r="J2425" s="8" t="n">
        <v>2018</v>
      </c>
      <c r="K2425" s="9" t="n">
        <v>90000</v>
      </c>
      <c r="L2425" s="10" t="n">
        <v>510000</v>
      </c>
      <c r="M2425" s="10" t="n">
        <v>8474.58</v>
      </c>
      <c r="N2425" s="11">
        <f>IF(M2425="","",ROUND(M2425*1.18,2))</f>
        <v/>
      </c>
      <c r="O2425" s="12">
        <f>IF(M2425="","",ROUND(N2425-M2425,2))</f>
        <v/>
      </c>
      <c r="P2425" s="13">
        <f>IF(AND(A2425&lt;&gt;"",B2425&lt;&gt;""), A2425&amp;" · "&amp;B2425, "")</f>
        <v/>
      </c>
    </row>
    <row r="2426">
      <c r="A2426" s="6" t="inlineStr">
        <is>
          <t>FY27</t>
        </is>
      </c>
      <c r="B2426" s="6" t="inlineStr">
        <is>
          <t>Jun</t>
        </is>
      </c>
      <c r="C2426" s="6" t="inlineStr">
        <is>
          <t>Kerala</t>
        </is>
      </c>
      <c r="D2426" s="7" t="inlineStr">
        <is>
          <t>KL72B9874</t>
        </is>
      </c>
      <c r="E2426" s="7" t="inlineStr">
        <is>
          <t>MARUTI SUZUKI</t>
        </is>
      </c>
      <c r="F2426" s="7" t="inlineStr">
        <is>
          <t>Baleno</t>
        </is>
      </c>
      <c r="G2426" s="7" t="inlineStr">
        <is>
          <t>INDUS MARUTI</t>
        </is>
      </c>
      <c r="H2426" s="7" t="inlineStr">
        <is>
          <t>Non-Captive</t>
        </is>
      </c>
      <c r="I2426" s="7" t="inlineStr">
        <is>
          <t>4 WHEEL DRIVE</t>
        </is>
      </c>
      <c r="J2426" s="8" t="n">
        <v>2018</v>
      </c>
      <c r="K2426" s="9" t="n">
        <v>137613</v>
      </c>
      <c r="L2426" s="10" t="n">
        <v>385000</v>
      </c>
      <c r="M2426" s="10" t="n">
        <v>8474.58</v>
      </c>
      <c r="N2426" s="11">
        <f>IF(M2426="","",ROUND(M2426*1.18,2))</f>
        <v/>
      </c>
      <c r="O2426" s="12">
        <f>IF(M2426="","",ROUND(N2426-M2426,2))</f>
        <v/>
      </c>
      <c r="P2426" s="13">
        <f>IF(AND(A2426&lt;&gt;"",B2426&lt;&gt;""), A2426&amp;" · "&amp;B2426, "")</f>
        <v/>
      </c>
    </row>
    <row r="2427">
      <c r="A2427" s="6" t="inlineStr">
        <is>
          <t>FY27</t>
        </is>
      </c>
      <c r="B2427" s="6" t="inlineStr">
        <is>
          <t>Jun</t>
        </is>
      </c>
      <c r="C2427" s="6" t="inlineStr">
        <is>
          <t>Kerala</t>
        </is>
      </c>
      <c r="D2427" s="7" t="inlineStr">
        <is>
          <t>KL749814</t>
        </is>
      </c>
      <c r="E2427" s="7" t="inlineStr">
        <is>
          <t>MARUTI SUZUKI</t>
        </is>
      </c>
      <c r="F2427" s="7" t="inlineStr">
        <is>
          <t>Dzire</t>
        </is>
      </c>
      <c r="G2427" s="7" t="inlineStr">
        <is>
          <t>AUTOTRUST</t>
        </is>
      </c>
      <c r="H2427" s="7" t="inlineStr">
        <is>
          <t>Non-Captive</t>
        </is>
      </c>
      <c r="I2427" s="7" t="inlineStr">
        <is>
          <t>SARITH R</t>
        </is>
      </c>
      <c r="J2427" s="8" t="n">
        <v>2019</v>
      </c>
      <c r="K2427" s="9" t="n">
        <v>90000</v>
      </c>
      <c r="L2427" s="10" t="n">
        <v>490000</v>
      </c>
      <c r="M2427" s="10" t="n">
        <v>8474.58</v>
      </c>
      <c r="N2427" s="11">
        <f>IF(M2427="","",ROUND(M2427*1.18,2))</f>
        <v/>
      </c>
      <c r="O2427" s="12">
        <f>IF(M2427="","",ROUND(N2427-M2427,2))</f>
        <v/>
      </c>
      <c r="P2427" s="13">
        <f>IF(AND(A2427&lt;&gt;"",B2427&lt;&gt;""), A2427&amp;" · "&amp;B2427, "")</f>
        <v/>
      </c>
    </row>
    <row r="2428">
      <c r="A2428" s="6" t="inlineStr">
        <is>
          <t>FY27</t>
        </is>
      </c>
      <c r="B2428" s="6" t="inlineStr">
        <is>
          <t>Jun</t>
        </is>
      </c>
      <c r="C2428" s="6" t="inlineStr">
        <is>
          <t>Kerala</t>
        </is>
      </c>
      <c r="D2428" s="7" t="inlineStr">
        <is>
          <t>KL85A4196</t>
        </is>
      </c>
      <c r="E2428" s="7" t="inlineStr">
        <is>
          <t>RENAULT</t>
        </is>
      </c>
      <c r="F2428" s="7" t="inlineStr">
        <is>
          <t>Kwid</t>
        </is>
      </c>
      <c r="G2428" s="7" t="inlineStr">
        <is>
          <t>UCD JISHNU</t>
        </is>
      </c>
      <c r="H2428" s="7" t="inlineStr">
        <is>
          <t>Non-Captive</t>
        </is>
      </c>
      <c r="I2428" s="7" t="inlineStr">
        <is>
          <t>VASIL</t>
        </is>
      </c>
      <c r="J2428" s="8" t="n">
        <v>2022</v>
      </c>
      <c r="K2428" s="9" t="n">
        <v>65000</v>
      </c>
      <c r="L2428" s="10" t="n">
        <v>320000</v>
      </c>
      <c r="M2428" s="10" t="n">
        <v>5932.2</v>
      </c>
      <c r="N2428" s="11">
        <f>IF(M2428="","",ROUND(M2428*1.18,2))</f>
        <v/>
      </c>
      <c r="O2428" s="12">
        <f>IF(M2428="","",ROUND(N2428-M2428,2))</f>
        <v/>
      </c>
      <c r="P2428" s="13">
        <f>IF(AND(A2428&lt;&gt;"",B2428&lt;&gt;""), A2428&amp;" · "&amp;B2428, "")</f>
        <v/>
      </c>
    </row>
    <row r="2429">
      <c r="A2429" s="6" t="inlineStr">
        <is>
          <t>FY27</t>
        </is>
      </c>
      <c r="B2429" s="6" t="inlineStr">
        <is>
          <t>Jun</t>
        </is>
      </c>
      <c r="C2429" s="6" t="inlineStr">
        <is>
          <t>TN</t>
        </is>
      </c>
      <c r="D2429" s="7" t="inlineStr">
        <is>
          <t>GJ05CP7816</t>
        </is>
      </c>
      <c r="E2429" s="7" t="inlineStr">
        <is>
          <t>MARUTI SUZUKI</t>
        </is>
      </c>
      <c r="F2429" s="7" t="inlineStr">
        <is>
          <t>Dzire</t>
        </is>
      </c>
      <c r="G2429" s="7" t="inlineStr">
        <is>
          <t>KHIVRAJ MOTOR</t>
        </is>
      </c>
      <c r="H2429" s="7" t="inlineStr">
        <is>
          <t>Non-Captive</t>
        </is>
      </c>
      <c r="I2429" s="7" t="inlineStr">
        <is>
          <t>TSM</t>
        </is>
      </c>
      <c r="J2429" s="8" t="n">
        <v>2011</v>
      </c>
      <c r="K2429" s="9" t="n">
        <v>53608</v>
      </c>
      <c r="L2429" s="10" t="n">
        <v>250000</v>
      </c>
      <c r="M2429" s="10" t="n">
        <v>4237.29</v>
      </c>
      <c r="N2429" s="11">
        <f>IF(M2429="","",ROUND(M2429*1.18,2))</f>
        <v/>
      </c>
      <c r="O2429" s="12">
        <f>IF(M2429="","",ROUND(N2429-M2429,2))</f>
        <v/>
      </c>
      <c r="P2429" s="13">
        <f>IF(AND(A2429&lt;&gt;"",B2429&lt;&gt;""), A2429&amp;" · "&amp;B2429, "")</f>
        <v/>
      </c>
    </row>
    <row r="2430">
      <c r="A2430" s="6" t="inlineStr">
        <is>
          <t>FY27</t>
        </is>
      </c>
      <c r="B2430" s="6" t="inlineStr">
        <is>
          <t>Jun</t>
        </is>
      </c>
      <c r="C2430" s="6" t="inlineStr">
        <is>
          <t>TN</t>
        </is>
      </c>
      <c r="D2430" s="7" t="inlineStr">
        <is>
          <t>KA03NB6172</t>
        </is>
      </c>
      <c r="E2430" s="7" t="inlineStr">
        <is>
          <t>HYUNDAI</t>
        </is>
      </c>
      <c r="F2430" s="7" t="inlineStr">
        <is>
          <t>i20</t>
        </is>
      </c>
      <c r="G2430" s="7" t="inlineStr">
        <is>
          <t>KHIVRAJ MOTOR</t>
        </is>
      </c>
      <c r="H2430" s="7" t="inlineStr">
        <is>
          <t>Non-Captive</t>
        </is>
      </c>
      <c r="I2430" s="7" t="inlineStr">
        <is>
          <t>Grid 33</t>
        </is>
      </c>
      <c r="J2430" s="8" t="n">
        <v>2016</v>
      </c>
      <c r="K2430" s="9" t="n">
        <v>98271</v>
      </c>
      <c r="L2430" s="10" t="n">
        <v>350000</v>
      </c>
      <c r="M2430" s="10" t="n">
        <v>6355.93</v>
      </c>
      <c r="N2430" s="11">
        <f>IF(M2430="","",ROUND(M2430*1.18,2))</f>
        <v/>
      </c>
      <c r="O2430" s="12">
        <f>IF(M2430="","",ROUND(N2430-M2430,2))</f>
        <v/>
      </c>
      <c r="P2430" s="13">
        <f>IF(AND(A2430&lt;&gt;"",B2430&lt;&gt;""), A2430&amp;" · "&amp;B2430, "")</f>
        <v/>
      </c>
    </row>
    <row r="2431">
      <c r="A2431" s="6" t="inlineStr">
        <is>
          <t>FY27</t>
        </is>
      </c>
      <c r="B2431" s="6" t="inlineStr">
        <is>
          <t>Jun</t>
        </is>
      </c>
      <c r="C2431" s="6" t="inlineStr">
        <is>
          <t>TN</t>
        </is>
      </c>
      <c r="D2431" s="7" t="inlineStr">
        <is>
          <t>KL01AS9275</t>
        </is>
      </c>
      <c r="E2431" s="7" t="inlineStr">
        <is>
          <t>HYUNDAI</t>
        </is>
      </c>
      <c r="F2431" s="7" t="inlineStr">
        <is>
          <t>Santro</t>
        </is>
      </c>
      <c r="G2431" s="7" t="inlineStr">
        <is>
          <t>NIPPON MOTOR CORPORATION PVT LTD</t>
        </is>
      </c>
      <c r="H2431" s="7" t="inlineStr">
        <is>
          <t>Non-Captive</t>
        </is>
      </c>
      <c r="I2431" s="7" t="inlineStr">
        <is>
          <t>SHAMNAD AH</t>
        </is>
      </c>
      <c r="J2431" s="8" t="n">
        <v>2008</v>
      </c>
      <c r="K2431" s="9" t="n">
        <v>117856</v>
      </c>
      <c r="L2431" s="10" t="n">
        <v>65000</v>
      </c>
      <c r="M2431" s="10" t="n">
        <v>8474.58</v>
      </c>
      <c r="N2431" s="11">
        <f>IF(M2431="","",ROUND(M2431*1.18,2))</f>
        <v/>
      </c>
      <c r="O2431" s="12">
        <f>IF(M2431="","",ROUND(N2431-M2431,2))</f>
        <v/>
      </c>
      <c r="P2431" s="13">
        <f>IF(AND(A2431&lt;&gt;"",B2431&lt;&gt;""), A2431&amp;" · "&amp;B2431, "")</f>
        <v/>
      </c>
    </row>
    <row r="2432">
      <c r="A2432" s="6" t="inlineStr">
        <is>
          <t>FY27</t>
        </is>
      </c>
      <c r="B2432" s="6" t="inlineStr">
        <is>
          <t>Jun</t>
        </is>
      </c>
      <c r="C2432" s="6" t="inlineStr">
        <is>
          <t>TN</t>
        </is>
      </c>
      <c r="D2432" s="7" t="inlineStr">
        <is>
          <t>KL01BS4651</t>
        </is>
      </c>
      <c r="E2432" s="7" t="inlineStr">
        <is>
          <t>HYUNDAI</t>
        </is>
      </c>
      <c r="F2432" s="7" t="inlineStr">
        <is>
          <t>Grand i10</t>
        </is>
      </c>
      <c r="G2432" s="7" t="inlineStr">
        <is>
          <t>NIPPON MOTOR CORPORATION PVT LTD</t>
        </is>
      </c>
      <c r="H2432" s="7" t="inlineStr">
        <is>
          <t>Non-Captive</t>
        </is>
      </c>
      <c r="I2432" s="7" t="inlineStr">
        <is>
          <t>Popular Thrissur</t>
        </is>
      </c>
      <c r="J2432" s="8" t="n">
        <v>2014</v>
      </c>
      <c r="K2432" s="9" t="n">
        <v>45822</v>
      </c>
      <c r="L2432" s="10" t="n">
        <v>170000</v>
      </c>
      <c r="M2432" s="10" t="n">
        <v>5000</v>
      </c>
      <c r="N2432" s="11">
        <f>IF(M2432="","",ROUND(M2432*1.18,2))</f>
        <v/>
      </c>
      <c r="O2432" s="12">
        <f>IF(M2432="","",ROUND(N2432-M2432,2))</f>
        <v/>
      </c>
      <c r="P2432" s="13">
        <f>IF(AND(A2432&lt;&gt;"",B2432&lt;&gt;""), A2432&amp;" · "&amp;B2432, "")</f>
        <v/>
      </c>
    </row>
    <row r="2433">
      <c r="A2433" s="6" t="inlineStr">
        <is>
          <t>FY27</t>
        </is>
      </c>
      <c r="B2433" s="6" t="inlineStr">
        <is>
          <t>Jun</t>
        </is>
      </c>
      <c r="C2433" s="6" t="inlineStr">
        <is>
          <t>TN</t>
        </is>
      </c>
      <c r="D2433" s="7" t="inlineStr">
        <is>
          <t>KL01BV3600</t>
        </is>
      </c>
      <c r="E2433" s="7" t="inlineStr">
        <is>
          <t>MARUTI SUZUKI</t>
        </is>
      </c>
      <c r="F2433" s="7" t="inlineStr">
        <is>
          <t>Swift</t>
        </is>
      </c>
      <c r="G2433" s="7" t="inlineStr">
        <is>
          <t>KAIRALI TOYOTA</t>
        </is>
      </c>
      <c r="H2433" s="7" t="inlineStr">
        <is>
          <t>Non-Captive</t>
        </is>
      </c>
      <c r="I2433" s="7" t="inlineStr">
        <is>
          <t>Popular Thrissur</t>
        </is>
      </c>
      <c r="J2433" s="8" t="n">
        <v>2015</v>
      </c>
      <c r="K2433" s="9" t="n">
        <v>88741</v>
      </c>
      <c r="L2433" s="10" t="n">
        <v>185000</v>
      </c>
      <c r="M2433" s="10" t="n">
        <v>5000</v>
      </c>
      <c r="N2433" s="11">
        <f>IF(M2433="","",ROUND(M2433*1.18,2))</f>
        <v/>
      </c>
      <c r="O2433" s="12">
        <f>IF(M2433="","",ROUND(N2433-M2433,2))</f>
        <v/>
      </c>
      <c r="P2433" s="13">
        <f>IF(AND(A2433&lt;&gt;"",B2433&lt;&gt;""), A2433&amp;" · "&amp;B2433, "")</f>
        <v/>
      </c>
    </row>
    <row r="2434">
      <c r="A2434" s="6" t="inlineStr">
        <is>
          <t>FY27</t>
        </is>
      </c>
      <c r="B2434" s="6" t="inlineStr">
        <is>
          <t>Jun</t>
        </is>
      </c>
      <c r="C2434" s="6" t="inlineStr">
        <is>
          <t>TN</t>
        </is>
      </c>
      <c r="D2434" s="7" t="inlineStr">
        <is>
          <t>KL01CH1976</t>
        </is>
      </c>
      <c r="E2434" s="7" t="inlineStr">
        <is>
          <t>MARUTI SUZUKI</t>
        </is>
      </c>
      <c r="F2434" s="7" t="inlineStr">
        <is>
          <t>Dzire</t>
        </is>
      </c>
      <c r="G2434" s="7" t="inlineStr">
        <is>
          <t>POPULAR MOTORWORLD PVT LTD</t>
        </is>
      </c>
      <c r="H2434" s="7" t="inlineStr">
        <is>
          <t>Non-Captive</t>
        </is>
      </c>
      <c r="I2434" s="7" t="inlineStr">
        <is>
          <t>SABU SALAM</t>
        </is>
      </c>
      <c r="J2434" s="8" t="n">
        <v>2018</v>
      </c>
      <c r="K2434" s="9" t="n">
        <v>120690</v>
      </c>
      <c r="L2434" s="10" t="n">
        <v>185000</v>
      </c>
      <c r="M2434" s="10" t="n">
        <v>8474.58</v>
      </c>
      <c r="N2434" s="11">
        <f>IF(M2434="","",ROUND(M2434*1.18,2))</f>
        <v/>
      </c>
      <c r="O2434" s="12">
        <f>IF(M2434="","",ROUND(N2434-M2434,2))</f>
        <v/>
      </c>
      <c r="P2434" s="13">
        <f>IF(AND(A2434&lt;&gt;"",B2434&lt;&gt;""), A2434&amp;" · "&amp;B2434, "")</f>
        <v/>
      </c>
    </row>
    <row r="2435">
      <c r="A2435" s="6" t="inlineStr">
        <is>
          <t>FY27</t>
        </is>
      </c>
      <c r="B2435" s="6" t="inlineStr">
        <is>
          <t>Jun</t>
        </is>
      </c>
      <c r="C2435" s="6" t="inlineStr">
        <is>
          <t>TN</t>
        </is>
      </c>
      <c r="D2435" s="7" t="inlineStr">
        <is>
          <t>KL01CS3282</t>
        </is>
      </c>
      <c r="E2435" s="7" t="inlineStr">
        <is>
          <t>HYUNDAI</t>
        </is>
      </c>
      <c r="F2435" s="7" t="inlineStr">
        <is>
          <t>Venue</t>
        </is>
      </c>
      <c r="G2435" s="7" t="inlineStr">
        <is>
          <t>EVM CITROEN</t>
        </is>
      </c>
      <c r="H2435" s="7" t="inlineStr">
        <is>
          <t>Non-Captive</t>
        </is>
      </c>
      <c r="I2435" s="7" t="inlineStr">
        <is>
          <t>SHAMNAD AH</t>
        </is>
      </c>
      <c r="J2435" s="8" t="n">
        <v>2017</v>
      </c>
      <c r="K2435" s="9" t="n">
        <v>78543</v>
      </c>
      <c r="L2435" s="10" t="n">
        <v>175000</v>
      </c>
      <c r="M2435" s="10" t="n">
        <v>6016.95</v>
      </c>
      <c r="N2435" s="11">
        <f>IF(M2435="","",ROUND(M2435*1.18,2))</f>
        <v/>
      </c>
      <c r="O2435" s="12">
        <f>IF(M2435="","",ROUND(N2435-M2435,2))</f>
        <v/>
      </c>
      <c r="P2435" s="13">
        <f>IF(AND(A2435&lt;&gt;"",B2435&lt;&gt;""), A2435&amp;" · "&amp;B2435, "")</f>
        <v/>
      </c>
    </row>
    <row r="2436">
      <c r="A2436" s="6" t="inlineStr">
        <is>
          <t>FY27</t>
        </is>
      </c>
      <c r="B2436" s="6" t="inlineStr">
        <is>
          <t>Jun</t>
        </is>
      </c>
      <c r="C2436" s="6" t="inlineStr">
        <is>
          <t>TN</t>
        </is>
      </c>
      <c r="D2436" s="7" t="inlineStr">
        <is>
          <t>KL16V0161</t>
        </is>
      </c>
      <c r="E2436" s="7" t="inlineStr">
        <is>
          <t>MARUTI SUZUKI</t>
        </is>
      </c>
      <c r="F2436" s="7" t="inlineStr">
        <is>
          <t>Ertiga</t>
        </is>
      </c>
      <c r="G2436" s="7" t="inlineStr">
        <is>
          <t>NIPPON MOTOR CORPORATION PVT LTD</t>
        </is>
      </c>
      <c r="H2436" s="7" t="inlineStr">
        <is>
          <t>Non-Captive</t>
        </is>
      </c>
      <c r="I2436" s="7" t="inlineStr">
        <is>
          <t>Popular Thrissur</t>
        </is>
      </c>
      <c r="J2436" s="8" t="n">
        <v>2018</v>
      </c>
      <c r="K2436" s="9" t="n">
        <v>76502</v>
      </c>
      <c r="L2436" s="10" t="n">
        <v>185000</v>
      </c>
      <c r="M2436" s="10" t="n">
        <v>5000</v>
      </c>
      <c r="N2436" s="11">
        <f>IF(M2436="","",ROUND(M2436*1.18,2))</f>
        <v/>
      </c>
      <c r="O2436" s="12">
        <f>IF(M2436="","",ROUND(N2436-M2436,2))</f>
        <v/>
      </c>
      <c r="P2436" s="13">
        <f>IF(AND(A2436&lt;&gt;"",B2436&lt;&gt;""), A2436&amp;" · "&amp;B2436, "")</f>
        <v/>
      </c>
    </row>
    <row r="2437">
      <c r="A2437" s="6" t="inlineStr">
        <is>
          <t>FY27</t>
        </is>
      </c>
      <c r="B2437" s="6" t="inlineStr">
        <is>
          <t>Jun</t>
        </is>
      </c>
      <c r="C2437" s="6" t="inlineStr">
        <is>
          <t>TN</t>
        </is>
      </c>
      <c r="D2437" s="7" t="inlineStr">
        <is>
          <t>KL16W2030</t>
        </is>
      </c>
      <c r="E2437" s="7" t="inlineStr">
        <is>
          <t>MARUTI SUZUKI</t>
        </is>
      </c>
      <c r="F2437" s="7" t="inlineStr">
        <is>
          <t>Ertiga</t>
        </is>
      </c>
      <c r="G2437" s="7" t="inlineStr">
        <is>
          <t>FORTUNE MALAYALAM AUTOMOBILES PRIVATE LIMITED</t>
        </is>
      </c>
      <c r="H2437" s="7" t="inlineStr">
        <is>
          <t>Non-Captive</t>
        </is>
      </c>
      <c r="I2437" s="7" t="inlineStr">
        <is>
          <t>Popular Alleppy</t>
        </is>
      </c>
      <c r="J2437" s="8" t="n">
        <v>2019</v>
      </c>
      <c r="K2437" s="9" t="n">
        <v>36565</v>
      </c>
      <c r="L2437" s="10" t="n">
        <v>190000</v>
      </c>
      <c r="M2437" s="10" t="n">
        <v>5000</v>
      </c>
      <c r="N2437" s="11">
        <f>IF(M2437="","",ROUND(M2437*1.18,2))</f>
        <v/>
      </c>
      <c r="O2437" s="12">
        <f>IF(M2437="","",ROUND(N2437-M2437,2))</f>
        <v/>
      </c>
      <c r="P2437" s="13">
        <f>IF(AND(A2437&lt;&gt;"",B2437&lt;&gt;""), A2437&amp;" · "&amp;B2437, "")</f>
        <v/>
      </c>
    </row>
    <row r="2438">
      <c r="A2438" s="6" t="inlineStr">
        <is>
          <t>FY27</t>
        </is>
      </c>
      <c r="B2438" s="6" t="inlineStr">
        <is>
          <t>Jun</t>
        </is>
      </c>
      <c r="C2438" s="6" t="inlineStr">
        <is>
          <t>TN</t>
        </is>
      </c>
      <c r="D2438" s="7" t="inlineStr">
        <is>
          <t>KL20K3589</t>
        </is>
      </c>
      <c r="E2438" s="7" t="inlineStr">
        <is>
          <t>VOLKSWAGEN</t>
        </is>
      </c>
      <c r="F2438" s="7" t="inlineStr">
        <is>
          <t>Polo</t>
        </is>
      </c>
      <c r="G2438" s="7" t="inlineStr">
        <is>
          <t>NIPPON MOTOR CORPORATION PVT LTD</t>
        </is>
      </c>
      <c r="H2438" s="7" t="inlineStr">
        <is>
          <t>Non-Captive</t>
        </is>
      </c>
      <c r="I2438" s="7" t="inlineStr">
        <is>
          <t>SHAMNAD AH</t>
        </is>
      </c>
      <c r="J2438" s="8" t="n">
        <v>2016</v>
      </c>
      <c r="K2438" s="9" t="n">
        <v>76956</v>
      </c>
      <c r="L2438" s="10" t="n">
        <v>190000</v>
      </c>
      <c r="M2438" s="10" t="n">
        <v>6016.95</v>
      </c>
      <c r="N2438" s="11">
        <f>IF(M2438="","",ROUND(M2438*1.18,2))</f>
        <v/>
      </c>
      <c r="O2438" s="12">
        <f>IF(M2438="","",ROUND(N2438-M2438,2))</f>
        <v/>
      </c>
      <c r="P2438" s="13">
        <f>IF(AND(A2438&lt;&gt;"",B2438&lt;&gt;""), A2438&amp;" · "&amp;B2438, "")</f>
        <v/>
      </c>
    </row>
    <row r="2439">
      <c r="A2439" s="6" t="inlineStr">
        <is>
          <t>FY27</t>
        </is>
      </c>
      <c r="B2439" s="6" t="inlineStr">
        <is>
          <t>Jun</t>
        </is>
      </c>
      <c r="C2439" s="6" t="inlineStr">
        <is>
          <t>TN</t>
        </is>
      </c>
      <c r="D2439" s="7" t="inlineStr">
        <is>
          <t>KL21W1568</t>
        </is>
      </c>
      <c r="E2439" s="7" t="inlineStr">
        <is>
          <t>MARUTI SUZUKI</t>
        </is>
      </c>
      <c r="F2439" s="7" t="inlineStr">
        <is>
          <t>Swift</t>
        </is>
      </c>
      <c r="G2439" s="7" t="inlineStr">
        <is>
          <t>TRUST N DRIVE</t>
        </is>
      </c>
      <c r="H2439" s="7" t="inlineStr">
        <is>
          <t>Non-Captive</t>
        </is>
      </c>
      <c r="I2439" s="7" t="inlineStr">
        <is>
          <t>Popular Kottayam</t>
        </is>
      </c>
      <c r="J2439" s="8" t="n">
        <v>2018</v>
      </c>
      <c r="K2439" s="9" t="n">
        <v>90872</v>
      </c>
      <c r="L2439" s="10" t="n">
        <v>190000</v>
      </c>
      <c r="M2439" s="10" t="n">
        <v>5000</v>
      </c>
      <c r="N2439" s="11">
        <f>IF(M2439="","",ROUND(M2439*1.18,2))</f>
        <v/>
      </c>
      <c r="O2439" s="12">
        <f>IF(M2439="","",ROUND(N2439-M2439,2))</f>
        <v/>
      </c>
      <c r="P2439" s="13">
        <f>IF(AND(A2439&lt;&gt;"",B2439&lt;&gt;""), A2439&amp;" · "&amp;B2439, "")</f>
        <v/>
      </c>
    </row>
    <row r="2440">
      <c r="A2440" s="6" t="inlineStr">
        <is>
          <t>FY27</t>
        </is>
      </c>
      <c r="B2440" s="6" t="inlineStr">
        <is>
          <t>Jun</t>
        </is>
      </c>
      <c r="C2440" s="6" t="inlineStr">
        <is>
          <t>TN</t>
        </is>
      </c>
      <c r="D2440" s="7" t="inlineStr">
        <is>
          <t>KL22D4057</t>
        </is>
      </c>
      <c r="E2440" s="7" t="inlineStr">
        <is>
          <t>MARUTI SUZUKI</t>
        </is>
      </c>
      <c r="F2440" s="7" t="inlineStr">
        <is>
          <t>SX4</t>
        </is>
      </c>
      <c r="G2440" s="7" t="inlineStr">
        <is>
          <t>DERIK MOTORS PRIVATE LIMITED</t>
        </is>
      </c>
      <c r="H2440" s="7" t="inlineStr">
        <is>
          <t>Non-Captive</t>
        </is>
      </c>
      <c r="I2440" s="7" t="inlineStr">
        <is>
          <t>SABU SALAM</t>
        </is>
      </c>
      <c r="J2440" s="8" t="n">
        <v>2012</v>
      </c>
      <c r="K2440" s="9" t="n">
        <v>138385</v>
      </c>
      <c r="L2440" s="10" t="n">
        <v>135000</v>
      </c>
      <c r="M2440" s="10" t="n">
        <v>8474.58</v>
      </c>
      <c r="N2440" s="11">
        <f>IF(M2440="","",ROUND(M2440*1.18,2))</f>
        <v/>
      </c>
      <c r="O2440" s="12">
        <f>IF(M2440="","",ROUND(N2440-M2440,2))</f>
        <v/>
      </c>
      <c r="P2440" s="13">
        <f>IF(AND(A2440&lt;&gt;"",B2440&lt;&gt;""), A2440&amp;" · "&amp;B2440, "")</f>
        <v/>
      </c>
    </row>
    <row r="2441">
      <c r="A2441" s="6" t="inlineStr">
        <is>
          <t>FY27</t>
        </is>
      </c>
      <c r="B2441" s="6" t="inlineStr">
        <is>
          <t>Jun</t>
        </is>
      </c>
      <c r="C2441" s="6" t="inlineStr">
        <is>
          <t>TN</t>
        </is>
      </c>
      <c r="D2441" s="7" t="inlineStr">
        <is>
          <t>KL22Q8827</t>
        </is>
      </c>
      <c r="E2441" s="7" t="inlineStr">
        <is>
          <t>MARUTI SUZUKI</t>
        </is>
      </c>
      <c r="F2441" s="7" t="inlineStr">
        <is>
          <t>Vitara Brezza</t>
        </is>
      </c>
      <c r="G2441" s="7" t="inlineStr">
        <is>
          <t>TRUST N DRIVE</t>
        </is>
      </c>
      <c r="H2441" s="7" t="inlineStr">
        <is>
          <t>Non-Captive</t>
        </is>
      </c>
      <c r="I2441" s="7" t="inlineStr">
        <is>
          <t>Popular Kottayam</t>
        </is>
      </c>
      <c r="J2441" s="8" t="n">
        <v>2018</v>
      </c>
      <c r="K2441" s="9" t="n">
        <v>34291</v>
      </c>
      <c r="L2441" s="10" t="n">
        <v>185000</v>
      </c>
      <c r="M2441" s="10" t="n">
        <v>5000</v>
      </c>
      <c r="N2441" s="11">
        <f>IF(M2441="","",ROUND(M2441*1.18,2))</f>
        <v/>
      </c>
      <c r="O2441" s="12">
        <f>IF(M2441="","",ROUND(N2441-M2441,2))</f>
        <v/>
      </c>
      <c r="P2441" s="13">
        <f>IF(AND(A2441&lt;&gt;"",B2441&lt;&gt;""), A2441&amp;" · "&amp;B2441, "")</f>
        <v/>
      </c>
    </row>
    <row r="2442">
      <c r="A2442" s="6" t="inlineStr">
        <is>
          <t>FY27</t>
        </is>
      </c>
      <c r="B2442" s="6" t="inlineStr">
        <is>
          <t>Jun</t>
        </is>
      </c>
      <c r="C2442" s="6" t="inlineStr">
        <is>
          <t>TN</t>
        </is>
      </c>
      <c r="D2442" s="7" t="inlineStr">
        <is>
          <t>KL436309</t>
        </is>
      </c>
      <c r="E2442" s="7" t="inlineStr">
        <is>
          <t>MARUTI SUZUKI</t>
        </is>
      </c>
      <c r="F2442" s="7" t="inlineStr">
        <is>
          <t>Zen</t>
        </is>
      </c>
      <c r="G2442" s="7" t="inlineStr">
        <is>
          <t>POPULAR MOTORWORLD PVT LTD</t>
        </is>
      </c>
      <c r="H2442" s="7" t="inlineStr">
        <is>
          <t>Non-Captive</t>
        </is>
      </c>
      <c r="I2442" s="7" t="inlineStr">
        <is>
          <t>STEVE JACKSON</t>
        </is>
      </c>
      <c r="J2442" s="8" t="n">
        <v>2006</v>
      </c>
      <c r="K2442" s="9" t="n">
        <v>56470</v>
      </c>
      <c r="L2442" s="10" t="n">
        <v>65000</v>
      </c>
      <c r="M2442" s="10" t="n">
        <v>5932.2</v>
      </c>
      <c r="N2442" s="11">
        <f>IF(M2442="","",ROUND(M2442*1.18,2))</f>
        <v/>
      </c>
      <c r="O2442" s="12">
        <f>IF(M2442="","",ROUND(N2442-M2442,2))</f>
        <v/>
      </c>
      <c r="P2442" s="13">
        <f>IF(AND(A2442&lt;&gt;"",B2442&lt;&gt;""), A2442&amp;" · "&amp;B2442, "")</f>
        <v/>
      </c>
    </row>
    <row r="2443">
      <c r="A2443" s="6" t="inlineStr">
        <is>
          <t>FY27</t>
        </is>
      </c>
      <c r="B2443" s="6" t="inlineStr">
        <is>
          <t>Jun</t>
        </is>
      </c>
      <c r="C2443" s="6" t="inlineStr">
        <is>
          <t>TN</t>
        </is>
      </c>
      <c r="D2443" s="7" t="inlineStr">
        <is>
          <t>MH17BS0185</t>
        </is>
      </c>
      <c r="E2443" s="7" t="inlineStr">
        <is>
          <t>MARUTI SUZUKI</t>
        </is>
      </c>
      <c r="F2443" s="7" t="inlineStr">
        <is>
          <t>Celerio</t>
        </is>
      </c>
      <c r="G2443" s="7" t="inlineStr">
        <is>
          <t>KHIVRAJ MOTOR</t>
        </is>
      </c>
      <c r="H2443" s="7" t="inlineStr">
        <is>
          <t>Non-Captive</t>
        </is>
      </c>
      <c r="I2443" s="7" t="inlineStr">
        <is>
          <t>Pine Autos</t>
        </is>
      </c>
      <c r="J2443" s="8" t="n">
        <v>2016</v>
      </c>
      <c r="K2443" s="9" t="n">
        <v>109736</v>
      </c>
      <c r="L2443" s="10" t="n">
        <v>300000</v>
      </c>
      <c r="M2443" s="10" t="n">
        <v>5084.75</v>
      </c>
      <c r="N2443" s="11">
        <f>IF(M2443="","",ROUND(M2443*1.18,2))</f>
        <v/>
      </c>
      <c r="O2443" s="12">
        <f>IF(M2443="","",ROUND(N2443-M2443,2))</f>
        <v/>
      </c>
      <c r="P2443" s="13">
        <f>IF(AND(A2443&lt;&gt;"",B2443&lt;&gt;""), A2443&amp;" · "&amp;B2443, "")</f>
        <v/>
      </c>
    </row>
    <row r="2444">
      <c r="A2444" s="6" t="inlineStr">
        <is>
          <t>FY27</t>
        </is>
      </c>
      <c r="B2444" s="6" t="inlineStr">
        <is>
          <t>Jun</t>
        </is>
      </c>
      <c r="C2444" s="6" t="inlineStr">
        <is>
          <t>TN</t>
        </is>
      </c>
      <c r="D2444" s="7" t="inlineStr">
        <is>
          <t>TN01AF9599</t>
        </is>
      </c>
      <c r="E2444" s="7" t="inlineStr">
        <is>
          <t>HINDUSTAN MOTORS</t>
        </is>
      </c>
      <c r="F2444" s="7" t="inlineStr">
        <is>
          <t>Ambassador</t>
        </is>
      </c>
      <c r="G2444" s="7" t="inlineStr">
        <is>
          <t>CASTLE TRADERS HONDA</t>
        </is>
      </c>
      <c r="H2444" s="7" t="inlineStr">
        <is>
          <t>Non-Captive</t>
        </is>
      </c>
      <c r="I2444" s="7" t="inlineStr">
        <is>
          <t>Senthil Cars</t>
        </is>
      </c>
      <c r="J2444" s="8" t="n">
        <v>2008</v>
      </c>
      <c r="K2444" s="9" t="n">
        <v>99754</v>
      </c>
      <c r="L2444" s="10" t="n">
        <v>70000</v>
      </c>
      <c r="M2444" s="10" t="n">
        <v>4237.29</v>
      </c>
      <c r="N2444" s="11">
        <f>IF(M2444="","",ROUND(M2444*1.18,2))</f>
        <v/>
      </c>
      <c r="O2444" s="12">
        <f>IF(M2444="","",ROUND(N2444-M2444,2))</f>
        <v/>
      </c>
      <c r="P2444" s="13">
        <f>IF(AND(A2444&lt;&gt;"",B2444&lt;&gt;""), A2444&amp;" · "&amp;B2444, "")</f>
        <v/>
      </c>
    </row>
    <row r="2445">
      <c r="A2445" s="6" t="inlineStr">
        <is>
          <t>FY27</t>
        </is>
      </c>
      <c r="B2445" s="6" t="inlineStr">
        <is>
          <t>Jun</t>
        </is>
      </c>
      <c r="C2445" s="6" t="inlineStr">
        <is>
          <t>TN</t>
        </is>
      </c>
      <c r="D2445" s="7" t="inlineStr">
        <is>
          <t>TN01AM2102</t>
        </is>
      </c>
      <c r="E2445" s="7" t="inlineStr">
        <is>
          <t>HYUNDAI</t>
        </is>
      </c>
      <c r="F2445" s="7" t="inlineStr">
        <is>
          <t>i20</t>
        </is>
      </c>
      <c r="G2445" s="7" t="inlineStr">
        <is>
          <t>KHIVRAJ MOTOR</t>
        </is>
      </c>
      <c r="H2445" s="7" t="inlineStr">
        <is>
          <t>Non-Captive</t>
        </is>
      </c>
      <c r="I2445" s="7" t="inlineStr">
        <is>
          <t>AAA Cars</t>
        </is>
      </c>
      <c r="J2445" s="8" t="n">
        <v>2010</v>
      </c>
      <c r="K2445" s="9" t="n">
        <v>116647</v>
      </c>
      <c r="L2445" s="10" t="n">
        <v>300000</v>
      </c>
      <c r="M2445" s="10" t="n">
        <v>5084.75</v>
      </c>
      <c r="N2445" s="11">
        <f>IF(M2445="","",ROUND(M2445*1.18,2))</f>
        <v/>
      </c>
      <c r="O2445" s="12">
        <f>IF(M2445="","",ROUND(N2445-M2445,2))</f>
        <v/>
      </c>
      <c r="P2445" s="13">
        <f>IF(AND(A2445&lt;&gt;"",B2445&lt;&gt;""), A2445&amp;" · "&amp;B2445, "")</f>
        <v/>
      </c>
    </row>
    <row r="2446">
      <c r="A2446" s="6" t="inlineStr">
        <is>
          <t>FY27</t>
        </is>
      </c>
      <c r="B2446" s="6" t="inlineStr">
        <is>
          <t>Jun</t>
        </is>
      </c>
      <c r="C2446" s="6" t="inlineStr">
        <is>
          <t>TN</t>
        </is>
      </c>
      <c r="D2446" s="7" t="inlineStr">
        <is>
          <t>TN01AM9009</t>
        </is>
      </c>
      <c r="E2446" s="7" t="inlineStr">
        <is>
          <t>TOYOTA</t>
        </is>
      </c>
      <c r="F2446" s="7" t="inlineStr">
        <is>
          <t>Corolla Altis</t>
        </is>
      </c>
      <c r="G2446" s="7" t="inlineStr">
        <is>
          <t>GLOVIS INDIA PVT LTD</t>
        </is>
      </c>
      <c r="H2446" s="7" t="inlineStr">
        <is>
          <t>Non-Captive</t>
        </is>
      </c>
      <c r="I2446" s="7" t="inlineStr">
        <is>
          <t>Nirmal Cars</t>
        </is>
      </c>
      <c r="J2446" s="8" t="n">
        <v>2010</v>
      </c>
      <c r="K2446" s="9" t="n">
        <v>117640</v>
      </c>
      <c r="L2446" s="10" t="n">
        <v>250000</v>
      </c>
      <c r="M2446" s="10" t="n">
        <v>4237.29</v>
      </c>
      <c r="N2446" s="11">
        <f>IF(M2446="","",ROUND(M2446*1.18,2))</f>
        <v/>
      </c>
      <c r="O2446" s="12">
        <f>IF(M2446="","",ROUND(N2446-M2446,2))</f>
        <v/>
      </c>
      <c r="P2446" s="13">
        <f>IF(AND(A2446&lt;&gt;"",B2446&lt;&gt;""), A2446&amp;" · "&amp;B2446, "")</f>
        <v/>
      </c>
    </row>
    <row r="2447">
      <c r="A2447" s="6" t="inlineStr">
        <is>
          <t>FY27</t>
        </is>
      </c>
      <c r="B2447" s="6" t="inlineStr">
        <is>
          <t>Jun</t>
        </is>
      </c>
      <c r="C2447" s="6" t="inlineStr">
        <is>
          <t>TN</t>
        </is>
      </c>
      <c r="D2447" s="7" t="inlineStr">
        <is>
          <t>TN01AQ1778</t>
        </is>
      </c>
      <c r="E2447" s="7" t="inlineStr">
        <is>
          <t>HYUNDAI</t>
        </is>
      </c>
      <c r="F2447" s="7" t="inlineStr">
        <is>
          <t>i10</t>
        </is>
      </c>
      <c r="G2447" s="7" t="inlineStr">
        <is>
          <t>EXCHANGE CHENNAI</t>
        </is>
      </c>
      <c r="H2447" s="7" t="inlineStr">
        <is>
          <t>Captive</t>
        </is>
      </c>
      <c r="I2447" s="7" t="inlineStr">
        <is>
          <t>&lt;NA&gt;</t>
        </is>
      </c>
      <c r="J2447" s="8" t="n">
        <v>2011</v>
      </c>
      <c r="K2447" s="9" t="n">
        <v>89034</v>
      </c>
      <c r="L2447" s="10" t="n">
        <v>130000</v>
      </c>
      <c r="M2447" s="10" t="n">
        <v>4237.29</v>
      </c>
      <c r="N2447" s="11">
        <f>IF(M2447="","",ROUND(M2447*1.18,2))</f>
        <v/>
      </c>
      <c r="O2447" s="12">
        <f>IF(M2447="","",ROUND(N2447-M2447,2))</f>
        <v/>
      </c>
      <c r="P2447" s="13">
        <f>IF(AND(A2447&lt;&gt;"",B2447&lt;&gt;""), A2447&amp;" · "&amp;B2447, "")</f>
        <v/>
      </c>
    </row>
    <row r="2448">
      <c r="A2448" s="6" t="inlineStr">
        <is>
          <t>FY27</t>
        </is>
      </c>
      <c r="B2448" s="6" t="inlineStr">
        <is>
          <t>Jun</t>
        </is>
      </c>
      <c r="C2448" s="6" t="inlineStr">
        <is>
          <t>TN</t>
        </is>
      </c>
      <c r="D2448" s="7" t="inlineStr">
        <is>
          <t>TN01AR5567</t>
        </is>
      </c>
      <c r="E2448" s="7" t="inlineStr">
        <is>
          <t>MARUTI SUZUKI</t>
        </is>
      </c>
      <c r="F2448" s="7" t="inlineStr">
        <is>
          <t>Wagon R</t>
        </is>
      </c>
      <c r="G2448" s="7" t="inlineStr">
        <is>
          <t>AA CARS</t>
        </is>
      </c>
      <c r="H2448" s="7" t="inlineStr">
        <is>
          <t>Non-Captive</t>
        </is>
      </c>
      <c r="I2448" s="7" t="inlineStr">
        <is>
          <t>Nirmal Cars</t>
        </is>
      </c>
      <c r="J2448" s="8" t="n">
        <v>2012</v>
      </c>
      <c r="K2448" s="9" t="n">
        <v>63599</v>
      </c>
      <c r="L2448" s="10" t="n">
        <v>240000</v>
      </c>
      <c r="M2448" s="10" t="n">
        <v>4237.29</v>
      </c>
      <c r="N2448" s="11">
        <f>IF(M2448="","",ROUND(M2448*1.18,2))</f>
        <v/>
      </c>
      <c r="O2448" s="12">
        <f>IF(M2448="","",ROUND(N2448-M2448,2))</f>
        <v/>
      </c>
      <c r="P2448" s="13">
        <f>IF(AND(A2448&lt;&gt;"",B2448&lt;&gt;""), A2448&amp;" · "&amp;B2448, "")</f>
        <v/>
      </c>
    </row>
    <row r="2449">
      <c r="A2449" s="6" t="inlineStr">
        <is>
          <t>FY27</t>
        </is>
      </c>
      <c r="B2449" s="6" t="inlineStr">
        <is>
          <t>Jun</t>
        </is>
      </c>
      <c r="C2449" s="6" t="inlineStr">
        <is>
          <t>TN</t>
        </is>
      </c>
      <c r="D2449" s="7" t="inlineStr">
        <is>
          <t>TN01AR8188</t>
        </is>
      </c>
      <c r="E2449" s="7" t="inlineStr">
        <is>
          <t>MARUTI SUZUKI</t>
        </is>
      </c>
      <c r="F2449" s="7" t="inlineStr">
        <is>
          <t>Wagon R</t>
        </is>
      </c>
      <c r="G2449" s="7" t="inlineStr">
        <is>
          <t>CRESCO CARS</t>
        </is>
      </c>
      <c r="H2449" s="7" t="inlineStr">
        <is>
          <t>Non-Captive</t>
        </is>
      </c>
      <c r="I2449" s="7" t="inlineStr">
        <is>
          <t>Nirmal Cars</t>
        </is>
      </c>
      <c r="J2449" s="8" t="n">
        <v>2012</v>
      </c>
      <c r="K2449" s="9" t="n">
        <v>89413</v>
      </c>
      <c r="L2449" s="10" t="n">
        <v>280000</v>
      </c>
      <c r="M2449" s="10" t="n">
        <v>4237.29</v>
      </c>
      <c r="N2449" s="11">
        <f>IF(M2449="","",ROUND(M2449*1.18,2))</f>
        <v/>
      </c>
      <c r="O2449" s="12">
        <f>IF(M2449="","",ROUND(N2449-M2449,2))</f>
        <v/>
      </c>
      <c r="P2449" s="13">
        <f>IF(AND(A2449&lt;&gt;"",B2449&lt;&gt;""), A2449&amp;" · "&amp;B2449, "")</f>
        <v/>
      </c>
    </row>
    <row r="2450">
      <c r="A2450" s="6" t="inlineStr">
        <is>
          <t>FY27</t>
        </is>
      </c>
      <c r="B2450" s="6" t="inlineStr">
        <is>
          <t>Jun</t>
        </is>
      </c>
      <c r="C2450" s="6" t="inlineStr">
        <is>
          <t>TN</t>
        </is>
      </c>
      <c r="D2450" s="7" t="inlineStr">
        <is>
          <t>TN01AS6582</t>
        </is>
      </c>
      <c r="E2450" s="7" t="inlineStr">
        <is>
          <t>HONDA</t>
        </is>
      </c>
      <c r="F2450" s="7" t="inlineStr">
        <is>
          <t>City</t>
        </is>
      </c>
      <c r="G2450" s="7" t="inlineStr">
        <is>
          <t>EXCHANGE CHENNAI</t>
        </is>
      </c>
      <c r="H2450" s="7" t="inlineStr">
        <is>
          <t>Captive</t>
        </is>
      </c>
      <c r="I2450" s="7" t="inlineStr">
        <is>
          <t>Santhosh Cars</t>
        </is>
      </c>
      <c r="J2450" s="8" t="n">
        <v>2012</v>
      </c>
      <c r="K2450" s="9" t="n">
        <v>110454</v>
      </c>
      <c r="L2450" s="10" t="n">
        <v>255000</v>
      </c>
      <c r="M2450" s="10" t="n">
        <v>8474.58</v>
      </c>
      <c r="N2450" s="11">
        <f>IF(M2450="","",ROUND(M2450*1.18,2))</f>
        <v/>
      </c>
      <c r="O2450" s="12">
        <f>IF(M2450="","",ROUND(N2450-M2450,2))</f>
        <v/>
      </c>
      <c r="P2450" s="13">
        <f>IF(AND(A2450&lt;&gt;"",B2450&lt;&gt;""), A2450&amp;" · "&amp;B2450, "")</f>
        <v/>
      </c>
    </row>
    <row r="2451">
      <c r="A2451" s="6" t="inlineStr">
        <is>
          <t>FY27</t>
        </is>
      </c>
      <c r="B2451" s="6" t="inlineStr">
        <is>
          <t>Jun</t>
        </is>
      </c>
      <c r="C2451" s="6" t="inlineStr">
        <is>
          <t>TN</t>
        </is>
      </c>
      <c r="D2451" s="7" t="inlineStr">
        <is>
          <t>TN01AS8286</t>
        </is>
      </c>
      <c r="E2451" s="7" t="inlineStr">
        <is>
          <t>MARUTI SUZUKI</t>
        </is>
      </c>
      <c r="F2451" s="7" t="inlineStr">
        <is>
          <t>Alto K10</t>
        </is>
      </c>
      <c r="G2451" s="7" t="inlineStr">
        <is>
          <t>ABT LIMITED</t>
        </is>
      </c>
      <c r="H2451" s="7" t="inlineStr">
        <is>
          <t>Non-Captive</t>
        </is>
      </c>
      <c r="I2451" s="7" t="inlineStr">
        <is>
          <t>TSM</t>
        </is>
      </c>
      <c r="J2451" s="8" t="n">
        <v>2012</v>
      </c>
      <c r="K2451" s="9" t="n">
        <v>36822</v>
      </c>
      <c r="L2451" s="10" t="n">
        <v>250000</v>
      </c>
      <c r="M2451" s="10" t="n">
        <v>4237.29</v>
      </c>
      <c r="N2451" s="11">
        <f>IF(M2451="","",ROUND(M2451*1.18,2))</f>
        <v/>
      </c>
      <c r="O2451" s="12">
        <f>IF(M2451="","",ROUND(N2451-M2451,2))</f>
        <v/>
      </c>
      <c r="P2451" s="13">
        <f>IF(AND(A2451&lt;&gt;"",B2451&lt;&gt;""), A2451&amp;" · "&amp;B2451, "")</f>
        <v/>
      </c>
    </row>
    <row r="2452">
      <c r="A2452" s="6" t="inlineStr">
        <is>
          <t>FY27</t>
        </is>
      </c>
      <c r="B2452" s="6" t="inlineStr">
        <is>
          <t>Jun</t>
        </is>
      </c>
      <c r="C2452" s="6" t="inlineStr">
        <is>
          <t>TN</t>
        </is>
      </c>
      <c r="D2452" s="7" t="inlineStr">
        <is>
          <t>TN01AU2757</t>
        </is>
      </c>
      <c r="E2452" s="7" t="inlineStr">
        <is>
          <t>SKODA</t>
        </is>
      </c>
      <c r="F2452" s="7" t="inlineStr">
        <is>
          <t>Rapid</t>
        </is>
      </c>
      <c r="G2452" s="7" t="inlineStr">
        <is>
          <t>KHIVRAJ MOTOR</t>
        </is>
      </c>
      <c r="H2452" s="7" t="inlineStr">
        <is>
          <t>Non-Captive</t>
        </is>
      </c>
      <c r="I2452" s="7" t="inlineStr">
        <is>
          <t>TSM</t>
        </is>
      </c>
      <c r="J2452" s="8" t="n">
        <v>2013</v>
      </c>
      <c r="K2452" s="9" t="n">
        <v>107786</v>
      </c>
      <c r="L2452" s="10" t="n">
        <v>260000</v>
      </c>
      <c r="M2452" s="10" t="n">
        <v>4237.29</v>
      </c>
      <c r="N2452" s="11">
        <f>IF(M2452="","",ROUND(M2452*1.18,2))</f>
        <v/>
      </c>
      <c r="O2452" s="12">
        <f>IF(M2452="","",ROUND(N2452-M2452,2))</f>
        <v/>
      </c>
      <c r="P2452" s="13">
        <f>IF(AND(A2452&lt;&gt;"",B2452&lt;&gt;""), A2452&amp;" · "&amp;B2452, "")</f>
        <v/>
      </c>
    </row>
    <row r="2453">
      <c r="A2453" s="6" t="inlineStr">
        <is>
          <t>FY27</t>
        </is>
      </c>
      <c r="B2453" s="6" t="inlineStr">
        <is>
          <t>Jun</t>
        </is>
      </c>
      <c r="C2453" s="6" t="inlineStr">
        <is>
          <t>TN</t>
        </is>
      </c>
      <c r="D2453" s="7" t="inlineStr">
        <is>
          <t>TN01AU4028</t>
        </is>
      </c>
      <c r="E2453" s="7" t="inlineStr">
        <is>
          <t>MARUTI SUZUKI</t>
        </is>
      </c>
      <c r="F2453" s="7" t="inlineStr">
        <is>
          <t>Alto K10</t>
        </is>
      </c>
      <c r="G2453" s="7" t="inlineStr">
        <is>
          <t>SUN CARS</t>
        </is>
      </c>
      <c r="H2453" s="7" t="inlineStr">
        <is>
          <t>Non-Captive</t>
        </is>
      </c>
      <c r="I2453" s="7" t="inlineStr">
        <is>
          <t>Nirmal Cars</t>
        </is>
      </c>
      <c r="J2453" s="8" t="n">
        <v>2012</v>
      </c>
      <c r="K2453" s="9" t="n">
        <v>82816</v>
      </c>
      <c r="L2453" s="10" t="n">
        <v>245000</v>
      </c>
      <c r="M2453" s="10" t="n">
        <v>4237.29</v>
      </c>
      <c r="N2453" s="11">
        <f>IF(M2453="","",ROUND(M2453*1.18,2))</f>
        <v/>
      </c>
      <c r="O2453" s="12">
        <f>IF(M2453="","",ROUND(N2453-M2453,2))</f>
        <v/>
      </c>
      <c r="P2453" s="13">
        <f>IF(AND(A2453&lt;&gt;"",B2453&lt;&gt;""), A2453&amp;" · "&amp;B2453, "")</f>
        <v/>
      </c>
    </row>
    <row r="2454">
      <c r="A2454" s="6" t="inlineStr">
        <is>
          <t>FY27</t>
        </is>
      </c>
      <c r="B2454" s="6" t="inlineStr">
        <is>
          <t>Jun</t>
        </is>
      </c>
      <c r="C2454" s="6" t="inlineStr">
        <is>
          <t>TN</t>
        </is>
      </c>
      <c r="D2454" s="7" t="inlineStr">
        <is>
          <t>TN01AV3979</t>
        </is>
      </c>
      <c r="E2454" s="7" t="inlineStr">
        <is>
          <t>MARUTI SUZUKI</t>
        </is>
      </c>
      <c r="F2454" s="7" t="inlineStr">
        <is>
          <t>Dzire</t>
        </is>
      </c>
      <c r="G2454" s="7" t="inlineStr">
        <is>
          <t>KHIVRAJ MOTOR</t>
        </is>
      </c>
      <c r="H2454" s="7" t="inlineStr">
        <is>
          <t>Non-Captive</t>
        </is>
      </c>
      <c r="I2454" s="7" t="inlineStr">
        <is>
          <t>AAA Cars</t>
        </is>
      </c>
      <c r="J2454" s="8" t="n">
        <v>2013</v>
      </c>
      <c r="K2454" s="9" t="n">
        <v>96225</v>
      </c>
      <c r="L2454" s="10" t="n">
        <v>285000</v>
      </c>
      <c r="M2454" s="10" t="n">
        <v>6355.93</v>
      </c>
      <c r="N2454" s="11">
        <f>IF(M2454="","",ROUND(M2454*1.18,2))</f>
        <v/>
      </c>
      <c r="O2454" s="12">
        <f>IF(M2454="","",ROUND(N2454-M2454,2))</f>
        <v/>
      </c>
      <c r="P2454" s="13">
        <f>IF(AND(A2454&lt;&gt;"",B2454&lt;&gt;""), A2454&amp;" · "&amp;B2454, "")</f>
        <v/>
      </c>
    </row>
    <row r="2455">
      <c r="A2455" s="6" t="inlineStr">
        <is>
          <t>FY27</t>
        </is>
      </c>
      <c r="B2455" s="6" t="inlineStr">
        <is>
          <t>Jun</t>
        </is>
      </c>
      <c r="C2455" s="6" t="inlineStr">
        <is>
          <t>TN</t>
        </is>
      </c>
      <c r="D2455" s="7" t="inlineStr">
        <is>
          <t>TN01AV9038</t>
        </is>
      </c>
      <c r="E2455" s="7" t="inlineStr">
        <is>
          <t>HONDA</t>
        </is>
      </c>
      <c r="F2455" s="7" t="inlineStr">
        <is>
          <t>City</t>
        </is>
      </c>
      <c r="G2455" s="7" t="inlineStr">
        <is>
          <t>KHIVRAJ MOTOR</t>
        </is>
      </c>
      <c r="H2455" s="7" t="inlineStr">
        <is>
          <t>Non-Captive</t>
        </is>
      </c>
      <c r="I2455" s="7" t="inlineStr">
        <is>
          <t>Ramalingam Cars</t>
        </is>
      </c>
      <c r="J2455" s="8" t="n">
        <v>2014</v>
      </c>
      <c r="K2455" s="9" t="n">
        <v>42013</v>
      </c>
      <c r="L2455" s="10" t="n">
        <v>390000</v>
      </c>
      <c r="M2455" s="10" t="n">
        <v>8474.58</v>
      </c>
      <c r="N2455" s="11">
        <f>IF(M2455="","",ROUND(M2455*1.18,2))</f>
        <v/>
      </c>
      <c r="O2455" s="12">
        <f>IF(M2455="","",ROUND(N2455-M2455,2))</f>
        <v/>
      </c>
      <c r="P2455" s="13">
        <f>IF(AND(A2455&lt;&gt;"",B2455&lt;&gt;""), A2455&amp;" · "&amp;B2455, "")</f>
        <v/>
      </c>
    </row>
    <row r="2456">
      <c r="A2456" s="6" t="inlineStr">
        <is>
          <t>FY27</t>
        </is>
      </c>
      <c r="B2456" s="6" t="inlineStr">
        <is>
          <t>Jun</t>
        </is>
      </c>
      <c r="C2456" s="6" t="inlineStr">
        <is>
          <t>TN</t>
        </is>
      </c>
      <c r="D2456" s="7" t="inlineStr">
        <is>
          <t>TN01AX2793</t>
        </is>
      </c>
      <c r="E2456" s="7" t="inlineStr">
        <is>
          <t>HONDA</t>
        </is>
      </c>
      <c r="F2456" s="7" t="inlineStr">
        <is>
          <t>Amaze</t>
        </is>
      </c>
      <c r="G2456" s="7" t="inlineStr">
        <is>
          <t>EXCHANGE CHENNAI</t>
        </is>
      </c>
      <c r="H2456" s="7" t="inlineStr">
        <is>
          <t>Captive</t>
        </is>
      </c>
      <c r="I2456" s="7" t="inlineStr">
        <is>
          <t>&lt;NA&gt;</t>
        </is>
      </c>
      <c r="J2456" s="8" t="n">
        <v>2014</v>
      </c>
      <c r="K2456" s="9" t="n">
        <v>88712</v>
      </c>
      <c r="L2456" s="10" t="n">
        <v>300000</v>
      </c>
      <c r="M2456" s="10" t="n">
        <v>8474.58</v>
      </c>
      <c r="N2456" s="11">
        <f>IF(M2456="","",ROUND(M2456*1.18,2))</f>
        <v/>
      </c>
      <c r="O2456" s="12">
        <f>IF(M2456="","",ROUND(N2456-M2456,2))</f>
        <v/>
      </c>
      <c r="P2456" s="13">
        <f>IF(AND(A2456&lt;&gt;"",B2456&lt;&gt;""), A2456&amp;" · "&amp;B2456, "")</f>
        <v/>
      </c>
    </row>
    <row r="2457">
      <c r="A2457" s="6" t="inlineStr">
        <is>
          <t>FY27</t>
        </is>
      </c>
      <c r="B2457" s="6" t="inlineStr">
        <is>
          <t>Jun</t>
        </is>
      </c>
      <c r="C2457" s="6" t="inlineStr">
        <is>
          <t>TN</t>
        </is>
      </c>
      <c r="D2457" s="7" t="inlineStr">
        <is>
          <t>TN01BB5428</t>
        </is>
      </c>
      <c r="E2457" s="7" t="inlineStr">
        <is>
          <t>RENAULT</t>
        </is>
      </c>
      <c r="F2457" s="7" t="inlineStr">
        <is>
          <t>Kwid</t>
        </is>
      </c>
      <c r="G2457" s="7" t="inlineStr">
        <is>
          <t>KHIVRAJ MOTOR</t>
        </is>
      </c>
      <c r="H2457" s="7" t="inlineStr">
        <is>
          <t>Non-Captive</t>
        </is>
      </c>
      <c r="I2457" s="7" t="inlineStr">
        <is>
          <t>Nirmal Cars</t>
        </is>
      </c>
      <c r="J2457" s="8" t="n">
        <v>2016</v>
      </c>
      <c r="K2457" s="9" t="n">
        <v>49938</v>
      </c>
      <c r="L2457" s="10" t="n">
        <v>230000</v>
      </c>
      <c r="M2457" s="10" t="n">
        <v>4237.29</v>
      </c>
      <c r="N2457" s="11">
        <f>IF(M2457="","",ROUND(M2457*1.18,2))</f>
        <v/>
      </c>
      <c r="O2457" s="12">
        <f>IF(M2457="","",ROUND(N2457-M2457,2))</f>
        <v/>
      </c>
      <c r="P2457" s="13">
        <f>IF(AND(A2457&lt;&gt;"",B2457&lt;&gt;""), A2457&amp;" · "&amp;B2457, "")</f>
        <v/>
      </c>
    </row>
    <row r="2458">
      <c r="A2458" s="6" t="inlineStr">
        <is>
          <t>FY27</t>
        </is>
      </c>
      <c r="B2458" s="6" t="inlineStr">
        <is>
          <t>Jun</t>
        </is>
      </c>
      <c r="C2458" s="6" t="inlineStr">
        <is>
          <t>TN</t>
        </is>
      </c>
      <c r="D2458" s="7" t="inlineStr">
        <is>
          <t>TN01BH3567</t>
        </is>
      </c>
      <c r="E2458" s="7" t="inlineStr">
        <is>
          <t>MAHINDRA</t>
        </is>
      </c>
      <c r="F2458" s="7" t="inlineStr">
        <is>
          <t>Bolero</t>
        </is>
      </c>
      <c r="G2458" s="7" t="inlineStr">
        <is>
          <t>AIE CARS PRIVATE LIMITED</t>
        </is>
      </c>
      <c r="H2458" s="7" t="inlineStr">
        <is>
          <t>Non-Captive</t>
        </is>
      </c>
      <c r="I2458" s="7" t="inlineStr">
        <is>
          <t>Balaji Cars</t>
        </is>
      </c>
      <c r="J2458" s="8" t="n">
        <v>2019</v>
      </c>
      <c r="K2458" s="9" t="n">
        <v>275762</v>
      </c>
      <c r="L2458" s="10" t="n">
        <v>475000</v>
      </c>
      <c r="M2458" s="10" t="n">
        <v>7627.12</v>
      </c>
      <c r="N2458" s="11">
        <f>IF(M2458="","",ROUND(M2458*1.18,2))</f>
        <v/>
      </c>
      <c r="O2458" s="12">
        <f>IF(M2458="","",ROUND(N2458-M2458,2))</f>
        <v/>
      </c>
      <c r="P2458" s="13">
        <f>IF(AND(A2458&lt;&gt;"",B2458&lt;&gt;""), A2458&amp;" · "&amp;B2458, "")</f>
        <v/>
      </c>
    </row>
    <row r="2459">
      <c r="A2459" s="6" t="inlineStr">
        <is>
          <t>FY27</t>
        </is>
      </c>
      <c r="B2459" s="6" t="inlineStr">
        <is>
          <t>Jun</t>
        </is>
      </c>
      <c r="C2459" s="6" t="inlineStr">
        <is>
          <t>TN</t>
        </is>
      </c>
      <c r="D2459" s="7" t="inlineStr">
        <is>
          <t>TN01BH9508</t>
        </is>
      </c>
      <c r="E2459" s="7" t="inlineStr">
        <is>
          <t>MARUTI SUZUKI</t>
        </is>
      </c>
      <c r="F2459" s="7" t="inlineStr">
        <is>
          <t>Dzire</t>
        </is>
      </c>
      <c r="G2459" s="7" t="inlineStr">
        <is>
          <t>EXCHANGE CHENNAI</t>
        </is>
      </c>
      <c r="H2459" s="7" t="inlineStr">
        <is>
          <t>Captive</t>
        </is>
      </c>
      <c r="I2459" s="7" t="inlineStr">
        <is>
          <t>Nirmal Cars</t>
        </is>
      </c>
      <c r="J2459" s="8" t="n">
        <v>2019</v>
      </c>
      <c r="K2459" s="9" t="n">
        <v>49528</v>
      </c>
      <c r="L2459" s="10" t="n">
        <v>510000</v>
      </c>
      <c r="M2459" s="10" t="n">
        <v>8474.58</v>
      </c>
      <c r="N2459" s="11">
        <f>IF(M2459="","",ROUND(M2459*1.18,2))</f>
        <v/>
      </c>
      <c r="O2459" s="12">
        <f>IF(M2459="","",ROUND(N2459-M2459,2))</f>
        <v/>
      </c>
      <c r="P2459" s="13">
        <f>IF(AND(A2459&lt;&gt;"",B2459&lt;&gt;""), A2459&amp;" · "&amp;B2459, "")</f>
        <v/>
      </c>
    </row>
    <row r="2460">
      <c r="A2460" s="6" t="inlineStr">
        <is>
          <t>FY27</t>
        </is>
      </c>
      <c r="B2460" s="6" t="inlineStr">
        <is>
          <t>Jun</t>
        </is>
      </c>
      <c r="C2460" s="6" t="inlineStr">
        <is>
          <t>TN</t>
        </is>
      </c>
      <c r="D2460" s="7" t="inlineStr">
        <is>
          <t>TN02AK1598</t>
        </is>
      </c>
      <c r="E2460" s="7" t="inlineStr">
        <is>
          <t>CHEVROLET</t>
        </is>
      </c>
      <c r="F2460" s="7" t="inlineStr">
        <is>
          <t>Spark</t>
        </is>
      </c>
      <c r="G2460" s="7" t="inlineStr">
        <is>
          <t>VIVEK CARS</t>
        </is>
      </c>
      <c r="H2460" s="7" t="inlineStr">
        <is>
          <t>Non-Captive</t>
        </is>
      </c>
      <c r="I2460" s="7" t="inlineStr">
        <is>
          <t>Purushotham Cars</t>
        </is>
      </c>
      <c r="J2460" s="8" t="n">
        <v>2009</v>
      </c>
      <c r="K2460" s="9" t="n">
        <v>84324</v>
      </c>
      <c r="L2460" s="10" t="n">
        <v>60000</v>
      </c>
      <c r="M2460" s="10" t="n">
        <v>4237.29</v>
      </c>
      <c r="N2460" s="11">
        <f>IF(M2460="","",ROUND(M2460*1.18,2))</f>
        <v/>
      </c>
      <c r="O2460" s="12">
        <f>IF(M2460="","",ROUND(N2460-M2460,2))</f>
        <v/>
      </c>
      <c r="P2460" s="13">
        <f>IF(AND(A2460&lt;&gt;"",B2460&lt;&gt;""), A2460&amp;" · "&amp;B2460, "")</f>
        <v/>
      </c>
    </row>
    <row r="2461">
      <c r="A2461" s="6" t="inlineStr">
        <is>
          <t>FY27</t>
        </is>
      </c>
      <c r="B2461" s="6" t="inlineStr">
        <is>
          <t>Jun</t>
        </is>
      </c>
      <c r="C2461" s="6" t="inlineStr">
        <is>
          <t>TN</t>
        </is>
      </c>
      <c r="D2461" s="7" t="inlineStr">
        <is>
          <t>TN02AT1408</t>
        </is>
      </c>
      <c r="E2461" s="7" t="inlineStr">
        <is>
          <t>FORD</t>
        </is>
      </c>
      <c r="F2461" s="7" t="inlineStr">
        <is>
          <t>Figo</t>
        </is>
      </c>
      <c r="G2461" s="7" t="inlineStr">
        <is>
          <t>NIRMAL</t>
        </is>
      </c>
      <c r="H2461" s="7" t="inlineStr">
        <is>
          <t>Non-Captive</t>
        </is>
      </c>
      <c r="I2461" s="7" t="inlineStr">
        <is>
          <t>Pine Autos</t>
        </is>
      </c>
      <c r="J2461" s="8" t="n">
        <v>2011</v>
      </c>
      <c r="K2461" s="9" t="n">
        <v>126520</v>
      </c>
      <c r="L2461" s="10" t="n">
        <v>100000</v>
      </c>
      <c r="M2461" s="10" t="n">
        <v>4237.29</v>
      </c>
      <c r="N2461" s="11">
        <f>IF(M2461="","",ROUND(M2461*1.18,2))</f>
        <v/>
      </c>
      <c r="O2461" s="12">
        <f>IF(M2461="","",ROUND(N2461-M2461,2))</f>
        <v/>
      </c>
      <c r="P2461" s="13">
        <f>IF(AND(A2461&lt;&gt;"",B2461&lt;&gt;""), A2461&amp;" · "&amp;B2461, "")</f>
        <v/>
      </c>
    </row>
    <row r="2462">
      <c r="A2462" s="6" t="inlineStr">
        <is>
          <t>FY27</t>
        </is>
      </c>
      <c r="B2462" s="6" t="inlineStr">
        <is>
          <t>Jun</t>
        </is>
      </c>
      <c r="C2462" s="6" t="inlineStr">
        <is>
          <t>TN</t>
        </is>
      </c>
      <c r="D2462" s="7" t="inlineStr">
        <is>
          <t>TN02AT8898</t>
        </is>
      </c>
      <c r="E2462" s="7" t="inlineStr">
        <is>
          <t>HYUNDAI</t>
        </is>
      </c>
      <c r="F2462" s="7" t="inlineStr">
        <is>
          <t>i10</t>
        </is>
      </c>
      <c r="G2462" s="7" t="inlineStr">
        <is>
          <t>PRODUCTIVITY ELEMENTS PRIVATE LIMITED</t>
        </is>
      </c>
      <c r="H2462" s="7" t="inlineStr">
        <is>
          <t>Non-Captive</t>
        </is>
      </c>
      <c r="I2462" s="7" t="inlineStr">
        <is>
          <t>Nirmal Cars</t>
        </is>
      </c>
      <c r="J2462" s="8" t="n">
        <v>2012</v>
      </c>
      <c r="K2462" s="9" t="n">
        <v>65670</v>
      </c>
      <c r="L2462" s="10" t="n">
        <v>150000</v>
      </c>
      <c r="M2462" s="10" t="n">
        <v>4237.29</v>
      </c>
      <c r="N2462" s="11">
        <f>IF(M2462="","",ROUND(M2462*1.18,2))</f>
        <v/>
      </c>
      <c r="O2462" s="12">
        <f>IF(M2462="","",ROUND(N2462-M2462,2))</f>
        <v/>
      </c>
      <c r="P2462" s="13">
        <f>IF(AND(A2462&lt;&gt;"",B2462&lt;&gt;""), A2462&amp;" · "&amp;B2462, "")</f>
        <v/>
      </c>
    </row>
    <row r="2463">
      <c r="A2463" s="6" t="inlineStr">
        <is>
          <t>FY27</t>
        </is>
      </c>
      <c r="B2463" s="6" t="inlineStr">
        <is>
          <t>Jun</t>
        </is>
      </c>
      <c r="C2463" s="6" t="inlineStr">
        <is>
          <t>TN</t>
        </is>
      </c>
      <c r="D2463" s="7" t="inlineStr">
        <is>
          <t>TN02AZ1600</t>
        </is>
      </c>
      <c r="E2463" s="7" t="inlineStr">
        <is>
          <t>FORD</t>
        </is>
      </c>
      <c r="F2463" s="7" t="inlineStr">
        <is>
          <t>EcoSport</t>
        </is>
      </c>
      <c r="G2463" s="7" t="inlineStr">
        <is>
          <t>KHIVRAJ MOTOR</t>
        </is>
      </c>
      <c r="H2463" s="7" t="inlineStr">
        <is>
          <t>Non-Captive</t>
        </is>
      </c>
      <c r="I2463" s="7" t="inlineStr">
        <is>
          <t>TSM</t>
        </is>
      </c>
      <c r="J2463" s="8" t="n">
        <v>2014</v>
      </c>
      <c r="K2463" s="9" t="n">
        <v>99999</v>
      </c>
      <c r="L2463" s="10" t="n">
        <v>250000</v>
      </c>
      <c r="M2463" s="10" t="n">
        <v>4237.29</v>
      </c>
      <c r="N2463" s="11">
        <f>IF(M2463="","",ROUND(M2463*1.18,2))</f>
        <v/>
      </c>
      <c r="O2463" s="12">
        <f>IF(M2463="","",ROUND(N2463-M2463,2))</f>
        <v/>
      </c>
      <c r="P2463" s="13">
        <f>IF(AND(A2463&lt;&gt;"",B2463&lt;&gt;""), A2463&amp;" · "&amp;B2463, "")</f>
        <v/>
      </c>
    </row>
    <row r="2464">
      <c r="A2464" s="6" t="inlineStr">
        <is>
          <t>FY27</t>
        </is>
      </c>
      <c r="B2464" s="6" t="inlineStr">
        <is>
          <t>Jun</t>
        </is>
      </c>
      <c r="C2464" s="6" t="inlineStr">
        <is>
          <t>TN</t>
        </is>
      </c>
      <c r="D2464" s="7" t="inlineStr">
        <is>
          <t>TN02BC0339</t>
        </is>
      </c>
      <c r="E2464" s="7" t="inlineStr">
        <is>
          <t>HYUNDAI</t>
        </is>
      </c>
      <c r="F2464" s="7" t="inlineStr">
        <is>
          <t>Eon</t>
        </is>
      </c>
      <c r="G2464" s="7" t="inlineStr">
        <is>
          <t>LANSON QCARS PRIVATE LIMITED</t>
        </is>
      </c>
      <c r="H2464" s="7" t="inlineStr">
        <is>
          <t>Non-Captive</t>
        </is>
      </c>
      <c r="I2464" s="7" t="inlineStr">
        <is>
          <t>TSM</t>
        </is>
      </c>
      <c r="J2464" s="8" t="n">
        <v>2015</v>
      </c>
      <c r="K2464" s="9" t="n">
        <v>83940</v>
      </c>
      <c r="L2464" s="10" t="n">
        <v>250000</v>
      </c>
      <c r="M2464" s="10" t="n">
        <v>4237.29</v>
      </c>
      <c r="N2464" s="11">
        <f>IF(M2464="","",ROUND(M2464*1.18,2))</f>
        <v/>
      </c>
      <c r="O2464" s="12">
        <f>IF(M2464="","",ROUND(N2464-M2464,2))</f>
        <v/>
      </c>
      <c r="P2464" s="13">
        <f>IF(AND(A2464&lt;&gt;"",B2464&lt;&gt;""), A2464&amp;" · "&amp;B2464, "")</f>
        <v/>
      </c>
    </row>
    <row r="2465">
      <c r="A2465" s="6" t="inlineStr">
        <is>
          <t>FY27</t>
        </is>
      </c>
      <c r="B2465" s="6" t="inlineStr">
        <is>
          <t>Jun</t>
        </is>
      </c>
      <c r="C2465" s="6" t="inlineStr">
        <is>
          <t>TN</t>
        </is>
      </c>
      <c r="D2465" s="7" t="inlineStr">
        <is>
          <t>TN02BC4150</t>
        </is>
      </c>
      <c r="E2465" s="7" t="inlineStr">
        <is>
          <t>HYUNDAI</t>
        </is>
      </c>
      <c r="F2465" s="7" t="inlineStr">
        <is>
          <t>Eon</t>
        </is>
      </c>
      <c r="G2465" s="7" t="inlineStr">
        <is>
          <t>THIRIVENI CARS</t>
        </is>
      </c>
      <c r="H2465" s="7" t="inlineStr">
        <is>
          <t>Non-Captive</t>
        </is>
      </c>
      <c r="I2465" s="7" t="inlineStr">
        <is>
          <t>Nirmal Cars</t>
        </is>
      </c>
      <c r="J2465" s="8" t="n">
        <v>2015</v>
      </c>
      <c r="K2465" s="9" t="n">
        <v>67535</v>
      </c>
      <c r="L2465" s="10" t="n">
        <v>190000</v>
      </c>
      <c r="M2465" s="10" t="n">
        <v>4237.29</v>
      </c>
      <c r="N2465" s="11">
        <f>IF(M2465="","",ROUND(M2465*1.18,2))</f>
        <v/>
      </c>
      <c r="O2465" s="12">
        <f>IF(M2465="","",ROUND(N2465-M2465,2))</f>
        <v/>
      </c>
      <c r="P2465" s="13">
        <f>IF(AND(A2465&lt;&gt;"",B2465&lt;&gt;""), A2465&amp;" · "&amp;B2465, "")</f>
        <v/>
      </c>
    </row>
    <row r="2466">
      <c r="A2466" s="6" t="inlineStr">
        <is>
          <t>FY27</t>
        </is>
      </c>
      <c r="B2466" s="6" t="inlineStr">
        <is>
          <t>Jun</t>
        </is>
      </c>
      <c r="C2466" s="6" t="inlineStr">
        <is>
          <t>TN</t>
        </is>
      </c>
      <c r="D2466" s="7" t="inlineStr">
        <is>
          <t>TN02BD7285</t>
        </is>
      </c>
      <c r="E2466" s="7" t="inlineStr">
        <is>
          <t>HONDA</t>
        </is>
      </c>
      <c r="F2466" s="7" t="inlineStr">
        <is>
          <t>Amaze</t>
        </is>
      </c>
      <c r="G2466" s="7" t="inlineStr">
        <is>
          <t>EXCHANGE CHENNAI</t>
        </is>
      </c>
      <c r="H2466" s="7" t="inlineStr">
        <is>
          <t>Captive</t>
        </is>
      </c>
      <c r="I2466" s="7" t="inlineStr">
        <is>
          <t>AAA Cars</t>
        </is>
      </c>
      <c r="J2466" s="8" t="n">
        <v>2015</v>
      </c>
      <c r="K2466" s="9" t="n">
        <v>85119</v>
      </c>
      <c r="L2466" s="10" t="n">
        <v>310000</v>
      </c>
      <c r="M2466" s="10" t="n">
        <v>8474.58</v>
      </c>
      <c r="N2466" s="11">
        <f>IF(M2466="","",ROUND(M2466*1.18,2))</f>
        <v/>
      </c>
      <c r="O2466" s="12">
        <f>IF(M2466="","",ROUND(N2466-M2466,2))</f>
        <v/>
      </c>
      <c r="P2466" s="13">
        <f>IF(AND(A2466&lt;&gt;"",B2466&lt;&gt;""), A2466&amp;" · "&amp;B2466, "")</f>
        <v/>
      </c>
    </row>
    <row r="2467">
      <c r="A2467" s="6" t="inlineStr">
        <is>
          <t>FY27</t>
        </is>
      </c>
      <c r="B2467" s="6" t="inlineStr">
        <is>
          <t>Jun</t>
        </is>
      </c>
      <c r="C2467" s="6" t="inlineStr">
        <is>
          <t>TN</t>
        </is>
      </c>
      <c r="D2467" s="7" t="inlineStr">
        <is>
          <t>TN02BE0698</t>
        </is>
      </c>
      <c r="E2467" s="7" t="inlineStr">
        <is>
          <t>RENAULT</t>
        </is>
      </c>
      <c r="F2467" s="7" t="inlineStr">
        <is>
          <t>Kwid</t>
        </is>
      </c>
      <c r="G2467" s="7" t="inlineStr">
        <is>
          <t>SVM CARS PRIVATE LIMITED</t>
        </is>
      </c>
      <c r="H2467" s="7" t="inlineStr">
        <is>
          <t>Non-Captive</t>
        </is>
      </c>
      <c r="I2467" s="7" t="inlineStr">
        <is>
          <t>TSM</t>
        </is>
      </c>
      <c r="J2467" s="8" t="n">
        <v>2016</v>
      </c>
      <c r="K2467" s="9" t="n">
        <v>30336</v>
      </c>
      <c r="L2467" s="10" t="n">
        <v>250000</v>
      </c>
      <c r="M2467" s="10" t="n">
        <v>4237.29</v>
      </c>
      <c r="N2467" s="11">
        <f>IF(M2467="","",ROUND(M2467*1.18,2))</f>
        <v/>
      </c>
      <c r="O2467" s="12">
        <f>IF(M2467="","",ROUND(N2467-M2467,2))</f>
        <v/>
      </c>
      <c r="P2467" s="13">
        <f>IF(AND(A2467&lt;&gt;"",B2467&lt;&gt;""), A2467&amp;" · "&amp;B2467, "")</f>
        <v/>
      </c>
    </row>
    <row r="2468">
      <c r="A2468" s="6" t="inlineStr">
        <is>
          <t>FY27</t>
        </is>
      </c>
      <c r="B2468" s="6" t="inlineStr">
        <is>
          <t>Jun</t>
        </is>
      </c>
      <c r="C2468" s="6" t="inlineStr">
        <is>
          <t>TN</t>
        </is>
      </c>
      <c r="D2468" s="7" t="inlineStr">
        <is>
          <t>TN02BM1055</t>
        </is>
      </c>
      <c r="E2468" s="7" t="inlineStr">
        <is>
          <t>HONDA</t>
        </is>
      </c>
      <c r="F2468" s="7" t="inlineStr">
        <is>
          <t>Amaze</t>
        </is>
      </c>
      <c r="G2468" s="7" t="inlineStr">
        <is>
          <t>CASTLE TRADERS HONDA</t>
        </is>
      </c>
      <c r="H2468" s="7" t="inlineStr">
        <is>
          <t>Non-Captive</t>
        </is>
      </c>
      <c r="I2468" s="7" t="inlineStr">
        <is>
          <t>Pine Autos</t>
        </is>
      </c>
      <c r="J2468" s="8" t="n">
        <v>2018</v>
      </c>
      <c r="K2468" s="9" t="n">
        <v>31259</v>
      </c>
      <c r="L2468" s="10" t="n">
        <v>481000</v>
      </c>
      <c r="M2468" s="10" t="n">
        <v>7627.12</v>
      </c>
      <c r="N2468" s="11">
        <f>IF(M2468="","",ROUND(M2468*1.18,2))</f>
        <v/>
      </c>
      <c r="O2468" s="12">
        <f>IF(M2468="","",ROUND(N2468-M2468,2))</f>
        <v/>
      </c>
      <c r="P2468" s="13">
        <f>IF(AND(A2468&lt;&gt;"",B2468&lt;&gt;""), A2468&amp;" · "&amp;B2468, "")</f>
        <v/>
      </c>
    </row>
    <row r="2469">
      <c r="A2469" s="6" t="inlineStr">
        <is>
          <t>FY27</t>
        </is>
      </c>
      <c r="B2469" s="6" t="inlineStr">
        <is>
          <t>Jun</t>
        </is>
      </c>
      <c r="C2469" s="6" t="inlineStr">
        <is>
          <t>TN</t>
        </is>
      </c>
      <c r="D2469" s="7" t="inlineStr">
        <is>
          <t>TN02BQ4731</t>
        </is>
      </c>
      <c r="E2469" s="7" t="inlineStr">
        <is>
          <t>MAHINDRA</t>
        </is>
      </c>
      <c r="F2469" s="7" t="inlineStr">
        <is>
          <t>XUV300</t>
        </is>
      </c>
      <c r="G2469" s="7" t="inlineStr">
        <is>
          <t>AIE CARS PRIVATE LIMITED</t>
        </is>
      </c>
      <c r="H2469" s="7" t="inlineStr">
        <is>
          <t>Non-Captive</t>
        </is>
      </c>
      <c r="I2469" s="7" t="inlineStr">
        <is>
          <t>Santhosh Cars</t>
        </is>
      </c>
      <c r="J2469" s="8" t="n">
        <v>2019</v>
      </c>
      <c r="K2469" s="9" t="n">
        <v>46297</v>
      </c>
      <c r="L2469" s="10" t="n">
        <v>400000</v>
      </c>
      <c r="M2469" s="10" t="n">
        <v>4237.29</v>
      </c>
      <c r="N2469" s="11">
        <f>IF(M2469="","",ROUND(M2469*1.18,2))</f>
        <v/>
      </c>
      <c r="O2469" s="12">
        <f>IF(M2469="","",ROUND(N2469-M2469,2))</f>
        <v/>
      </c>
      <c r="P2469" s="13">
        <f>IF(AND(A2469&lt;&gt;"",B2469&lt;&gt;""), A2469&amp;" · "&amp;B2469, "")</f>
        <v/>
      </c>
    </row>
    <row r="2470">
      <c r="A2470" s="6" t="inlineStr">
        <is>
          <t>FY27</t>
        </is>
      </c>
      <c r="B2470" s="6" t="inlineStr">
        <is>
          <t>Jun</t>
        </is>
      </c>
      <c r="C2470" s="6" t="inlineStr">
        <is>
          <t>TN</t>
        </is>
      </c>
      <c r="D2470" s="7" t="inlineStr">
        <is>
          <t>TN02BT5875</t>
        </is>
      </c>
      <c r="E2470" s="7" t="inlineStr">
        <is>
          <t>HYUNDAI</t>
        </is>
      </c>
      <c r="F2470" s="7" t="inlineStr">
        <is>
          <t>Venue</t>
        </is>
      </c>
      <c r="G2470" s="7" t="inlineStr">
        <is>
          <t>CASTLE TRADERS HONDA</t>
        </is>
      </c>
      <c r="H2470" s="7" t="inlineStr">
        <is>
          <t>Non-Captive</t>
        </is>
      </c>
      <c r="I2470" s="7" t="inlineStr">
        <is>
          <t>car Hub</t>
        </is>
      </c>
      <c r="J2470" s="8" t="n">
        <v>2020</v>
      </c>
      <c r="K2470" s="9" t="n">
        <v>82143</v>
      </c>
      <c r="L2470" s="10" t="n">
        <v>580000</v>
      </c>
      <c r="M2470" s="10" t="n">
        <v>4237.29</v>
      </c>
      <c r="N2470" s="11">
        <f>IF(M2470="","",ROUND(M2470*1.18,2))</f>
        <v/>
      </c>
      <c r="O2470" s="12">
        <f>IF(M2470="","",ROUND(N2470-M2470,2))</f>
        <v/>
      </c>
      <c r="P2470" s="13">
        <f>IF(AND(A2470&lt;&gt;"",B2470&lt;&gt;""), A2470&amp;" · "&amp;B2470, "")</f>
        <v/>
      </c>
    </row>
    <row r="2471">
      <c r="A2471" s="6" t="inlineStr">
        <is>
          <t>FY27</t>
        </is>
      </c>
      <c r="B2471" s="6" t="inlineStr">
        <is>
          <t>Jun</t>
        </is>
      </c>
      <c r="C2471" s="6" t="inlineStr">
        <is>
          <t>TN</t>
        </is>
      </c>
      <c r="D2471" s="7" t="inlineStr">
        <is>
          <t>TN03B8555</t>
        </is>
      </c>
      <c r="E2471" s="7" t="inlineStr">
        <is>
          <t>MAHINDRA</t>
        </is>
      </c>
      <c r="F2471" s="7" t="inlineStr">
        <is>
          <t>Xylo</t>
        </is>
      </c>
      <c r="G2471" s="7" t="inlineStr">
        <is>
          <t>EXCHANGE ROTN</t>
        </is>
      </c>
      <c r="H2471" s="7" t="inlineStr">
        <is>
          <t>Captive</t>
        </is>
      </c>
      <c r="I2471" s="7" t="inlineStr">
        <is>
          <t>Rajaganapathy</t>
        </is>
      </c>
      <c r="J2471" s="8" t="n">
        <v>2009</v>
      </c>
      <c r="K2471" s="9" t="n">
        <v>178073</v>
      </c>
      <c r="L2471" s="10" t="n">
        <v>98000</v>
      </c>
      <c r="M2471" s="10" t="n">
        <v>4237.29</v>
      </c>
      <c r="N2471" s="11">
        <f>IF(M2471="","",ROUND(M2471*1.18,2))</f>
        <v/>
      </c>
      <c r="O2471" s="12">
        <f>IF(M2471="","",ROUND(N2471-M2471,2))</f>
        <v/>
      </c>
      <c r="P2471" s="13">
        <f>IF(AND(A2471&lt;&gt;"",B2471&lt;&gt;""), A2471&amp;" · "&amp;B2471, "")</f>
        <v/>
      </c>
    </row>
    <row r="2472">
      <c r="A2472" s="6" t="inlineStr">
        <is>
          <t>FY27</t>
        </is>
      </c>
      <c r="B2472" s="6" t="inlineStr">
        <is>
          <t>Jun</t>
        </is>
      </c>
      <c r="C2472" s="6" t="inlineStr">
        <is>
          <t>TN</t>
        </is>
      </c>
      <c r="D2472" s="7" t="inlineStr">
        <is>
          <t>TN03F6676</t>
        </is>
      </c>
      <c r="E2472" s="7" t="inlineStr">
        <is>
          <t>FORD</t>
        </is>
      </c>
      <c r="F2472" s="7" t="inlineStr">
        <is>
          <t>Figo</t>
        </is>
      </c>
      <c r="G2472" s="7" t="inlineStr">
        <is>
          <t>KALYANI MOTORS MARUTI</t>
        </is>
      </c>
      <c r="H2472" s="7" t="inlineStr">
        <is>
          <t>Non-Captive</t>
        </is>
      </c>
      <c r="I2472" s="7" t="inlineStr">
        <is>
          <t>Nirmal Cars</t>
        </is>
      </c>
      <c r="J2472" s="8" t="n">
        <v>2011</v>
      </c>
      <c r="K2472" s="9" t="n">
        <v>119083</v>
      </c>
      <c r="L2472" s="10" t="n">
        <v>100000</v>
      </c>
      <c r="M2472" s="10" t="n">
        <v>3389.83</v>
      </c>
      <c r="N2472" s="11">
        <f>IF(M2472="","",ROUND(M2472*1.18,2))</f>
        <v/>
      </c>
      <c r="O2472" s="12">
        <f>IF(M2472="","",ROUND(N2472-M2472,2))</f>
        <v/>
      </c>
      <c r="P2472" s="13">
        <f>IF(AND(A2472&lt;&gt;"",B2472&lt;&gt;""), A2472&amp;" · "&amp;B2472, "")</f>
        <v/>
      </c>
    </row>
    <row r="2473">
      <c r="A2473" s="6" t="inlineStr">
        <is>
          <t>FY27</t>
        </is>
      </c>
      <c r="B2473" s="6" t="inlineStr">
        <is>
          <t>Jun</t>
        </is>
      </c>
      <c r="C2473" s="6" t="inlineStr">
        <is>
          <t>TN</t>
        </is>
      </c>
      <c r="D2473" s="7" t="inlineStr">
        <is>
          <t>TN03S7009</t>
        </is>
      </c>
      <c r="E2473" s="7" t="inlineStr">
        <is>
          <t>MARUTI SUZUKI</t>
        </is>
      </c>
      <c r="F2473" s="7" t="inlineStr">
        <is>
          <t>Celerio</t>
        </is>
      </c>
      <c r="G2473" s="7" t="inlineStr">
        <is>
          <t>KHIVRAJ MOTOR</t>
        </is>
      </c>
      <c r="H2473" s="7" t="inlineStr">
        <is>
          <t>Non-Captive</t>
        </is>
      </c>
      <c r="I2473" s="7" t="inlineStr">
        <is>
          <t>TSM</t>
        </is>
      </c>
      <c r="J2473" s="8" t="n">
        <v>2016</v>
      </c>
      <c r="K2473" s="9" t="n">
        <v>102689</v>
      </c>
      <c r="L2473" s="10" t="n">
        <v>250000</v>
      </c>
      <c r="M2473" s="10" t="n">
        <v>4237.29</v>
      </c>
      <c r="N2473" s="11">
        <f>IF(M2473="","",ROUND(M2473*1.18,2))</f>
        <v/>
      </c>
      <c r="O2473" s="12">
        <f>IF(M2473="","",ROUND(N2473-M2473,2))</f>
        <v/>
      </c>
      <c r="P2473" s="13">
        <f>IF(AND(A2473&lt;&gt;"",B2473&lt;&gt;""), A2473&amp;" · "&amp;B2473, "")</f>
        <v/>
      </c>
    </row>
    <row r="2474">
      <c r="A2474" s="6" t="inlineStr">
        <is>
          <t>FY27</t>
        </is>
      </c>
      <c r="B2474" s="6" t="inlineStr">
        <is>
          <t>Jun</t>
        </is>
      </c>
      <c r="C2474" s="6" t="inlineStr">
        <is>
          <t>TN</t>
        </is>
      </c>
      <c r="D2474" s="7" t="inlineStr">
        <is>
          <t>TN04AC2679</t>
        </is>
      </c>
      <c r="E2474" s="7" t="inlineStr">
        <is>
          <t>HYUNDAI</t>
        </is>
      </c>
      <c r="F2474" s="7" t="inlineStr">
        <is>
          <t>i10</t>
        </is>
      </c>
      <c r="G2474" s="7" t="inlineStr">
        <is>
          <t>EXCHANGE ROTN</t>
        </is>
      </c>
      <c r="H2474" s="7" t="inlineStr">
        <is>
          <t>Captive</t>
        </is>
      </c>
      <c r="I2474" s="7" t="inlineStr">
        <is>
          <t>&lt;NA&gt;</t>
        </is>
      </c>
      <c r="J2474" s="8" t="n">
        <v>2008</v>
      </c>
      <c r="K2474" s="9" t="n">
        <v>100782</v>
      </c>
      <c r="L2474" s="10" t="n">
        <v>110000</v>
      </c>
      <c r="M2474" s="10" t="n">
        <v>4237.29</v>
      </c>
      <c r="N2474" s="11">
        <f>IF(M2474="","",ROUND(M2474*1.18,2))</f>
        <v/>
      </c>
      <c r="O2474" s="12">
        <f>IF(M2474="","",ROUND(N2474-M2474,2))</f>
        <v/>
      </c>
      <c r="P2474" s="13">
        <f>IF(AND(A2474&lt;&gt;"",B2474&lt;&gt;""), A2474&amp;" · "&amp;B2474, "")</f>
        <v/>
      </c>
    </row>
    <row r="2475">
      <c r="A2475" s="6" t="inlineStr">
        <is>
          <t>FY27</t>
        </is>
      </c>
      <c r="B2475" s="6" t="inlineStr">
        <is>
          <t>Jun</t>
        </is>
      </c>
      <c r="C2475" s="6" t="inlineStr">
        <is>
          <t>TN</t>
        </is>
      </c>
      <c r="D2475" s="7" t="inlineStr">
        <is>
          <t>TN04AK9900</t>
        </is>
      </c>
      <c r="E2475" s="7" t="inlineStr">
        <is>
          <t>HONDA</t>
        </is>
      </c>
      <c r="F2475" s="7" t="inlineStr">
        <is>
          <t>Brio</t>
        </is>
      </c>
      <c r="G2475" s="7" t="inlineStr">
        <is>
          <t>LANSON QCARS PRIVATE LIMITED</t>
        </is>
      </c>
      <c r="H2475" s="7" t="inlineStr">
        <is>
          <t>Non-Captive</t>
        </is>
      </c>
      <c r="I2475" s="7" t="inlineStr">
        <is>
          <t>TSM</t>
        </is>
      </c>
      <c r="J2475" s="8" t="n">
        <v>2012</v>
      </c>
      <c r="K2475" s="9" t="n">
        <v>66644</v>
      </c>
      <c r="L2475" s="10" t="n">
        <v>280000</v>
      </c>
      <c r="M2475" s="10" t="n">
        <v>4237.29</v>
      </c>
      <c r="N2475" s="11">
        <f>IF(M2475="","",ROUND(M2475*1.18,2))</f>
        <v/>
      </c>
      <c r="O2475" s="12">
        <f>IF(M2475="","",ROUND(N2475-M2475,2))</f>
        <v/>
      </c>
      <c r="P2475" s="13">
        <f>IF(AND(A2475&lt;&gt;"",B2475&lt;&gt;""), A2475&amp;" · "&amp;B2475, "")</f>
        <v/>
      </c>
    </row>
    <row r="2476">
      <c r="A2476" s="6" t="inlineStr">
        <is>
          <t>FY27</t>
        </is>
      </c>
      <c r="B2476" s="6" t="inlineStr">
        <is>
          <t>Jun</t>
        </is>
      </c>
      <c r="C2476" s="6" t="inlineStr">
        <is>
          <t>TN</t>
        </is>
      </c>
      <c r="D2476" s="7" t="inlineStr">
        <is>
          <t>TN04AM4482</t>
        </is>
      </c>
      <c r="E2476" s="7" t="inlineStr">
        <is>
          <t>MARUTI SUZUKI</t>
        </is>
      </c>
      <c r="F2476" s="7" t="inlineStr">
        <is>
          <t>Ritz</t>
        </is>
      </c>
      <c r="G2476" s="7" t="inlineStr">
        <is>
          <t>STEER AUTO TECHNOLOGIES PRIVATE LIMITED</t>
        </is>
      </c>
      <c r="H2476" s="7" t="inlineStr">
        <is>
          <t>Non-Captive</t>
        </is>
      </c>
      <c r="I2476" s="7" t="inlineStr">
        <is>
          <t>Senthil Cars</t>
        </is>
      </c>
      <c r="J2476" s="8" t="n">
        <v>2014</v>
      </c>
      <c r="K2476" s="9" t="n">
        <v>93374</v>
      </c>
      <c r="L2476" s="10" t="n">
        <v>96000</v>
      </c>
      <c r="M2476" s="10" t="n">
        <v>4237.29</v>
      </c>
      <c r="N2476" s="11">
        <f>IF(M2476="","",ROUND(M2476*1.18,2))</f>
        <v/>
      </c>
      <c r="O2476" s="12">
        <f>IF(M2476="","",ROUND(N2476-M2476,2))</f>
        <v/>
      </c>
      <c r="P2476" s="13">
        <f>IF(AND(A2476&lt;&gt;"",B2476&lt;&gt;""), A2476&amp;" · "&amp;B2476, "")</f>
        <v/>
      </c>
    </row>
    <row r="2477">
      <c r="A2477" s="6" t="inlineStr">
        <is>
          <t>FY27</t>
        </is>
      </c>
      <c r="B2477" s="6" t="inlineStr">
        <is>
          <t>Jun</t>
        </is>
      </c>
      <c r="C2477" s="6" t="inlineStr">
        <is>
          <t>TN</t>
        </is>
      </c>
      <c r="D2477" s="7" t="inlineStr">
        <is>
          <t>TN04AP3861</t>
        </is>
      </c>
      <c r="E2477" s="7" t="inlineStr">
        <is>
          <t>HYUNDAI</t>
        </is>
      </c>
      <c r="F2477" s="7" t="inlineStr">
        <is>
          <t>i10</t>
        </is>
      </c>
      <c r="G2477" s="7" t="inlineStr">
        <is>
          <t>CRESCO CARS</t>
        </is>
      </c>
      <c r="H2477" s="7" t="inlineStr">
        <is>
          <t>Non-Captive</t>
        </is>
      </c>
      <c r="I2477" s="7" t="inlineStr">
        <is>
          <t>Nirmal Cars</t>
        </is>
      </c>
      <c r="J2477" s="8" t="n">
        <v>2014</v>
      </c>
      <c r="K2477" s="9" t="n">
        <v>69684</v>
      </c>
      <c r="L2477" s="10" t="n">
        <v>290000</v>
      </c>
      <c r="M2477" s="10" t="n">
        <v>4237.29</v>
      </c>
      <c r="N2477" s="11">
        <f>IF(M2477="","",ROUND(M2477*1.18,2))</f>
        <v/>
      </c>
      <c r="O2477" s="12">
        <f>IF(M2477="","",ROUND(N2477-M2477,2))</f>
        <v/>
      </c>
      <c r="P2477" s="13">
        <f>IF(AND(A2477&lt;&gt;"",B2477&lt;&gt;""), A2477&amp;" · "&amp;B2477, "")</f>
        <v/>
      </c>
    </row>
    <row r="2478">
      <c r="A2478" s="6" t="inlineStr">
        <is>
          <t>FY27</t>
        </is>
      </c>
      <c r="B2478" s="6" t="inlineStr">
        <is>
          <t>Jun</t>
        </is>
      </c>
      <c r="C2478" s="6" t="inlineStr">
        <is>
          <t>TN</t>
        </is>
      </c>
      <c r="D2478" s="7" t="inlineStr">
        <is>
          <t>TN04AW5353</t>
        </is>
      </c>
      <c r="E2478" s="7" t="inlineStr">
        <is>
          <t>VOLKSWAGEN</t>
        </is>
      </c>
      <c r="F2478" s="7" t="inlineStr">
        <is>
          <t>Polo</t>
        </is>
      </c>
      <c r="G2478" s="7" t="inlineStr">
        <is>
          <t>EXCHANGE CHENNAI</t>
        </is>
      </c>
      <c r="H2478" s="7" t="inlineStr">
        <is>
          <t>Captive</t>
        </is>
      </c>
      <c r="I2478" s="7" t="inlineStr">
        <is>
          <t>&lt;NA&gt;</t>
        </is>
      </c>
      <c r="J2478" s="8" t="n">
        <v>2019</v>
      </c>
      <c r="K2478" s="9" t="n">
        <v>94123</v>
      </c>
      <c r="L2478" s="10" t="n">
        <v>475000</v>
      </c>
      <c r="M2478" s="10" t="n">
        <v>4237.29</v>
      </c>
      <c r="N2478" s="11">
        <f>IF(M2478="","",ROUND(M2478*1.18,2))</f>
        <v/>
      </c>
      <c r="O2478" s="12">
        <f>IF(M2478="","",ROUND(N2478-M2478,2))</f>
        <v/>
      </c>
      <c r="P2478" s="13">
        <f>IF(AND(A2478&lt;&gt;"",B2478&lt;&gt;""), A2478&amp;" · "&amp;B2478, "")</f>
        <v/>
      </c>
    </row>
    <row r="2479">
      <c r="A2479" s="6" t="inlineStr">
        <is>
          <t>FY27</t>
        </is>
      </c>
      <c r="B2479" s="6" t="inlineStr">
        <is>
          <t>Jun</t>
        </is>
      </c>
      <c r="C2479" s="6" t="inlineStr">
        <is>
          <t>TN</t>
        </is>
      </c>
      <c r="D2479" s="7" t="inlineStr">
        <is>
          <t>TN04AZ2536</t>
        </is>
      </c>
      <c r="E2479" s="7" t="inlineStr">
        <is>
          <t>HONDA</t>
        </is>
      </c>
      <c r="F2479" s="7" t="inlineStr">
        <is>
          <t>Amaze</t>
        </is>
      </c>
      <c r="G2479" s="7" t="inlineStr">
        <is>
          <t>EXCHANGE CHENNAI</t>
        </is>
      </c>
      <c r="H2479" s="7" t="inlineStr">
        <is>
          <t>Captive</t>
        </is>
      </c>
      <c r="I2479" s="7" t="inlineStr">
        <is>
          <t>&lt;NA&gt;</t>
        </is>
      </c>
      <c r="J2479" s="8" t="n">
        <v>2021</v>
      </c>
      <c r="K2479" s="9" t="n">
        <v>30158</v>
      </c>
      <c r="L2479" s="10" t="n">
        <v>550000</v>
      </c>
      <c r="M2479" s="10" t="n">
        <v>8474.58</v>
      </c>
      <c r="N2479" s="11">
        <f>IF(M2479="","",ROUND(M2479*1.18,2))</f>
        <v/>
      </c>
      <c r="O2479" s="12">
        <f>IF(M2479="","",ROUND(N2479-M2479,2))</f>
        <v/>
      </c>
      <c r="P2479" s="13">
        <f>IF(AND(A2479&lt;&gt;"",B2479&lt;&gt;""), A2479&amp;" · "&amp;B2479, "")</f>
        <v/>
      </c>
    </row>
    <row r="2480">
      <c r="A2480" s="6" t="inlineStr">
        <is>
          <t>FY27</t>
        </is>
      </c>
      <c r="B2480" s="6" t="inlineStr">
        <is>
          <t>Jun</t>
        </is>
      </c>
      <c r="C2480" s="6" t="inlineStr">
        <is>
          <t>TN</t>
        </is>
      </c>
      <c r="D2480" s="7" t="inlineStr">
        <is>
          <t>TN05AH8335</t>
        </is>
      </c>
      <c r="E2480" s="7" t="inlineStr">
        <is>
          <t>HYUNDAI</t>
        </is>
      </c>
      <c r="F2480" s="7" t="inlineStr">
        <is>
          <t>i10</t>
        </is>
      </c>
      <c r="G2480" s="7" t="inlineStr">
        <is>
          <t>KHIVRAJ MOTOR</t>
        </is>
      </c>
      <c r="H2480" s="7" t="inlineStr">
        <is>
          <t>Non-Captive</t>
        </is>
      </c>
      <c r="I2480" s="7" t="inlineStr">
        <is>
          <t>Nirmal Cars</t>
        </is>
      </c>
      <c r="J2480" s="8" t="n">
        <v>2011</v>
      </c>
      <c r="K2480" s="9" t="n">
        <v>56026</v>
      </c>
      <c r="L2480" s="10" t="n">
        <v>290000</v>
      </c>
      <c r="M2480" s="10" t="n">
        <v>4237.29</v>
      </c>
      <c r="N2480" s="11">
        <f>IF(M2480="","",ROUND(M2480*1.18,2))</f>
        <v/>
      </c>
      <c r="O2480" s="12">
        <f>IF(M2480="","",ROUND(N2480-M2480,2))</f>
        <v/>
      </c>
      <c r="P2480" s="13">
        <f>IF(AND(A2480&lt;&gt;"",B2480&lt;&gt;""), A2480&amp;" · "&amp;B2480, "")</f>
        <v/>
      </c>
    </row>
    <row r="2481">
      <c r="A2481" s="6" t="inlineStr">
        <is>
          <t>FY27</t>
        </is>
      </c>
      <c r="B2481" s="6" t="inlineStr">
        <is>
          <t>Jun</t>
        </is>
      </c>
      <c r="C2481" s="6" t="inlineStr">
        <is>
          <t>TN</t>
        </is>
      </c>
      <c r="D2481" s="7" t="inlineStr">
        <is>
          <t>TN05AL4561</t>
        </is>
      </c>
      <c r="E2481" s="7" t="inlineStr">
        <is>
          <t>HYUNDAI</t>
        </is>
      </c>
      <c r="F2481" s="7" t="inlineStr">
        <is>
          <t>i20</t>
        </is>
      </c>
      <c r="G2481" s="7" t="inlineStr">
        <is>
          <t>PRODUCTIVITY ELEMENTS PRIVATE LIMITED</t>
        </is>
      </c>
      <c r="H2481" s="7" t="inlineStr">
        <is>
          <t>Non-Captive</t>
        </is>
      </c>
      <c r="I2481" s="7" t="inlineStr">
        <is>
          <t>Nirmal Cars</t>
        </is>
      </c>
      <c r="J2481" s="8" t="n">
        <v>2011</v>
      </c>
      <c r="K2481" s="9" t="n">
        <v>179843</v>
      </c>
      <c r="L2481" s="10" t="n">
        <v>240000</v>
      </c>
      <c r="M2481" s="10" t="n">
        <v>4237.29</v>
      </c>
      <c r="N2481" s="11">
        <f>IF(M2481="","",ROUND(M2481*1.18,2))</f>
        <v/>
      </c>
      <c r="O2481" s="12">
        <f>IF(M2481="","",ROUND(N2481-M2481,2))</f>
        <v/>
      </c>
      <c r="P2481" s="13">
        <f>IF(AND(A2481&lt;&gt;"",B2481&lt;&gt;""), A2481&amp;" · "&amp;B2481, "")</f>
        <v/>
      </c>
    </row>
    <row r="2482">
      <c r="A2482" s="6" t="inlineStr">
        <is>
          <t>FY27</t>
        </is>
      </c>
      <c r="B2482" s="6" t="inlineStr">
        <is>
          <t>Jun</t>
        </is>
      </c>
      <c r="C2482" s="6" t="inlineStr">
        <is>
          <t>TN</t>
        </is>
      </c>
      <c r="D2482" s="7" t="inlineStr">
        <is>
          <t>TN05AQ9364</t>
        </is>
      </c>
      <c r="E2482" s="7" t="inlineStr">
        <is>
          <t>HYUNDAI</t>
        </is>
      </c>
      <c r="F2482" s="7" t="inlineStr">
        <is>
          <t>Eon</t>
        </is>
      </c>
      <c r="G2482" s="7" t="inlineStr">
        <is>
          <t>KALYANI MOTORS MARUTI</t>
        </is>
      </c>
      <c r="H2482" s="7" t="inlineStr">
        <is>
          <t>Non-Captive</t>
        </is>
      </c>
      <c r="I2482" s="7" t="inlineStr">
        <is>
          <t>Pine Autos</t>
        </is>
      </c>
      <c r="J2482" s="8" t="n">
        <v>2012</v>
      </c>
      <c r="K2482" s="9" t="n">
        <v>26561</v>
      </c>
      <c r="L2482" s="10" t="n">
        <v>90000</v>
      </c>
      <c r="M2482" s="10" t="n">
        <v>4237.29</v>
      </c>
      <c r="N2482" s="11">
        <f>IF(M2482="","",ROUND(M2482*1.18,2))</f>
        <v/>
      </c>
      <c r="O2482" s="12">
        <f>IF(M2482="","",ROUND(N2482-M2482,2))</f>
        <v/>
      </c>
      <c r="P2482" s="13">
        <f>IF(AND(A2482&lt;&gt;"",B2482&lt;&gt;""), A2482&amp;" · "&amp;B2482, "")</f>
        <v/>
      </c>
    </row>
    <row r="2483">
      <c r="A2483" s="6" t="inlineStr">
        <is>
          <t>FY27</t>
        </is>
      </c>
      <c r="B2483" s="6" t="inlineStr">
        <is>
          <t>Jun</t>
        </is>
      </c>
      <c r="C2483" s="6" t="inlineStr">
        <is>
          <t>TN</t>
        </is>
      </c>
      <c r="D2483" s="7" t="inlineStr">
        <is>
          <t>TN05AR0535</t>
        </is>
      </c>
      <c r="E2483" s="7" t="inlineStr">
        <is>
          <t>VOLKSWAGEN</t>
        </is>
      </c>
      <c r="F2483" s="7" t="inlineStr">
        <is>
          <t>Polo</t>
        </is>
      </c>
      <c r="G2483" s="7" t="inlineStr">
        <is>
          <t>CARS INDIA</t>
        </is>
      </c>
      <c r="H2483" s="7" t="inlineStr">
        <is>
          <t>Non-Captive</t>
        </is>
      </c>
      <c r="I2483" s="7" t="inlineStr">
        <is>
          <t>TSM</t>
        </is>
      </c>
      <c r="J2483" s="8" t="n">
        <v>2012</v>
      </c>
      <c r="K2483" s="9" t="n">
        <v>9999</v>
      </c>
      <c r="L2483" s="10" t="n">
        <v>250000</v>
      </c>
      <c r="M2483" s="10" t="n">
        <v>4237.29</v>
      </c>
      <c r="N2483" s="11">
        <f>IF(M2483="","",ROUND(M2483*1.18,2))</f>
        <v/>
      </c>
      <c r="O2483" s="12">
        <f>IF(M2483="","",ROUND(N2483-M2483,2))</f>
        <v/>
      </c>
      <c r="P2483" s="13">
        <f>IF(AND(A2483&lt;&gt;"",B2483&lt;&gt;""), A2483&amp;" · "&amp;B2483, "")</f>
        <v/>
      </c>
    </row>
    <row r="2484">
      <c r="A2484" s="6" t="inlineStr">
        <is>
          <t>FY27</t>
        </is>
      </c>
      <c r="B2484" s="6" t="inlineStr">
        <is>
          <t>Jun</t>
        </is>
      </c>
      <c r="C2484" s="6" t="inlineStr">
        <is>
          <t>TN</t>
        </is>
      </c>
      <c r="D2484" s="7" t="inlineStr">
        <is>
          <t>TN05BF4413</t>
        </is>
      </c>
      <c r="E2484" s="7" t="inlineStr">
        <is>
          <t>MARUTI SUZUKI</t>
        </is>
      </c>
      <c r="F2484" s="7" t="inlineStr">
        <is>
          <t>Alto</t>
        </is>
      </c>
      <c r="G2484" s="7" t="inlineStr">
        <is>
          <t>CRESCO CARS</t>
        </is>
      </c>
      <c r="H2484" s="7" t="inlineStr">
        <is>
          <t>Non-Captive</t>
        </is>
      </c>
      <c r="I2484" s="7" t="inlineStr">
        <is>
          <t>Nirmal Cars</t>
        </is>
      </c>
      <c r="J2484" s="8" t="n">
        <v>2016</v>
      </c>
      <c r="K2484" s="9" t="n">
        <v>59960</v>
      </c>
      <c r="L2484" s="10" t="n">
        <v>225000</v>
      </c>
      <c r="M2484" s="10" t="n">
        <v>4237.29</v>
      </c>
      <c r="N2484" s="11">
        <f>IF(M2484="","",ROUND(M2484*1.18,2))</f>
        <v/>
      </c>
      <c r="O2484" s="12">
        <f>IF(M2484="","",ROUND(N2484-M2484,2))</f>
        <v/>
      </c>
      <c r="P2484" s="13">
        <f>IF(AND(A2484&lt;&gt;"",B2484&lt;&gt;""), A2484&amp;" · "&amp;B2484, "")</f>
        <v/>
      </c>
    </row>
    <row r="2485">
      <c r="A2485" s="6" t="inlineStr">
        <is>
          <t>FY27</t>
        </is>
      </c>
      <c r="B2485" s="6" t="inlineStr">
        <is>
          <t>Jun</t>
        </is>
      </c>
      <c r="C2485" s="6" t="inlineStr">
        <is>
          <t>TN</t>
        </is>
      </c>
      <c r="D2485" s="7" t="inlineStr">
        <is>
          <t>TN05BH5562</t>
        </is>
      </c>
      <c r="E2485" s="7" t="inlineStr">
        <is>
          <t>MARUTI SUZUKI</t>
        </is>
      </c>
      <c r="F2485" s="7" t="inlineStr">
        <is>
          <t>Swift</t>
        </is>
      </c>
      <c r="G2485" s="7" t="inlineStr">
        <is>
          <t>KALYANI MOTORS MARUTI</t>
        </is>
      </c>
      <c r="H2485" s="7" t="inlineStr">
        <is>
          <t>Non-Captive</t>
        </is>
      </c>
      <c r="I2485" s="7" t="inlineStr">
        <is>
          <t>Pine Autos</t>
        </is>
      </c>
      <c r="J2485" s="8" t="n">
        <v>2016</v>
      </c>
      <c r="K2485" s="9" t="n">
        <v>77268</v>
      </c>
      <c r="L2485" s="10" t="n">
        <v>330000</v>
      </c>
      <c r="M2485" s="10" t="n">
        <v>4237.29</v>
      </c>
      <c r="N2485" s="11">
        <f>IF(M2485="","",ROUND(M2485*1.18,2))</f>
        <v/>
      </c>
      <c r="O2485" s="12">
        <f>IF(M2485="","",ROUND(N2485-M2485,2))</f>
        <v/>
      </c>
      <c r="P2485" s="13">
        <f>IF(AND(A2485&lt;&gt;"",B2485&lt;&gt;""), A2485&amp;" · "&amp;B2485, "")</f>
        <v/>
      </c>
    </row>
    <row r="2486">
      <c r="A2486" s="6" t="inlineStr">
        <is>
          <t>FY27</t>
        </is>
      </c>
      <c r="B2486" s="6" t="inlineStr">
        <is>
          <t>Jun</t>
        </is>
      </c>
      <c r="C2486" s="6" t="inlineStr">
        <is>
          <t>TN</t>
        </is>
      </c>
      <c r="D2486" s="7" t="inlineStr">
        <is>
          <t>TN05BK0580</t>
        </is>
      </c>
      <c r="E2486" s="7" t="inlineStr">
        <is>
          <t>MARUTI SUZUKI</t>
        </is>
      </c>
      <c r="F2486" s="7" t="inlineStr">
        <is>
          <t>Swift</t>
        </is>
      </c>
      <c r="G2486" s="7" t="inlineStr">
        <is>
          <t>CASTLE TRADERS HONDA</t>
        </is>
      </c>
      <c r="H2486" s="7" t="inlineStr">
        <is>
          <t>Non-Captive</t>
        </is>
      </c>
      <c r="I2486" s="7" t="inlineStr">
        <is>
          <t>Thiya Cars</t>
        </is>
      </c>
      <c r="J2486" s="8" t="n">
        <v>2017</v>
      </c>
      <c r="K2486" s="9" t="n">
        <v>62249</v>
      </c>
      <c r="L2486" s="10" t="n">
        <v>300000</v>
      </c>
      <c r="M2486" s="10" t="n">
        <v>5932.2</v>
      </c>
      <c r="N2486" s="11">
        <f>IF(M2486="","",ROUND(M2486*1.18,2))</f>
        <v/>
      </c>
      <c r="O2486" s="12">
        <f>IF(M2486="","",ROUND(N2486-M2486,2))</f>
        <v/>
      </c>
      <c r="P2486" s="13">
        <f>IF(AND(A2486&lt;&gt;"",B2486&lt;&gt;""), A2486&amp;" · "&amp;B2486, "")</f>
        <v/>
      </c>
    </row>
    <row r="2487">
      <c r="A2487" s="6" t="inlineStr">
        <is>
          <t>FY27</t>
        </is>
      </c>
      <c r="B2487" s="6" t="inlineStr">
        <is>
          <t>Jun</t>
        </is>
      </c>
      <c r="C2487" s="6" t="inlineStr">
        <is>
          <t>TN</t>
        </is>
      </c>
      <c r="D2487" s="7" t="inlineStr">
        <is>
          <t>TN05BP5447</t>
        </is>
      </c>
      <c r="E2487" s="7" t="inlineStr">
        <is>
          <t>MARUTI SUZUKI</t>
        </is>
      </c>
      <c r="F2487" s="7" t="inlineStr">
        <is>
          <t>Wagon R</t>
        </is>
      </c>
      <c r="G2487" s="7" t="inlineStr">
        <is>
          <t>KHIVRAJ MOTOR</t>
        </is>
      </c>
      <c r="H2487" s="7" t="inlineStr">
        <is>
          <t>Non-Captive</t>
        </is>
      </c>
      <c r="I2487" s="7" t="inlineStr">
        <is>
          <t>Prem Cars</t>
        </is>
      </c>
      <c r="J2487" s="8" t="n">
        <v>2017</v>
      </c>
      <c r="K2487" s="9" t="n">
        <v>45051</v>
      </c>
      <c r="L2487" s="10" t="n">
        <v>310000</v>
      </c>
      <c r="M2487" s="10" t="n">
        <v>6355.93</v>
      </c>
      <c r="N2487" s="11">
        <f>IF(M2487="","",ROUND(M2487*1.18,2))</f>
        <v/>
      </c>
      <c r="O2487" s="12">
        <f>IF(M2487="","",ROUND(N2487-M2487,2))</f>
        <v/>
      </c>
      <c r="P2487" s="13">
        <f>IF(AND(A2487&lt;&gt;"",B2487&lt;&gt;""), A2487&amp;" · "&amp;B2487, "")</f>
        <v/>
      </c>
    </row>
    <row r="2488">
      <c r="A2488" s="6" t="inlineStr">
        <is>
          <t>FY27</t>
        </is>
      </c>
      <c r="B2488" s="6" t="inlineStr">
        <is>
          <t>Jun</t>
        </is>
      </c>
      <c r="C2488" s="6" t="inlineStr">
        <is>
          <t>TN</t>
        </is>
      </c>
      <c r="D2488" s="7" t="inlineStr">
        <is>
          <t>TN05CD0119</t>
        </is>
      </c>
      <c r="E2488" s="7" t="inlineStr">
        <is>
          <t>RENAULT</t>
        </is>
      </c>
      <c r="F2488" s="7" t="inlineStr">
        <is>
          <t>Kwid</t>
        </is>
      </c>
      <c r="G2488" s="7" t="inlineStr">
        <is>
          <t>CASTLE TRADERS HONDA</t>
        </is>
      </c>
      <c r="H2488" s="7" t="inlineStr">
        <is>
          <t>Non-Captive</t>
        </is>
      </c>
      <c r="I2488" s="7" t="inlineStr">
        <is>
          <t>AAA Cars</t>
        </is>
      </c>
      <c r="J2488" s="8" t="n">
        <v>2021</v>
      </c>
      <c r="K2488" s="9" t="n">
        <v>120418</v>
      </c>
      <c r="L2488" s="10" t="n">
        <v>325000</v>
      </c>
      <c r="M2488" s="10" t="n">
        <v>8474.58</v>
      </c>
      <c r="N2488" s="11">
        <f>IF(M2488="","",ROUND(M2488*1.18,2))</f>
        <v/>
      </c>
      <c r="O2488" s="12">
        <f>IF(M2488="","",ROUND(N2488-M2488,2))</f>
        <v/>
      </c>
      <c r="P2488" s="13">
        <f>IF(AND(A2488&lt;&gt;"",B2488&lt;&gt;""), A2488&amp;" · "&amp;B2488, "")</f>
        <v/>
      </c>
    </row>
    <row r="2489">
      <c r="A2489" s="6" t="inlineStr">
        <is>
          <t>FY27</t>
        </is>
      </c>
      <c r="B2489" s="6" t="inlineStr">
        <is>
          <t>Jun</t>
        </is>
      </c>
      <c r="C2489" s="6" t="inlineStr">
        <is>
          <t>TN</t>
        </is>
      </c>
      <c r="D2489" s="7" t="inlineStr">
        <is>
          <t>TN062424</t>
        </is>
      </c>
      <c r="E2489" s="7" t="inlineStr">
        <is>
          <t>HONDA</t>
        </is>
      </c>
      <c r="F2489" s="7" t="inlineStr">
        <is>
          <t>City</t>
        </is>
      </c>
      <c r="G2489" s="7" t="inlineStr">
        <is>
          <t>NIRMAL</t>
        </is>
      </c>
      <c r="H2489" s="7" t="inlineStr">
        <is>
          <t>Non-Captive</t>
        </is>
      </c>
      <c r="I2489" s="7" t="inlineStr">
        <is>
          <t>TSM</t>
        </is>
      </c>
      <c r="J2489" s="8" t="n">
        <v>2009</v>
      </c>
      <c r="K2489" s="9" t="n">
        <v>77996</v>
      </c>
      <c r="L2489" s="10" t="n">
        <v>250000</v>
      </c>
      <c r="M2489" s="10" t="n">
        <v>4237.29</v>
      </c>
      <c r="N2489" s="11">
        <f>IF(M2489="","",ROUND(M2489*1.18,2))</f>
        <v/>
      </c>
      <c r="O2489" s="12">
        <f>IF(M2489="","",ROUND(N2489-M2489,2))</f>
        <v/>
      </c>
      <c r="P2489" s="13">
        <f>IF(AND(A2489&lt;&gt;"",B2489&lt;&gt;""), A2489&amp;" · "&amp;B2489, "")</f>
        <v/>
      </c>
    </row>
    <row r="2490">
      <c r="A2490" s="6" t="inlineStr">
        <is>
          <t>FY27</t>
        </is>
      </c>
      <c r="B2490" s="6" t="inlineStr">
        <is>
          <t>Jun</t>
        </is>
      </c>
      <c r="C2490" s="6" t="inlineStr">
        <is>
          <t>TN</t>
        </is>
      </c>
      <c r="D2490" s="7" t="inlineStr">
        <is>
          <t>TN06A5778</t>
        </is>
      </c>
      <c r="E2490" s="7" t="inlineStr">
        <is>
          <t>HONDA</t>
        </is>
      </c>
      <c r="F2490" s="7" t="inlineStr">
        <is>
          <t>Jazz</t>
        </is>
      </c>
      <c r="G2490" s="7" t="inlineStr">
        <is>
          <t>EXCHANGE CHENNAI</t>
        </is>
      </c>
      <c r="H2490" s="7" t="inlineStr">
        <is>
          <t>Captive</t>
        </is>
      </c>
      <c r="I2490" s="7" t="inlineStr">
        <is>
          <t>&lt;NA&gt;</t>
        </is>
      </c>
      <c r="J2490" s="8" t="n">
        <v>2009</v>
      </c>
      <c r="K2490" s="9" t="n">
        <v>97422</v>
      </c>
      <c r="L2490" s="10" t="n">
        <v>170000</v>
      </c>
      <c r="M2490" s="10" t="n">
        <v>8474.58</v>
      </c>
      <c r="N2490" s="11">
        <f>IF(M2490="","",ROUND(M2490*1.18,2))</f>
        <v/>
      </c>
      <c r="O2490" s="12">
        <f>IF(M2490="","",ROUND(N2490-M2490,2))</f>
        <v/>
      </c>
      <c r="P2490" s="13">
        <f>IF(AND(A2490&lt;&gt;"",B2490&lt;&gt;""), A2490&amp;" · "&amp;B2490, "")</f>
        <v/>
      </c>
    </row>
    <row r="2491">
      <c r="A2491" s="6" t="inlineStr">
        <is>
          <t>FY27</t>
        </is>
      </c>
      <c r="B2491" s="6" t="inlineStr">
        <is>
          <t>Jun</t>
        </is>
      </c>
      <c r="C2491" s="6" t="inlineStr">
        <is>
          <t>TN</t>
        </is>
      </c>
      <c r="D2491" s="7" t="inlineStr">
        <is>
          <t>TN06AJ7130</t>
        </is>
      </c>
      <c r="E2491" s="7" t="inlineStr">
        <is>
          <t>HYUNDAI</t>
        </is>
      </c>
      <c r="F2491" s="7" t="inlineStr">
        <is>
          <t>i20</t>
        </is>
      </c>
      <c r="G2491" s="7" t="inlineStr">
        <is>
          <t>KHIVRAJ MOTOR</t>
        </is>
      </c>
      <c r="H2491" s="7" t="inlineStr">
        <is>
          <t>Non-Captive</t>
        </is>
      </c>
      <c r="I2491" s="7" t="inlineStr">
        <is>
          <t>TSM</t>
        </is>
      </c>
      <c r="J2491" s="8" t="n">
        <v>2025</v>
      </c>
      <c r="K2491" s="9" t="n">
        <v>5220</v>
      </c>
      <c r="L2491" s="10" t="n">
        <v>720000</v>
      </c>
      <c r="M2491" s="10" t="n">
        <v>10169.49</v>
      </c>
      <c r="N2491" s="11">
        <f>IF(M2491="","",ROUND(M2491*1.18,2))</f>
        <v/>
      </c>
      <c r="O2491" s="12">
        <f>IF(M2491="","",ROUND(N2491-M2491,2))</f>
        <v/>
      </c>
      <c r="P2491" s="13">
        <f>IF(AND(A2491&lt;&gt;"",B2491&lt;&gt;""), A2491&amp;" · "&amp;B2491, "")</f>
        <v/>
      </c>
    </row>
    <row r="2492">
      <c r="A2492" s="6" t="inlineStr">
        <is>
          <t>FY27</t>
        </is>
      </c>
      <c r="B2492" s="6" t="inlineStr">
        <is>
          <t>Jun</t>
        </is>
      </c>
      <c r="C2492" s="6" t="inlineStr">
        <is>
          <t>TN</t>
        </is>
      </c>
      <c r="D2492" s="7" t="inlineStr">
        <is>
          <t>TN06B1563</t>
        </is>
      </c>
      <c r="E2492" s="7" t="inlineStr">
        <is>
          <t>TATA</t>
        </is>
      </c>
      <c r="F2492" s="7" t="inlineStr">
        <is>
          <t>Indica</t>
        </is>
      </c>
      <c r="G2492" s="7" t="inlineStr">
        <is>
          <t>EXCHANGE ROTN</t>
        </is>
      </c>
      <c r="H2492" s="7" t="inlineStr">
        <is>
          <t>Captive</t>
        </is>
      </c>
      <c r="I2492" s="7" t="inlineStr">
        <is>
          <t>&lt;NA&gt;</t>
        </is>
      </c>
      <c r="J2492" s="8" t="n">
        <v>2010</v>
      </c>
      <c r="K2492" s="9" t="n">
        <v>149407</v>
      </c>
      <c r="L2492" s="10" t="n">
        <v>30000</v>
      </c>
      <c r="M2492" s="10" t="n">
        <v>4237.29</v>
      </c>
      <c r="N2492" s="11">
        <f>IF(M2492="","",ROUND(M2492*1.18,2))</f>
        <v/>
      </c>
      <c r="O2492" s="12">
        <f>IF(M2492="","",ROUND(N2492-M2492,2))</f>
        <v/>
      </c>
      <c r="P2492" s="13">
        <f>IF(AND(A2492&lt;&gt;"",B2492&lt;&gt;""), A2492&amp;" · "&amp;B2492, "")</f>
        <v/>
      </c>
    </row>
    <row r="2493">
      <c r="A2493" s="6" t="inlineStr">
        <is>
          <t>FY27</t>
        </is>
      </c>
      <c r="B2493" s="6" t="inlineStr">
        <is>
          <t>Jun</t>
        </is>
      </c>
      <c r="C2493" s="6" t="inlineStr">
        <is>
          <t>TN</t>
        </is>
      </c>
      <c r="D2493" s="7" t="inlineStr">
        <is>
          <t>TN06J2741</t>
        </is>
      </c>
      <c r="E2493" s="7" t="inlineStr">
        <is>
          <t>HONDA</t>
        </is>
      </c>
      <c r="F2493" s="7" t="inlineStr">
        <is>
          <t>Brio</t>
        </is>
      </c>
      <c r="G2493" s="7" t="inlineStr">
        <is>
          <t>GLOVIS INDIA PVT LTD</t>
        </is>
      </c>
      <c r="H2493" s="7" t="inlineStr">
        <is>
          <t>Non-Captive</t>
        </is>
      </c>
      <c r="I2493" s="7" t="inlineStr">
        <is>
          <t>Ramalingam Cars</t>
        </is>
      </c>
      <c r="J2493" s="8" t="n">
        <v>2013</v>
      </c>
      <c r="K2493" s="9" t="n">
        <v>66194</v>
      </c>
      <c r="L2493" s="10" t="n">
        <v>310000</v>
      </c>
      <c r="M2493" s="10" t="n">
        <v>5084.75</v>
      </c>
      <c r="N2493" s="11">
        <f>IF(M2493="","",ROUND(M2493*1.18,2))</f>
        <v/>
      </c>
      <c r="O2493" s="12">
        <f>IF(M2493="","",ROUND(N2493-M2493,2))</f>
        <v/>
      </c>
      <c r="P2493" s="13">
        <f>IF(AND(A2493&lt;&gt;"",B2493&lt;&gt;""), A2493&amp;" · "&amp;B2493, "")</f>
        <v/>
      </c>
    </row>
    <row r="2494">
      <c r="A2494" s="6" t="inlineStr">
        <is>
          <t>FY27</t>
        </is>
      </c>
      <c r="B2494" s="6" t="inlineStr">
        <is>
          <t>Jun</t>
        </is>
      </c>
      <c r="C2494" s="6" t="inlineStr">
        <is>
          <t>TN</t>
        </is>
      </c>
      <c r="D2494" s="7" t="inlineStr">
        <is>
          <t>TN06K6447</t>
        </is>
      </c>
      <c r="E2494" s="7" t="inlineStr">
        <is>
          <t>MARUTI SUZUKI</t>
        </is>
      </c>
      <c r="F2494" s="7" t="inlineStr">
        <is>
          <t>Eeco</t>
        </is>
      </c>
      <c r="G2494" s="7" t="inlineStr">
        <is>
          <t>KHIVRAJ MOTOR</t>
        </is>
      </c>
      <c r="H2494" s="7" t="inlineStr">
        <is>
          <t>Non-Captive</t>
        </is>
      </c>
      <c r="I2494" s="7" t="inlineStr">
        <is>
          <t>Pine Autos</t>
        </is>
      </c>
      <c r="J2494" s="8" t="n">
        <v>2013</v>
      </c>
      <c r="K2494" s="9" t="n">
        <v>87398</v>
      </c>
      <c r="L2494" s="10" t="n">
        <v>215000</v>
      </c>
      <c r="M2494" s="10" t="n">
        <v>6355.93</v>
      </c>
      <c r="N2494" s="11">
        <f>IF(M2494="","",ROUND(M2494*1.18,2))</f>
        <v/>
      </c>
      <c r="O2494" s="12">
        <f>IF(M2494="","",ROUND(N2494-M2494,2))</f>
        <v/>
      </c>
      <c r="P2494" s="13">
        <f>IF(AND(A2494&lt;&gt;"",B2494&lt;&gt;""), A2494&amp;" · "&amp;B2494, "")</f>
        <v/>
      </c>
    </row>
    <row r="2495">
      <c r="A2495" s="6" t="inlineStr">
        <is>
          <t>FY27</t>
        </is>
      </c>
      <c r="B2495" s="6" t="inlineStr">
        <is>
          <t>Jun</t>
        </is>
      </c>
      <c r="C2495" s="6" t="inlineStr">
        <is>
          <t>TN</t>
        </is>
      </c>
      <c r="D2495" s="7" t="inlineStr">
        <is>
          <t>TN06U0842</t>
        </is>
      </c>
      <c r="E2495" s="7" t="inlineStr">
        <is>
          <t>HYUNDAI</t>
        </is>
      </c>
      <c r="F2495" s="7" t="inlineStr">
        <is>
          <t>Eon</t>
        </is>
      </c>
      <c r="G2495" s="7" t="inlineStr">
        <is>
          <t>CASTLE TRADERS HONDA</t>
        </is>
      </c>
      <c r="H2495" s="7" t="inlineStr">
        <is>
          <t>Non-Captive</t>
        </is>
      </c>
      <c r="I2495" s="7" t="inlineStr">
        <is>
          <t>Nirmal Cars</t>
        </is>
      </c>
      <c r="J2495" s="8" t="n">
        <v>2017</v>
      </c>
      <c r="K2495" s="9" t="n">
        <v>56449</v>
      </c>
      <c r="L2495" s="10" t="n">
        <v>230000</v>
      </c>
      <c r="M2495" s="10" t="n">
        <v>4237.29</v>
      </c>
      <c r="N2495" s="11">
        <f>IF(M2495="","",ROUND(M2495*1.18,2))</f>
        <v/>
      </c>
      <c r="O2495" s="12">
        <f>IF(M2495="","",ROUND(N2495-M2495,2))</f>
        <v/>
      </c>
      <c r="P2495" s="13">
        <f>IF(AND(A2495&lt;&gt;"",B2495&lt;&gt;""), A2495&amp;" · "&amp;B2495, "")</f>
        <v/>
      </c>
    </row>
    <row r="2496">
      <c r="A2496" s="6" t="inlineStr">
        <is>
          <t>FY27</t>
        </is>
      </c>
      <c r="B2496" s="6" t="inlineStr">
        <is>
          <t>Jun</t>
        </is>
      </c>
      <c r="C2496" s="6" t="inlineStr">
        <is>
          <t>TN</t>
        </is>
      </c>
      <c r="D2496" s="7" t="inlineStr">
        <is>
          <t>TN06U6079</t>
        </is>
      </c>
      <c r="E2496" s="7" t="inlineStr">
        <is>
          <t>MARUTI SUZUKI</t>
        </is>
      </c>
      <c r="F2496" s="7" t="inlineStr">
        <is>
          <t>Alto 800</t>
        </is>
      </c>
      <c r="G2496" s="7" t="inlineStr">
        <is>
          <t>EXCHANGE CHENNAI</t>
        </is>
      </c>
      <c r="H2496" s="7" t="inlineStr">
        <is>
          <t>Captive</t>
        </is>
      </c>
      <c r="I2496" s="7" t="inlineStr">
        <is>
          <t>&lt;NA&gt;</t>
        </is>
      </c>
      <c r="J2496" s="8" t="n">
        <v>2017</v>
      </c>
      <c r="K2496" s="9" t="n">
        <v>30506</v>
      </c>
      <c r="L2496" s="10" t="n">
        <v>200000</v>
      </c>
      <c r="M2496" s="10" t="n">
        <v>4237.29</v>
      </c>
      <c r="N2496" s="11">
        <f>IF(M2496="","",ROUND(M2496*1.18,2))</f>
        <v/>
      </c>
      <c r="O2496" s="12">
        <f>IF(M2496="","",ROUND(N2496-M2496,2))</f>
        <v/>
      </c>
      <c r="P2496" s="13">
        <f>IF(AND(A2496&lt;&gt;"",B2496&lt;&gt;""), A2496&amp;" · "&amp;B2496, "")</f>
        <v/>
      </c>
    </row>
    <row r="2497">
      <c r="A2497" s="6" t="inlineStr">
        <is>
          <t>FY27</t>
        </is>
      </c>
      <c r="B2497" s="6" t="inlineStr">
        <is>
          <t>Jun</t>
        </is>
      </c>
      <c r="C2497" s="6" t="inlineStr">
        <is>
          <t>TN</t>
        </is>
      </c>
      <c r="D2497" s="7" t="inlineStr">
        <is>
          <t>TN06U6987</t>
        </is>
      </c>
      <c r="E2497" s="7" t="inlineStr">
        <is>
          <t>MARUTI SUZUKI</t>
        </is>
      </c>
      <c r="F2497" s="7" t="inlineStr">
        <is>
          <t>Celerio</t>
        </is>
      </c>
      <c r="G2497" s="7" t="inlineStr">
        <is>
          <t>KHIVRAJ MOTOR</t>
        </is>
      </c>
      <c r="H2497" s="7" t="inlineStr">
        <is>
          <t>Non-Captive</t>
        </is>
      </c>
      <c r="I2497" s="7" t="inlineStr">
        <is>
          <t>Ramalingam Cars</t>
        </is>
      </c>
      <c r="J2497" s="8" t="n">
        <v>2017</v>
      </c>
      <c r="K2497" s="9" t="n">
        <v>30196</v>
      </c>
      <c r="L2497" s="10" t="n">
        <v>280000</v>
      </c>
      <c r="M2497" s="10" t="n">
        <v>6355.93</v>
      </c>
      <c r="N2497" s="11">
        <f>IF(M2497="","",ROUND(M2497*1.18,2))</f>
        <v/>
      </c>
      <c r="O2497" s="12">
        <f>IF(M2497="","",ROUND(N2497-M2497,2))</f>
        <v/>
      </c>
      <c r="P2497" s="13">
        <f>IF(AND(A2497&lt;&gt;"",B2497&lt;&gt;""), A2497&amp;" · "&amp;B2497, "")</f>
        <v/>
      </c>
    </row>
    <row r="2498">
      <c r="A2498" s="6" t="inlineStr">
        <is>
          <t>FY27</t>
        </is>
      </c>
      <c r="B2498" s="6" t="inlineStr">
        <is>
          <t>Jun</t>
        </is>
      </c>
      <c r="C2498" s="6" t="inlineStr">
        <is>
          <t>TN</t>
        </is>
      </c>
      <c r="D2498" s="7" t="inlineStr">
        <is>
          <t>TN06V3234</t>
        </is>
      </c>
      <c r="E2498" s="7" t="inlineStr">
        <is>
          <t>MARUTI SUZUKI</t>
        </is>
      </c>
      <c r="F2498" s="7" t="inlineStr">
        <is>
          <t>Baleno</t>
        </is>
      </c>
      <c r="G2498" s="7" t="inlineStr">
        <is>
          <t>NIRMAL</t>
        </is>
      </c>
      <c r="H2498" s="7" t="inlineStr">
        <is>
          <t>Non-Captive</t>
        </is>
      </c>
      <c r="I2498" s="7" t="inlineStr">
        <is>
          <t>Pine Autos</t>
        </is>
      </c>
      <c r="J2498" s="8" t="n">
        <v>2018</v>
      </c>
      <c r="K2498" s="9" t="n">
        <v>48762</v>
      </c>
      <c r="L2498" s="10" t="n">
        <v>400000</v>
      </c>
      <c r="M2498" s="10" t="n">
        <v>4237.29</v>
      </c>
      <c r="N2498" s="11">
        <f>IF(M2498="","",ROUND(M2498*1.18,2))</f>
        <v/>
      </c>
      <c r="O2498" s="12">
        <f>IF(M2498="","",ROUND(N2498-M2498,2))</f>
        <v/>
      </c>
      <c r="P2498" s="13">
        <f>IF(AND(A2498&lt;&gt;"",B2498&lt;&gt;""), A2498&amp;" · "&amp;B2498, "")</f>
        <v/>
      </c>
    </row>
    <row r="2499">
      <c r="A2499" s="6" t="inlineStr">
        <is>
          <t>FY27</t>
        </is>
      </c>
      <c r="B2499" s="6" t="inlineStr">
        <is>
          <t>Jun</t>
        </is>
      </c>
      <c r="C2499" s="6" t="inlineStr">
        <is>
          <t>TN</t>
        </is>
      </c>
      <c r="D2499" s="7" t="inlineStr">
        <is>
          <t>TN06Y8511</t>
        </is>
      </c>
      <c r="E2499" s="7" t="inlineStr">
        <is>
          <t>HONDA</t>
        </is>
      </c>
      <c r="F2499" s="7" t="inlineStr">
        <is>
          <t>City</t>
        </is>
      </c>
      <c r="G2499" s="7" t="inlineStr">
        <is>
          <t>EXCHANGE CHENNAI</t>
        </is>
      </c>
      <c r="H2499" s="7" t="inlineStr">
        <is>
          <t>Captive</t>
        </is>
      </c>
      <c r="I2499" s="7" t="inlineStr">
        <is>
          <t>TSM</t>
        </is>
      </c>
      <c r="J2499" s="8" t="n">
        <v>2019</v>
      </c>
      <c r="K2499" s="9" t="n">
        <v>40694</v>
      </c>
      <c r="L2499" s="10" t="n">
        <v>700000</v>
      </c>
      <c r="M2499" s="10" t="n">
        <v>8474.58</v>
      </c>
      <c r="N2499" s="11">
        <f>IF(M2499="","",ROUND(M2499*1.18,2))</f>
        <v/>
      </c>
      <c r="O2499" s="12">
        <f>IF(M2499="","",ROUND(N2499-M2499,2))</f>
        <v/>
      </c>
      <c r="P2499" s="13">
        <f>IF(AND(A2499&lt;&gt;"",B2499&lt;&gt;""), A2499&amp;" · "&amp;B2499, "")</f>
        <v/>
      </c>
    </row>
    <row r="2500">
      <c r="A2500" s="6" t="inlineStr">
        <is>
          <t>FY27</t>
        </is>
      </c>
      <c r="B2500" s="6" t="inlineStr">
        <is>
          <t>Jun</t>
        </is>
      </c>
      <c r="C2500" s="6" t="inlineStr">
        <is>
          <t>TN</t>
        </is>
      </c>
      <c r="D2500" s="7" t="inlineStr">
        <is>
          <t>TN07AS7719</t>
        </is>
      </c>
      <c r="E2500" s="7" t="inlineStr">
        <is>
          <t>MARUTI SUZUKI</t>
        </is>
      </c>
      <c r="F2500" s="7" t="inlineStr">
        <is>
          <t>Swift</t>
        </is>
      </c>
      <c r="G2500" s="7" t="inlineStr">
        <is>
          <t>KALYANI MOTORS MARUTI</t>
        </is>
      </c>
      <c r="H2500" s="7" t="inlineStr">
        <is>
          <t>Non-Captive</t>
        </is>
      </c>
      <c r="I2500" s="7" t="inlineStr">
        <is>
          <t>Pine Autos</t>
        </is>
      </c>
      <c r="J2500" s="8" t="n">
        <v>2007</v>
      </c>
      <c r="K2500" s="9" t="n">
        <v>71019</v>
      </c>
      <c r="L2500" s="10" t="n">
        <v>130000</v>
      </c>
      <c r="M2500" s="10" t="n">
        <v>4237.29</v>
      </c>
      <c r="N2500" s="11">
        <f>IF(M2500="","",ROUND(M2500*1.18,2))</f>
        <v/>
      </c>
      <c r="O2500" s="12">
        <f>IF(M2500="","",ROUND(N2500-M2500,2))</f>
        <v/>
      </c>
      <c r="P2500" s="13">
        <f>IF(AND(A2500&lt;&gt;"",B2500&lt;&gt;""), A2500&amp;" · "&amp;B2500, "")</f>
        <v/>
      </c>
    </row>
    <row r="2501">
      <c r="A2501" s="6" t="inlineStr">
        <is>
          <t>FY27</t>
        </is>
      </c>
      <c r="B2501" s="6" t="inlineStr">
        <is>
          <t>Jun</t>
        </is>
      </c>
      <c r="C2501" s="6" t="inlineStr">
        <is>
          <t>TN</t>
        </is>
      </c>
      <c r="D2501" s="7" t="inlineStr">
        <is>
          <t>TN07BB4387</t>
        </is>
      </c>
      <c r="E2501" s="7" t="inlineStr">
        <is>
          <t>HYUNDAI</t>
        </is>
      </c>
      <c r="F2501" s="7" t="inlineStr">
        <is>
          <t>i10</t>
        </is>
      </c>
      <c r="G2501" s="7" t="inlineStr">
        <is>
          <t>KHIVRAJ MOTOR</t>
        </is>
      </c>
      <c r="H2501" s="7" t="inlineStr">
        <is>
          <t>Non-Captive</t>
        </is>
      </c>
      <c r="I2501" s="7" t="inlineStr">
        <is>
          <t>Grid 33</t>
        </is>
      </c>
      <c r="J2501" s="8" t="n">
        <v>2008</v>
      </c>
      <c r="K2501" s="9" t="n">
        <v>41459</v>
      </c>
      <c r="L2501" s="10" t="n">
        <v>95000</v>
      </c>
      <c r="M2501" s="10" t="n">
        <v>4237.29</v>
      </c>
      <c r="N2501" s="11">
        <f>IF(M2501="","",ROUND(M2501*1.18,2))</f>
        <v/>
      </c>
      <c r="O2501" s="12">
        <f>IF(M2501="","",ROUND(N2501-M2501,2))</f>
        <v/>
      </c>
      <c r="P2501" s="13">
        <f>IF(AND(A2501&lt;&gt;"",B2501&lt;&gt;""), A2501&amp;" · "&amp;B2501, "")</f>
        <v/>
      </c>
    </row>
    <row r="2502">
      <c r="A2502" s="6" t="inlineStr">
        <is>
          <t>FY27</t>
        </is>
      </c>
      <c r="B2502" s="6" t="inlineStr">
        <is>
          <t>Jun</t>
        </is>
      </c>
      <c r="C2502" s="6" t="inlineStr">
        <is>
          <t>TN</t>
        </is>
      </c>
      <c r="D2502" s="7" t="inlineStr">
        <is>
          <t>TN07BM1994</t>
        </is>
      </c>
      <c r="E2502" s="7" t="inlineStr">
        <is>
          <t>HONDA</t>
        </is>
      </c>
      <c r="F2502" s="7" t="inlineStr">
        <is>
          <t>City</t>
        </is>
      </c>
      <c r="G2502" s="7" t="inlineStr">
        <is>
          <t>EXCHANGE CHENNAI</t>
        </is>
      </c>
      <c r="H2502" s="7" t="inlineStr">
        <is>
          <t>Captive</t>
        </is>
      </c>
      <c r="I2502" s="7" t="inlineStr">
        <is>
          <t>&lt;NA&gt;</t>
        </is>
      </c>
      <c r="J2502" s="8" t="n">
        <v>2011</v>
      </c>
      <c r="K2502" s="9" t="n">
        <v>97114</v>
      </c>
      <c r="L2502" s="10" t="n">
        <v>190000</v>
      </c>
      <c r="M2502" s="10" t="n">
        <v>8474.58</v>
      </c>
      <c r="N2502" s="11">
        <f>IF(M2502="","",ROUND(M2502*1.18,2))</f>
        <v/>
      </c>
      <c r="O2502" s="12">
        <f>IF(M2502="","",ROUND(N2502-M2502,2))</f>
        <v/>
      </c>
      <c r="P2502" s="13">
        <f>IF(AND(A2502&lt;&gt;"",B2502&lt;&gt;""), A2502&amp;" · "&amp;B2502, "")</f>
        <v/>
      </c>
    </row>
    <row r="2503">
      <c r="A2503" s="6" t="inlineStr">
        <is>
          <t>FY27</t>
        </is>
      </c>
      <c r="B2503" s="6" t="inlineStr">
        <is>
          <t>Jun</t>
        </is>
      </c>
      <c r="C2503" s="6" t="inlineStr">
        <is>
          <t>TN</t>
        </is>
      </c>
      <c r="D2503" s="7" t="inlineStr">
        <is>
          <t>TN07BM3649</t>
        </is>
      </c>
      <c r="E2503" s="7" t="inlineStr">
        <is>
          <t>TATA</t>
        </is>
      </c>
      <c r="F2503" s="7" t="inlineStr">
        <is>
          <t>Indica</t>
        </is>
      </c>
      <c r="G2503" s="7" t="inlineStr">
        <is>
          <t>AIE CARS PRIVATE LIMITED</t>
        </is>
      </c>
      <c r="H2503" s="7" t="inlineStr">
        <is>
          <t>Non-Captive</t>
        </is>
      </c>
      <c r="I2503" s="7" t="inlineStr">
        <is>
          <t>Lanson</t>
        </is>
      </c>
      <c r="J2503" s="8" t="n">
        <v>2011</v>
      </c>
      <c r="K2503" s="9" t="n">
        <v>99999</v>
      </c>
      <c r="L2503" s="10" t="n">
        <v>80000</v>
      </c>
      <c r="M2503" s="10" t="n">
        <v>4237.29</v>
      </c>
      <c r="N2503" s="11">
        <f>IF(M2503="","",ROUND(M2503*1.18,2))</f>
        <v/>
      </c>
      <c r="O2503" s="12">
        <f>IF(M2503="","",ROUND(N2503-M2503,2))</f>
        <v/>
      </c>
      <c r="P2503" s="13">
        <f>IF(AND(A2503&lt;&gt;"",B2503&lt;&gt;""), A2503&amp;" · "&amp;B2503, "")</f>
        <v/>
      </c>
    </row>
    <row r="2504">
      <c r="A2504" s="6" t="inlineStr">
        <is>
          <t>FY27</t>
        </is>
      </c>
      <c r="B2504" s="6" t="inlineStr">
        <is>
          <t>Jun</t>
        </is>
      </c>
      <c r="C2504" s="6" t="inlineStr">
        <is>
          <t>TN</t>
        </is>
      </c>
      <c r="D2504" s="7" t="inlineStr">
        <is>
          <t>TN07BS1374</t>
        </is>
      </c>
      <c r="E2504" s="7" t="inlineStr">
        <is>
          <t>MARUTI SUZUKI</t>
        </is>
      </c>
      <c r="F2504" s="7" t="inlineStr">
        <is>
          <t>Dzire</t>
        </is>
      </c>
      <c r="G2504" s="7" t="inlineStr">
        <is>
          <t>KHIVRAJ MOTOR</t>
        </is>
      </c>
      <c r="H2504" s="7" t="inlineStr">
        <is>
          <t>Non-Captive</t>
        </is>
      </c>
      <c r="I2504" s="7" t="inlineStr">
        <is>
          <t>AAA Cars</t>
        </is>
      </c>
      <c r="J2504" s="8" t="n">
        <v>2012</v>
      </c>
      <c r="K2504" s="9" t="n">
        <v>70168</v>
      </c>
      <c r="L2504" s="10" t="n">
        <v>297000</v>
      </c>
      <c r="M2504" s="10" t="n">
        <v>6355.93</v>
      </c>
      <c r="N2504" s="11">
        <f>IF(M2504="","",ROUND(M2504*1.18,2))</f>
        <v/>
      </c>
      <c r="O2504" s="12">
        <f>IF(M2504="","",ROUND(N2504-M2504,2))</f>
        <v/>
      </c>
      <c r="P2504" s="13">
        <f>IF(AND(A2504&lt;&gt;"",B2504&lt;&gt;""), A2504&amp;" · "&amp;B2504, "")</f>
        <v/>
      </c>
    </row>
    <row r="2505">
      <c r="A2505" s="6" t="inlineStr">
        <is>
          <t>FY27</t>
        </is>
      </c>
      <c r="B2505" s="6" t="inlineStr">
        <is>
          <t>Jun</t>
        </is>
      </c>
      <c r="C2505" s="6" t="inlineStr">
        <is>
          <t>TN</t>
        </is>
      </c>
      <c r="D2505" s="7" t="inlineStr">
        <is>
          <t>TN07BS9642</t>
        </is>
      </c>
      <c r="E2505" s="7" t="inlineStr">
        <is>
          <t>HYUNDAI</t>
        </is>
      </c>
      <c r="F2505" s="7" t="inlineStr">
        <is>
          <t>Eon</t>
        </is>
      </c>
      <c r="G2505" s="7" t="inlineStr">
        <is>
          <t>EXCHANGE ROTN</t>
        </is>
      </c>
      <c r="H2505" s="7" t="inlineStr">
        <is>
          <t>Captive</t>
        </is>
      </c>
      <c r="I2505" s="7" t="inlineStr">
        <is>
          <t>&lt;NA&gt;</t>
        </is>
      </c>
      <c r="J2505" s="8" t="n">
        <v>2012</v>
      </c>
      <c r="K2505" s="9" t="n">
        <v>162263</v>
      </c>
      <c r="L2505" s="10" t="n">
        <v>135000</v>
      </c>
      <c r="M2505" s="10" t="n">
        <v>4237.29</v>
      </c>
      <c r="N2505" s="11">
        <f>IF(M2505="","",ROUND(M2505*1.18,2))</f>
        <v/>
      </c>
      <c r="O2505" s="12">
        <f>IF(M2505="","",ROUND(N2505-M2505,2))</f>
        <v/>
      </c>
      <c r="P2505" s="13">
        <f>IF(AND(A2505&lt;&gt;"",B2505&lt;&gt;""), A2505&amp;" · "&amp;B2505, "")</f>
        <v/>
      </c>
    </row>
    <row r="2506">
      <c r="A2506" s="6" t="inlineStr">
        <is>
          <t>FY27</t>
        </is>
      </c>
      <c r="B2506" s="6" t="inlineStr">
        <is>
          <t>Jun</t>
        </is>
      </c>
      <c r="C2506" s="6" t="inlineStr">
        <is>
          <t>TN</t>
        </is>
      </c>
      <c r="D2506" s="7" t="inlineStr">
        <is>
          <t>TN07BT0904</t>
        </is>
      </c>
      <c r="E2506" s="7" t="inlineStr">
        <is>
          <t>MAHINDRA</t>
        </is>
      </c>
      <c r="F2506" s="7" t="inlineStr">
        <is>
          <t>XUV500</t>
        </is>
      </c>
      <c r="G2506" s="7" t="inlineStr">
        <is>
          <t>NIRMAL</t>
        </is>
      </c>
      <c r="H2506" s="7" t="inlineStr">
        <is>
          <t>Non-Captive</t>
        </is>
      </c>
      <c r="I2506" s="7" t="inlineStr">
        <is>
          <t>Kamal Cars</t>
        </is>
      </c>
      <c r="J2506" s="8" t="n">
        <v>2012</v>
      </c>
      <c r="K2506" s="9" t="n">
        <v>140376</v>
      </c>
      <c r="L2506" s="10" t="n">
        <v>220000</v>
      </c>
      <c r="M2506" s="10" t="n">
        <v>3813.56</v>
      </c>
      <c r="N2506" s="11">
        <f>IF(M2506="","",ROUND(M2506*1.18,2))</f>
        <v/>
      </c>
      <c r="O2506" s="12">
        <f>IF(M2506="","",ROUND(N2506-M2506,2))</f>
        <v/>
      </c>
      <c r="P2506" s="13">
        <f>IF(AND(A2506&lt;&gt;"",B2506&lt;&gt;""), A2506&amp;" · "&amp;B2506, "")</f>
        <v/>
      </c>
    </row>
    <row r="2507">
      <c r="A2507" s="6" t="inlineStr">
        <is>
          <t>FY27</t>
        </is>
      </c>
      <c r="B2507" s="6" t="inlineStr">
        <is>
          <t>Jun</t>
        </is>
      </c>
      <c r="C2507" s="6" t="inlineStr">
        <is>
          <t>TN</t>
        </is>
      </c>
      <c r="D2507" s="7" t="inlineStr">
        <is>
          <t>TN07BV6721</t>
        </is>
      </c>
      <c r="E2507" s="7" t="inlineStr">
        <is>
          <t>MARUTI SUZUKI</t>
        </is>
      </c>
      <c r="F2507" s="7" t="inlineStr">
        <is>
          <t>Wagon R</t>
        </is>
      </c>
      <c r="G2507" s="7" t="inlineStr">
        <is>
          <t>KHIVRAJ MOTOR</t>
        </is>
      </c>
      <c r="H2507" s="7" t="inlineStr">
        <is>
          <t>Non-Captive</t>
        </is>
      </c>
      <c r="I2507" s="7" t="inlineStr">
        <is>
          <t>TSM</t>
        </is>
      </c>
      <c r="J2507" s="8" t="n">
        <v>2013</v>
      </c>
      <c r="K2507" s="9" t="n">
        <v>48754</v>
      </c>
      <c r="L2507" s="10" t="n">
        <v>260000</v>
      </c>
      <c r="M2507" s="10" t="n">
        <v>4237.29</v>
      </c>
      <c r="N2507" s="11">
        <f>IF(M2507="","",ROUND(M2507*1.18,2))</f>
        <v/>
      </c>
      <c r="O2507" s="12">
        <f>IF(M2507="","",ROUND(N2507-M2507,2))</f>
        <v/>
      </c>
      <c r="P2507" s="13">
        <f>IF(AND(A2507&lt;&gt;"",B2507&lt;&gt;""), A2507&amp;" · "&amp;B2507, "")</f>
        <v/>
      </c>
    </row>
    <row r="2508">
      <c r="A2508" s="6" t="inlineStr">
        <is>
          <t>FY27</t>
        </is>
      </c>
      <c r="B2508" s="6" t="inlineStr">
        <is>
          <t>Jun</t>
        </is>
      </c>
      <c r="C2508" s="6" t="inlineStr">
        <is>
          <t>TN</t>
        </is>
      </c>
      <c r="D2508" s="7" t="inlineStr">
        <is>
          <t>TN07BZ6937</t>
        </is>
      </c>
      <c r="E2508" s="7" t="inlineStr">
        <is>
          <t>MARUTI SUZUKI</t>
        </is>
      </c>
      <c r="F2508" s="7" t="inlineStr">
        <is>
          <t>Swift</t>
        </is>
      </c>
      <c r="G2508" s="7" t="inlineStr">
        <is>
          <t>EXCHANGE CHENNAI</t>
        </is>
      </c>
      <c r="H2508" s="7" t="inlineStr">
        <is>
          <t>Captive</t>
        </is>
      </c>
      <c r="I2508" s="7" t="inlineStr">
        <is>
          <t>&lt;NA&gt;</t>
        </is>
      </c>
      <c r="J2508" s="8" t="n">
        <v>2008</v>
      </c>
      <c r="K2508" s="9" t="n">
        <v>171207</v>
      </c>
      <c r="L2508" s="10" t="n">
        <v>120000</v>
      </c>
      <c r="M2508" s="10" t="n">
        <v>4237.29</v>
      </c>
      <c r="N2508" s="11">
        <f>IF(M2508="","",ROUND(M2508*1.18,2))</f>
        <v/>
      </c>
      <c r="O2508" s="12">
        <f>IF(M2508="","",ROUND(N2508-M2508,2))</f>
        <v/>
      </c>
      <c r="P2508" s="13">
        <f>IF(AND(A2508&lt;&gt;"",B2508&lt;&gt;""), A2508&amp;" · "&amp;B2508, "")</f>
        <v/>
      </c>
    </row>
    <row r="2509">
      <c r="A2509" s="6" t="inlineStr">
        <is>
          <t>FY27</t>
        </is>
      </c>
      <c r="B2509" s="6" t="inlineStr">
        <is>
          <t>Jun</t>
        </is>
      </c>
      <c r="C2509" s="6" t="inlineStr">
        <is>
          <t>TN</t>
        </is>
      </c>
      <c r="D2509" s="7" t="inlineStr">
        <is>
          <t>TN07CA4081</t>
        </is>
      </c>
      <c r="E2509" s="7" t="inlineStr">
        <is>
          <t>MARUTI SUZUKI</t>
        </is>
      </c>
      <c r="F2509" s="7" t="inlineStr">
        <is>
          <t>Swift</t>
        </is>
      </c>
      <c r="G2509" s="7" t="inlineStr">
        <is>
          <t>EXCHANGE CHENNAI</t>
        </is>
      </c>
      <c r="H2509" s="7" t="inlineStr">
        <is>
          <t>Captive</t>
        </is>
      </c>
      <c r="I2509" s="7" t="inlineStr">
        <is>
          <t>&lt;NA&gt;</t>
        </is>
      </c>
      <c r="J2509" s="8" t="n">
        <v>2014</v>
      </c>
      <c r="K2509" s="9" t="n">
        <v>89303</v>
      </c>
      <c r="L2509" s="10" t="n">
        <v>385000</v>
      </c>
      <c r="M2509" s="10" t="n">
        <v>8474.58</v>
      </c>
      <c r="N2509" s="11">
        <f>IF(M2509="","",ROUND(M2509*1.18,2))</f>
        <v/>
      </c>
      <c r="O2509" s="12">
        <f>IF(M2509="","",ROUND(N2509-M2509,2))</f>
        <v/>
      </c>
      <c r="P2509" s="13">
        <f>IF(AND(A2509&lt;&gt;"",B2509&lt;&gt;""), A2509&amp;" · "&amp;B2509, "")</f>
        <v/>
      </c>
    </row>
    <row r="2510">
      <c r="A2510" s="6" t="inlineStr">
        <is>
          <t>FY27</t>
        </is>
      </c>
      <c r="B2510" s="6" t="inlineStr">
        <is>
          <t>Jun</t>
        </is>
      </c>
      <c r="C2510" s="6" t="inlineStr">
        <is>
          <t>TN</t>
        </is>
      </c>
      <c r="D2510" s="7" t="inlineStr">
        <is>
          <t>TN07CB6662</t>
        </is>
      </c>
      <c r="E2510" s="7" t="inlineStr">
        <is>
          <t>HONDA</t>
        </is>
      </c>
      <c r="F2510" s="7" t="inlineStr">
        <is>
          <t>City</t>
        </is>
      </c>
      <c r="G2510" s="7" t="inlineStr">
        <is>
          <t>PEEYESYEM HK MOTORS LLP</t>
        </is>
      </c>
      <c r="H2510" s="7" t="inlineStr">
        <is>
          <t>Non-Captive</t>
        </is>
      </c>
      <c r="I2510" s="7" t="inlineStr">
        <is>
          <t>Santhosh Cars</t>
        </is>
      </c>
      <c r="J2510" s="8" t="n">
        <v>2015</v>
      </c>
      <c r="K2510" s="9" t="n">
        <v>72202</v>
      </c>
      <c r="L2510" s="10" t="n">
        <v>480000</v>
      </c>
      <c r="M2510" s="10" t="n">
        <v>4237.29</v>
      </c>
      <c r="N2510" s="11">
        <f>IF(M2510="","",ROUND(M2510*1.18,2))</f>
        <v/>
      </c>
      <c r="O2510" s="12">
        <f>IF(M2510="","",ROUND(N2510-M2510,2))</f>
        <v/>
      </c>
      <c r="P2510" s="13">
        <f>IF(AND(A2510&lt;&gt;"",B2510&lt;&gt;""), A2510&amp;" · "&amp;B2510, "")</f>
        <v/>
      </c>
    </row>
    <row r="2511">
      <c r="A2511" s="6" t="inlineStr">
        <is>
          <t>FY27</t>
        </is>
      </c>
      <c r="B2511" s="6" t="inlineStr">
        <is>
          <t>Jun</t>
        </is>
      </c>
      <c r="C2511" s="6" t="inlineStr">
        <is>
          <t>TN</t>
        </is>
      </c>
      <c r="D2511" s="7" t="inlineStr">
        <is>
          <t>TN07CD1525</t>
        </is>
      </c>
      <c r="E2511" s="7" t="inlineStr">
        <is>
          <t>HONDA</t>
        </is>
      </c>
      <c r="F2511" s="7" t="inlineStr">
        <is>
          <t>Jazz</t>
        </is>
      </c>
      <c r="G2511" s="7" t="inlineStr">
        <is>
          <t>STEER AUTO TECHNOLOGIES PRIVATE LIMITED</t>
        </is>
      </c>
      <c r="H2511" s="7" t="inlineStr">
        <is>
          <t>Non-Captive</t>
        </is>
      </c>
      <c r="I2511" s="7" t="inlineStr">
        <is>
          <t>Santhosh Cars</t>
        </is>
      </c>
      <c r="J2511" s="8" t="n">
        <v>2015</v>
      </c>
      <c r="K2511" s="9" t="n">
        <v>23631</v>
      </c>
      <c r="L2511" s="10" t="n">
        <v>360000</v>
      </c>
      <c r="M2511" s="10" t="n">
        <v>4237.29</v>
      </c>
      <c r="N2511" s="11">
        <f>IF(M2511="","",ROUND(M2511*1.18,2))</f>
        <v/>
      </c>
      <c r="O2511" s="12">
        <f>IF(M2511="","",ROUND(N2511-M2511,2))</f>
        <v/>
      </c>
      <c r="P2511" s="13">
        <f>IF(AND(A2511&lt;&gt;"",B2511&lt;&gt;""), A2511&amp;" · "&amp;B2511, "")</f>
        <v/>
      </c>
    </row>
    <row r="2512">
      <c r="A2512" s="6" t="inlineStr">
        <is>
          <t>FY27</t>
        </is>
      </c>
      <c r="B2512" s="6" t="inlineStr">
        <is>
          <t>Jun</t>
        </is>
      </c>
      <c r="C2512" s="6" t="inlineStr">
        <is>
          <t>TN</t>
        </is>
      </c>
      <c r="D2512" s="7" t="inlineStr">
        <is>
          <t>TN07CE7657</t>
        </is>
      </c>
      <c r="E2512" s="7" t="inlineStr">
        <is>
          <t>HYUNDAI</t>
        </is>
      </c>
      <c r="F2512" s="7" t="inlineStr">
        <is>
          <t>i10</t>
        </is>
      </c>
      <c r="G2512" s="7" t="inlineStr">
        <is>
          <t>ABT LIMITED</t>
        </is>
      </c>
      <c r="H2512" s="7" t="inlineStr">
        <is>
          <t>Non-Captive</t>
        </is>
      </c>
      <c r="I2512" s="7" t="inlineStr">
        <is>
          <t>Santhosh Cars</t>
        </is>
      </c>
      <c r="J2512" s="8" t="n">
        <v>2016</v>
      </c>
      <c r="K2512" s="9" t="n">
        <v>51503</v>
      </c>
      <c r="L2512" s="10" t="n">
        <v>325000</v>
      </c>
      <c r="M2512" s="10" t="n">
        <v>5084.75</v>
      </c>
      <c r="N2512" s="11">
        <f>IF(M2512="","",ROUND(M2512*1.18,2))</f>
        <v/>
      </c>
      <c r="O2512" s="12">
        <f>IF(M2512="","",ROUND(N2512-M2512,2))</f>
        <v/>
      </c>
      <c r="P2512" s="13">
        <f>IF(AND(A2512&lt;&gt;"",B2512&lt;&gt;""), A2512&amp;" · "&amp;B2512, "")</f>
        <v/>
      </c>
    </row>
    <row r="2513">
      <c r="A2513" s="6" t="inlineStr">
        <is>
          <t>FY27</t>
        </is>
      </c>
      <c r="B2513" s="6" t="inlineStr">
        <is>
          <t>Jun</t>
        </is>
      </c>
      <c r="C2513" s="6" t="inlineStr">
        <is>
          <t>TN</t>
        </is>
      </c>
      <c r="D2513" s="7" t="inlineStr">
        <is>
          <t>TN07CP8031</t>
        </is>
      </c>
      <c r="E2513" s="7" t="inlineStr">
        <is>
          <t>HONDA</t>
        </is>
      </c>
      <c r="F2513" s="7" t="inlineStr">
        <is>
          <t>Jazz</t>
        </is>
      </c>
      <c r="G2513" s="7" t="inlineStr">
        <is>
          <t>PEEYESYEM HK MOTORS LLP</t>
        </is>
      </c>
      <c r="H2513" s="7" t="inlineStr">
        <is>
          <t>Non-Captive</t>
        </is>
      </c>
      <c r="I2513" s="7" t="inlineStr">
        <is>
          <t>Santhosh Cars</t>
        </is>
      </c>
      <c r="J2513" s="8" t="n">
        <v>2018</v>
      </c>
      <c r="K2513" s="9" t="n">
        <v>75752</v>
      </c>
      <c r="L2513" s="10" t="n">
        <v>350000</v>
      </c>
      <c r="M2513" s="10" t="n">
        <v>4237.29</v>
      </c>
      <c r="N2513" s="11">
        <f>IF(M2513="","",ROUND(M2513*1.18,2))</f>
        <v/>
      </c>
      <c r="O2513" s="12">
        <f>IF(M2513="","",ROUND(N2513-M2513,2))</f>
        <v/>
      </c>
      <c r="P2513" s="13">
        <f>IF(AND(A2513&lt;&gt;"",B2513&lt;&gt;""), A2513&amp;" · "&amp;B2513, "")</f>
        <v/>
      </c>
    </row>
    <row r="2514">
      <c r="A2514" s="6" t="inlineStr">
        <is>
          <t>FY27</t>
        </is>
      </c>
      <c r="B2514" s="6" t="inlineStr">
        <is>
          <t>Jun</t>
        </is>
      </c>
      <c r="C2514" s="6" t="inlineStr">
        <is>
          <t>TN</t>
        </is>
      </c>
      <c r="D2514" s="7" t="inlineStr">
        <is>
          <t>TN07CP8032</t>
        </is>
      </c>
      <c r="E2514" s="7" t="inlineStr">
        <is>
          <t>FORD</t>
        </is>
      </c>
      <c r="F2514" s="7" t="inlineStr">
        <is>
          <t>Aspire</t>
        </is>
      </c>
      <c r="G2514" s="7" t="inlineStr">
        <is>
          <t>PEEYESYEM HK MOTORS LLP</t>
        </is>
      </c>
      <c r="H2514" s="7" t="inlineStr">
        <is>
          <t>Non-Captive</t>
        </is>
      </c>
      <c r="I2514" s="7" t="inlineStr">
        <is>
          <t>Senthil Cars</t>
        </is>
      </c>
      <c r="J2514" s="8" t="n">
        <v>2018</v>
      </c>
      <c r="K2514" s="9" t="n">
        <v>89303</v>
      </c>
      <c r="L2514" s="10" t="n">
        <v>180000</v>
      </c>
      <c r="M2514" s="10" t="n">
        <v>5084.75</v>
      </c>
      <c r="N2514" s="11">
        <f>IF(M2514="","",ROUND(M2514*1.18,2))</f>
        <v/>
      </c>
      <c r="O2514" s="12">
        <f>IF(M2514="","",ROUND(N2514-M2514,2))</f>
        <v/>
      </c>
      <c r="P2514" s="13">
        <f>IF(AND(A2514&lt;&gt;"",B2514&lt;&gt;""), A2514&amp;" · "&amp;B2514, "")</f>
        <v/>
      </c>
    </row>
    <row r="2515">
      <c r="A2515" s="6" t="inlineStr">
        <is>
          <t>FY27</t>
        </is>
      </c>
      <c r="B2515" s="6" t="inlineStr">
        <is>
          <t>Jun</t>
        </is>
      </c>
      <c r="C2515" s="6" t="inlineStr">
        <is>
          <t>TN</t>
        </is>
      </c>
      <c r="D2515" s="7" t="inlineStr">
        <is>
          <t>TN07DQ2986</t>
        </is>
      </c>
      <c r="E2515" s="7" t="inlineStr">
        <is>
          <t>HYUNDAI</t>
        </is>
      </c>
      <c r="F2515" s="7" t="inlineStr">
        <is>
          <t>Grand i10 Nios</t>
        </is>
      </c>
      <c r="G2515" s="7" t="inlineStr">
        <is>
          <t>KHIVRAJ MOTOR</t>
        </is>
      </c>
      <c r="H2515" s="7" t="inlineStr">
        <is>
          <t>Non-Captive</t>
        </is>
      </c>
      <c r="I2515" s="7" t="inlineStr">
        <is>
          <t>TSM</t>
        </is>
      </c>
      <c r="J2515" s="8" t="n">
        <v>2026</v>
      </c>
      <c r="K2515" s="9" t="n">
        <v>30196</v>
      </c>
      <c r="L2515" s="10" t="n">
        <v>650000</v>
      </c>
      <c r="M2515" s="10" t="n">
        <v>10169.49</v>
      </c>
      <c r="N2515" s="11">
        <f>IF(M2515="","",ROUND(M2515*1.18,2))</f>
        <v/>
      </c>
      <c r="O2515" s="12">
        <f>IF(M2515="","",ROUND(N2515-M2515,2))</f>
        <v/>
      </c>
      <c r="P2515" s="13">
        <f>IF(AND(A2515&lt;&gt;"",B2515&lt;&gt;""), A2515&amp;" · "&amp;B2515, "")</f>
        <v/>
      </c>
    </row>
    <row r="2516">
      <c r="A2516" s="6" t="inlineStr">
        <is>
          <t>FY27</t>
        </is>
      </c>
      <c r="B2516" s="6" t="inlineStr">
        <is>
          <t>Jun</t>
        </is>
      </c>
      <c r="C2516" s="6" t="inlineStr">
        <is>
          <t>TN</t>
        </is>
      </c>
      <c r="D2516" s="7" t="inlineStr">
        <is>
          <t>TN09AH3699</t>
        </is>
      </c>
      <c r="E2516" s="7" t="inlineStr">
        <is>
          <t>MARUTI SUZUKI</t>
        </is>
      </c>
      <c r="F2516" s="7" t="inlineStr">
        <is>
          <t>Alto</t>
        </is>
      </c>
      <c r="G2516" s="7" t="inlineStr">
        <is>
          <t>SGA MOTORS INDIA PRIVATE LIMITED</t>
        </is>
      </c>
      <c r="H2516" s="7" t="inlineStr">
        <is>
          <t>Non-Captive</t>
        </is>
      </c>
      <c r="I2516" s="7" t="inlineStr">
        <is>
          <t>&lt;NA&gt;</t>
        </is>
      </c>
      <c r="J2516" s="8" t="n">
        <v>2004</v>
      </c>
      <c r="K2516" s="9" t="n">
        <v>156306</v>
      </c>
      <c r="L2516" s="10" t="n">
        <v>70000</v>
      </c>
      <c r="M2516" s="10" t="n">
        <v>4237.29</v>
      </c>
      <c r="N2516" s="11">
        <f>IF(M2516="","",ROUND(M2516*1.18,2))</f>
        <v/>
      </c>
      <c r="O2516" s="12">
        <f>IF(M2516="","",ROUND(N2516-M2516,2))</f>
        <v/>
      </c>
      <c r="P2516" s="13">
        <f>IF(AND(A2516&lt;&gt;"",B2516&lt;&gt;""), A2516&amp;" · "&amp;B2516, "")</f>
        <v/>
      </c>
    </row>
    <row r="2517">
      <c r="A2517" s="6" t="inlineStr">
        <is>
          <t>FY27</t>
        </is>
      </c>
      <c r="B2517" s="6" t="inlineStr">
        <is>
          <t>Jun</t>
        </is>
      </c>
      <c r="C2517" s="6" t="inlineStr">
        <is>
          <t>TN</t>
        </is>
      </c>
      <c r="D2517" s="7" t="inlineStr">
        <is>
          <t>TN09AZ7688</t>
        </is>
      </c>
      <c r="E2517" s="7" t="inlineStr">
        <is>
          <t>MARUTI SUZUKI</t>
        </is>
      </c>
      <c r="F2517" s="7" t="inlineStr">
        <is>
          <t>Omni</t>
        </is>
      </c>
      <c r="G2517" s="7" t="inlineStr">
        <is>
          <t>PLA MOTORS</t>
        </is>
      </c>
      <c r="H2517" s="7" t="inlineStr">
        <is>
          <t>Non-Captive</t>
        </is>
      </c>
      <c r="I2517" s="7" t="inlineStr">
        <is>
          <t>Senthil Cars</t>
        </is>
      </c>
      <c r="J2517" s="8" t="n">
        <v>2009</v>
      </c>
      <c r="K2517" s="9" t="n">
        <v>144347</v>
      </c>
      <c r="L2517" s="10" t="n">
        <v>100000</v>
      </c>
      <c r="M2517" s="10" t="n">
        <v>4237.29</v>
      </c>
      <c r="N2517" s="11">
        <f>IF(M2517="","",ROUND(M2517*1.18,2))</f>
        <v/>
      </c>
      <c r="O2517" s="12">
        <f>IF(M2517="","",ROUND(N2517-M2517,2))</f>
        <v/>
      </c>
      <c r="P2517" s="13">
        <f>IF(AND(A2517&lt;&gt;"",B2517&lt;&gt;""), A2517&amp;" · "&amp;B2517, "")</f>
        <v/>
      </c>
    </row>
    <row r="2518">
      <c r="A2518" s="6" t="inlineStr">
        <is>
          <t>FY27</t>
        </is>
      </c>
      <c r="B2518" s="6" t="inlineStr">
        <is>
          <t>Jun</t>
        </is>
      </c>
      <c r="C2518" s="6" t="inlineStr">
        <is>
          <t>TN</t>
        </is>
      </c>
      <c r="D2518" s="7" t="inlineStr">
        <is>
          <t>TN09BA0123</t>
        </is>
      </c>
      <c r="E2518" s="7" t="inlineStr">
        <is>
          <t>TOYOTA</t>
        </is>
      </c>
      <c r="F2518" s="7" t="inlineStr">
        <is>
          <t>Corolla Altis</t>
        </is>
      </c>
      <c r="G2518" s="7" t="inlineStr">
        <is>
          <t>CASTLE TRADERS HONDA</t>
        </is>
      </c>
      <c r="H2518" s="7" t="inlineStr">
        <is>
          <t>Non-Captive</t>
        </is>
      </c>
      <c r="I2518" s="7" t="inlineStr">
        <is>
          <t>TSM</t>
        </is>
      </c>
      <c r="J2518" s="8" t="n">
        <v>2009</v>
      </c>
      <c r="K2518" s="9" t="n">
        <v>124030</v>
      </c>
      <c r="L2518" s="10" t="n">
        <v>250000</v>
      </c>
      <c r="M2518" s="10" t="n">
        <v>4237.29</v>
      </c>
      <c r="N2518" s="11">
        <f>IF(M2518="","",ROUND(M2518*1.18,2))</f>
        <v/>
      </c>
      <c r="O2518" s="12">
        <f>IF(M2518="","",ROUND(N2518-M2518,2))</f>
        <v/>
      </c>
      <c r="P2518" s="13">
        <f>IF(AND(A2518&lt;&gt;"",B2518&lt;&gt;""), A2518&amp;" · "&amp;B2518, "")</f>
        <v/>
      </c>
    </row>
    <row r="2519">
      <c r="A2519" s="6" t="inlineStr">
        <is>
          <t>FY27</t>
        </is>
      </c>
      <c r="B2519" s="6" t="inlineStr">
        <is>
          <t>Jun</t>
        </is>
      </c>
      <c r="C2519" s="6" t="inlineStr">
        <is>
          <t>TN</t>
        </is>
      </c>
      <c r="D2519" s="7" t="inlineStr">
        <is>
          <t>TN09BA1400</t>
        </is>
      </c>
      <c r="E2519" s="7" t="inlineStr">
        <is>
          <t>HYUNDAI</t>
        </is>
      </c>
      <c r="F2519" s="7" t="inlineStr">
        <is>
          <t>i20</t>
        </is>
      </c>
      <c r="G2519" s="7" t="inlineStr">
        <is>
          <t>PEEYESYEM HK MOTORS LLP</t>
        </is>
      </c>
      <c r="H2519" s="7" t="inlineStr">
        <is>
          <t>Non-Captive</t>
        </is>
      </c>
      <c r="I2519" s="7" t="inlineStr">
        <is>
          <t>Lanson</t>
        </is>
      </c>
      <c r="J2519" s="8" t="n">
        <v>2009</v>
      </c>
      <c r="K2519" s="9" t="n">
        <v>103202</v>
      </c>
      <c r="L2519" s="10" t="n">
        <v>130000</v>
      </c>
      <c r="M2519" s="10" t="n">
        <v>4237.29</v>
      </c>
      <c r="N2519" s="11">
        <f>IF(M2519="","",ROUND(M2519*1.18,2))</f>
        <v/>
      </c>
      <c r="O2519" s="12">
        <f>IF(M2519="","",ROUND(N2519-M2519,2))</f>
        <v/>
      </c>
      <c r="P2519" s="13">
        <f>IF(AND(A2519&lt;&gt;"",B2519&lt;&gt;""), A2519&amp;" · "&amp;B2519, "")</f>
        <v/>
      </c>
    </row>
    <row r="2520">
      <c r="A2520" s="6" t="inlineStr">
        <is>
          <t>FY27</t>
        </is>
      </c>
      <c r="B2520" s="6" t="inlineStr">
        <is>
          <t>Jun</t>
        </is>
      </c>
      <c r="C2520" s="6" t="inlineStr">
        <is>
          <t>TN</t>
        </is>
      </c>
      <c r="D2520" s="7" t="inlineStr">
        <is>
          <t>TN09BF0696</t>
        </is>
      </c>
      <c r="E2520" s="7" t="inlineStr">
        <is>
          <t>HYUNDAI</t>
        </is>
      </c>
      <c r="F2520" s="7" t="inlineStr">
        <is>
          <t>i10</t>
        </is>
      </c>
      <c r="G2520" s="7" t="inlineStr">
        <is>
          <t>KHIVRAJ MOTOR</t>
        </is>
      </c>
      <c r="H2520" s="7" t="inlineStr">
        <is>
          <t>Non-Captive</t>
        </is>
      </c>
      <c r="I2520" s="7" t="inlineStr">
        <is>
          <t>S2 Cars</t>
        </is>
      </c>
      <c r="J2520" s="8" t="n">
        <v>2010</v>
      </c>
      <c r="K2520" s="9" t="n">
        <v>119451</v>
      </c>
      <c r="L2520" s="10" t="n">
        <v>135000</v>
      </c>
      <c r="M2520" s="10" t="n">
        <v>5084.75</v>
      </c>
      <c r="N2520" s="11">
        <f>IF(M2520="","",ROUND(M2520*1.18,2))</f>
        <v/>
      </c>
      <c r="O2520" s="12">
        <f>IF(M2520="","",ROUND(N2520-M2520,2))</f>
        <v/>
      </c>
      <c r="P2520" s="13">
        <f>IF(AND(A2520&lt;&gt;"",B2520&lt;&gt;""), A2520&amp;" · "&amp;B2520, "")</f>
        <v/>
      </c>
    </row>
    <row r="2521">
      <c r="A2521" s="6" t="inlineStr">
        <is>
          <t>FY27</t>
        </is>
      </c>
      <c r="B2521" s="6" t="inlineStr">
        <is>
          <t>Jun</t>
        </is>
      </c>
      <c r="C2521" s="6" t="inlineStr">
        <is>
          <t>TN</t>
        </is>
      </c>
      <c r="D2521" s="7" t="inlineStr">
        <is>
          <t>TN09BH8095</t>
        </is>
      </c>
      <c r="E2521" s="7" t="inlineStr">
        <is>
          <t>MARUTI SUZUKI</t>
        </is>
      </c>
      <c r="F2521" s="7" t="inlineStr">
        <is>
          <t>Dzire</t>
        </is>
      </c>
      <c r="G2521" s="7" t="inlineStr">
        <is>
          <t>PRODUCTIVITY ELEMENTS PRIVATE LIMITED</t>
        </is>
      </c>
      <c r="H2521" s="7" t="inlineStr">
        <is>
          <t>Non-Captive</t>
        </is>
      </c>
      <c r="I2521" s="7" t="inlineStr">
        <is>
          <t>Balaji Cars</t>
        </is>
      </c>
      <c r="J2521" s="8" t="n">
        <v>2011</v>
      </c>
      <c r="K2521" s="9" t="n">
        <v>70335</v>
      </c>
      <c r="L2521" s="10" t="n">
        <v>300000</v>
      </c>
      <c r="M2521" s="10" t="n">
        <v>5084.75</v>
      </c>
      <c r="N2521" s="11">
        <f>IF(M2521="","",ROUND(M2521*1.18,2))</f>
        <v/>
      </c>
      <c r="O2521" s="12">
        <f>IF(M2521="","",ROUND(N2521-M2521,2))</f>
        <v/>
      </c>
      <c r="P2521" s="13">
        <f>IF(AND(A2521&lt;&gt;"",B2521&lt;&gt;""), A2521&amp;" · "&amp;B2521, "")</f>
        <v/>
      </c>
    </row>
    <row r="2522">
      <c r="A2522" s="6" t="inlineStr">
        <is>
          <t>FY27</t>
        </is>
      </c>
      <c r="B2522" s="6" t="inlineStr">
        <is>
          <t>Jun</t>
        </is>
      </c>
      <c r="C2522" s="6" t="inlineStr">
        <is>
          <t>TN</t>
        </is>
      </c>
      <c r="D2522" s="7" t="inlineStr">
        <is>
          <t>TN09BL3844</t>
        </is>
      </c>
      <c r="E2522" s="7" t="inlineStr">
        <is>
          <t>FORD</t>
        </is>
      </c>
      <c r="F2522" s="7" t="inlineStr">
        <is>
          <t>Fiesta</t>
        </is>
      </c>
      <c r="G2522" s="7" t="inlineStr">
        <is>
          <t>KHIVRAJ MOTOR</t>
        </is>
      </c>
      <c r="H2522" s="7" t="inlineStr">
        <is>
          <t>Non-Captive</t>
        </is>
      </c>
      <c r="I2522" s="7" t="inlineStr">
        <is>
          <t>Nirmal Cars</t>
        </is>
      </c>
      <c r="J2522" s="8" t="n">
        <v>2011</v>
      </c>
      <c r="K2522" s="9" t="n">
        <v>77118</v>
      </c>
      <c r="L2522" s="10" t="n">
        <v>225000</v>
      </c>
      <c r="M2522" s="10" t="n">
        <v>4237.29</v>
      </c>
      <c r="N2522" s="11">
        <f>IF(M2522="","",ROUND(M2522*1.18,2))</f>
        <v/>
      </c>
      <c r="O2522" s="12">
        <f>IF(M2522="","",ROUND(N2522-M2522,2))</f>
        <v/>
      </c>
      <c r="P2522" s="13">
        <f>IF(AND(A2522&lt;&gt;"",B2522&lt;&gt;""), A2522&amp;" · "&amp;B2522, "")</f>
        <v/>
      </c>
    </row>
    <row r="2523">
      <c r="A2523" s="6" t="inlineStr">
        <is>
          <t>FY27</t>
        </is>
      </c>
      <c r="B2523" s="6" t="inlineStr">
        <is>
          <t>Jun</t>
        </is>
      </c>
      <c r="C2523" s="6" t="inlineStr">
        <is>
          <t>TN</t>
        </is>
      </c>
      <c r="D2523" s="7" t="inlineStr">
        <is>
          <t>TN09BL9472</t>
        </is>
      </c>
      <c r="E2523" s="7" t="inlineStr">
        <is>
          <t>MARUTI SUZUKI</t>
        </is>
      </c>
      <c r="F2523" s="7" t="inlineStr">
        <is>
          <t>Swift</t>
        </is>
      </c>
      <c r="G2523" s="7" t="inlineStr">
        <is>
          <t>KHIVRAJ MOTOR</t>
        </is>
      </c>
      <c r="H2523" s="7" t="inlineStr">
        <is>
          <t>Non-Captive</t>
        </is>
      </c>
      <c r="I2523" s="7" t="inlineStr">
        <is>
          <t>TSM</t>
        </is>
      </c>
      <c r="J2523" s="8" t="n">
        <v>2011</v>
      </c>
      <c r="K2523" s="9" t="n">
        <v>43481</v>
      </c>
      <c r="L2523" s="10" t="n">
        <v>250000</v>
      </c>
      <c r="M2523" s="10" t="n">
        <v>4237.29</v>
      </c>
      <c r="N2523" s="11">
        <f>IF(M2523="","",ROUND(M2523*1.18,2))</f>
        <v/>
      </c>
      <c r="O2523" s="12">
        <f>IF(M2523="","",ROUND(N2523-M2523,2))</f>
        <v/>
      </c>
      <c r="P2523" s="13">
        <f>IF(AND(A2523&lt;&gt;"",B2523&lt;&gt;""), A2523&amp;" · "&amp;B2523, "")</f>
        <v/>
      </c>
    </row>
    <row r="2524">
      <c r="A2524" s="6" t="inlineStr">
        <is>
          <t>FY27</t>
        </is>
      </c>
      <c r="B2524" s="6" t="inlineStr">
        <is>
          <t>Jun</t>
        </is>
      </c>
      <c r="C2524" s="6" t="inlineStr">
        <is>
          <t>TN</t>
        </is>
      </c>
      <c r="D2524" s="7" t="inlineStr">
        <is>
          <t>TN09BQ5114</t>
        </is>
      </c>
      <c r="E2524" s="7" t="inlineStr">
        <is>
          <t>HYUNDAI</t>
        </is>
      </c>
      <c r="F2524" s="7" t="inlineStr">
        <is>
          <t>i10</t>
        </is>
      </c>
      <c r="G2524" s="7" t="inlineStr">
        <is>
          <t>KHIVRAJ MOTOR</t>
        </is>
      </c>
      <c r="H2524" s="7" t="inlineStr">
        <is>
          <t>Non-Captive</t>
        </is>
      </c>
      <c r="I2524" s="7" t="inlineStr">
        <is>
          <t>Amarnath Cars</t>
        </is>
      </c>
      <c r="J2524" s="8" t="n">
        <v>2012</v>
      </c>
      <c r="K2524" s="9" t="n">
        <v>97990</v>
      </c>
      <c r="L2524" s="10" t="n">
        <v>135000</v>
      </c>
      <c r="M2524" s="10" t="n">
        <v>5084.75</v>
      </c>
      <c r="N2524" s="11">
        <f>IF(M2524="","",ROUND(M2524*1.18,2))</f>
        <v/>
      </c>
      <c r="O2524" s="12">
        <f>IF(M2524="","",ROUND(N2524-M2524,2))</f>
        <v/>
      </c>
      <c r="P2524" s="13">
        <f>IF(AND(A2524&lt;&gt;"",B2524&lt;&gt;""), A2524&amp;" · "&amp;B2524, "")</f>
        <v/>
      </c>
    </row>
    <row r="2525">
      <c r="A2525" s="6" t="inlineStr">
        <is>
          <t>FY27</t>
        </is>
      </c>
      <c r="B2525" s="6" t="inlineStr">
        <is>
          <t>Jun</t>
        </is>
      </c>
      <c r="C2525" s="6" t="inlineStr">
        <is>
          <t>TN</t>
        </is>
      </c>
      <c r="D2525" s="7" t="inlineStr">
        <is>
          <t>TN09BQ5221</t>
        </is>
      </c>
      <c r="E2525" s="7" t="inlineStr">
        <is>
          <t>HONDA</t>
        </is>
      </c>
      <c r="F2525" s="7" t="inlineStr">
        <is>
          <t>Brio</t>
        </is>
      </c>
      <c r="G2525" s="7" t="inlineStr">
        <is>
          <t>MAANSAROVAR HONDA CARS</t>
        </is>
      </c>
      <c r="H2525" s="7" t="inlineStr">
        <is>
          <t>Non-Captive</t>
        </is>
      </c>
      <c r="I2525" s="7" t="inlineStr">
        <is>
          <t>Lanson</t>
        </is>
      </c>
      <c r="J2525" s="8" t="n">
        <v>2012</v>
      </c>
      <c r="K2525" s="9" t="n">
        <v>66137</v>
      </c>
      <c r="L2525" s="10" t="n">
        <v>100000</v>
      </c>
      <c r="M2525" s="10" t="n">
        <v>4237.29</v>
      </c>
      <c r="N2525" s="11">
        <f>IF(M2525="","",ROUND(M2525*1.18,2))</f>
        <v/>
      </c>
      <c r="O2525" s="12">
        <f>IF(M2525="","",ROUND(N2525-M2525,2))</f>
        <v/>
      </c>
      <c r="P2525" s="13">
        <f>IF(AND(A2525&lt;&gt;"",B2525&lt;&gt;""), A2525&amp;" · "&amp;B2525, "")</f>
        <v/>
      </c>
    </row>
    <row r="2526">
      <c r="A2526" s="6" t="inlineStr">
        <is>
          <t>FY27</t>
        </is>
      </c>
      <c r="B2526" s="6" t="inlineStr">
        <is>
          <t>Jun</t>
        </is>
      </c>
      <c r="C2526" s="6" t="inlineStr">
        <is>
          <t>TN</t>
        </is>
      </c>
      <c r="D2526" s="7" t="inlineStr">
        <is>
          <t>TN09BU3992</t>
        </is>
      </c>
      <c r="E2526" s="7" t="inlineStr">
        <is>
          <t>NISSAN</t>
        </is>
      </c>
      <c r="F2526" s="7" t="inlineStr">
        <is>
          <t>Micra</t>
        </is>
      </c>
      <c r="G2526" s="7" t="inlineStr">
        <is>
          <t>STEER AUTO TECHNOLOGIES PRIVATE LIMITED</t>
        </is>
      </c>
      <c r="H2526" s="7" t="inlineStr">
        <is>
          <t>Non-Captive</t>
        </is>
      </c>
      <c r="I2526" s="7" t="inlineStr">
        <is>
          <t>Lanson</t>
        </is>
      </c>
      <c r="J2526" s="8" t="n">
        <v>2013</v>
      </c>
      <c r="K2526" s="9" t="n">
        <v>77141</v>
      </c>
      <c r="L2526" s="10" t="n">
        <v>150000</v>
      </c>
      <c r="M2526" s="10" t="n">
        <v>4237.29</v>
      </c>
      <c r="N2526" s="11">
        <f>IF(M2526="","",ROUND(M2526*1.18,2))</f>
        <v/>
      </c>
      <c r="O2526" s="12">
        <f>IF(M2526="","",ROUND(N2526-M2526,2))</f>
        <v/>
      </c>
      <c r="P2526" s="13">
        <f>IF(AND(A2526&lt;&gt;"",B2526&lt;&gt;""), A2526&amp;" · "&amp;B2526, "")</f>
        <v/>
      </c>
    </row>
    <row r="2527">
      <c r="A2527" s="6" t="inlineStr">
        <is>
          <t>FY27</t>
        </is>
      </c>
      <c r="B2527" s="6" t="inlineStr">
        <is>
          <t>Jun</t>
        </is>
      </c>
      <c r="C2527" s="6" t="inlineStr">
        <is>
          <t>TN</t>
        </is>
      </c>
      <c r="D2527" s="7" t="inlineStr">
        <is>
          <t>TN09CA9387</t>
        </is>
      </c>
      <c r="E2527" s="7" t="inlineStr">
        <is>
          <t>MARUTI SUZUKI</t>
        </is>
      </c>
      <c r="F2527" s="7" t="inlineStr">
        <is>
          <t>Alto K10</t>
        </is>
      </c>
      <c r="G2527" s="7" t="inlineStr">
        <is>
          <t>CRESCO CARS</t>
        </is>
      </c>
      <c r="H2527" s="7" t="inlineStr">
        <is>
          <t>Non-Captive</t>
        </is>
      </c>
      <c r="I2527" s="7" t="inlineStr">
        <is>
          <t>Ramalingam Cars</t>
        </is>
      </c>
      <c r="J2527" s="8" t="n">
        <v>2015</v>
      </c>
      <c r="K2527" s="9" t="n">
        <v>39411</v>
      </c>
      <c r="L2527" s="10" t="n">
        <v>275000</v>
      </c>
      <c r="M2527" s="10" t="n">
        <v>4237.29</v>
      </c>
      <c r="N2527" s="11">
        <f>IF(M2527="","",ROUND(M2527*1.18,2))</f>
        <v/>
      </c>
      <c r="O2527" s="12">
        <f>IF(M2527="","",ROUND(N2527-M2527,2))</f>
        <v/>
      </c>
      <c r="P2527" s="13">
        <f>IF(AND(A2527&lt;&gt;"",B2527&lt;&gt;""), A2527&amp;" · "&amp;B2527, "")</f>
        <v/>
      </c>
    </row>
    <row r="2528">
      <c r="A2528" s="6" t="inlineStr">
        <is>
          <t>FY27</t>
        </is>
      </c>
      <c r="B2528" s="6" t="inlineStr">
        <is>
          <t>Jun</t>
        </is>
      </c>
      <c r="C2528" s="6" t="inlineStr">
        <is>
          <t>TN</t>
        </is>
      </c>
      <c r="D2528" s="7" t="inlineStr">
        <is>
          <t>TN09CE7367</t>
        </is>
      </c>
      <c r="E2528" s="7" t="inlineStr">
        <is>
          <t>RENAULT</t>
        </is>
      </c>
      <c r="F2528" s="7" t="inlineStr">
        <is>
          <t>Kwid</t>
        </is>
      </c>
      <c r="G2528" s="7" t="inlineStr">
        <is>
          <t>AIE CARS PRIVATE LIMITED</t>
        </is>
      </c>
      <c r="H2528" s="7" t="inlineStr">
        <is>
          <t>Non-Captive</t>
        </is>
      </c>
      <c r="I2528" s="7" t="inlineStr">
        <is>
          <t>Nirmal Cars</t>
        </is>
      </c>
      <c r="J2528" s="8" t="n">
        <v>2016</v>
      </c>
      <c r="K2528" s="9" t="n">
        <v>60566</v>
      </c>
      <c r="L2528" s="10" t="n">
        <v>230000</v>
      </c>
      <c r="M2528" s="10" t="n">
        <v>4237.29</v>
      </c>
      <c r="N2528" s="11">
        <f>IF(M2528="","",ROUND(M2528*1.18,2))</f>
        <v/>
      </c>
      <c r="O2528" s="12">
        <f>IF(M2528="","",ROUND(N2528-M2528,2))</f>
        <v/>
      </c>
      <c r="P2528" s="13">
        <f>IF(AND(A2528&lt;&gt;"",B2528&lt;&gt;""), A2528&amp;" · "&amp;B2528, "")</f>
        <v/>
      </c>
    </row>
    <row r="2529">
      <c r="A2529" s="6" t="inlineStr">
        <is>
          <t>FY27</t>
        </is>
      </c>
      <c r="B2529" s="6" t="inlineStr">
        <is>
          <t>Jun</t>
        </is>
      </c>
      <c r="C2529" s="6" t="inlineStr">
        <is>
          <t>TN</t>
        </is>
      </c>
      <c r="D2529" s="7" t="inlineStr">
        <is>
          <t>TN09CH9371</t>
        </is>
      </c>
      <c r="E2529" s="7" t="inlineStr">
        <is>
          <t>HYUNDAI</t>
        </is>
      </c>
      <c r="F2529" s="7" t="inlineStr">
        <is>
          <t>Xcent</t>
        </is>
      </c>
      <c r="G2529" s="7" t="inlineStr">
        <is>
          <t>ABT LIMITED</t>
        </is>
      </c>
      <c r="H2529" s="7" t="inlineStr">
        <is>
          <t>Non-Captive</t>
        </is>
      </c>
      <c r="I2529" s="7" t="inlineStr">
        <is>
          <t>Nirmal Cars</t>
        </is>
      </c>
      <c r="J2529" s="8" t="n">
        <v>2017</v>
      </c>
      <c r="K2529" s="9" t="n">
        <v>133378</v>
      </c>
      <c r="L2529" s="10" t="n">
        <v>350000</v>
      </c>
      <c r="M2529" s="10" t="n">
        <v>6016.95</v>
      </c>
      <c r="N2529" s="11">
        <f>IF(M2529="","",ROUND(M2529*1.18,2))</f>
        <v/>
      </c>
      <c r="O2529" s="12">
        <f>IF(M2529="","",ROUND(N2529-M2529,2))</f>
        <v/>
      </c>
      <c r="P2529" s="13">
        <f>IF(AND(A2529&lt;&gt;"",B2529&lt;&gt;""), A2529&amp;" · "&amp;B2529, "")</f>
        <v/>
      </c>
    </row>
    <row r="2530">
      <c r="A2530" s="6" t="inlineStr">
        <is>
          <t>FY27</t>
        </is>
      </c>
      <c r="B2530" s="6" t="inlineStr">
        <is>
          <t>Jun</t>
        </is>
      </c>
      <c r="C2530" s="6" t="inlineStr">
        <is>
          <t>TN</t>
        </is>
      </c>
      <c r="D2530" s="7" t="inlineStr">
        <is>
          <t>TN09CL0889</t>
        </is>
      </c>
      <c r="E2530" s="7" t="inlineStr">
        <is>
          <t>VOLKSWAGEN</t>
        </is>
      </c>
      <c r="F2530" s="7" t="inlineStr">
        <is>
          <t>Polo</t>
        </is>
      </c>
      <c r="G2530" s="7" t="inlineStr">
        <is>
          <t>KHIVRAJ MOTOR</t>
        </is>
      </c>
      <c r="H2530" s="7" t="inlineStr">
        <is>
          <t>Non-Captive</t>
        </is>
      </c>
      <c r="I2530" s="7" t="inlineStr">
        <is>
          <t>Senthil Cars</t>
        </is>
      </c>
      <c r="J2530" s="8" t="n">
        <v>2017</v>
      </c>
      <c r="K2530" s="9" t="n">
        <v>201326</v>
      </c>
      <c r="L2530" s="10" t="n">
        <v>245000</v>
      </c>
      <c r="M2530" s="10" t="n">
        <v>7627.12</v>
      </c>
      <c r="N2530" s="11">
        <f>IF(M2530="","",ROUND(M2530*1.18,2))</f>
        <v/>
      </c>
      <c r="O2530" s="12">
        <f>IF(M2530="","",ROUND(N2530-M2530,2))</f>
        <v/>
      </c>
      <c r="P2530" s="13">
        <f>IF(AND(A2530&lt;&gt;"",B2530&lt;&gt;""), A2530&amp;" · "&amp;B2530, "")</f>
        <v/>
      </c>
    </row>
    <row r="2531">
      <c r="A2531" s="6" t="inlineStr">
        <is>
          <t>FY27</t>
        </is>
      </c>
      <c r="B2531" s="6" t="inlineStr">
        <is>
          <t>Jun</t>
        </is>
      </c>
      <c r="C2531" s="6" t="inlineStr">
        <is>
          <t>TN</t>
        </is>
      </c>
      <c r="D2531" s="7" t="inlineStr">
        <is>
          <t>TN09CL8895</t>
        </is>
      </c>
      <c r="E2531" s="7" t="inlineStr">
        <is>
          <t>HONDA</t>
        </is>
      </c>
      <c r="F2531" s="7" t="inlineStr">
        <is>
          <t>Jazz</t>
        </is>
      </c>
      <c r="G2531" s="7" t="inlineStr">
        <is>
          <t>EXCHANGE CHENNAI</t>
        </is>
      </c>
      <c r="H2531" s="7" t="inlineStr">
        <is>
          <t>Captive</t>
        </is>
      </c>
      <c r="I2531" s="7" t="inlineStr">
        <is>
          <t>&lt;NA&gt;</t>
        </is>
      </c>
      <c r="J2531" s="8" t="n">
        <v>2018</v>
      </c>
      <c r="K2531" s="9" t="n">
        <v>97411</v>
      </c>
      <c r="L2531" s="10" t="n">
        <v>400000</v>
      </c>
      <c r="M2531" s="10" t="n">
        <v>8474.58</v>
      </c>
      <c r="N2531" s="11">
        <f>IF(M2531="","",ROUND(M2531*1.18,2))</f>
        <v/>
      </c>
      <c r="O2531" s="12">
        <f>IF(M2531="","",ROUND(N2531-M2531,2))</f>
        <v/>
      </c>
      <c r="P2531" s="13">
        <f>IF(AND(A2531&lt;&gt;"",B2531&lt;&gt;""), A2531&amp;" · "&amp;B2531, "")</f>
        <v/>
      </c>
    </row>
    <row r="2532">
      <c r="A2532" s="6" t="inlineStr">
        <is>
          <t>FY27</t>
        </is>
      </c>
      <c r="B2532" s="6" t="inlineStr">
        <is>
          <t>Jun</t>
        </is>
      </c>
      <c r="C2532" s="6" t="inlineStr">
        <is>
          <t>TN</t>
        </is>
      </c>
      <c r="D2532" s="7" t="inlineStr">
        <is>
          <t>TN09CQ3595</t>
        </is>
      </c>
      <c r="E2532" s="7" t="inlineStr">
        <is>
          <t>HONDA</t>
        </is>
      </c>
      <c r="F2532" s="7" t="inlineStr">
        <is>
          <t>WR-V</t>
        </is>
      </c>
      <c r="G2532" s="7" t="inlineStr">
        <is>
          <t>EXCHANGE ROTN</t>
        </is>
      </c>
      <c r="H2532" s="7" t="inlineStr">
        <is>
          <t>Captive</t>
        </is>
      </c>
      <c r="I2532" s="7" t="inlineStr">
        <is>
          <t>&lt;NA&gt;</t>
        </is>
      </c>
      <c r="J2532" s="8" t="n">
        <v>2018</v>
      </c>
      <c r="K2532" s="9" t="n">
        <v>59547</v>
      </c>
      <c r="L2532" s="10" t="n">
        <v>440000</v>
      </c>
      <c r="M2532" s="10" t="n">
        <v>8474.58</v>
      </c>
      <c r="N2532" s="11">
        <f>IF(M2532="","",ROUND(M2532*1.18,2))</f>
        <v/>
      </c>
      <c r="O2532" s="12">
        <f>IF(M2532="","",ROUND(N2532-M2532,2))</f>
        <v/>
      </c>
      <c r="P2532" s="13">
        <f>IF(AND(A2532&lt;&gt;"",B2532&lt;&gt;""), A2532&amp;" · "&amp;B2532, "")</f>
        <v/>
      </c>
    </row>
    <row r="2533">
      <c r="A2533" s="6" t="inlineStr">
        <is>
          <t>FY27</t>
        </is>
      </c>
      <c r="B2533" s="6" t="inlineStr">
        <is>
          <t>Jun</t>
        </is>
      </c>
      <c r="C2533" s="6" t="inlineStr">
        <is>
          <t>TN</t>
        </is>
      </c>
      <c r="D2533" s="7" t="inlineStr">
        <is>
          <t>TN10AA9111</t>
        </is>
      </c>
      <c r="E2533" s="7" t="inlineStr">
        <is>
          <t>MARUTI SUZUKI</t>
        </is>
      </c>
      <c r="F2533" s="7" t="inlineStr">
        <is>
          <t>Swift</t>
        </is>
      </c>
      <c r="G2533" s="7" t="inlineStr">
        <is>
          <t>CRESCO CARS</t>
        </is>
      </c>
      <c r="H2533" s="7" t="inlineStr">
        <is>
          <t>Non-Captive</t>
        </is>
      </c>
      <c r="I2533" s="7" t="inlineStr">
        <is>
          <t>Nirmal Cars</t>
        </is>
      </c>
      <c r="J2533" s="8" t="n">
        <v>2010</v>
      </c>
      <c r="K2533" s="9" t="n">
        <v>74048</v>
      </c>
      <c r="L2533" s="10" t="n">
        <v>280000</v>
      </c>
      <c r="M2533" s="10" t="n">
        <v>4237.29</v>
      </c>
      <c r="N2533" s="11">
        <f>IF(M2533="","",ROUND(M2533*1.18,2))</f>
        <v/>
      </c>
      <c r="O2533" s="12">
        <f>IF(M2533="","",ROUND(N2533-M2533,2))</f>
        <v/>
      </c>
      <c r="P2533" s="13">
        <f>IF(AND(A2533&lt;&gt;"",B2533&lt;&gt;""), A2533&amp;" · "&amp;B2533, "")</f>
        <v/>
      </c>
    </row>
    <row r="2534">
      <c r="A2534" s="6" t="inlineStr">
        <is>
          <t>FY27</t>
        </is>
      </c>
      <c r="B2534" s="6" t="inlineStr">
        <is>
          <t>Jun</t>
        </is>
      </c>
      <c r="C2534" s="6" t="inlineStr">
        <is>
          <t>TN</t>
        </is>
      </c>
      <c r="D2534" s="7" t="inlineStr">
        <is>
          <t>TN10AF9599</t>
        </is>
      </c>
      <c r="E2534" s="7" t="inlineStr">
        <is>
          <t>TOYOTA</t>
        </is>
      </c>
      <c r="F2534" s="7" t="inlineStr">
        <is>
          <t>Etios</t>
        </is>
      </c>
      <c r="G2534" s="7" t="inlineStr">
        <is>
          <t>CASTLE TRADERS HONDA</t>
        </is>
      </c>
      <c r="H2534" s="7" t="inlineStr">
        <is>
          <t>Non-Captive</t>
        </is>
      </c>
      <c r="I2534" s="7" t="inlineStr">
        <is>
          <t>Pine Autos</t>
        </is>
      </c>
      <c r="J2534" s="8" t="n">
        <v>2011</v>
      </c>
      <c r="K2534" s="9" t="n">
        <v>86000</v>
      </c>
      <c r="L2534" s="10" t="n">
        <v>240000</v>
      </c>
      <c r="M2534" s="10" t="n">
        <v>8474.58</v>
      </c>
      <c r="N2534" s="11">
        <f>IF(M2534="","",ROUND(M2534*1.18,2))</f>
        <v/>
      </c>
      <c r="O2534" s="12">
        <f>IF(M2534="","",ROUND(N2534-M2534,2))</f>
        <v/>
      </c>
      <c r="P2534" s="13">
        <f>IF(AND(A2534&lt;&gt;"",B2534&lt;&gt;""), A2534&amp;" · "&amp;B2534, "")</f>
        <v/>
      </c>
    </row>
    <row r="2535">
      <c r="A2535" s="6" t="inlineStr">
        <is>
          <t>FY27</t>
        </is>
      </c>
      <c r="B2535" s="6" t="inlineStr">
        <is>
          <t>Jun</t>
        </is>
      </c>
      <c r="C2535" s="6" t="inlineStr">
        <is>
          <t>TN</t>
        </is>
      </c>
      <c r="D2535" s="7" t="inlineStr">
        <is>
          <t>TN10AJ2140</t>
        </is>
      </c>
      <c r="E2535" s="7" t="inlineStr">
        <is>
          <t>HYUNDAI</t>
        </is>
      </c>
      <c r="F2535" s="7" t="inlineStr">
        <is>
          <t>i10</t>
        </is>
      </c>
      <c r="G2535" s="7" t="inlineStr">
        <is>
          <t>KHIVRAJ MOTOR</t>
        </is>
      </c>
      <c r="H2535" s="7" t="inlineStr">
        <is>
          <t>Non-Captive</t>
        </is>
      </c>
      <c r="I2535" s="7" t="inlineStr">
        <is>
          <t>Nirmal Cars</t>
        </is>
      </c>
      <c r="J2535" s="8" t="n">
        <v>2012</v>
      </c>
      <c r="K2535" s="9" t="n">
        <v>107488</v>
      </c>
      <c r="L2535" s="10" t="n">
        <v>200000</v>
      </c>
      <c r="M2535" s="10" t="n">
        <v>4237.29</v>
      </c>
      <c r="N2535" s="11">
        <f>IF(M2535="","",ROUND(M2535*1.18,2))</f>
        <v/>
      </c>
      <c r="O2535" s="12">
        <f>IF(M2535="","",ROUND(N2535-M2535,2))</f>
        <v/>
      </c>
      <c r="P2535" s="13">
        <f>IF(AND(A2535&lt;&gt;"",B2535&lt;&gt;""), A2535&amp;" · "&amp;B2535, "")</f>
        <v/>
      </c>
    </row>
    <row r="2536">
      <c r="A2536" s="6" t="inlineStr">
        <is>
          <t>FY27</t>
        </is>
      </c>
      <c r="B2536" s="6" t="inlineStr">
        <is>
          <t>Jun</t>
        </is>
      </c>
      <c r="C2536" s="6" t="inlineStr">
        <is>
          <t>TN</t>
        </is>
      </c>
      <c r="D2536" s="7" t="inlineStr">
        <is>
          <t>TN10AK6224</t>
        </is>
      </c>
      <c r="E2536" s="7" t="inlineStr">
        <is>
          <t>MARUTI SUZUKI</t>
        </is>
      </c>
      <c r="F2536" s="7" t="inlineStr">
        <is>
          <t>Alto 800</t>
        </is>
      </c>
      <c r="G2536" s="7" t="inlineStr">
        <is>
          <t>CASTLE TRADERS HONDA</t>
        </is>
      </c>
      <c r="H2536" s="7" t="inlineStr">
        <is>
          <t>Non-Captive</t>
        </is>
      </c>
      <c r="I2536" s="7" t="inlineStr">
        <is>
          <t>Varadharajan</t>
        </is>
      </c>
      <c r="J2536" s="8" t="n">
        <v>2013</v>
      </c>
      <c r="K2536" s="9" t="n">
        <v>24387</v>
      </c>
      <c r="L2536" s="10" t="n">
        <v>160000</v>
      </c>
      <c r="M2536" s="10" t="n">
        <v>5932.2</v>
      </c>
      <c r="N2536" s="11">
        <f>IF(M2536="","",ROUND(M2536*1.18,2))</f>
        <v/>
      </c>
      <c r="O2536" s="12">
        <f>IF(M2536="","",ROUND(N2536-M2536,2))</f>
        <v/>
      </c>
      <c r="P2536" s="13">
        <f>IF(AND(A2536&lt;&gt;"",B2536&lt;&gt;""), A2536&amp;" · "&amp;B2536, "")</f>
        <v/>
      </c>
    </row>
    <row r="2537">
      <c r="A2537" s="6" t="inlineStr">
        <is>
          <t>FY27</t>
        </is>
      </c>
      <c r="B2537" s="6" t="inlineStr">
        <is>
          <t>Jun</t>
        </is>
      </c>
      <c r="C2537" s="6" t="inlineStr">
        <is>
          <t>TN</t>
        </is>
      </c>
      <c r="D2537" s="7" t="inlineStr">
        <is>
          <t>TN10AQ2914</t>
        </is>
      </c>
      <c r="E2537" s="7" t="inlineStr">
        <is>
          <t>HYUNDAI</t>
        </is>
      </c>
      <c r="F2537" s="7" t="inlineStr">
        <is>
          <t>Xcent</t>
        </is>
      </c>
      <c r="G2537" s="7" t="inlineStr">
        <is>
          <t>STEER AUTO TECHNOLOGIES PRIVATE LIMITED</t>
        </is>
      </c>
      <c r="H2537" s="7" t="inlineStr">
        <is>
          <t>Non-Captive</t>
        </is>
      </c>
      <c r="I2537" s="7" t="inlineStr">
        <is>
          <t>Lanson</t>
        </is>
      </c>
      <c r="J2537" s="8" t="n">
        <v>2014</v>
      </c>
      <c r="K2537" s="9" t="n">
        <v>106981</v>
      </c>
      <c r="L2537" s="10" t="n">
        <v>200000</v>
      </c>
      <c r="M2537" s="10" t="n">
        <v>4237.29</v>
      </c>
      <c r="N2537" s="11">
        <f>IF(M2537="","",ROUND(M2537*1.18,2))</f>
        <v/>
      </c>
      <c r="O2537" s="12">
        <f>IF(M2537="","",ROUND(N2537-M2537,2))</f>
        <v/>
      </c>
      <c r="P2537" s="13">
        <f>IF(AND(A2537&lt;&gt;"",B2537&lt;&gt;""), A2537&amp;" · "&amp;B2537, "")</f>
        <v/>
      </c>
    </row>
    <row r="2538">
      <c r="A2538" s="6" t="inlineStr">
        <is>
          <t>FY27</t>
        </is>
      </c>
      <c r="B2538" s="6" t="inlineStr">
        <is>
          <t>Jun</t>
        </is>
      </c>
      <c r="C2538" s="6" t="inlineStr">
        <is>
          <t>TN</t>
        </is>
      </c>
      <c r="D2538" s="7" t="inlineStr">
        <is>
          <t>TN10AS3468</t>
        </is>
      </c>
      <c r="E2538" s="7" t="inlineStr">
        <is>
          <t>HONDA</t>
        </is>
      </c>
      <c r="F2538" s="7" t="inlineStr">
        <is>
          <t>Amaze</t>
        </is>
      </c>
      <c r="G2538" s="7" t="inlineStr">
        <is>
          <t>CASTLE TRADERS HONDA</t>
        </is>
      </c>
      <c r="H2538" s="7" t="inlineStr">
        <is>
          <t>Non-Captive</t>
        </is>
      </c>
      <c r="I2538" s="7" t="inlineStr">
        <is>
          <t>Aasim Motors</t>
        </is>
      </c>
      <c r="J2538" s="8" t="n">
        <v>2015</v>
      </c>
      <c r="K2538" s="9" t="n">
        <v>54328</v>
      </c>
      <c r="L2538" s="10" t="n">
        <v>274000</v>
      </c>
      <c r="M2538" s="10" t="n">
        <v>6355.93</v>
      </c>
      <c r="N2538" s="11">
        <f>IF(M2538="","",ROUND(M2538*1.18,2))</f>
        <v/>
      </c>
      <c r="O2538" s="12">
        <f>IF(M2538="","",ROUND(N2538-M2538,2))</f>
        <v/>
      </c>
      <c r="P2538" s="13">
        <f>IF(AND(A2538&lt;&gt;"",B2538&lt;&gt;""), A2538&amp;" · "&amp;B2538, "")</f>
        <v/>
      </c>
    </row>
    <row r="2539">
      <c r="A2539" s="6" t="inlineStr">
        <is>
          <t>FY27</t>
        </is>
      </c>
      <c r="B2539" s="6" t="inlineStr">
        <is>
          <t>Jun</t>
        </is>
      </c>
      <c r="C2539" s="6" t="inlineStr">
        <is>
          <t>TN</t>
        </is>
      </c>
      <c r="D2539" s="7" t="inlineStr">
        <is>
          <t>TN10AS5986</t>
        </is>
      </c>
      <c r="E2539" s="7" t="inlineStr">
        <is>
          <t>MARUTI SUZUKI</t>
        </is>
      </c>
      <c r="F2539" s="7" t="inlineStr">
        <is>
          <t>Alto</t>
        </is>
      </c>
      <c r="G2539" s="7" t="inlineStr">
        <is>
          <t>KHIVRAJ MOTOR</t>
        </is>
      </c>
      <c r="H2539" s="7" t="inlineStr">
        <is>
          <t>Non-Captive</t>
        </is>
      </c>
      <c r="I2539" s="7" t="inlineStr">
        <is>
          <t>Pine Autos</t>
        </is>
      </c>
      <c r="J2539" s="8" t="n">
        <v>2015</v>
      </c>
      <c r="K2539" s="9" t="n">
        <v>23145</v>
      </c>
      <c r="L2539" s="10" t="n">
        <v>350000</v>
      </c>
      <c r="M2539" s="10" t="n">
        <v>6355.93</v>
      </c>
      <c r="N2539" s="11">
        <f>IF(M2539="","",ROUND(M2539*1.18,2))</f>
        <v/>
      </c>
      <c r="O2539" s="12">
        <f>IF(M2539="","",ROUND(N2539-M2539,2))</f>
        <v/>
      </c>
      <c r="P2539" s="13">
        <f>IF(AND(A2539&lt;&gt;"",B2539&lt;&gt;""), A2539&amp;" · "&amp;B2539, "")</f>
        <v/>
      </c>
    </row>
    <row r="2540">
      <c r="A2540" s="6" t="inlineStr">
        <is>
          <t>FY27</t>
        </is>
      </c>
      <c r="B2540" s="6" t="inlineStr">
        <is>
          <t>Jun</t>
        </is>
      </c>
      <c r="C2540" s="6" t="inlineStr">
        <is>
          <t>TN</t>
        </is>
      </c>
      <c r="D2540" s="7" t="inlineStr">
        <is>
          <t>TN10AT0652</t>
        </is>
      </c>
      <c r="E2540" s="7" t="inlineStr">
        <is>
          <t>HYUNDAI</t>
        </is>
      </c>
      <c r="F2540" s="7" t="inlineStr">
        <is>
          <t>i20</t>
        </is>
      </c>
      <c r="G2540" s="7" t="inlineStr">
        <is>
          <t>STEER AUTO TECHNOLOGIES PRIVATE LIMITED</t>
        </is>
      </c>
      <c r="H2540" s="7" t="inlineStr">
        <is>
          <t>Non-Captive</t>
        </is>
      </c>
      <c r="I2540" s="7" t="inlineStr">
        <is>
          <t>Lanson</t>
        </is>
      </c>
      <c r="J2540" s="8" t="n">
        <v>2015</v>
      </c>
      <c r="K2540" s="9" t="n">
        <v>111835</v>
      </c>
      <c r="L2540" s="10" t="n">
        <v>300000</v>
      </c>
      <c r="M2540" s="10" t="n">
        <v>4237.29</v>
      </c>
      <c r="N2540" s="11">
        <f>IF(M2540="","",ROUND(M2540*1.18,2))</f>
        <v/>
      </c>
      <c r="O2540" s="12">
        <f>IF(M2540="","",ROUND(N2540-M2540,2))</f>
        <v/>
      </c>
      <c r="P2540" s="13">
        <f>IF(AND(A2540&lt;&gt;"",B2540&lt;&gt;""), A2540&amp;" · "&amp;B2540, "")</f>
        <v/>
      </c>
    </row>
    <row r="2541">
      <c r="A2541" s="6" t="inlineStr">
        <is>
          <t>FY27</t>
        </is>
      </c>
      <c r="B2541" s="6" t="inlineStr">
        <is>
          <t>Jun</t>
        </is>
      </c>
      <c r="C2541" s="6" t="inlineStr">
        <is>
          <t>TN</t>
        </is>
      </c>
      <c r="D2541" s="7" t="inlineStr">
        <is>
          <t>TN10AV4573</t>
        </is>
      </c>
      <c r="E2541" s="7" t="inlineStr">
        <is>
          <t>FIAT</t>
        </is>
      </c>
      <c r="F2541" s="7" t="inlineStr">
        <is>
          <t>Grand Punto</t>
        </is>
      </c>
      <c r="G2541" s="7" t="inlineStr">
        <is>
          <t>KHIVRAJ MOTOR</t>
        </is>
      </c>
      <c r="H2541" s="7" t="inlineStr">
        <is>
          <t>Non-Captive</t>
        </is>
      </c>
      <c r="I2541" s="7" t="inlineStr">
        <is>
          <t>Nirmal Cars</t>
        </is>
      </c>
      <c r="J2541" s="8" t="n">
        <v>2016</v>
      </c>
      <c r="K2541" s="9" t="n">
        <v>255353</v>
      </c>
      <c r="L2541" s="10" t="n">
        <v>200000</v>
      </c>
      <c r="M2541" s="10" t="n">
        <v>4237.29</v>
      </c>
      <c r="N2541" s="11">
        <f>IF(M2541="","",ROUND(M2541*1.18,2))</f>
        <v/>
      </c>
      <c r="O2541" s="12">
        <f>IF(M2541="","",ROUND(N2541-M2541,2))</f>
        <v/>
      </c>
      <c r="P2541" s="13">
        <f>IF(AND(A2541&lt;&gt;"",B2541&lt;&gt;""), A2541&amp;" · "&amp;B2541, "")</f>
        <v/>
      </c>
    </row>
    <row r="2542">
      <c r="A2542" s="6" t="inlineStr">
        <is>
          <t>FY27</t>
        </is>
      </c>
      <c r="B2542" s="6" t="inlineStr">
        <is>
          <t>Jun</t>
        </is>
      </c>
      <c r="C2542" s="6" t="inlineStr">
        <is>
          <t>TN</t>
        </is>
      </c>
      <c r="D2542" s="7" t="inlineStr">
        <is>
          <t>TN10AV4592</t>
        </is>
      </c>
      <c r="E2542" s="7" t="inlineStr">
        <is>
          <t>MARUTI SUZUKI</t>
        </is>
      </c>
      <c r="F2542" s="7" t="inlineStr">
        <is>
          <t>Alto 800</t>
        </is>
      </c>
      <c r="G2542" s="7" t="inlineStr">
        <is>
          <t>POPULAR VEHICLES</t>
        </is>
      </c>
      <c r="H2542" s="7" t="inlineStr">
        <is>
          <t>Non-Captive</t>
        </is>
      </c>
      <c r="I2542" s="7" t="inlineStr">
        <is>
          <t>car Hub</t>
        </is>
      </c>
      <c r="J2542" s="8" t="n">
        <v>2016</v>
      </c>
      <c r="K2542" s="9" t="n">
        <v>50523</v>
      </c>
      <c r="L2542" s="10" t="n">
        <v>300000</v>
      </c>
      <c r="M2542" s="10" t="n">
        <v>4237.29</v>
      </c>
      <c r="N2542" s="11">
        <f>IF(M2542="","",ROUND(M2542*1.18,2))</f>
        <v/>
      </c>
      <c r="O2542" s="12">
        <f>IF(M2542="","",ROUND(N2542-M2542,2))</f>
        <v/>
      </c>
      <c r="P2542" s="13">
        <f>IF(AND(A2542&lt;&gt;"",B2542&lt;&gt;""), A2542&amp;" · "&amp;B2542, "")</f>
        <v/>
      </c>
    </row>
    <row r="2543">
      <c r="A2543" s="6" t="inlineStr">
        <is>
          <t>FY27</t>
        </is>
      </c>
      <c r="B2543" s="6" t="inlineStr">
        <is>
          <t>Jun</t>
        </is>
      </c>
      <c r="C2543" s="6" t="inlineStr">
        <is>
          <t>TN</t>
        </is>
      </c>
      <c r="D2543" s="7" t="inlineStr">
        <is>
          <t>TN10BB1063</t>
        </is>
      </c>
      <c r="E2543" s="7" t="inlineStr">
        <is>
          <t>RENAULT</t>
        </is>
      </c>
      <c r="F2543" s="7" t="inlineStr">
        <is>
          <t>Kwid</t>
        </is>
      </c>
      <c r="G2543" s="7" t="inlineStr">
        <is>
          <t>SVM CARS PRIVATE LIMITED</t>
        </is>
      </c>
      <c r="H2543" s="7" t="inlineStr">
        <is>
          <t>Non-Captive</t>
        </is>
      </c>
      <c r="I2543" s="7" t="inlineStr">
        <is>
          <t>TSM</t>
        </is>
      </c>
      <c r="J2543" s="8" t="n">
        <v>2017</v>
      </c>
      <c r="K2543" s="9" t="n">
        <v>55369</v>
      </c>
      <c r="L2543" s="10" t="n">
        <v>270000</v>
      </c>
      <c r="M2543" s="10" t="n">
        <v>4237.29</v>
      </c>
      <c r="N2543" s="11">
        <f>IF(M2543="","",ROUND(M2543*1.18,2))</f>
        <v/>
      </c>
      <c r="O2543" s="12">
        <f>IF(M2543="","",ROUND(N2543-M2543,2))</f>
        <v/>
      </c>
      <c r="P2543" s="13">
        <f>IF(AND(A2543&lt;&gt;"",B2543&lt;&gt;""), A2543&amp;" · "&amp;B2543, "")</f>
        <v/>
      </c>
    </row>
    <row r="2544">
      <c r="A2544" s="6" t="inlineStr">
        <is>
          <t>FY27</t>
        </is>
      </c>
      <c r="B2544" s="6" t="inlineStr">
        <is>
          <t>Jun</t>
        </is>
      </c>
      <c r="C2544" s="6" t="inlineStr">
        <is>
          <t>TN</t>
        </is>
      </c>
      <c r="D2544" s="7" t="inlineStr">
        <is>
          <t>TN10BC9986</t>
        </is>
      </c>
      <c r="E2544" s="7" t="inlineStr">
        <is>
          <t>MARUTI SUZUKI</t>
        </is>
      </c>
      <c r="F2544" s="7" t="inlineStr">
        <is>
          <t>Swift</t>
        </is>
      </c>
      <c r="G2544" s="7" t="inlineStr">
        <is>
          <t>KHIVRAJ MOTOR</t>
        </is>
      </c>
      <c r="H2544" s="7" t="inlineStr">
        <is>
          <t>Non-Captive</t>
        </is>
      </c>
      <c r="I2544" s="7" t="inlineStr">
        <is>
          <t>Lanson</t>
        </is>
      </c>
      <c r="J2544" s="8" t="n">
        <v>2018</v>
      </c>
      <c r="K2544" s="9" t="n">
        <v>66661</v>
      </c>
      <c r="L2544" s="10" t="n">
        <v>435000</v>
      </c>
      <c r="M2544" s="10" t="n">
        <v>7627.12</v>
      </c>
      <c r="N2544" s="11">
        <f>IF(M2544="","",ROUND(M2544*1.18,2))</f>
        <v/>
      </c>
      <c r="O2544" s="12">
        <f>IF(M2544="","",ROUND(N2544-M2544,2))</f>
        <v/>
      </c>
      <c r="P2544" s="13">
        <f>IF(AND(A2544&lt;&gt;"",B2544&lt;&gt;""), A2544&amp;" · "&amp;B2544, "")</f>
        <v/>
      </c>
    </row>
    <row r="2545">
      <c r="A2545" s="6" t="inlineStr">
        <is>
          <t>FY27</t>
        </is>
      </c>
      <c r="B2545" s="6" t="inlineStr">
        <is>
          <t>Jun</t>
        </is>
      </c>
      <c r="C2545" s="6" t="inlineStr">
        <is>
          <t>TN</t>
        </is>
      </c>
      <c r="D2545" s="7" t="inlineStr">
        <is>
          <t>TN10BF8277</t>
        </is>
      </c>
      <c r="E2545" s="7" t="inlineStr">
        <is>
          <t>MARUTI SUZUKI</t>
        </is>
      </c>
      <c r="F2545" s="7" t="inlineStr">
        <is>
          <t>Wagon R</t>
        </is>
      </c>
      <c r="G2545" s="7" t="inlineStr">
        <is>
          <t>KHIVRAJ MOTOR</t>
        </is>
      </c>
      <c r="H2545" s="7" t="inlineStr">
        <is>
          <t>Non-Captive</t>
        </is>
      </c>
      <c r="I2545" s="7" t="inlineStr">
        <is>
          <t>TSM</t>
        </is>
      </c>
      <c r="J2545" s="8" t="n">
        <v>2019</v>
      </c>
      <c r="K2545" s="9" t="n">
        <v>46208</v>
      </c>
      <c r="L2545" s="10" t="n">
        <v>370000</v>
      </c>
      <c r="M2545" s="10" t="n">
        <v>6779.66</v>
      </c>
      <c r="N2545" s="11">
        <f>IF(M2545="","",ROUND(M2545*1.18,2))</f>
        <v/>
      </c>
      <c r="O2545" s="12">
        <f>IF(M2545="","",ROUND(N2545-M2545,2))</f>
        <v/>
      </c>
      <c r="P2545" s="13">
        <f>IF(AND(A2545&lt;&gt;"",B2545&lt;&gt;""), A2545&amp;" · "&amp;B2545, "")</f>
        <v/>
      </c>
    </row>
    <row r="2546">
      <c r="A2546" s="6" t="inlineStr">
        <is>
          <t>FY27</t>
        </is>
      </c>
      <c r="B2546" s="6" t="inlineStr">
        <is>
          <t>Jun</t>
        </is>
      </c>
      <c r="C2546" s="6" t="inlineStr">
        <is>
          <t>TN</t>
        </is>
      </c>
      <c r="D2546" s="7" t="inlineStr">
        <is>
          <t>TN10BK9570</t>
        </is>
      </c>
      <c r="E2546" s="7" t="inlineStr">
        <is>
          <t>MARUTI SUZUKI</t>
        </is>
      </c>
      <c r="F2546" s="7" t="inlineStr">
        <is>
          <t>Ignis</t>
        </is>
      </c>
      <c r="G2546" s="7" t="inlineStr">
        <is>
          <t>CAR HUB</t>
        </is>
      </c>
      <c r="H2546" s="7" t="inlineStr">
        <is>
          <t>Non-Captive</t>
        </is>
      </c>
      <c r="I2546" s="7" t="inlineStr">
        <is>
          <t>Spinny</t>
        </is>
      </c>
      <c r="J2546" s="8" t="n">
        <v>2020</v>
      </c>
      <c r="K2546" s="9" t="n">
        <v>65041</v>
      </c>
      <c r="L2546" s="10" t="n">
        <v>440000</v>
      </c>
      <c r="M2546" s="10" t="n">
        <v>5084.75</v>
      </c>
      <c r="N2546" s="11">
        <f>IF(M2546="","",ROUND(M2546*1.18,2))</f>
        <v/>
      </c>
      <c r="O2546" s="12">
        <f>IF(M2546="","",ROUND(N2546-M2546,2))</f>
        <v/>
      </c>
      <c r="P2546" s="13">
        <f>IF(AND(A2546&lt;&gt;"",B2546&lt;&gt;""), A2546&amp;" · "&amp;B2546, "")</f>
        <v/>
      </c>
    </row>
    <row r="2547">
      <c r="A2547" s="6" t="inlineStr">
        <is>
          <t>FY27</t>
        </is>
      </c>
      <c r="B2547" s="6" t="inlineStr">
        <is>
          <t>Jun</t>
        </is>
      </c>
      <c r="C2547" s="6" t="inlineStr">
        <is>
          <t>TN</t>
        </is>
      </c>
      <c r="D2547" s="7" t="inlineStr">
        <is>
          <t>TN10Q2847</t>
        </is>
      </c>
      <c r="E2547" s="7" t="inlineStr">
        <is>
          <t>MARUTI SUZUKI</t>
        </is>
      </c>
      <c r="F2547" s="7" t="inlineStr">
        <is>
          <t>Alto</t>
        </is>
      </c>
      <c r="G2547" s="7" t="inlineStr">
        <is>
          <t>EXCHANGE ROTN</t>
        </is>
      </c>
      <c r="H2547" s="7" t="inlineStr">
        <is>
          <t>Captive</t>
        </is>
      </c>
      <c r="I2547" s="7" t="inlineStr">
        <is>
          <t>Rajaganapathy</t>
        </is>
      </c>
      <c r="J2547" s="8" t="n">
        <v>2006</v>
      </c>
      <c r="K2547" s="9" t="n">
        <v>110000</v>
      </c>
      <c r="L2547" s="10" t="n">
        <v>77000</v>
      </c>
      <c r="M2547" s="10" t="n">
        <v>4237.29</v>
      </c>
      <c r="N2547" s="11">
        <f>IF(M2547="","",ROUND(M2547*1.18,2))</f>
        <v/>
      </c>
      <c r="O2547" s="12">
        <f>IF(M2547="","",ROUND(N2547-M2547,2))</f>
        <v/>
      </c>
      <c r="P2547" s="13">
        <f>IF(AND(A2547&lt;&gt;"",B2547&lt;&gt;""), A2547&amp;" · "&amp;B2547, "")</f>
        <v/>
      </c>
    </row>
    <row r="2548">
      <c r="A2548" s="6" t="inlineStr">
        <is>
          <t>FY27</t>
        </is>
      </c>
      <c r="B2548" s="6" t="inlineStr">
        <is>
          <t>Jun</t>
        </is>
      </c>
      <c r="C2548" s="6" t="inlineStr">
        <is>
          <t>TN</t>
        </is>
      </c>
      <c r="D2548" s="7" t="inlineStr">
        <is>
          <t>TN10X0515</t>
        </is>
      </c>
      <c r="E2548" s="7" t="inlineStr">
        <is>
          <t>MARUTI SUZUKI</t>
        </is>
      </c>
      <c r="F2548" s="7" t="inlineStr">
        <is>
          <t>Alto 800</t>
        </is>
      </c>
      <c r="G2548" s="7" t="inlineStr">
        <is>
          <t>EXCHANGE ROTN</t>
        </is>
      </c>
      <c r="H2548" s="7" t="inlineStr">
        <is>
          <t>Captive</t>
        </is>
      </c>
      <c r="I2548" s="7" t="inlineStr">
        <is>
          <t>Sai Cars</t>
        </is>
      </c>
      <c r="J2548" s="8" t="n">
        <v>2008</v>
      </c>
      <c r="K2548" s="9" t="n">
        <v>61707</v>
      </c>
      <c r="L2548" s="10" t="n">
        <v>55000</v>
      </c>
      <c r="M2548" s="10" t="n">
        <v>4237.29</v>
      </c>
      <c r="N2548" s="11">
        <f>IF(M2548="","",ROUND(M2548*1.18,2))</f>
        <v/>
      </c>
      <c r="O2548" s="12">
        <f>IF(M2548="","",ROUND(N2548-M2548,2))</f>
        <v/>
      </c>
      <c r="P2548" s="13">
        <f>IF(AND(A2548&lt;&gt;"",B2548&lt;&gt;""), A2548&amp;" · "&amp;B2548, "")</f>
        <v/>
      </c>
    </row>
    <row r="2549">
      <c r="A2549" s="6" t="inlineStr">
        <is>
          <t>FY27</t>
        </is>
      </c>
      <c r="B2549" s="6" t="inlineStr">
        <is>
          <t>Jun</t>
        </is>
      </c>
      <c r="C2549" s="6" t="inlineStr">
        <is>
          <t>TN</t>
        </is>
      </c>
      <c r="D2549" s="7" t="inlineStr">
        <is>
          <t>TN11AE9733</t>
        </is>
      </c>
      <c r="E2549" s="7" t="inlineStr">
        <is>
          <t>MAHINDRA</t>
        </is>
      </c>
      <c r="F2549" s="7" t="inlineStr">
        <is>
          <t>Xylo</t>
        </is>
      </c>
      <c r="G2549" s="7" t="inlineStr">
        <is>
          <t>ABT LIMITED</t>
        </is>
      </c>
      <c r="H2549" s="7" t="inlineStr">
        <is>
          <t>Non-Captive</t>
        </is>
      </c>
      <c r="I2549" s="7" t="inlineStr">
        <is>
          <t>Nirmal Cars</t>
        </is>
      </c>
      <c r="J2549" s="8" t="n">
        <v>2018</v>
      </c>
      <c r="K2549" s="9" t="n">
        <v>99999</v>
      </c>
      <c r="L2549" s="10" t="n">
        <v>200000</v>
      </c>
      <c r="M2549" s="10" t="n">
        <v>4237.29</v>
      </c>
      <c r="N2549" s="11">
        <f>IF(M2549="","",ROUND(M2549*1.18,2))</f>
        <v/>
      </c>
      <c r="O2549" s="12">
        <f>IF(M2549="","",ROUND(N2549-M2549,2))</f>
        <v/>
      </c>
      <c r="P2549" s="13">
        <f>IF(AND(A2549&lt;&gt;"",B2549&lt;&gt;""), A2549&amp;" · "&amp;B2549, "")</f>
        <v/>
      </c>
    </row>
    <row r="2550">
      <c r="A2550" s="6" t="inlineStr">
        <is>
          <t>FY27</t>
        </is>
      </c>
      <c r="B2550" s="6" t="inlineStr">
        <is>
          <t>Jun</t>
        </is>
      </c>
      <c r="C2550" s="6" t="inlineStr">
        <is>
          <t>TN</t>
        </is>
      </c>
      <c r="D2550" s="7" t="inlineStr">
        <is>
          <t>TN11AH7128</t>
        </is>
      </c>
      <c r="E2550" s="7" t="inlineStr">
        <is>
          <t>MARUTI SUZUKI</t>
        </is>
      </c>
      <c r="F2550" s="7" t="inlineStr">
        <is>
          <t>Swift</t>
        </is>
      </c>
      <c r="G2550" s="7" t="inlineStr">
        <is>
          <t>ABT LIMITED</t>
        </is>
      </c>
      <c r="H2550" s="7" t="inlineStr">
        <is>
          <t>Non-Captive</t>
        </is>
      </c>
      <c r="I2550" s="7" t="inlineStr">
        <is>
          <t>Ramalingam Cars</t>
        </is>
      </c>
      <c r="J2550" s="8" t="n">
        <v>2018</v>
      </c>
      <c r="K2550" s="9" t="n">
        <v>99999</v>
      </c>
      <c r="L2550" s="10" t="n">
        <v>300000</v>
      </c>
      <c r="M2550" s="10" t="n">
        <v>5084.75</v>
      </c>
      <c r="N2550" s="11">
        <f>IF(M2550="","",ROUND(M2550*1.18,2))</f>
        <v/>
      </c>
      <c r="O2550" s="12">
        <f>IF(M2550="","",ROUND(N2550-M2550,2))</f>
        <v/>
      </c>
      <c r="P2550" s="13">
        <f>IF(AND(A2550&lt;&gt;"",B2550&lt;&gt;""), A2550&amp;" · "&amp;B2550, "")</f>
        <v/>
      </c>
    </row>
    <row r="2551">
      <c r="A2551" s="6" t="inlineStr">
        <is>
          <t>FY27</t>
        </is>
      </c>
      <c r="B2551" s="6" t="inlineStr">
        <is>
          <t>Jun</t>
        </is>
      </c>
      <c r="C2551" s="6" t="inlineStr">
        <is>
          <t>TN</t>
        </is>
      </c>
      <c r="D2551" s="7" t="inlineStr">
        <is>
          <t>TN11E8778</t>
        </is>
      </c>
      <c r="E2551" s="7" t="inlineStr">
        <is>
          <t>MAHINDRA</t>
        </is>
      </c>
      <c r="F2551" s="7" t="inlineStr">
        <is>
          <t>XUV500</t>
        </is>
      </c>
      <c r="G2551" s="7" t="inlineStr">
        <is>
          <t>KALYANI MOTORS MARUTI</t>
        </is>
      </c>
      <c r="H2551" s="7" t="inlineStr">
        <is>
          <t>Non-Captive</t>
        </is>
      </c>
      <c r="I2551" s="7" t="inlineStr">
        <is>
          <t>Pine Autos</t>
        </is>
      </c>
      <c r="J2551" s="8" t="n">
        <v>2013</v>
      </c>
      <c r="K2551" s="9" t="n">
        <v>119851</v>
      </c>
      <c r="L2551" s="10" t="n">
        <v>225000</v>
      </c>
      <c r="M2551" s="10" t="n">
        <v>4237.29</v>
      </c>
      <c r="N2551" s="11">
        <f>IF(M2551="","",ROUND(M2551*1.18,2))</f>
        <v/>
      </c>
      <c r="O2551" s="12">
        <f>IF(M2551="","",ROUND(N2551-M2551,2))</f>
        <v/>
      </c>
      <c r="P2551" s="13">
        <f>IF(AND(A2551&lt;&gt;"",B2551&lt;&gt;""), A2551&amp;" · "&amp;B2551, "")</f>
        <v/>
      </c>
    </row>
    <row r="2552">
      <c r="A2552" s="6" t="inlineStr">
        <is>
          <t>FY27</t>
        </is>
      </c>
      <c r="B2552" s="6" t="inlineStr">
        <is>
          <t>Jun</t>
        </is>
      </c>
      <c r="C2552" s="6" t="inlineStr">
        <is>
          <t>TN</t>
        </is>
      </c>
      <c r="D2552" s="7" t="inlineStr">
        <is>
          <t>TN11J5544</t>
        </is>
      </c>
      <c r="E2552" s="7" t="inlineStr">
        <is>
          <t>MARUTI SUZUKI</t>
        </is>
      </c>
      <c r="F2552" s="7" t="inlineStr">
        <is>
          <t>Alto K10</t>
        </is>
      </c>
      <c r="G2552" s="7" t="inlineStr">
        <is>
          <t>KHIVRAJ MOTOR</t>
        </is>
      </c>
      <c r="H2552" s="7" t="inlineStr">
        <is>
          <t>Non-Captive</t>
        </is>
      </c>
      <c r="I2552" s="7" t="inlineStr">
        <is>
          <t>S2 Cars</t>
        </is>
      </c>
      <c r="J2552" s="8" t="n">
        <v>2014</v>
      </c>
      <c r="K2552" s="9" t="n">
        <v>84422</v>
      </c>
      <c r="L2552" s="10" t="n">
        <v>180000</v>
      </c>
      <c r="M2552" s="10" t="n">
        <v>5084.75</v>
      </c>
      <c r="N2552" s="11">
        <f>IF(M2552="","",ROUND(M2552*1.18,2))</f>
        <v/>
      </c>
      <c r="O2552" s="12">
        <f>IF(M2552="","",ROUND(N2552-M2552,2))</f>
        <v/>
      </c>
      <c r="P2552" s="13">
        <f>IF(AND(A2552&lt;&gt;"",B2552&lt;&gt;""), A2552&amp;" · "&amp;B2552, "")</f>
        <v/>
      </c>
    </row>
    <row r="2553">
      <c r="A2553" s="6" t="inlineStr">
        <is>
          <t>FY27</t>
        </is>
      </c>
      <c r="B2553" s="6" t="inlineStr">
        <is>
          <t>Jun</t>
        </is>
      </c>
      <c r="C2553" s="6" t="inlineStr">
        <is>
          <t>TN</t>
        </is>
      </c>
      <c r="D2553" s="7" t="inlineStr">
        <is>
          <t>TN11W2856</t>
        </is>
      </c>
      <c r="E2553" s="7" t="inlineStr">
        <is>
          <t>RENAULT</t>
        </is>
      </c>
      <c r="F2553" s="7" t="inlineStr">
        <is>
          <t>Duster</t>
        </is>
      </c>
      <c r="G2553" s="7" t="inlineStr">
        <is>
          <t>EXCHANGE ROTN</t>
        </is>
      </c>
      <c r="H2553" s="7" t="inlineStr">
        <is>
          <t>Captive</t>
        </is>
      </c>
      <c r="I2553" s="7" t="inlineStr">
        <is>
          <t>&lt;NA&gt;</t>
        </is>
      </c>
      <c r="J2553" s="8" t="n">
        <v>2013</v>
      </c>
      <c r="K2553" s="9" t="n">
        <v>103347</v>
      </c>
      <c r="L2553" s="10" t="n">
        <v>250000</v>
      </c>
      <c r="M2553" s="10" t="n">
        <v>8474.58</v>
      </c>
      <c r="N2553" s="11">
        <f>IF(M2553="","",ROUND(M2553*1.18,2))</f>
        <v/>
      </c>
      <c r="O2553" s="12">
        <f>IF(M2553="","",ROUND(N2553-M2553,2))</f>
        <v/>
      </c>
      <c r="P2553" s="13">
        <f>IF(AND(A2553&lt;&gt;"",B2553&lt;&gt;""), A2553&amp;" · "&amp;B2553, "")</f>
        <v/>
      </c>
    </row>
    <row r="2554">
      <c r="A2554" s="6" t="inlineStr">
        <is>
          <t>FY27</t>
        </is>
      </c>
      <c r="B2554" s="6" t="inlineStr">
        <is>
          <t>Jun</t>
        </is>
      </c>
      <c r="C2554" s="6" t="inlineStr">
        <is>
          <t>TN</t>
        </is>
      </c>
      <c r="D2554" s="7" t="inlineStr">
        <is>
          <t>TN11X9689</t>
        </is>
      </c>
      <c r="E2554" s="7" t="inlineStr">
        <is>
          <t>NISSAN</t>
        </is>
      </c>
      <c r="F2554" s="7" t="inlineStr">
        <is>
          <t>Terrano</t>
        </is>
      </c>
      <c r="G2554" s="7" t="inlineStr">
        <is>
          <t>STEER AUTO TECHNOLOGIES PRIVATE LIMITED</t>
        </is>
      </c>
      <c r="H2554" s="7" t="inlineStr">
        <is>
          <t>Non-Captive</t>
        </is>
      </c>
      <c r="I2554" s="7" t="inlineStr">
        <is>
          <t>Lanson</t>
        </is>
      </c>
      <c r="J2554" s="8" t="n">
        <v>2013</v>
      </c>
      <c r="K2554" s="9" t="n">
        <v>128350</v>
      </c>
      <c r="L2554" s="10" t="n">
        <v>300000</v>
      </c>
      <c r="M2554" s="10" t="n">
        <v>4237.29</v>
      </c>
      <c r="N2554" s="11">
        <f>IF(M2554="","",ROUND(M2554*1.18,2))</f>
        <v/>
      </c>
      <c r="O2554" s="12">
        <f>IF(M2554="","",ROUND(N2554-M2554,2))</f>
        <v/>
      </c>
      <c r="P2554" s="13">
        <f>IF(AND(A2554&lt;&gt;"",B2554&lt;&gt;""), A2554&amp;" · "&amp;B2554, "")</f>
        <v/>
      </c>
    </row>
    <row r="2555">
      <c r="A2555" s="6" t="inlineStr">
        <is>
          <t>FY27</t>
        </is>
      </c>
      <c r="B2555" s="6" t="inlineStr">
        <is>
          <t>Jun</t>
        </is>
      </c>
      <c r="C2555" s="6" t="inlineStr">
        <is>
          <t>TN</t>
        </is>
      </c>
      <c r="D2555" s="7" t="inlineStr">
        <is>
          <t>TN11Y4790</t>
        </is>
      </c>
      <c r="E2555" s="7" t="inlineStr">
        <is>
          <t>VOLKSWAGEN</t>
        </is>
      </c>
      <c r="F2555" s="7" t="inlineStr">
        <is>
          <t>Vento</t>
        </is>
      </c>
      <c r="G2555" s="7" t="inlineStr">
        <is>
          <t>KHIVRAJ MOTOR</t>
        </is>
      </c>
      <c r="H2555" s="7" t="inlineStr">
        <is>
          <t>Non-Captive</t>
        </is>
      </c>
      <c r="I2555" s="7" t="inlineStr">
        <is>
          <t>Nirmal Cars</t>
        </is>
      </c>
      <c r="J2555" s="8" t="n">
        <v>2013</v>
      </c>
      <c r="K2555" s="9" t="n">
        <v>139595</v>
      </c>
      <c r="L2555" s="10" t="n">
        <v>240000</v>
      </c>
      <c r="M2555" s="10" t="n">
        <v>4237.29</v>
      </c>
      <c r="N2555" s="11">
        <f>IF(M2555="","",ROUND(M2555*1.18,2))</f>
        <v/>
      </c>
      <c r="O2555" s="12">
        <f>IF(M2555="","",ROUND(N2555-M2555,2))</f>
        <v/>
      </c>
      <c r="P2555" s="13">
        <f>IF(AND(A2555&lt;&gt;"",B2555&lt;&gt;""), A2555&amp;" · "&amp;B2555, "")</f>
        <v/>
      </c>
    </row>
    <row r="2556">
      <c r="A2556" s="6" t="inlineStr">
        <is>
          <t>FY27</t>
        </is>
      </c>
      <c r="B2556" s="6" t="inlineStr">
        <is>
          <t>Jun</t>
        </is>
      </c>
      <c r="C2556" s="6" t="inlineStr">
        <is>
          <t>TN</t>
        </is>
      </c>
      <c r="D2556" s="7" t="inlineStr">
        <is>
          <t>TN128184</t>
        </is>
      </c>
      <c r="E2556" s="7" t="inlineStr">
        <is>
          <t>TATA</t>
        </is>
      </c>
      <c r="F2556" s="7" t="inlineStr">
        <is>
          <t>Safari</t>
        </is>
      </c>
      <c r="G2556" s="7" t="inlineStr">
        <is>
          <t>KHIVRAJ MOTOR</t>
        </is>
      </c>
      <c r="H2556" s="7" t="inlineStr">
        <is>
          <t>Non-Captive</t>
        </is>
      </c>
      <c r="I2556" s="7" t="inlineStr">
        <is>
          <t>Trust On wheels</t>
        </is>
      </c>
      <c r="J2556" s="8" t="n">
        <v>2012</v>
      </c>
      <c r="K2556" s="9" t="n">
        <v>142964</v>
      </c>
      <c r="L2556" s="10" t="n">
        <v>185000</v>
      </c>
      <c r="M2556" s="10" t="n">
        <v>5084.75</v>
      </c>
      <c r="N2556" s="11">
        <f>IF(M2556="","",ROUND(M2556*1.18,2))</f>
        <v/>
      </c>
      <c r="O2556" s="12">
        <f>IF(M2556="","",ROUND(N2556-M2556,2))</f>
        <v/>
      </c>
      <c r="P2556" s="13">
        <f>IF(AND(A2556&lt;&gt;"",B2556&lt;&gt;""), A2556&amp;" · "&amp;B2556, "")</f>
        <v/>
      </c>
    </row>
    <row r="2557">
      <c r="A2557" s="6" t="inlineStr">
        <is>
          <t>FY27</t>
        </is>
      </c>
      <c r="B2557" s="6" t="inlineStr">
        <is>
          <t>Jun</t>
        </is>
      </c>
      <c r="C2557" s="6" t="inlineStr">
        <is>
          <t>TN</t>
        </is>
      </c>
      <c r="D2557" s="7" t="inlineStr">
        <is>
          <t>TN12B5548</t>
        </is>
      </c>
      <c r="E2557" s="7" t="inlineStr">
        <is>
          <t>NISSAN</t>
        </is>
      </c>
      <c r="F2557" s="7" t="inlineStr">
        <is>
          <t>Sunny</t>
        </is>
      </c>
      <c r="G2557" s="7" t="inlineStr">
        <is>
          <t>KHIVRAJ MOTOR</t>
        </is>
      </c>
      <c r="H2557" s="7" t="inlineStr">
        <is>
          <t>Non-Captive</t>
        </is>
      </c>
      <c r="I2557" s="7" t="inlineStr">
        <is>
          <t>Grid 33</t>
        </is>
      </c>
      <c r="J2557" s="8" t="n">
        <v>2014</v>
      </c>
      <c r="K2557" s="9" t="n">
        <v>97995</v>
      </c>
      <c r="L2557" s="10" t="n">
        <v>210000</v>
      </c>
      <c r="M2557" s="10" t="n">
        <v>6355.93</v>
      </c>
      <c r="N2557" s="11">
        <f>IF(M2557="","",ROUND(M2557*1.18,2))</f>
        <v/>
      </c>
      <c r="O2557" s="12">
        <f>IF(M2557="","",ROUND(N2557-M2557,2))</f>
        <v/>
      </c>
      <c r="P2557" s="13">
        <f>IF(AND(A2557&lt;&gt;"",B2557&lt;&gt;""), A2557&amp;" · "&amp;B2557, "")</f>
        <v/>
      </c>
    </row>
    <row r="2558">
      <c r="A2558" s="6" t="inlineStr">
        <is>
          <t>FY27</t>
        </is>
      </c>
      <c r="B2558" s="6" t="inlineStr">
        <is>
          <t>Jun</t>
        </is>
      </c>
      <c r="C2558" s="6" t="inlineStr">
        <is>
          <t>TN</t>
        </is>
      </c>
      <c r="D2558" s="7" t="inlineStr">
        <is>
          <t>TN12K2824</t>
        </is>
      </c>
      <c r="E2558" s="7" t="inlineStr">
        <is>
          <t>TATA</t>
        </is>
      </c>
      <c r="F2558" s="7" t="inlineStr">
        <is>
          <t>Bolt</t>
        </is>
      </c>
      <c r="G2558" s="7" t="inlineStr">
        <is>
          <t>KHIVRAJ MOTOR</t>
        </is>
      </c>
      <c r="H2558" s="7" t="inlineStr">
        <is>
          <t>Non-Captive</t>
        </is>
      </c>
      <c r="I2558" s="7" t="inlineStr">
        <is>
          <t>Nirmal Cars</t>
        </is>
      </c>
      <c r="J2558" s="8" t="n">
        <v>2015</v>
      </c>
      <c r="K2558" s="9" t="n">
        <v>152245</v>
      </c>
      <c r="L2558" s="10" t="n">
        <v>240000</v>
      </c>
      <c r="M2558" s="10" t="n">
        <v>4237.29</v>
      </c>
      <c r="N2558" s="11">
        <f>IF(M2558="","",ROUND(M2558*1.18,2))</f>
        <v/>
      </c>
      <c r="O2558" s="12">
        <f>IF(M2558="","",ROUND(N2558-M2558,2))</f>
        <v/>
      </c>
      <c r="P2558" s="13">
        <f>IF(AND(A2558&lt;&gt;"",B2558&lt;&gt;""), A2558&amp;" · "&amp;B2558, "")</f>
        <v/>
      </c>
    </row>
    <row r="2559">
      <c r="A2559" s="6" t="inlineStr">
        <is>
          <t>FY27</t>
        </is>
      </c>
      <c r="B2559" s="6" t="inlineStr">
        <is>
          <t>Jun</t>
        </is>
      </c>
      <c r="C2559" s="6" t="inlineStr">
        <is>
          <t>TN</t>
        </is>
      </c>
      <c r="D2559" s="7" t="inlineStr">
        <is>
          <t>TN12L2208</t>
        </is>
      </c>
      <c r="E2559" s="7" t="inlineStr">
        <is>
          <t>MARUTI SUZUKI</t>
        </is>
      </c>
      <c r="F2559" s="7" t="inlineStr">
        <is>
          <t>Dzire</t>
        </is>
      </c>
      <c r="G2559" s="7" t="inlineStr">
        <is>
          <t>POPULAR VEHICLES</t>
        </is>
      </c>
      <c r="H2559" s="7" t="inlineStr">
        <is>
          <t>Non-Captive</t>
        </is>
      </c>
      <c r="I2559" s="7" t="inlineStr">
        <is>
          <t>Senthil Cars</t>
        </is>
      </c>
      <c r="J2559" s="8" t="n">
        <v>2016</v>
      </c>
      <c r="K2559" s="9" t="n">
        <v>218237</v>
      </c>
      <c r="L2559" s="10" t="n">
        <v>150000</v>
      </c>
      <c r="M2559" s="10" t="n">
        <v>5084.75</v>
      </c>
      <c r="N2559" s="11">
        <f>IF(M2559="","",ROUND(M2559*1.18,2))</f>
        <v/>
      </c>
      <c r="O2559" s="12">
        <f>IF(M2559="","",ROUND(N2559-M2559,2))</f>
        <v/>
      </c>
      <c r="P2559" s="13">
        <f>IF(AND(A2559&lt;&gt;"",B2559&lt;&gt;""), A2559&amp;" · "&amp;B2559, "")</f>
        <v/>
      </c>
    </row>
    <row r="2560">
      <c r="A2560" s="6" t="inlineStr">
        <is>
          <t>FY27</t>
        </is>
      </c>
      <c r="B2560" s="6" t="inlineStr">
        <is>
          <t>Jun</t>
        </is>
      </c>
      <c r="C2560" s="6" t="inlineStr">
        <is>
          <t>TN</t>
        </is>
      </c>
      <c r="D2560" s="7" t="inlineStr">
        <is>
          <t>TN12R5205</t>
        </is>
      </c>
      <c r="E2560" s="7" t="inlineStr">
        <is>
          <t>MAHINDRA</t>
        </is>
      </c>
      <c r="F2560" s="7" t="inlineStr">
        <is>
          <t>KUV100</t>
        </is>
      </c>
      <c r="G2560" s="7" t="inlineStr">
        <is>
          <t>KHIVRAJ MOTOR</t>
        </is>
      </c>
      <c r="H2560" s="7" t="inlineStr">
        <is>
          <t>Non-Captive</t>
        </is>
      </c>
      <c r="I2560" s="7" t="inlineStr">
        <is>
          <t>Nirmal Cars</t>
        </is>
      </c>
      <c r="J2560" s="8" t="n">
        <v>2016</v>
      </c>
      <c r="K2560" s="9" t="n">
        <v>87242</v>
      </c>
      <c r="L2560" s="10" t="n">
        <v>210000</v>
      </c>
      <c r="M2560" s="10" t="n">
        <v>4237.29</v>
      </c>
      <c r="N2560" s="11">
        <f>IF(M2560="","",ROUND(M2560*1.18,2))</f>
        <v/>
      </c>
      <c r="O2560" s="12">
        <f>IF(M2560="","",ROUND(N2560-M2560,2))</f>
        <v/>
      </c>
      <c r="P2560" s="13">
        <f>IF(AND(A2560&lt;&gt;"",B2560&lt;&gt;""), A2560&amp;" · "&amp;B2560, "")</f>
        <v/>
      </c>
    </row>
    <row r="2561">
      <c r="A2561" s="6" t="inlineStr">
        <is>
          <t>FY27</t>
        </is>
      </c>
      <c r="B2561" s="6" t="inlineStr">
        <is>
          <t>Jun</t>
        </is>
      </c>
      <c r="C2561" s="6" t="inlineStr">
        <is>
          <t>TN</t>
        </is>
      </c>
      <c r="D2561" s="7" t="inlineStr">
        <is>
          <t>TN12R9434</t>
        </is>
      </c>
      <c r="E2561" s="7" t="inlineStr">
        <is>
          <t>CHEVROLET</t>
        </is>
      </c>
      <c r="F2561" s="7" t="inlineStr">
        <is>
          <t>Tavera</t>
        </is>
      </c>
      <c r="G2561" s="7" t="inlineStr">
        <is>
          <t>KHIVRAJ MOTOR</t>
        </is>
      </c>
      <c r="H2561" s="7" t="inlineStr">
        <is>
          <t>Non-Captive</t>
        </is>
      </c>
      <c r="I2561" s="7" t="inlineStr">
        <is>
          <t>Trust On wheels</t>
        </is>
      </c>
      <c r="J2561" s="8" t="n">
        <v>2016</v>
      </c>
      <c r="K2561" s="9" t="n">
        <v>181753</v>
      </c>
      <c r="L2561" s="10" t="n">
        <v>190000</v>
      </c>
      <c r="M2561" s="10" t="n">
        <v>5084.75</v>
      </c>
      <c r="N2561" s="11">
        <f>IF(M2561="","",ROUND(M2561*1.18,2))</f>
        <v/>
      </c>
      <c r="O2561" s="12">
        <f>IF(M2561="","",ROUND(N2561-M2561,2))</f>
        <v/>
      </c>
      <c r="P2561" s="13">
        <f>IF(AND(A2561&lt;&gt;"",B2561&lt;&gt;""), A2561&amp;" · "&amp;B2561, "")</f>
        <v/>
      </c>
    </row>
    <row r="2562">
      <c r="A2562" s="6" t="inlineStr">
        <is>
          <t>FY27</t>
        </is>
      </c>
      <c r="B2562" s="6" t="inlineStr">
        <is>
          <t>Jun</t>
        </is>
      </c>
      <c r="C2562" s="6" t="inlineStr">
        <is>
          <t>TN</t>
        </is>
      </c>
      <c r="D2562" s="7" t="inlineStr">
        <is>
          <t>TN12Z5049</t>
        </is>
      </c>
      <c r="E2562" s="7" t="inlineStr">
        <is>
          <t>MARUTI SUZUKI</t>
        </is>
      </c>
      <c r="F2562" s="7" t="inlineStr">
        <is>
          <t>Celerio</t>
        </is>
      </c>
      <c r="G2562" s="7" t="inlineStr">
        <is>
          <t>KHIVRAJ MOTOR</t>
        </is>
      </c>
      <c r="H2562" s="7" t="inlineStr">
        <is>
          <t>Non-Captive</t>
        </is>
      </c>
      <c r="I2562" s="7" t="inlineStr">
        <is>
          <t>Kamal Cars</t>
        </is>
      </c>
      <c r="J2562" s="8" t="n">
        <v>2015</v>
      </c>
      <c r="K2562" s="9" t="n">
        <v>98642</v>
      </c>
      <c r="L2562" s="10" t="n">
        <v>295000</v>
      </c>
      <c r="M2562" s="10" t="n">
        <v>6355.93</v>
      </c>
      <c r="N2562" s="11">
        <f>IF(M2562="","",ROUND(M2562*1.18,2))</f>
        <v/>
      </c>
      <c r="O2562" s="12">
        <f>IF(M2562="","",ROUND(N2562-M2562,2))</f>
        <v/>
      </c>
      <c r="P2562" s="13">
        <f>IF(AND(A2562&lt;&gt;"",B2562&lt;&gt;""), A2562&amp;" · "&amp;B2562, "")</f>
        <v/>
      </c>
    </row>
    <row r="2563">
      <c r="A2563" s="6" t="inlineStr">
        <is>
          <t>FY27</t>
        </is>
      </c>
      <c r="B2563" s="6" t="inlineStr">
        <is>
          <t>Jun</t>
        </is>
      </c>
      <c r="C2563" s="6" t="inlineStr">
        <is>
          <t>TN</t>
        </is>
      </c>
      <c r="D2563" s="7" t="inlineStr">
        <is>
          <t>TN136453</t>
        </is>
      </c>
      <c r="E2563" s="7" t="inlineStr">
        <is>
          <t>MAHINDRA</t>
        </is>
      </c>
      <c r="F2563" s="7" t="inlineStr">
        <is>
          <t>Bolero</t>
        </is>
      </c>
      <c r="G2563" s="7" t="inlineStr">
        <is>
          <t>KHIVRAJ MOTOR</t>
        </is>
      </c>
      <c r="H2563" s="7" t="inlineStr">
        <is>
          <t>Non-Captive</t>
        </is>
      </c>
      <c r="I2563" s="7" t="inlineStr">
        <is>
          <t>Trust On wheels</t>
        </is>
      </c>
      <c r="J2563" s="8" t="n">
        <v>2014</v>
      </c>
      <c r="K2563" s="9" t="n">
        <v>190518</v>
      </c>
      <c r="L2563" s="10" t="n">
        <v>185000</v>
      </c>
      <c r="M2563" s="10" t="n">
        <v>5084.75</v>
      </c>
      <c r="N2563" s="11">
        <f>IF(M2563="","",ROUND(M2563*1.18,2))</f>
        <v/>
      </c>
      <c r="O2563" s="12">
        <f>IF(M2563="","",ROUND(N2563-M2563,2))</f>
        <v/>
      </c>
      <c r="P2563" s="13">
        <f>IF(AND(A2563&lt;&gt;"",B2563&lt;&gt;""), A2563&amp;" · "&amp;B2563, "")</f>
        <v/>
      </c>
    </row>
    <row r="2564">
      <c r="A2564" s="6" t="inlineStr">
        <is>
          <t>FY27</t>
        </is>
      </c>
      <c r="B2564" s="6" t="inlineStr">
        <is>
          <t>Jun</t>
        </is>
      </c>
      <c r="C2564" s="6" t="inlineStr">
        <is>
          <t>TN</t>
        </is>
      </c>
      <c r="D2564" s="7" t="inlineStr">
        <is>
          <t>TN138676</t>
        </is>
      </c>
      <c r="E2564" s="7" t="inlineStr">
        <is>
          <t>MARUTI SUZUKI</t>
        </is>
      </c>
      <c r="F2564" s="7" t="inlineStr">
        <is>
          <t>Alto</t>
        </is>
      </c>
      <c r="G2564" s="7" t="inlineStr">
        <is>
          <t>KHIVRAJ MOTOR</t>
        </is>
      </c>
      <c r="H2564" s="7" t="inlineStr">
        <is>
          <t>Non-Captive</t>
        </is>
      </c>
      <c r="I2564" s="7" t="inlineStr">
        <is>
          <t>Nirmal Cars</t>
        </is>
      </c>
      <c r="J2564" s="8" t="n">
        <v>2014</v>
      </c>
      <c r="K2564" s="9" t="n">
        <v>28064</v>
      </c>
      <c r="L2564" s="10" t="n">
        <v>180000</v>
      </c>
      <c r="M2564" s="10" t="n">
        <v>4237.29</v>
      </c>
      <c r="N2564" s="11">
        <f>IF(M2564="","",ROUND(M2564*1.18,2))</f>
        <v/>
      </c>
      <c r="O2564" s="12">
        <f>IF(M2564="","",ROUND(N2564-M2564,2))</f>
        <v/>
      </c>
      <c r="P2564" s="13">
        <f>IF(AND(A2564&lt;&gt;"",B2564&lt;&gt;""), A2564&amp;" · "&amp;B2564, "")</f>
        <v/>
      </c>
    </row>
    <row r="2565">
      <c r="A2565" s="6" t="inlineStr">
        <is>
          <t>FY27</t>
        </is>
      </c>
      <c r="B2565" s="6" t="inlineStr">
        <is>
          <t>Jun</t>
        </is>
      </c>
      <c r="C2565" s="6" t="inlineStr">
        <is>
          <t>TN</t>
        </is>
      </c>
      <c r="D2565" s="7" t="inlineStr">
        <is>
          <t>TN13A4839</t>
        </is>
      </c>
      <c r="E2565" s="7" t="inlineStr">
        <is>
          <t>MARUTI SUZUKI</t>
        </is>
      </c>
      <c r="F2565" s="7" t="inlineStr">
        <is>
          <t>Ritz</t>
        </is>
      </c>
      <c r="G2565" s="7" t="inlineStr">
        <is>
          <t>CRESCO CARS</t>
        </is>
      </c>
      <c r="H2565" s="7" t="inlineStr">
        <is>
          <t>Non-Captive</t>
        </is>
      </c>
      <c r="I2565" s="7" t="inlineStr">
        <is>
          <t>TSM</t>
        </is>
      </c>
      <c r="J2565" s="8" t="n">
        <v>2014</v>
      </c>
      <c r="K2565" s="9" t="n">
        <v>180115</v>
      </c>
      <c r="L2565" s="10" t="n">
        <v>275000</v>
      </c>
      <c r="M2565" s="10" t="n">
        <v>4237.29</v>
      </c>
      <c r="N2565" s="11">
        <f>IF(M2565="","",ROUND(M2565*1.18,2))</f>
        <v/>
      </c>
      <c r="O2565" s="12">
        <f>IF(M2565="","",ROUND(N2565-M2565,2))</f>
        <v/>
      </c>
      <c r="P2565" s="13">
        <f>IF(AND(A2565&lt;&gt;"",B2565&lt;&gt;""), A2565&amp;" · "&amp;B2565, "")</f>
        <v/>
      </c>
    </row>
    <row r="2566">
      <c r="A2566" s="6" t="inlineStr">
        <is>
          <t>FY27</t>
        </is>
      </c>
      <c r="B2566" s="6" t="inlineStr">
        <is>
          <t>Jun</t>
        </is>
      </c>
      <c r="C2566" s="6" t="inlineStr">
        <is>
          <t>TN</t>
        </is>
      </c>
      <c r="D2566" s="7" t="inlineStr">
        <is>
          <t>TN13E9927</t>
        </is>
      </c>
      <c r="E2566" s="7" t="inlineStr">
        <is>
          <t>MARUTI SUZUKI</t>
        </is>
      </c>
      <c r="F2566" s="7" t="inlineStr">
        <is>
          <t>Celerio</t>
        </is>
      </c>
      <c r="G2566" s="7" t="inlineStr">
        <is>
          <t>KHIVRAJ MOTOR</t>
        </is>
      </c>
      <c r="H2566" s="7" t="inlineStr">
        <is>
          <t>Non-Captive</t>
        </is>
      </c>
      <c r="I2566" s="7" t="inlineStr">
        <is>
          <t>AAA Cars</t>
        </is>
      </c>
      <c r="J2566" s="8" t="n">
        <v>2016</v>
      </c>
      <c r="K2566" s="9" t="n">
        <v>87455</v>
      </c>
      <c r="L2566" s="10" t="n">
        <v>270000</v>
      </c>
      <c r="M2566" s="10" t="n">
        <v>8474.58</v>
      </c>
      <c r="N2566" s="11">
        <f>IF(M2566="","",ROUND(M2566*1.18,2))</f>
        <v/>
      </c>
      <c r="O2566" s="12">
        <f>IF(M2566="","",ROUND(N2566-M2566,2))</f>
        <v/>
      </c>
      <c r="P2566" s="13">
        <f>IF(AND(A2566&lt;&gt;"",B2566&lt;&gt;""), A2566&amp;" · "&amp;B2566, "")</f>
        <v/>
      </c>
    </row>
    <row r="2567">
      <c r="A2567" s="6" t="inlineStr">
        <is>
          <t>FY27</t>
        </is>
      </c>
      <c r="B2567" s="6" t="inlineStr">
        <is>
          <t>Jun</t>
        </is>
      </c>
      <c r="C2567" s="6" t="inlineStr">
        <is>
          <t>TN</t>
        </is>
      </c>
      <c r="D2567" s="7" t="inlineStr">
        <is>
          <t>TN13H2009</t>
        </is>
      </c>
      <c r="E2567" s="7" t="inlineStr">
        <is>
          <t>MARUTI SUZUKI</t>
        </is>
      </c>
      <c r="F2567" s="7" t="inlineStr">
        <is>
          <t>Alto</t>
        </is>
      </c>
      <c r="G2567" s="7" t="inlineStr">
        <is>
          <t>AIE CARS PRIVATE LIMITED</t>
        </is>
      </c>
      <c r="H2567" s="7" t="inlineStr">
        <is>
          <t>Non-Captive</t>
        </is>
      </c>
      <c r="I2567" s="7" t="inlineStr">
        <is>
          <t>TSM</t>
        </is>
      </c>
      <c r="J2567" s="8" t="n">
        <v>2016</v>
      </c>
      <c r="K2567" s="9" t="n">
        <v>44441</v>
      </c>
      <c r="L2567" s="10" t="n">
        <v>260000</v>
      </c>
      <c r="M2567" s="10" t="n">
        <v>4237.29</v>
      </c>
      <c r="N2567" s="11">
        <f>IF(M2567="","",ROUND(M2567*1.18,2))</f>
        <v/>
      </c>
      <c r="O2567" s="12">
        <f>IF(M2567="","",ROUND(N2567-M2567,2))</f>
        <v/>
      </c>
      <c r="P2567" s="13">
        <f>IF(AND(A2567&lt;&gt;"",B2567&lt;&gt;""), A2567&amp;" · "&amp;B2567, "")</f>
        <v/>
      </c>
    </row>
    <row r="2568">
      <c r="A2568" s="6" t="inlineStr">
        <is>
          <t>FY27</t>
        </is>
      </c>
      <c r="B2568" s="6" t="inlineStr">
        <is>
          <t>Jun</t>
        </is>
      </c>
      <c r="C2568" s="6" t="inlineStr">
        <is>
          <t>TN</t>
        </is>
      </c>
      <c r="D2568" s="7" t="inlineStr">
        <is>
          <t>TN13H7879</t>
        </is>
      </c>
      <c r="E2568" s="7" t="inlineStr">
        <is>
          <t>DATSUN</t>
        </is>
      </c>
      <c r="F2568" s="7" t="inlineStr">
        <is>
          <t>Redi-GO</t>
        </is>
      </c>
      <c r="G2568" s="7" t="inlineStr">
        <is>
          <t>ABT LIMITED</t>
        </is>
      </c>
      <c r="H2568" s="7" t="inlineStr">
        <is>
          <t>Non-Captive</t>
        </is>
      </c>
      <c r="I2568" s="7" t="inlineStr">
        <is>
          <t>TSM</t>
        </is>
      </c>
      <c r="J2568" s="8" t="n">
        <v>2017</v>
      </c>
      <c r="K2568" s="9" t="n">
        <v>49674</v>
      </c>
      <c r="L2568" s="10" t="n">
        <v>260000</v>
      </c>
      <c r="M2568" s="10" t="n">
        <v>4237.29</v>
      </c>
      <c r="N2568" s="11">
        <f>IF(M2568="","",ROUND(M2568*1.18,2))</f>
        <v/>
      </c>
      <c r="O2568" s="12">
        <f>IF(M2568="","",ROUND(N2568-M2568,2))</f>
        <v/>
      </c>
      <c r="P2568" s="13">
        <f>IF(AND(A2568&lt;&gt;"",B2568&lt;&gt;""), A2568&amp;" · "&amp;B2568, "")</f>
        <v/>
      </c>
    </row>
    <row r="2569">
      <c r="A2569" s="6" t="inlineStr">
        <is>
          <t>FY27</t>
        </is>
      </c>
      <c r="B2569" s="6" t="inlineStr">
        <is>
          <t>Jun</t>
        </is>
      </c>
      <c r="C2569" s="6" t="inlineStr">
        <is>
          <t>TN</t>
        </is>
      </c>
      <c r="D2569" s="7" t="inlineStr">
        <is>
          <t>TN13K5441</t>
        </is>
      </c>
      <c r="E2569" s="7" t="inlineStr">
        <is>
          <t>HYUNDAI</t>
        </is>
      </c>
      <c r="F2569" s="7" t="inlineStr">
        <is>
          <t>Grand i10</t>
        </is>
      </c>
      <c r="G2569" s="7" t="inlineStr">
        <is>
          <t>STEER AUTO TECHNOLOGIES PRIVATE LIMITED</t>
        </is>
      </c>
      <c r="H2569" s="7" t="inlineStr">
        <is>
          <t>Non-Captive</t>
        </is>
      </c>
      <c r="I2569" s="7" t="inlineStr">
        <is>
          <t>Lanson</t>
        </is>
      </c>
      <c r="J2569" s="8" t="n">
        <v>2017</v>
      </c>
      <c r="K2569" s="9" t="n">
        <v>61669</v>
      </c>
      <c r="L2569" s="10" t="n">
        <v>270000</v>
      </c>
      <c r="M2569" s="10" t="n">
        <v>4237.29</v>
      </c>
      <c r="N2569" s="11">
        <f>IF(M2569="","",ROUND(M2569*1.18,2))</f>
        <v/>
      </c>
      <c r="O2569" s="12">
        <f>IF(M2569="","",ROUND(N2569-M2569,2))</f>
        <v/>
      </c>
      <c r="P2569" s="13">
        <f>IF(AND(A2569&lt;&gt;"",B2569&lt;&gt;""), A2569&amp;" · "&amp;B2569, "")</f>
        <v/>
      </c>
    </row>
    <row r="2570">
      <c r="A2570" s="6" t="inlineStr">
        <is>
          <t>FY27</t>
        </is>
      </c>
      <c r="B2570" s="6" t="inlineStr">
        <is>
          <t>Jun</t>
        </is>
      </c>
      <c r="C2570" s="6" t="inlineStr">
        <is>
          <t>TN</t>
        </is>
      </c>
      <c r="D2570" s="7" t="inlineStr">
        <is>
          <t>TN13L9032</t>
        </is>
      </c>
      <c r="E2570" s="7" t="inlineStr">
        <is>
          <t>MARUTI SUZUKI</t>
        </is>
      </c>
      <c r="F2570" s="7" t="inlineStr">
        <is>
          <t>Dzire</t>
        </is>
      </c>
      <c r="G2570" s="7" t="inlineStr">
        <is>
          <t>KHIVRAJ MOTOR</t>
        </is>
      </c>
      <c r="H2570" s="7" t="inlineStr">
        <is>
          <t>Non-Captive</t>
        </is>
      </c>
      <c r="I2570" s="7" t="inlineStr">
        <is>
          <t>Grid 33</t>
        </is>
      </c>
      <c r="J2570" s="8" t="n">
        <v>2018</v>
      </c>
      <c r="K2570" s="9" t="n">
        <v>25806</v>
      </c>
      <c r="L2570" s="10" t="n">
        <v>445000</v>
      </c>
      <c r="M2570" s="10" t="n">
        <v>7627.12</v>
      </c>
      <c r="N2570" s="11">
        <f>IF(M2570="","",ROUND(M2570*1.18,2))</f>
        <v/>
      </c>
      <c r="O2570" s="12">
        <f>IF(M2570="","",ROUND(N2570-M2570,2))</f>
        <v/>
      </c>
      <c r="P2570" s="13">
        <f>IF(AND(A2570&lt;&gt;"",B2570&lt;&gt;""), A2570&amp;" · "&amp;B2570, "")</f>
        <v/>
      </c>
    </row>
    <row r="2571">
      <c r="A2571" s="6" t="inlineStr">
        <is>
          <t>FY27</t>
        </is>
      </c>
      <c r="B2571" s="6" t="inlineStr">
        <is>
          <t>Jun</t>
        </is>
      </c>
      <c r="C2571" s="6" t="inlineStr">
        <is>
          <t>TN</t>
        </is>
      </c>
      <c r="D2571" s="7" t="inlineStr">
        <is>
          <t>TN13Q7672</t>
        </is>
      </c>
      <c r="E2571" s="7" t="inlineStr">
        <is>
          <t>RENAULT</t>
        </is>
      </c>
      <c r="F2571" s="7" t="inlineStr">
        <is>
          <t>Kwid</t>
        </is>
      </c>
      <c r="G2571" s="7" t="inlineStr">
        <is>
          <t>LAKSHMI HYUNDAI</t>
        </is>
      </c>
      <c r="H2571" s="7" t="inlineStr">
        <is>
          <t>Non-Captive</t>
        </is>
      </c>
      <c r="I2571" s="7" t="inlineStr">
        <is>
          <t>Yogeshwari Cars</t>
        </is>
      </c>
      <c r="J2571" s="8" t="n">
        <v>2018</v>
      </c>
      <c r="K2571" s="9" t="n">
        <v>70182</v>
      </c>
      <c r="L2571" s="10" t="n">
        <v>330000</v>
      </c>
      <c r="M2571" s="10" t="n">
        <v>5932.2</v>
      </c>
      <c r="N2571" s="11">
        <f>IF(M2571="","",ROUND(M2571*1.18,2))</f>
        <v/>
      </c>
      <c r="O2571" s="12">
        <f>IF(M2571="","",ROUND(N2571-M2571,2))</f>
        <v/>
      </c>
      <c r="P2571" s="13">
        <f>IF(AND(A2571&lt;&gt;"",B2571&lt;&gt;""), A2571&amp;" · "&amp;B2571, "")</f>
        <v/>
      </c>
    </row>
    <row r="2572">
      <c r="A2572" s="6" t="inlineStr">
        <is>
          <t>FY27</t>
        </is>
      </c>
      <c r="B2572" s="6" t="inlineStr">
        <is>
          <t>Jun</t>
        </is>
      </c>
      <c r="C2572" s="6" t="inlineStr">
        <is>
          <t>TN</t>
        </is>
      </c>
      <c r="D2572" s="7" t="inlineStr">
        <is>
          <t>TN144131</t>
        </is>
      </c>
      <c r="E2572" s="7" t="inlineStr">
        <is>
          <t>HONDA</t>
        </is>
      </c>
      <c r="F2572" s="7" t="inlineStr">
        <is>
          <t>Brio</t>
        </is>
      </c>
      <c r="G2572" s="7" t="inlineStr">
        <is>
          <t>KHIVRAJ MOTOR</t>
        </is>
      </c>
      <c r="H2572" s="7" t="inlineStr">
        <is>
          <t>Non-Captive</t>
        </is>
      </c>
      <c r="I2572" s="7" t="inlineStr">
        <is>
          <t>Nirmal Cars</t>
        </is>
      </c>
      <c r="J2572" s="8" t="n">
        <v>2014</v>
      </c>
      <c r="K2572" s="9" t="n">
        <v>121399</v>
      </c>
      <c r="L2572" s="10" t="n">
        <v>290000</v>
      </c>
      <c r="M2572" s="10" t="n">
        <v>4237.29</v>
      </c>
      <c r="N2572" s="11">
        <f>IF(M2572="","",ROUND(M2572*1.18,2))</f>
        <v/>
      </c>
      <c r="O2572" s="12">
        <f>IF(M2572="","",ROUND(N2572-M2572,2))</f>
        <v/>
      </c>
      <c r="P2572" s="13">
        <f>IF(AND(A2572&lt;&gt;"",B2572&lt;&gt;""), A2572&amp;" · "&amp;B2572, "")</f>
        <v/>
      </c>
    </row>
    <row r="2573">
      <c r="A2573" s="6" t="inlineStr">
        <is>
          <t>FY27</t>
        </is>
      </c>
      <c r="B2573" s="6" t="inlineStr">
        <is>
          <t>Jun</t>
        </is>
      </c>
      <c r="C2573" s="6" t="inlineStr">
        <is>
          <t>TN</t>
        </is>
      </c>
      <c r="D2573" s="7" t="inlineStr">
        <is>
          <t>TN14AA6305</t>
        </is>
      </c>
      <c r="E2573" s="7" t="inlineStr">
        <is>
          <t>TATA</t>
        </is>
      </c>
      <c r="F2573" s="7" t="inlineStr">
        <is>
          <t>Tigor</t>
        </is>
      </c>
      <c r="G2573" s="7" t="inlineStr">
        <is>
          <t>EXCHANGE CHENNAI</t>
        </is>
      </c>
      <c r="H2573" s="7" t="inlineStr">
        <is>
          <t>Captive</t>
        </is>
      </c>
      <c r="I2573" s="7" t="inlineStr">
        <is>
          <t>Sreeshan</t>
        </is>
      </c>
      <c r="J2573" s="8" t="n">
        <v>2022</v>
      </c>
      <c r="K2573" s="9" t="n">
        <v>48782</v>
      </c>
      <c r="L2573" s="10" t="n">
        <v>520000</v>
      </c>
      <c r="M2573" s="10" t="n">
        <v>8474.58</v>
      </c>
      <c r="N2573" s="11">
        <f>IF(M2573="","",ROUND(M2573*1.18,2))</f>
        <v/>
      </c>
      <c r="O2573" s="12">
        <f>IF(M2573="","",ROUND(N2573-M2573,2))</f>
        <v/>
      </c>
      <c r="P2573" s="13">
        <f>IF(AND(A2573&lt;&gt;"",B2573&lt;&gt;""), A2573&amp;" · "&amp;B2573, "")</f>
        <v/>
      </c>
    </row>
    <row r="2574">
      <c r="A2574" s="6" t="inlineStr">
        <is>
          <t>FY27</t>
        </is>
      </c>
      <c r="B2574" s="6" t="inlineStr">
        <is>
          <t>Jun</t>
        </is>
      </c>
      <c r="C2574" s="6" t="inlineStr">
        <is>
          <t>TN</t>
        </is>
      </c>
      <c r="D2574" s="7" t="inlineStr">
        <is>
          <t>TN14AD1585</t>
        </is>
      </c>
      <c r="E2574" s="7" t="inlineStr">
        <is>
          <t>CITROEN</t>
        </is>
      </c>
      <c r="F2574" s="7" t="inlineStr">
        <is>
          <t>C3</t>
        </is>
      </c>
      <c r="G2574" s="7" t="inlineStr">
        <is>
          <t>SANTHOSH</t>
        </is>
      </c>
      <c r="H2574" s="7" t="inlineStr">
        <is>
          <t>Non-Captive</t>
        </is>
      </c>
      <c r="I2574" s="7" t="inlineStr">
        <is>
          <t>Nirmal Cars</t>
        </is>
      </c>
      <c r="J2574" s="8" t="n">
        <v>2022</v>
      </c>
      <c r="K2574" s="9" t="n">
        <v>32987</v>
      </c>
      <c r="L2574" s="10" t="n">
        <v>400000</v>
      </c>
      <c r="M2574" s="10" t="n">
        <v>4237.29</v>
      </c>
      <c r="N2574" s="11">
        <f>IF(M2574="","",ROUND(M2574*1.18,2))</f>
        <v/>
      </c>
      <c r="O2574" s="12">
        <f>IF(M2574="","",ROUND(N2574-M2574,2))</f>
        <v/>
      </c>
      <c r="P2574" s="13">
        <f>IF(AND(A2574&lt;&gt;"",B2574&lt;&gt;""), A2574&amp;" · "&amp;B2574, "")</f>
        <v/>
      </c>
    </row>
    <row r="2575">
      <c r="A2575" s="6" t="inlineStr">
        <is>
          <t>FY27</t>
        </is>
      </c>
      <c r="B2575" s="6" t="inlineStr">
        <is>
          <t>Jun</t>
        </is>
      </c>
      <c r="C2575" s="6" t="inlineStr">
        <is>
          <t>TN</t>
        </is>
      </c>
      <c r="D2575" s="7" t="inlineStr">
        <is>
          <t>TN14AD1623</t>
        </is>
      </c>
      <c r="E2575" s="7" t="inlineStr">
        <is>
          <t>CITROEN</t>
        </is>
      </c>
      <c r="F2575" s="7" t="inlineStr">
        <is>
          <t>C3</t>
        </is>
      </c>
      <c r="G2575" s="7" t="inlineStr">
        <is>
          <t>SANTHOSH</t>
        </is>
      </c>
      <c r="H2575" s="7" t="inlineStr">
        <is>
          <t>Non-Captive</t>
        </is>
      </c>
      <c r="I2575" s="7" t="inlineStr">
        <is>
          <t>Nirmal Cars</t>
        </is>
      </c>
      <c r="J2575" s="8" t="n">
        <v>2022</v>
      </c>
      <c r="K2575" s="9" t="n">
        <v>22498</v>
      </c>
      <c r="L2575" s="10" t="n">
        <v>400000</v>
      </c>
      <c r="M2575" s="10" t="n">
        <v>4237.29</v>
      </c>
      <c r="N2575" s="11">
        <f>IF(M2575="","",ROUND(M2575*1.18,2))</f>
        <v/>
      </c>
      <c r="O2575" s="12">
        <f>IF(M2575="","",ROUND(N2575-M2575,2))</f>
        <v/>
      </c>
      <c r="P2575" s="13">
        <f>IF(AND(A2575&lt;&gt;"",B2575&lt;&gt;""), A2575&amp;" · "&amp;B2575, "")</f>
        <v/>
      </c>
    </row>
    <row r="2576">
      <c r="A2576" s="6" t="inlineStr">
        <is>
          <t>FY27</t>
        </is>
      </c>
      <c r="B2576" s="6" t="inlineStr">
        <is>
          <t>Jun</t>
        </is>
      </c>
      <c r="C2576" s="6" t="inlineStr">
        <is>
          <t>TN</t>
        </is>
      </c>
      <c r="D2576" s="7" t="inlineStr">
        <is>
          <t>TN14AD1665</t>
        </is>
      </c>
      <c r="E2576" s="7" t="inlineStr">
        <is>
          <t>CITROEN</t>
        </is>
      </c>
      <c r="F2576" s="7" t="inlineStr">
        <is>
          <t>C3</t>
        </is>
      </c>
      <c r="G2576" s="7" t="inlineStr">
        <is>
          <t>SANTHOSH</t>
        </is>
      </c>
      <c r="H2576" s="7" t="inlineStr">
        <is>
          <t>Non-Captive</t>
        </is>
      </c>
      <c r="I2576" s="7" t="inlineStr">
        <is>
          <t>Nirmal Cars</t>
        </is>
      </c>
      <c r="J2576" s="8" t="n">
        <v>2022</v>
      </c>
      <c r="K2576" s="9" t="n">
        <v>217865</v>
      </c>
      <c r="L2576" s="10" t="n">
        <v>200000</v>
      </c>
      <c r="M2576" s="10" t="n">
        <v>4237.29</v>
      </c>
      <c r="N2576" s="11">
        <f>IF(M2576="","",ROUND(M2576*1.18,2))</f>
        <v/>
      </c>
      <c r="O2576" s="12">
        <f>IF(M2576="","",ROUND(N2576-M2576,2))</f>
        <v/>
      </c>
      <c r="P2576" s="13">
        <f>IF(AND(A2576&lt;&gt;"",B2576&lt;&gt;""), A2576&amp;" · "&amp;B2576, "")</f>
        <v/>
      </c>
    </row>
    <row r="2577">
      <c r="A2577" s="6" t="inlineStr">
        <is>
          <t>FY27</t>
        </is>
      </c>
      <c r="B2577" s="6" t="inlineStr">
        <is>
          <t>Jun</t>
        </is>
      </c>
      <c r="C2577" s="6" t="inlineStr">
        <is>
          <t>TN</t>
        </is>
      </c>
      <c r="D2577" s="7" t="inlineStr">
        <is>
          <t>TN14AD1686</t>
        </is>
      </c>
      <c r="E2577" s="7" t="inlineStr">
        <is>
          <t>CITROEN</t>
        </is>
      </c>
      <c r="F2577" s="7" t="inlineStr">
        <is>
          <t>C3</t>
        </is>
      </c>
      <c r="G2577" s="7" t="inlineStr">
        <is>
          <t>SANTHOSH</t>
        </is>
      </c>
      <c r="H2577" s="7" t="inlineStr">
        <is>
          <t>Non-Captive</t>
        </is>
      </c>
      <c r="I2577" s="7" t="inlineStr">
        <is>
          <t>Nirmal Cars</t>
        </is>
      </c>
      <c r="J2577" s="8" t="n">
        <v>2022</v>
      </c>
      <c r="K2577" s="9" t="n">
        <v>435679</v>
      </c>
      <c r="L2577" s="10" t="n">
        <v>380000</v>
      </c>
      <c r="M2577" s="10" t="n">
        <v>4237.29</v>
      </c>
      <c r="N2577" s="11">
        <f>IF(M2577="","",ROUND(M2577*1.18,2))</f>
        <v/>
      </c>
      <c r="O2577" s="12">
        <f>IF(M2577="","",ROUND(N2577-M2577,2))</f>
        <v/>
      </c>
      <c r="P2577" s="13">
        <f>IF(AND(A2577&lt;&gt;"",B2577&lt;&gt;""), A2577&amp;" · "&amp;B2577, "")</f>
        <v/>
      </c>
    </row>
    <row r="2578">
      <c r="A2578" s="6" t="inlineStr">
        <is>
          <t>FY27</t>
        </is>
      </c>
      <c r="B2578" s="6" t="inlineStr">
        <is>
          <t>Jun</t>
        </is>
      </c>
      <c r="C2578" s="6" t="inlineStr">
        <is>
          <t>TN</t>
        </is>
      </c>
      <c r="D2578" s="7" t="inlineStr">
        <is>
          <t>TN14AD1688</t>
        </is>
      </c>
      <c r="E2578" s="7" t="inlineStr">
        <is>
          <t>CITROEN</t>
        </is>
      </c>
      <c r="F2578" s="7" t="inlineStr">
        <is>
          <t>C3</t>
        </is>
      </c>
      <c r="G2578" s="7" t="inlineStr">
        <is>
          <t>NIRMAL</t>
        </is>
      </c>
      <c r="H2578" s="7" t="inlineStr">
        <is>
          <t>Non-Captive</t>
        </is>
      </c>
      <c r="I2578" s="7" t="inlineStr">
        <is>
          <t>Kamal Cars</t>
        </is>
      </c>
      <c r="J2578" s="8" t="n">
        <v>2022</v>
      </c>
      <c r="K2578" s="9" t="n">
        <v>25217</v>
      </c>
      <c r="L2578" s="10" t="n">
        <v>400000</v>
      </c>
      <c r="M2578" s="10" t="n">
        <v>4237.29</v>
      </c>
      <c r="N2578" s="11">
        <f>IF(M2578="","",ROUND(M2578*1.18,2))</f>
        <v/>
      </c>
      <c r="O2578" s="12">
        <f>IF(M2578="","",ROUND(N2578-M2578,2))</f>
        <v/>
      </c>
      <c r="P2578" s="13">
        <f>IF(AND(A2578&lt;&gt;"",B2578&lt;&gt;""), A2578&amp;" · "&amp;B2578, "")</f>
        <v/>
      </c>
    </row>
    <row r="2579">
      <c r="A2579" s="6" t="inlineStr">
        <is>
          <t>FY27</t>
        </is>
      </c>
      <c r="B2579" s="6" t="inlineStr">
        <is>
          <t>Jun</t>
        </is>
      </c>
      <c r="C2579" s="6" t="inlineStr">
        <is>
          <t>TN</t>
        </is>
      </c>
      <c r="D2579" s="7" t="inlineStr">
        <is>
          <t>TN14K9119</t>
        </is>
      </c>
      <c r="E2579" s="7" t="inlineStr">
        <is>
          <t>MARUTI SUZUKI</t>
        </is>
      </c>
      <c r="F2579" s="7" t="inlineStr">
        <is>
          <t>Ciaz</t>
        </is>
      </c>
      <c r="G2579" s="7" t="inlineStr">
        <is>
          <t>KHIVRAJ MOTOR</t>
        </is>
      </c>
      <c r="H2579" s="7" t="inlineStr">
        <is>
          <t>Non-Captive</t>
        </is>
      </c>
      <c r="I2579" s="7" t="inlineStr">
        <is>
          <t>Yogeshwari Cars</t>
        </is>
      </c>
      <c r="J2579" s="8" t="n">
        <v>2017</v>
      </c>
      <c r="K2579" s="9" t="n">
        <v>91825</v>
      </c>
      <c r="L2579" s="10" t="n">
        <v>440000</v>
      </c>
      <c r="M2579" s="10" t="n">
        <v>7627.12</v>
      </c>
      <c r="N2579" s="11">
        <f>IF(M2579="","",ROUND(M2579*1.18,2))</f>
        <v/>
      </c>
      <c r="O2579" s="12">
        <f>IF(M2579="","",ROUND(N2579-M2579,2))</f>
        <v/>
      </c>
      <c r="P2579" s="13">
        <f>IF(AND(A2579&lt;&gt;"",B2579&lt;&gt;""), A2579&amp;" · "&amp;B2579, "")</f>
        <v/>
      </c>
    </row>
    <row r="2580">
      <c r="A2580" s="6" t="inlineStr">
        <is>
          <t>FY27</t>
        </is>
      </c>
      <c r="B2580" s="6" t="inlineStr">
        <is>
          <t>Jun</t>
        </is>
      </c>
      <c r="C2580" s="6" t="inlineStr">
        <is>
          <t>TN</t>
        </is>
      </c>
      <c r="D2580" s="7" t="inlineStr">
        <is>
          <t>TN14L6147</t>
        </is>
      </c>
      <c r="E2580" s="7" t="inlineStr">
        <is>
          <t>HONDA</t>
        </is>
      </c>
      <c r="F2580" s="7" t="inlineStr">
        <is>
          <t>City</t>
        </is>
      </c>
      <c r="G2580" s="7" t="inlineStr">
        <is>
          <t>CASTLE TRADERS HONDA</t>
        </is>
      </c>
      <c r="H2580" s="7" t="inlineStr">
        <is>
          <t>Non-Captive</t>
        </is>
      </c>
      <c r="I2580" s="7" t="inlineStr">
        <is>
          <t>AAA Cars</t>
        </is>
      </c>
      <c r="J2580" s="8" t="n">
        <v>2017</v>
      </c>
      <c r="K2580" s="9" t="n">
        <v>98763</v>
      </c>
      <c r="L2580" s="10" t="n">
        <v>430000</v>
      </c>
      <c r="M2580" s="10" t="n">
        <v>3389.83</v>
      </c>
      <c r="N2580" s="11">
        <f>IF(M2580="","",ROUND(M2580*1.18,2))</f>
        <v/>
      </c>
      <c r="O2580" s="12">
        <f>IF(M2580="","",ROUND(N2580-M2580,2))</f>
        <v/>
      </c>
      <c r="P2580" s="13">
        <f>IF(AND(A2580&lt;&gt;"",B2580&lt;&gt;""), A2580&amp;" · "&amp;B2580, "")</f>
        <v/>
      </c>
    </row>
    <row r="2581">
      <c r="A2581" s="6" t="inlineStr">
        <is>
          <t>FY27</t>
        </is>
      </c>
      <c r="B2581" s="6" t="inlineStr">
        <is>
          <t>Jun</t>
        </is>
      </c>
      <c r="C2581" s="6" t="inlineStr">
        <is>
          <t>TN</t>
        </is>
      </c>
      <c r="D2581" s="7" t="inlineStr">
        <is>
          <t>TN14M4343</t>
        </is>
      </c>
      <c r="E2581" s="7" t="inlineStr">
        <is>
          <t>VOLKSWAGEN</t>
        </is>
      </c>
      <c r="F2581" s="7" t="inlineStr">
        <is>
          <t>Vento</t>
        </is>
      </c>
      <c r="G2581" s="7" t="inlineStr">
        <is>
          <t>AIE CARS PRIVATE LIMITED</t>
        </is>
      </c>
      <c r="H2581" s="7" t="inlineStr">
        <is>
          <t>Non-Captive</t>
        </is>
      </c>
      <c r="I2581" s="7" t="inlineStr">
        <is>
          <t>Santhosh Cars</t>
        </is>
      </c>
      <c r="J2581" s="8" t="n">
        <v>2017</v>
      </c>
      <c r="K2581" s="9" t="n">
        <v>58730</v>
      </c>
      <c r="L2581" s="10" t="n">
        <v>350000</v>
      </c>
      <c r="M2581" s="10" t="n">
        <v>4237.29</v>
      </c>
      <c r="N2581" s="11">
        <f>IF(M2581="","",ROUND(M2581*1.18,2))</f>
        <v/>
      </c>
      <c r="O2581" s="12">
        <f>IF(M2581="","",ROUND(N2581-M2581,2))</f>
        <v/>
      </c>
      <c r="P2581" s="13">
        <f>IF(AND(A2581&lt;&gt;"",B2581&lt;&gt;""), A2581&amp;" · "&amp;B2581, "")</f>
        <v/>
      </c>
    </row>
    <row r="2582">
      <c r="A2582" s="6" t="inlineStr">
        <is>
          <t>FY27</t>
        </is>
      </c>
      <c r="B2582" s="6" t="inlineStr">
        <is>
          <t>Jun</t>
        </is>
      </c>
      <c r="C2582" s="6" t="inlineStr">
        <is>
          <t>TN</t>
        </is>
      </c>
      <c r="D2582" s="7" t="inlineStr">
        <is>
          <t>TN14Q1923</t>
        </is>
      </c>
      <c r="E2582" s="7" t="inlineStr">
        <is>
          <t>RENAULT</t>
        </is>
      </c>
      <c r="F2582" s="7" t="inlineStr">
        <is>
          <t>Kwid</t>
        </is>
      </c>
      <c r="G2582" s="7" t="inlineStr">
        <is>
          <t>EXCHANGE CHENNAI</t>
        </is>
      </c>
      <c r="H2582" s="7" t="inlineStr">
        <is>
          <t>Captive</t>
        </is>
      </c>
      <c r="I2582" s="7" t="inlineStr">
        <is>
          <t>Santhosh Cars</t>
        </is>
      </c>
      <c r="J2582" s="8" t="n">
        <v>2018</v>
      </c>
      <c r="K2582" s="9" t="n">
        <v>66715</v>
      </c>
      <c r="L2582" s="10" t="n">
        <v>110000</v>
      </c>
      <c r="M2582" s="10" t="n">
        <v>5084.75</v>
      </c>
      <c r="N2582" s="11">
        <f>IF(M2582="","",ROUND(M2582*1.18,2))</f>
        <v/>
      </c>
      <c r="O2582" s="12">
        <f>IF(M2582="","",ROUND(N2582-M2582,2))</f>
        <v/>
      </c>
      <c r="P2582" s="13">
        <f>IF(AND(A2582&lt;&gt;"",B2582&lt;&gt;""), A2582&amp;" · "&amp;B2582, "")</f>
        <v/>
      </c>
    </row>
    <row r="2583">
      <c r="A2583" s="6" t="inlineStr">
        <is>
          <t>FY27</t>
        </is>
      </c>
      <c r="B2583" s="6" t="inlineStr">
        <is>
          <t>Jun</t>
        </is>
      </c>
      <c r="C2583" s="6" t="inlineStr">
        <is>
          <t>TN</t>
        </is>
      </c>
      <c r="D2583" s="7" t="inlineStr">
        <is>
          <t>TN14X8523</t>
        </is>
      </c>
      <c r="E2583" s="7" t="inlineStr">
        <is>
          <t>MARUTI SUZUKI</t>
        </is>
      </c>
      <c r="F2583" s="7" t="inlineStr">
        <is>
          <t>Celerio</t>
        </is>
      </c>
      <c r="G2583" s="7" t="inlineStr">
        <is>
          <t>KHIVRAJ MOTOR</t>
        </is>
      </c>
      <c r="H2583" s="7" t="inlineStr">
        <is>
          <t>Non-Captive</t>
        </is>
      </c>
      <c r="I2583" s="7" t="inlineStr">
        <is>
          <t>Trust On wheels</t>
        </is>
      </c>
      <c r="J2583" s="8" t="n">
        <v>2021</v>
      </c>
      <c r="K2583" s="9" t="n">
        <v>15607</v>
      </c>
      <c r="L2583" s="10" t="n">
        <v>365000</v>
      </c>
      <c r="M2583" s="10" t="n">
        <v>6355.93</v>
      </c>
      <c r="N2583" s="11">
        <f>IF(M2583="","",ROUND(M2583*1.18,2))</f>
        <v/>
      </c>
      <c r="O2583" s="12">
        <f>IF(M2583="","",ROUND(N2583-M2583,2))</f>
        <v/>
      </c>
      <c r="P2583" s="13">
        <f>IF(AND(A2583&lt;&gt;"",B2583&lt;&gt;""), A2583&amp;" · "&amp;B2583, "")</f>
        <v/>
      </c>
    </row>
    <row r="2584">
      <c r="A2584" s="6" t="inlineStr">
        <is>
          <t>FY27</t>
        </is>
      </c>
      <c r="B2584" s="6" t="inlineStr">
        <is>
          <t>Jun</t>
        </is>
      </c>
      <c r="C2584" s="6" t="inlineStr">
        <is>
          <t>TN</t>
        </is>
      </c>
      <c r="D2584" s="7" t="inlineStr">
        <is>
          <t>TN18AE6315</t>
        </is>
      </c>
      <c r="E2584" s="7" t="inlineStr">
        <is>
          <t>HONDA</t>
        </is>
      </c>
      <c r="F2584" s="7" t="inlineStr">
        <is>
          <t>Jazz</t>
        </is>
      </c>
      <c r="G2584" s="7" t="inlineStr">
        <is>
          <t>SHREE THIYA CARS</t>
        </is>
      </c>
      <c r="H2584" s="7" t="inlineStr">
        <is>
          <t>Non-Captive</t>
        </is>
      </c>
      <c r="I2584" s="7" t="inlineStr">
        <is>
          <t>Nirmal Cars</t>
        </is>
      </c>
      <c r="J2584" s="8" t="n">
        <v>2015</v>
      </c>
      <c r="K2584" s="9" t="n">
        <v>95158</v>
      </c>
      <c r="L2584" s="10" t="n">
        <v>320000</v>
      </c>
      <c r="M2584" s="10" t="n">
        <v>5254.24</v>
      </c>
      <c r="N2584" s="11">
        <f>IF(M2584="","",ROUND(M2584*1.18,2))</f>
        <v/>
      </c>
      <c r="O2584" s="12">
        <f>IF(M2584="","",ROUND(N2584-M2584,2))</f>
        <v/>
      </c>
      <c r="P2584" s="13">
        <f>IF(AND(A2584&lt;&gt;"",B2584&lt;&gt;""), A2584&amp;" · "&amp;B2584, "")</f>
        <v/>
      </c>
    </row>
    <row r="2585">
      <c r="A2585" s="6" t="inlineStr">
        <is>
          <t>FY27</t>
        </is>
      </c>
      <c r="B2585" s="6" t="inlineStr">
        <is>
          <t>Jun</t>
        </is>
      </c>
      <c r="C2585" s="6" t="inlineStr">
        <is>
          <t>TN</t>
        </is>
      </c>
      <c r="D2585" s="7" t="inlineStr">
        <is>
          <t>TN18AU2590</t>
        </is>
      </c>
      <c r="E2585" s="7" t="inlineStr">
        <is>
          <t>MARUTI SUZUKI</t>
        </is>
      </c>
      <c r="F2585" s="7" t="inlineStr">
        <is>
          <t>Swift</t>
        </is>
      </c>
      <c r="G2585" s="7" t="inlineStr">
        <is>
          <t>KHIVRAJ MOTOR</t>
        </is>
      </c>
      <c r="H2585" s="7" t="inlineStr">
        <is>
          <t>Non-Captive</t>
        </is>
      </c>
      <c r="I2585" s="7" t="inlineStr">
        <is>
          <t>Lanson</t>
        </is>
      </c>
      <c r="J2585" s="8" t="n">
        <v>2019</v>
      </c>
      <c r="K2585" s="9" t="n">
        <v>43300</v>
      </c>
      <c r="L2585" s="10" t="n">
        <v>425000</v>
      </c>
      <c r="M2585" s="10" t="n">
        <v>7627.12</v>
      </c>
      <c r="N2585" s="11">
        <f>IF(M2585="","",ROUND(M2585*1.18,2))</f>
        <v/>
      </c>
      <c r="O2585" s="12">
        <f>IF(M2585="","",ROUND(N2585-M2585,2))</f>
        <v/>
      </c>
      <c r="P2585" s="13">
        <f>IF(AND(A2585&lt;&gt;"",B2585&lt;&gt;""), A2585&amp;" · "&amp;B2585, "")</f>
        <v/>
      </c>
    </row>
    <row r="2586">
      <c r="A2586" s="6" t="inlineStr">
        <is>
          <t>FY27</t>
        </is>
      </c>
      <c r="B2586" s="6" t="inlineStr">
        <is>
          <t>Jun</t>
        </is>
      </c>
      <c r="C2586" s="6" t="inlineStr">
        <is>
          <t>TN</t>
        </is>
      </c>
      <c r="D2586" s="7" t="inlineStr">
        <is>
          <t>TN18AW2928</t>
        </is>
      </c>
      <c r="E2586" s="7" t="inlineStr">
        <is>
          <t>MARUTI SUZUKI</t>
        </is>
      </c>
      <c r="F2586" s="7" t="inlineStr">
        <is>
          <t>Celerio</t>
        </is>
      </c>
      <c r="G2586" s="7" t="inlineStr">
        <is>
          <t>KHIVRAJ MOTOR</t>
        </is>
      </c>
      <c r="H2586" s="7" t="inlineStr">
        <is>
          <t>Non-Captive</t>
        </is>
      </c>
      <c r="I2586" s="7" t="inlineStr">
        <is>
          <t>Lanson</t>
        </is>
      </c>
      <c r="J2586" s="8" t="n">
        <v>2019</v>
      </c>
      <c r="K2586" s="9" t="n">
        <v>87821</v>
      </c>
      <c r="L2586" s="10" t="n">
        <v>315000</v>
      </c>
      <c r="M2586" s="10" t="n">
        <v>6355.93</v>
      </c>
      <c r="N2586" s="11">
        <f>IF(M2586="","",ROUND(M2586*1.18,2))</f>
        <v/>
      </c>
      <c r="O2586" s="12">
        <f>IF(M2586="","",ROUND(N2586-M2586,2))</f>
        <v/>
      </c>
      <c r="P2586" s="13">
        <f>IF(AND(A2586&lt;&gt;"",B2586&lt;&gt;""), A2586&amp;" · "&amp;B2586, "")</f>
        <v/>
      </c>
    </row>
    <row r="2587">
      <c r="A2587" s="6" t="inlineStr">
        <is>
          <t>FY27</t>
        </is>
      </c>
      <c r="B2587" s="6" t="inlineStr">
        <is>
          <t>Jun</t>
        </is>
      </c>
      <c r="C2587" s="6" t="inlineStr">
        <is>
          <t>TN</t>
        </is>
      </c>
      <c r="D2587" s="7" t="inlineStr">
        <is>
          <t>TN18BF7547</t>
        </is>
      </c>
      <c r="E2587" s="7" t="inlineStr">
        <is>
          <t>MARUTI SUZUKI</t>
        </is>
      </c>
      <c r="F2587" s="7" t="inlineStr">
        <is>
          <t>Swift</t>
        </is>
      </c>
      <c r="G2587" s="7" t="inlineStr">
        <is>
          <t>KHIVRAJ MOTOR</t>
        </is>
      </c>
      <c r="H2587" s="7" t="inlineStr">
        <is>
          <t>Non-Captive</t>
        </is>
      </c>
      <c r="I2587" s="7" t="inlineStr">
        <is>
          <t>Lanson</t>
        </is>
      </c>
      <c r="J2587" s="8" t="n">
        <v>2022</v>
      </c>
      <c r="K2587" s="9" t="n">
        <v>78555</v>
      </c>
      <c r="L2587" s="10" t="n">
        <v>550000</v>
      </c>
      <c r="M2587" s="10" t="n">
        <v>7627.12</v>
      </c>
      <c r="N2587" s="11">
        <f>IF(M2587="","",ROUND(M2587*1.18,2))</f>
        <v/>
      </c>
      <c r="O2587" s="12">
        <f>IF(M2587="","",ROUND(N2587-M2587,2))</f>
        <v/>
      </c>
      <c r="P2587" s="13">
        <f>IF(AND(A2587&lt;&gt;"",B2587&lt;&gt;""), A2587&amp;" · "&amp;B2587, "")</f>
        <v/>
      </c>
    </row>
    <row r="2588">
      <c r="A2588" s="6" t="inlineStr">
        <is>
          <t>FY27</t>
        </is>
      </c>
      <c r="B2588" s="6" t="inlineStr">
        <is>
          <t>Jun</t>
        </is>
      </c>
      <c r="C2588" s="6" t="inlineStr">
        <is>
          <t>TN</t>
        </is>
      </c>
      <c r="D2588" s="7" t="inlineStr">
        <is>
          <t>TN18F5182</t>
        </is>
      </c>
      <c r="E2588" s="7" t="inlineStr">
        <is>
          <t>MARUTI SUZUKI</t>
        </is>
      </c>
      <c r="F2588" s="7" t="inlineStr">
        <is>
          <t>Dzire</t>
        </is>
      </c>
      <c r="G2588" s="7" t="inlineStr">
        <is>
          <t>SVM CARS PRIVATE LIMITED</t>
        </is>
      </c>
      <c r="H2588" s="7" t="inlineStr">
        <is>
          <t>Non-Captive</t>
        </is>
      </c>
      <c r="I2588" s="7" t="inlineStr">
        <is>
          <t>AAA Cars</t>
        </is>
      </c>
      <c r="J2588" s="8" t="n">
        <v>2011</v>
      </c>
      <c r="K2588" s="9" t="n">
        <v>58733</v>
      </c>
      <c r="L2588" s="10" t="n">
        <v>300000</v>
      </c>
      <c r="M2588" s="10" t="n">
        <v>5084.75</v>
      </c>
      <c r="N2588" s="11">
        <f>IF(M2588="","",ROUND(M2588*1.18,2))</f>
        <v/>
      </c>
      <c r="O2588" s="12">
        <f>IF(M2588="","",ROUND(N2588-M2588,2))</f>
        <v/>
      </c>
      <c r="P2588" s="13">
        <f>IF(AND(A2588&lt;&gt;"",B2588&lt;&gt;""), A2588&amp;" · "&amp;B2588, "")</f>
        <v/>
      </c>
    </row>
    <row r="2589">
      <c r="A2589" s="6" t="inlineStr">
        <is>
          <t>FY27</t>
        </is>
      </c>
      <c r="B2589" s="6" t="inlineStr">
        <is>
          <t>Jun</t>
        </is>
      </c>
      <c r="C2589" s="6" t="inlineStr">
        <is>
          <t>TN</t>
        </is>
      </c>
      <c r="D2589" s="7" t="inlineStr">
        <is>
          <t>TN18T0572</t>
        </is>
      </c>
      <c r="E2589" s="7" t="inlineStr">
        <is>
          <t>MARUTI SUZUKI</t>
        </is>
      </c>
      <c r="F2589" s="7" t="inlineStr">
        <is>
          <t>Wagon R</t>
        </is>
      </c>
      <c r="G2589" s="7" t="inlineStr">
        <is>
          <t>GURUDEV MOTORS LLP</t>
        </is>
      </c>
      <c r="H2589" s="7" t="inlineStr">
        <is>
          <t>Non-Captive</t>
        </is>
      </c>
      <c r="I2589" s="7" t="inlineStr">
        <is>
          <t>Nirmal Cars</t>
        </is>
      </c>
      <c r="J2589" s="8" t="n">
        <v>2013</v>
      </c>
      <c r="K2589" s="9" t="n">
        <v>89334</v>
      </c>
      <c r="L2589" s="10" t="n">
        <v>250000</v>
      </c>
      <c r="M2589" s="10" t="n">
        <v>4237.29</v>
      </c>
      <c r="N2589" s="11">
        <f>IF(M2589="","",ROUND(M2589*1.18,2))</f>
        <v/>
      </c>
      <c r="O2589" s="12">
        <f>IF(M2589="","",ROUND(N2589-M2589,2))</f>
        <v/>
      </c>
      <c r="P2589" s="13">
        <f>IF(AND(A2589&lt;&gt;"",B2589&lt;&gt;""), A2589&amp;" · "&amp;B2589, "")</f>
        <v/>
      </c>
    </row>
    <row r="2590">
      <c r="A2590" s="6" t="inlineStr">
        <is>
          <t>FY27</t>
        </is>
      </c>
      <c r="B2590" s="6" t="inlineStr">
        <is>
          <t>Jun</t>
        </is>
      </c>
      <c r="C2590" s="6" t="inlineStr">
        <is>
          <t>TN</t>
        </is>
      </c>
      <c r="D2590" s="7" t="inlineStr">
        <is>
          <t>TN18T2548</t>
        </is>
      </c>
      <c r="E2590" s="7" t="inlineStr">
        <is>
          <t>HYUNDAI</t>
        </is>
      </c>
      <c r="F2590" s="7" t="inlineStr">
        <is>
          <t>i20</t>
        </is>
      </c>
      <c r="G2590" s="7" t="inlineStr">
        <is>
          <t>SGA MOTORS INDIA PRIVATE LIMITED</t>
        </is>
      </c>
      <c r="H2590" s="7" t="inlineStr">
        <is>
          <t>Non-Captive</t>
        </is>
      </c>
      <c r="I2590" s="7" t="inlineStr">
        <is>
          <t>&lt;NA&gt;</t>
        </is>
      </c>
      <c r="J2590" s="8" t="n">
        <v>2013</v>
      </c>
      <c r="K2590" s="9" t="n">
        <v>113639</v>
      </c>
      <c r="L2590" s="10" t="n">
        <v>100000</v>
      </c>
      <c r="M2590" s="10" t="n">
        <v>4237.29</v>
      </c>
      <c r="N2590" s="11">
        <f>IF(M2590="","",ROUND(M2590*1.18,2))</f>
        <v/>
      </c>
      <c r="O2590" s="12">
        <f>IF(M2590="","",ROUND(N2590-M2590,2))</f>
        <v/>
      </c>
      <c r="P2590" s="13">
        <f>IF(AND(A2590&lt;&gt;"",B2590&lt;&gt;""), A2590&amp;" · "&amp;B2590, "")</f>
        <v/>
      </c>
    </row>
    <row r="2591">
      <c r="A2591" s="6" t="inlineStr">
        <is>
          <t>FY27</t>
        </is>
      </c>
      <c r="B2591" s="6" t="inlineStr">
        <is>
          <t>Jun</t>
        </is>
      </c>
      <c r="C2591" s="6" t="inlineStr">
        <is>
          <t>TN</t>
        </is>
      </c>
      <c r="D2591" s="7" t="inlineStr">
        <is>
          <t>TN18T3119</t>
        </is>
      </c>
      <c r="E2591" s="7" t="inlineStr">
        <is>
          <t>NISSAN</t>
        </is>
      </c>
      <c r="F2591" s="7" t="inlineStr">
        <is>
          <t>Micra</t>
        </is>
      </c>
      <c r="G2591" s="7" t="inlineStr">
        <is>
          <t>KHIVRAJ MOTOR</t>
        </is>
      </c>
      <c r="H2591" s="7" t="inlineStr">
        <is>
          <t>Non-Captive</t>
        </is>
      </c>
      <c r="I2591" s="7" t="inlineStr">
        <is>
          <t>Nirmal Cars</t>
        </is>
      </c>
      <c r="J2591" s="8" t="n">
        <v>2013</v>
      </c>
      <c r="K2591" s="9" t="n">
        <v>44184</v>
      </c>
      <c r="L2591" s="10" t="n">
        <v>220000</v>
      </c>
      <c r="M2591" s="10" t="n">
        <v>4237.29</v>
      </c>
      <c r="N2591" s="11">
        <f>IF(M2591="","",ROUND(M2591*1.18,2))</f>
        <v/>
      </c>
      <c r="O2591" s="12">
        <f>IF(M2591="","",ROUND(N2591-M2591,2))</f>
        <v/>
      </c>
      <c r="P2591" s="13">
        <f>IF(AND(A2591&lt;&gt;"",B2591&lt;&gt;""), A2591&amp;" · "&amp;B2591, "")</f>
        <v/>
      </c>
    </row>
    <row r="2592">
      <c r="A2592" s="6" t="inlineStr">
        <is>
          <t>FY27</t>
        </is>
      </c>
      <c r="B2592" s="6" t="inlineStr">
        <is>
          <t>Jun</t>
        </is>
      </c>
      <c r="C2592" s="6" t="inlineStr">
        <is>
          <t>TN</t>
        </is>
      </c>
      <c r="D2592" s="7" t="inlineStr">
        <is>
          <t>TN18U7128</t>
        </is>
      </c>
      <c r="E2592" s="7" t="inlineStr">
        <is>
          <t>HYUNDAI</t>
        </is>
      </c>
      <c r="F2592" s="7" t="inlineStr">
        <is>
          <t>Eon</t>
        </is>
      </c>
      <c r="G2592" s="7" t="inlineStr">
        <is>
          <t>PEEYESYEM HK MOTORS LLP</t>
        </is>
      </c>
      <c r="H2592" s="7" t="inlineStr">
        <is>
          <t>Non-Captive</t>
        </is>
      </c>
      <c r="I2592" s="7" t="inlineStr">
        <is>
          <t>Senthil Cars</t>
        </is>
      </c>
      <c r="J2592" s="8" t="n">
        <v>2013</v>
      </c>
      <c r="K2592" s="9" t="n">
        <v>111374</v>
      </c>
      <c r="L2592" s="10" t="n">
        <v>93000</v>
      </c>
      <c r="M2592" s="10" t="n">
        <v>4237.29</v>
      </c>
      <c r="N2592" s="11">
        <f>IF(M2592="","",ROUND(M2592*1.18,2))</f>
        <v/>
      </c>
      <c r="O2592" s="12">
        <f>IF(M2592="","",ROUND(N2592-M2592,2))</f>
        <v/>
      </c>
      <c r="P2592" s="13">
        <f>IF(AND(A2592&lt;&gt;"",B2592&lt;&gt;""), A2592&amp;" · "&amp;B2592, "")</f>
        <v/>
      </c>
    </row>
    <row r="2593">
      <c r="A2593" s="6" t="inlineStr">
        <is>
          <t>FY27</t>
        </is>
      </c>
      <c r="B2593" s="6" t="inlineStr">
        <is>
          <t>Jun</t>
        </is>
      </c>
      <c r="C2593" s="6" t="inlineStr">
        <is>
          <t>TN</t>
        </is>
      </c>
      <c r="D2593" s="7" t="inlineStr">
        <is>
          <t>TN18W5593</t>
        </is>
      </c>
      <c r="E2593" s="7" t="inlineStr">
        <is>
          <t>MARUTI SUZUKI</t>
        </is>
      </c>
      <c r="F2593" s="7" t="inlineStr">
        <is>
          <t>Wagon R</t>
        </is>
      </c>
      <c r="G2593" s="7" t="inlineStr">
        <is>
          <t>CASTLE TRADERS HONDA</t>
        </is>
      </c>
      <c r="H2593" s="7" t="inlineStr">
        <is>
          <t>Non-Captive</t>
        </is>
      </c>
      <c r="I2593" s="7" t="inlineStr">
        <is>
          <t>Grid 33</t>
        </is>
      </c>
      <c r="J2593" s="8" t="n">
        <v>2012</v>
      </c>
      <c r="K2593" s="9" t="n">
        <v>38742</v>
      </c>
      <c r="L2593" s="10" t="n">
        <v>145000</v>
      </c>
      <c r="M2593" s="10" t="n">
        <v>4237.29</v>
      </c>
      <c r="N2593" s="11">
        <f>IF(M2593="","",ROUND(M2593*1.18,2))</f>
        <v/>
      </c>
      <c r="O2593" s="12">
        <f>IF(M2593="","",ROUND(N2593-M2593,2))</f>
        <v/>
      </c>
      <c r="P2593" s="13">
        <f>IF(AND(A2593&lt;&gt;"",B2593&lt;&gt;""), A2593&amp;" · "&amp;B2593, "")</f>
        <v/>
      </c>
    </row>
    <row r="2594">
      <c r="A2594" s="6" t="inlineStr">
        <is>
          <t>FY27</t>
        </is>
      </c>
      <c r="B2594" s="6" t="inlineStr">
        <is>
          <t>Jun</t>
        </is>
      </c>
      <c r="C2594" s="6" t="inlineStr">
        <is>
          <t>TN</t>
        </is>
      </c>
      <c r="D2594" s="7" t="inlineStr">
        <is>
          <t>TN18W5857</t>
        </is>
      </c>
      <c r="E2594" s="7" t="inlineStr">
        <is>
          <t>MARUTI SUZUKI</t>
        </is>
      </c>
      <c r="F2594" s="7" t="inlineStr">
        <is>
          <t>Wagon R</t>
        </is>
      </c>
      <c r="G2594" s="7" t="inlineStr">
        <is>
          <t>KHIVRAJ MOTOR</t>
        </is>
      </c>
      <c r="H2594" s="7" t="inlineStr">
        <is>
          <t>Non-Captive</t>
        </is>
      </c>
      <c r="I2594" s="7" t="inlineStr">
        <is>
          <t>TSM</t>
        </is>
      </c>
      <c r="J2594" s="8" t="n">
        <v>2012</v>
      </c>
      <c r="K2594" s="9" t="n">
        <v>72564</v>
      </c>
      <c r="L2594" s="10" t="n">
        <v>270000</v>
      </c>
      <c r="M2594" s="10" t="n">
        <v>4237.29</v>
      </c>
      <c r="N2594" s="11">
        <f>IF(M2594="","",ROUND(M2594*1.18,2))</f>
        <v/>
      </c>
      <c r="O2594" s="12">
        <f>IF(M2594="","",ROUND(N2594-M2594,2))</f>
        <v/>
      </c>
      <c r="P2594" s="13">
        <f>IF(AND(A2594&lt;&gt;"",B2594&lt;&gt;""), A2594&amp;" · "&amp;B2594, "")</f>
        <v/>
      </c>
    </row>
    <row r="2595">
      <c r="A2595" s="6" t="inlineStr">
        <is>
          <t>FY27</t>
        </is>
      </c>
      <c r="B2595" s="6" t="inlineStr">
        <is>
          <t>Jun</t>
        </is>
      </c>
      <c r="C2595" s="6" t="inlineStr">
        <is>
          <t>TN</t>
        </is>
      </c>
      <c r="D2595" s="7" t="inlineStr">
        <is>
          <t>TN19AL5196</t>
        </is>
      </c>
      <c r="E2595" s="7" t="inlineStr">
        <is>
          <t>DATSUN</t>
        </is>
      </c>
      <c r="F2595" s="7" t="inlineStr">
        <is>
          <t>Redi-GO</t>
        </is>
      </c>
      <c r="G2595" s="7" t="inlineStr">
        <is>
          <t>EXCHANGE CHENNAI</t>
        </is>
      </c>
      <c r="H2595" s="7" t="inlineStr">
        <is>
          <t>Captive</t>
        </is>
      </c>
      <c r="I2595" s="7" t="inlineStr">
        <is>
          <t>&lt;NA&gt;</t>
        </is>
      </c>
      <c r="J2595" s="8" t="n">
        <v>2018</v>
      </c>
      <c r="K2595" s="9" t="n">
        <v>50337</v>
      </c>
      <c r="L2595" s="10" t="n">
        <v>130000</v>
      </c>
      <c r="M2595" s="10" t="n">
        <v>4237.29</v>
      </c>
      <c r="N2595" s="11">
        <f>IF(M2595="","",ROUND(M2595*1.18,2))</f>
        <v/>
      </c>
      <c r="O2595" s="12">
        <f>IF(M2595="","",ROUND(N2595-M2595,2))</f>
        <v/>
      </c>
      <c r="P2595" s="13">
        <f>IF(AND(A2595&lt;&gt;"",B2595&lt;&gt;""), A2595&amp;" · "&amp;B2595, "")</f>
        <v/>
      </c>
    </row>
    <row r="2596">
      <c r="A2596" s="6" t="inlineStr">
        <is>
          <t>FY27</t>
        </is>
      </c>
      <c r="B2596" s="6" t="inlineStr">
        <is>
          <t>Jun</t>
        </is>
      </c>
      <c r="C2596" s="6" t="inlineStr">
        <is>
          <t>TN</t>
        </is>
      </c>
      <c r="D2596" s="7" t="inlineStr">
        <is>
          <t>TN19AQ7396</t>
        </is>
      </c>
      <c r="E2596" s="7" t="inlineStr">
        <is>
          <t>HONDA</t>
        </is>
      </c>
      <c r="F2596" s="7" t="inlineStr">
        <is>
          <t>Amaze</t>
        </is>
      </c>
      <c r="G2596" s="7" t="inlineStr">
        <is>
          <t>EXCHANGE CHENNAI</t>
        </is>
      </c>
      <c r="H2596" s="7" t="inlineStr">
        <is>
          <t>Captive</t>
        </is>
      </c>
      <c r="I2596" s="7" t="inlineStr">
        <is>
          <t>Lanson</t>
        </is>
      </c>
      <c r="J2596" s="8" t="n">
        <v>2021</v>
      </c>
      <c r="K2596" s="9" t="n">
        <v>73395</v>
      </c>
      <c r="L2596" s="10" t="n">
        <v>500000</v>
      </c>
      <c r="M2596" s="10" t="n">
        <v>8474.58</v>
      </c>
      <c r="N2596" s="11">
        <f>IF(M2596="","",ROUND(M2596*1.18,2))</f>
        <v/>
      </c>
      <c r="O2596" s="12">
        <f>IF(M2596="","",ROUND(N2596-M2596,2))</f>
        <v/>
      </c>
      <c r="P2596" s="13">
        <f>IF(AND(A2596&lt;&gt;"",B2596&lt;&gt;""), A2596&amp;" · "&amp;B2596, "")</f>
        <v/>
      </c>
    </row>
    <row r="2597">
      <c r="A2597" s="6" t="inlineStr">
        <is>
          <t>FY27</t>
        </is>
      </c>
      <c r="B2597" s="6" t="inlineStr">
        <is>
          <t>Jun</t>
        </is>
      </c>
      <c r="C2597" s="6" t="inlineStr">
        <is>
          <t>TN</t>
        </is>
      </c>
      <c r="D2597" s="7" t="inlineStr">
        <is>
          <t>TN19AS2527</t>
        </is>
      </c>
      <c r="E2597" s="7" t="inlineStr">
        <is>
          <t>MARUTI SUZUKI</t>
        </is>
      </c>
      <c r="F2597" s="7" t="inlineStr">
        <is>
          <t>Celerio</t>
        </is>
      </c>
      <c r="G2597" s="7" t="inlineStr">
        <is>
          <t>AIE CARS PRIVATE LIMITED</t>
        </is>
      </c>
      <c r="H2597" s="7" t="inlineStr">
        <is>
          <t>Non-Captive</t>
        </is>
      </c>
      <c r="I2597" s="7" t="inlineStr">
        <is>
          <t>Santhosh Cars</t>
        </is>
      </c>
      <c r="J2597" s="8" t="n">
        <v>2022</v>
      </c>
      <c r="K2597" s="9" t="n">
        <v>134202</v>
      </c>
      <c r="L2597" s="10" t="n">
        <v>400000</v>
      </c>
      <c r="M2597" s="10" t="n">
        <v>4237.29</v>
      </c>
      <c r="N2597" s="11">
        <f>IF(M2597="","",ROUND(M2597*1.18,2))</f>
        <v/>
      </c>
      <c r="O2597" s="12">
        <f>IF(M2597="","",ROUND(N2597-M2597,2))</f>
        <v/>
      </c>
      <c r="P2597" s="13">
        <f>IF(AND(A2597&lt;&gt;"",B2597&lt;&gt;""), A2597&amp;" · "&amp;B2597, "")</f>
        <v/>
      </c>
    </row>
    <row r="2598">
      <c r="A2598" s="6" t="inlineStr">
        <is>
          <t>FY27</t>
        </is>
      </c>
      <c r="B2598" s="6" t="inlineStr">
        <is>
          <t>Jun</t>
        </is>
      </c>
      <c r="C2598" s="6" t="inlineStr">
        <is>
          <t>TN</t>
        </is>
      </c>
      <c r="D2598" s="7" t="inlineStr">
        <is>
          <t>TN19AZ3894</t>
        </is>
      </c>
      <c r="E2598" s="7" t="inlineStr">
        <is>
          <t>MARUTI SUZUKI</t>
        </is>
      </c>
      <c r="F2598" s="7" t="inlineStr">
        <is>
          <t>Swift</t>
        </is>
      </c>
      <c r="G2598" s="7" t="inlineStr">
        <is>
          <t>AIE CARS PRIVATE LIMITED</t>
        </is>
      </c>
      <c r="H2598" s="7" t="inlineStr">
        <is>
          <t>Non-Captive</t>
        </is>
      </c>
      <c r="I2598" s="7" t="inlineStr">
        <is>
          <t>Santhosh Cars</t>
        </is>
      </c>
      <c r="J2598" s="8" t="n">
        <v>2017</v>
      </c>
      <c r="K2598" s="9" t="n">
        <v>152641</v>
      </c>
      <c r="L2598" s="10" t="n">
        <v>380000</v>
      </c>
      <c r="M2598" s="10" t="n">
        <v>4237.29</v>
      </c>
      <c r="N2598" s="11">
        <f>IF(M2598="","",ROUND(M2598*1.18,2))</f>
        <v/>
      </c>
      <c r="O2598" s="12">
        <f>IF(M2598="","",ROUND(N2598-M2598,2))</f>
        <v/>
      </c>
      <c r="P2598" s="13">
        <f>IF(AND(A2598&lt;&gt;"",B2598&lt;&gt;""), A2598&amp;" · "&amp;B2598, "")</f>
        <v/>
      </c>
    </row>
    <row r="2599">
      <c r="A2599" s="6" t="inlineStr">
        <is>
          <t>FY27</t>
        </is>
      </c>
      <c r="B2599" s="6" t="inlineStr">
        <is>
          <t>Jun</t>
        </is>
      </c>
      <c r="C2599" s="6" t="inlineStr">
        <is>
          <t>TN</t>
        </is>
      </c>
      <c r="D2599" s="7" t="inlineStr">
        <is>
          <t>TN19L8696</t>
        </is>
      </c>
      <c r="E2599" s="7" t="inlineStr">
        <is>
          <t>HYUNDAI</t>
        </is>
      </c>
      <c r="F2599" s="7" t="inlineStr">
        <is>
          <t>i10</t>
        </is>
      </c>
      <c r="G2599" s="7" t="inlineStr">
        <is>
          <t>STEER AUTO TECHNOLOGIES PRIVATE LIMITED</t>
        </is>
      </c>
      <c r="H2599" s="7" t="inlineStr">
        <is>
          <t>Non-Captive</t>
        </is>
      </c>
      <c r="I2599" s="7" t="inlineStr">
        <is>
          <t>Nirmal Cars</t>
        </is>
      </c>
      <c r="J2599" s="8" t="n">
        <v>2013</v>
      </c>
      <c r="K2599" s="9" t="n">
        <v>51471</v>
      </c>
      <c r="L2599" s="10" t="n">
        <v>240000</v>
      </c>
      <c r="M2599" s="10" t="n">
        <v>4237.29</v>
      </c>
      <c r="N2599" s="11">
        <f>IF(M2599="","",ROUND(M2599*1.18,2))</f>
        <v/>
      </c>
      <c r="O2599" s="12">
        <f>IF(M2599="","",ROUND(N2599-M2599,2))</f>
        <v/>
      </c>
      <c r="P2599" s="13">
        <f>IF(AND(A2599&lt;&gt;"",B2599&lt;&gt;""), A2599&amp;" · "&amp;B2599, "")</f>
        <v/>
      </c>
    </row>
    <row r="2600">
      <c r="A2600" s="6" t="inlineStr">
        <is>
          <t>FY27</t>
        </is>
      </c>
      <c r="B2600" s="6" t="inlineStr">
        <is>
          <t>Jun</t>
        </is>
      </c>
      <c r="C2600" s="6" t="inlineStr">
        <is>
          <t>TN</t>
        </is>
      </c>
      <c r="D2600" s="7" t="inlineStr">
        <is>
          <t>TN20AL2791</t>
        </is>
      </c>
      <c r="E2600" s="7" t="inlineStr">
        <is>
          <t>MARUTI SUZUKI</t>
        </is>
      </c>
      <c r="F2600" s="7" t="inlineStr">
        <is>
          <t>Alto</t>
        </is>
      </c>
      <c r="G2600" s="7" t="inlineStr">
        <is>
          <t>KHIVRAJ MOTOR</t>
        </is>
      </c>
      <c r="H2600" s="7" t="inlineStr">
        <is>
          <t>Non-Captive</t>
        </is>
      </c>
      <c r="I2600" s="7" t="inlineStr">
        <is>
          <t>Vijaya Cars</t>
        </is>
      </c>
      <c r="J2600" s="8" t="n">
        <v>2008</v>
      </c>
      <c r="K2600" s="9" t="n">
        <v>153471</v>
      </c>
      <c r="L2600" s="10" t="n">
        <v>75000</v>
      </c>
      <c r="M2600" s="10" t="n">
        <v>4237.29</v>
      </c>
      <c r="N2600" s="11">
        <f>IF(M2600="","",ROUND(M2600*1.18,2))</f>
        <v/>
      </c>
      <c r="O2600" s="12">
        <f>IF(M2600="","",ROUND(N2600-M2600,2))</f>
        <v/>
      </c>
      <c r="P2600" s="13">
        <f>IF(AND(A2600&lt;&gt;"",B2600&lt;&gt;""), A2600&amp;" · "&amp;B2600, "")</f>
        <v/>
      </c>
    </row>
    <row r="2601">
      <c r="A2601" s="6" t="inlineStr">
        <is>
          <t>FY27</t>
        </is>
      </c>
      <c r="B2601" s="6" t="inlineStr">
        <is>
          <t>Jun</t>
        </is>
      </c>
      <c r="C2601" s="6" t="inlineStr">
        <is>
          <t>TN</t>
        </is>
      </c>
      <c r="D2601" s="7" t="inlineStr">
        <is>
          <t>TN20BP7636</t>
        </is>
      </c>
      <c r="E2601" s="7" t="inlineStr">
        <is>
          <t>MARUTI SUZUKI</t>
        </is>
      </c>
      <c r="F2601" s="7" t="inlineStr">
        <is>
          <t>Swift</t>
        </is>
      </c>
      <c r="G2601" s="7" t="inlineStr">
        <is>
          <t>EXCHANGE ROTN</t>
        </is>
      </c>
      <c r="H2601" s="7" t="inlineStr">
        <is>
          <t>Captive</t>
        </is>
      </c>
      <c r="I2601" s="7" t="inlineStr">
        <is>
          <t>Balaji Cars</t>
        </is>
      </c>
      <c r="J2601" s="8" t="n">
        <v>2011</v>
      </c>
      <c r="K2601" s="9" t="n">
        <v>133036</v>
      </c>
      <c r="L2601" s="10" t="n">
        <v>175000</v>
      </c>
      <c r="M2601" s="10" t="n">
        <v>8474.58</v>
      </c>
      <c r="N2601" s="11">
        <f>IF(M2601="","",ROUND(M2601*1.18,2))</f>
        <v/>
      </c>
      <c r="O2601" s="12">
        <f>IF(M2601="","",ROUND(N2601-M2601,2))</f>
        <v/>
      </c>
      <c r="P2601" s="13">
        <f>IF(AND(A2601&lt;&gt;"",B2601&lt;&gt;""), A2601&amp;" · "&amp;B2601, "")</f>
        <v/>
      </c>
    </row>
    <row r="2602">
      <c r="A2602" s="6" t="inlineStr">
        <is>
          <t>FY27</t>
        </is>
      </c>
      <c r="B2602" s="6" t="inlineStr">
        <is>
          <t>Jun</t>
        </is>
      </c>
      <c r="C2602" s="6" t="inlineStr">
        <is>
          <t>TN</t>
        </is>
      </c>
      <c r="D2602" s="7" t="inlineStr">
        <is>
          <t>TN20BX1111</t>
        </is>
      </c>
      <c r="E2602" s="7" t="inlineStr">
        <is>
          <t>MARUTI SUZUKI</t>
        </is>
      </c>
      <c r="F2602" s="7" t="inlineStr">
        <is>
          <t>SX4</t>
        </is>
      </c>
      <c r="G2602" s="7" t="inlineStr">
        <is>
          <t>EXCHANGE ROTN</t>
        </is>
      </c>
      <c r="H2602" s="7" t="inlineStr">
        <is>
          <t>Captive</t>
        </is>
      </c>
      <c r="I2602" s="7" t="inlineStr">
        <is>
          <t>&lt;NA&gt;</t>
        </is>
      </c>
      <c r="J2602" s="8" t="n">
        <v>2008</v>
      </c>
      <c r="K2602" s="9" t="n">
        <v>108128</v>
      </c>
      <c r="L2602" s="10" t="n">
        <v>150000</v>
      </c>
      <c r="M2602" s="10" t="n">
        <v>4237.29</v>
      </c>
      <c r="N2602" s="11">
        <f>IF(M2602="","",ROUND(M2602*1.18,2))</f>
        <v/>
      </c>
      <c r="O2602" s="12">
        <f>IF(M2602="","",ROUND(N2602-M2602,2))</f>
        <v/>
      </c>
      <c r="P2602" s="13">
        <f>IF(AND(A2602&lt;&gt;"",B2602&lt;&gt;""), A2602&amp;" · "&amp;B2602, "")</f>
        <v/>
      </c>
    </row>
    <row r="2603">
      <c r="A2603" s="6" t="inlineStr">
        <is>
          <t>FY27</t>
        </is>
      </c>
      <c r="B2603" s="6" t="inlineStr">
        <is>
          <t>Jun</t>
        </is>
      </c>
      <c r="C2603" s="6" t="inlineStr">
        <is>
          <t>TN</t>
        </is>
      </c>
      <c r="D2603" s="7" t="inlineStr">
        <is>
          <t>TN20CF7059</t>
        </is>
      </c>
      <c r="E2603" s="7" t="inlineStr">
        <is>
          <t>MARUTI SUZUKI</t>
        </is>
      </c>
      <c r="F2603" s="7" t="inlineStr">
        <is>
          <t>Alto</t>
        </is>
      </c>
      <c r="G2603" s="7" t="inlineStr">
        <is>
          <t>KHIVRAJ MOTOR</t>
        </is>
      </c>
      <c r="H2603" s="7" t="inlineStr">
        <is>
          <t>Non-Captive</t>
        </is>
      </c>
      <c r="I2603" s="7" t="inlineStr">
        <is>
          <t>Nirmal Cars</t>
        </is>
      </c>
      <c r="J2603" s="8" t="n">
        <v>2015</v>
      </c>
      <c r="K2603" s="9" t="n">
        <v>124952</v>
      </c>
      <c r="L2603" s="10" t="n">
        <v>225000</v>
      </c>
      <c r="M2603" s="10" t="n">
        <v>4237.29</v>
      </c>
      <c r="N2603" s="11">
        <f>IF(M2603="","",ROUND(M2603*1.18,2))</f>
        <v/>
      </c>
      <c r="O2603" s="12">
        <f>IF(M2603="","",ROUND(N2603-M2603,2))</f>
        <v/>
      </c>
      <c r="P2603" s="13">
        <f>IF(AND(A2603&lt;&gt;"",B2603&lt;&gt;""), A2603&amp;" · "&amp;B2603, "")</f>
        <v/>
      </c>
    </row>
    <row r="2604">
      <c r="A2604" s="6" t="inlineStr">
        <is>
          <t>FY27</t>
        </is>
      </c>
      <c r="B2604" s="6" t="inlineStr">
        <is>
          <t>Jun</t>
        </is>
      </c>
      <c r="C2604" s="6" t="inlineStr">
        <is>
          <t>TN</t>
        </is>
      </c>
      <c r="D2604" s="7" t="inlineStr">
        <is>
          <t>TN20CR2194</t>
        </is>
      </c>
      <c r="E2604" s="7" t="inlineStr">
        <is>
          <t>MARUTI SUZUKI</t>
        </is>
      </c>
      <c r="F2604" s="7" t="inlineStr">
        <is>
          <t>Dzire</t>
        </is>
      </c>
      <c r="G2604" s="7" t="inlineStr">
        <is>
          <t>CASTLE TRADERS HONDA</t>
        </is>
      </c>
      <c r="H2604" s="7" t="inlineStr">
        <is>
          <t>Non-Captive</t>
        </is>
      </c>
      <c r="I2604" s="7" t="inlineStr">
        <is>
          <t>Pine Autos</t>
        </is>
      </c>
      <c r="J2604" s="8" t="n">
        <v>2019</v>
      </c>
      <c r="K2604" s="9" t="n">
        <v>66661</v>
      </c>
      <c r="L2604" s="10" t="n">
        <v>500000</v>
      </c>
      <c r="M2604" s="10" t="n">
        <v>7627.12</v>
      </c>
      <c r="N2604" s="11">
        <f>IF(M2604="","",ROUND(M2604*1.18,2))</f>
        <v/>
      </c>
      <c r="O2604" s="12">
        <f>IF(M2604="","",ROUND(N2604-M2604,2))</f>
        <v/>
      </c>
      <c r="P2604" s="13">
        <f>IF(AND(A2604&lt;&gt;"",B2604&lt;&gt;""), A2604&amp;" · "&amp;B2604, "")</f>
        <v/>
      </c>
    </row>
    <row r="2605">
      <c r="A2605" s="6" t="inlineStr">
        <is>
          <t>FY27</t>
        </is>
      </c>
      <c r="B2605" s="6" t="inlineStr">
        <is>
          <t>Jun</t>
        </is>
      </c>
      <c r="C2605" s="6" t="inlineStr">
        <is>
          <t>TN</t>
        </is>
      </c>
      <c r="D2605" s="7" t="inlineStr">
        <is>
          <t>TN20CW4053</t>
        </is>
      </c>
      <c r="E2605" s="7" t="inlineStr">
        <is>
          <t>MARUTI SUZUKI</t>
        </is>
      </c>
      <c r="F2605" s="7" t="inlineStr">
        <is>
          <t>A-Star</t>
        </is>
      </c>
      <c r="G2605" s="7" t="inlineStr">
        <is>
          <t>SUN CARS</t>
        </is>
      </c>
      <c r="H2605" s="7" t="inlineStr">
        <is>
          <t>Non-Captive</t>
        </is>
      </c>
      <c r="I2605" s="7" t="inlineStr">
        <is>
          <t>TSM</t>
        </is>
      </c>
      <c r="J2605" s="8" t="n">
        <v>2013</v>
      </c>
      <c r="K2605" s="9" t="n">
        <v>27087</v>
      </c>
      <c r="L2605" s="10" t="n">
        <v>250000</v>
      </c>
      <c r="M2605" s="10" t="n">
        <v>4237.29</v>
      </c>
      <c r="N2605" s="11">
        <f>IF(M2605="","",ROUND(M2605*1.18,2))</f>
        <v/>
      </c>
      <c r="O2605" s="12">
        <f>IF(M2605="","",ROUND(N2605-M2605,2))</f>
        <v/>
      </c>
      <c r="P2605" s="13">
        <f>IF(AND(A2605&lt;&gt;"",B2605&lt;&gt;""), A2605&amp;" · "&amp;B2605, "")</f>
        <v/>
      </c>
    </row>
    <row r="2606">
      <c r="A2606" s="6" t="inlineStr">
        <is>
          <t>FY27</t>
        </is>
      </c>
      <c r="B2606" s="6" t="inlineStr">
        <is>
          <t>Jun</t>
        </is>
      </c>
      <c r="C2606" s="6" t="inlineStr">
        <is>
          <t>TN</t>
        </is>
      </c>
      <c r="D2606" s="7" t="inlineStr">
        <is>
          <t>TN20CW9307</t>
        </is>
      </c>
      <c r="E2606" s="7" t="inlineStr">
        <is>
          <t>MARUTI SUZUKI</t>
        </is>
      </c>
      <c r="F2606" s="7" t="inlineStr">
        <is>
          <t>Figo</t>
        </is>
      </c>
      <c r="G2606" s="7" t="inlineStr">
        <is>
          <t>CASTLE TRADERS HONDA</t>
        </is>
      </c>
      <c r="H2606" s="7" t="inlineStr">
        <is>
          <t>Non-Captive</t>
        </is>
      </c>
      <c r="I2606" s="7" t="inlineStr">
        <is>
          <t>AAA Cars</t>
        </is>
      </c>
      <c r="J2606" s="8" t="n">
        <v>2013</v>
      </c>
      <c r="K2606" s="9" t="n">
        <v>66541</v>
      </c>
      <c r="L2606" s="10" t="n">
        <v>140000</v>
      </c>
      <c r="M2606" s="10" t="n">
        <v>3389.83</v>
      </c>
      <c r="N2606" s="11">
        <f>IF(M2606="","",ROUND(M2606*1.18,2))</f>
        <v/>
      </c>
      <c r="O2606" s="12">
        <f>IF(M2606="","",ROUND(N2606-M2606,2))</f>
        <v/>
      </c>
      <c r="P2606" s="13">
        <f>IF(AND(A2606&lt;&gt;"",B2606&lt;&gt;""), A2606&amp;" · "&amp;B2606, "")</f>
        <v/>
      </c>
    </row>
    <row r="2607">
      <c r="A2607" s="6" t="inlineStr">
        <is>
          <t>FY27</t>
        </is>
      </c>
      <c r="B2607" s="6" t="inlineStr">
        <is>
          <t>Jun</t>
        </is>
      </c>
      <c r="C2607" s="6" t="inlineStr">
        <is>
          <t>TN</t>
        </is>
      </c>
      <c r="D2607" s="7" t="inlineStr">
        <is>
          <t>TN20CZ6303</t>
        </is>
      </c>
      <c r="E2607" s="7" t="inlineStr">
        <is>
          <t>VOLKSWAGEN</t>
        </is>
      </c>
      <c r="F2607" s="7" t="inlineStr">
        <is>
          <t>Polo</t>
        </is>
      </c>
      <c r="G2607" s="7" t="inlineStr">
        <is>
          <t>STEER AUTO TECHNOLOGIES PRIVATE LIMITED</t>
        </is>
      </c>
      <c r="H2607" s="7" t="inlineStr">
        <is>
          <t>Non-Captive</t>
        </is>
      </c>
      <c r="I2607" s="7" t="inlineStr">
        <is>
          <t>Lanson</t>
        </is>
      </c>
      <c r="J2607" s="8" t="n">
        <v>2012</v>
      </c>
      <c r="K2607" s="9" t="n">
        <v>157774</v>
      </c>
      <c r="L2607" s="10" t="n">
        <v>170000</v>
      </c>
      <c r="M2607" s="10" t="n">
        <v>4237.29</v>
      </c>
      <c r="N2607" s="11">
        <f>IF(M2607="","",ROUND(M2607*1.18,2))</f>
        <v/>
      </c>
      <c r="O2607" s="12">
        <f>IF(M2607="","",ROUND(N2607-M2607,2))</f>
        <v/>
      </c>
      <c r="P2607" s="13">
        <f>IF(AND(A2607&lt;&gt;"",B2607&lt;&gt;""), A2607&amp;" · "&amp;B2607, "")</f>
        <v/>
      </c>
    </row>
    <row r="2608">
      <c r="A2608" s="6" t="inlineStr">
        <is>
          <t>FY27</t>
        </is>
      </c>
      <c r="B2608" s="6" t="inlineStr">
        <is>
          <t>Jun</t>
        </is>
      </c>
      <c r="C2608" s="6" t="inlineStr">
        <is>
          <t>TN</t>
        </is>
      </c>
      <c r="D2608" s="7" t="inlineStr">
        <is>
          <t>TN22BK1050</t>
        </is>
      </c>
      <c r="E2608" s="7" t="inlineStr">
        <is>
          <t>MARUTI SUZUKI</t>
        </is>
      </c>
      <c r="F2608" s="7" t="inlineStr">
        <is>
          <t>Swift</t>
        </is>
      </c>
      <c r="G2608" s="7" t="inlineStr">
        <is>
          <t>AA CARS</t>
        </is>
      </c>
      <c r="H2608" s="7" t="inlineStr">
        <is>
          <t>Non-Captive</t>
        </is>
      </c>
      <c r="I2608" s="7" t="inlineStr">
        <is>
          <t>TSM</t>
        </is>
      </c>
      <c r="J2608" s="8" t="n">
        <v>2010</v>
      </c>
      <c r="K2608" s="9" t="n">
        <v>51059</v>
      </c>
      <c r="L2608" s="10" t="n">
        <v>250000</v>
      </c>
      <c r="M2608" s="10" t="n">
        <v>4237.29</v>
      </c>
      <c r="N2608" s="11">
        <f>IF(M2608="","",ROUND(M2608*1.18,2))</f>
        <v/>
      </c>
      <c r="O2608" s="12">
        <f>IF(M2608="","",ROUND(N2608-M2608,2))</f>
        <v/>
      </c>
      <c r="P2608" s="13">
        <f>IF(AND(A2608&lt;&gt;"",B2608&lt;&gt;""), A2608&amp;" · "&amp;B2608, "")</f>
        <v/>
      </c>
    </row>
    <row r="2609">
      <c r="A2609" s="6" t="inlineStr">
        <is>
          <t>FY27</t>
        </is>
      </c>
      <c r="B2609" s="6" t="inlineStr">
        <is>
          <t>Jun</t>
        </is>
      </c>
      <c r="C2609" s="6" t="inlineStr">
        <is>
          <t>TN</t>
        </is>
      </c>
      <c r="D2609" s="7" t="inlineStr">
        <is>
          <t>TN22BY2665</t>
        </is>
      </c>
      <c r="E2609" s="7" t="inlineStr">
        <is>
          <t>FORD</t>
        </is>
      </c>
      <c r="F2609" s="7" t="inlineStr">
        <is>
          <t>Fiesta</t>
        </is>
      </c>
      <c r="G2609" s="7" t="inlineStr">
        <is>
          <t>EXCHANGE ROTN</t>
        </is>
      </c>
      <c r="H2609" s="7" t="inlineStr">
        <is>
          <t>Captive</t>
        </is>
      </c>
      <c r="I2609" s="7" t="inlineStr">
        <is>
          <t>Sivashankar Cars</t>
        </is>
      </c>
      <c r="J2609" s="8" t="n">
        <v>2008</v>
      </c>
      <c r="K2609" s="9" t="n">
        <v>147291</v>
      </c>
      <c r="L2609" s="10" t="n">
        <v>60000</v>
      </c>
      <c r="M2609" s="10" t="n">
        <v>4237.29</v>
      </c>
      <c r="N2609" s="11">
        <f>IF(M2609="","",ROUND(M2609*1.18,2))</f>
        <v/>
      </c>
      <c r="O2609" s="12">
        <f>IF(M2609="","",ROUND(N2609-M2609,2))</f>
        <v/>
      </c>
      <c r="P2609" s="13">
        <f>IF(AND(A2609&lt;&gt;"",B2609&lt;&gt;""), A2609&amp;" · "&amp;B2609, "")</f>
        <v/>
      </c>
    </row>
    <row r="2610">
      <c r="A2610" s="6" t="inlineStr">
        <is>
          <t>FY27</t>
        </is>
      </c>
      <c r="B2610" s="6" t="inlineStr">
        <is>
          <t>Jun</t>
        </is>
      </c>
      <c r="C2610" s="6" t="inlineStr">
        <is>
          <t>TN</t>
        </is>
      </c>
      <c r="D2610" s="7" t="inlineStr">
        <is>
          <t>TN22CD4336</t>
        </is>
      </c>
      <c r="E2610" s="7" t="inlineStr">
        <is>
          <t>HYUNDAI</t>
        </is>
      </c>
      <c r="F2610" s="7" t="inlineStr">
        <is>
          <t>i20</t>
        </is>
      </c>
      <c r="G2610" s="7" t="inlineStr">
        <is>
          <t>PLA MOTORS</t>
        </is>
      </c>
      <c r="H2610" s="7" t="inlineStr">
        <is>
          <t>Non-Captive</t>
        </is>
      </c>
      <c r="I2610" s="7" t="inlineStr">
        <is>
          <t>Rajaganapathy</t>
        </is>
      </c>
      <c r="J2610" s="8" t="n">
        <v>2012</v>
      </c>
      <c r="K2610" s="9" t="n">
        <v>147401</v>
      </c>
      <c r="L2610" s="10" t="n">
        <v>93000</v>
      </c>
      <c r="M2610" s="10" t="n">
        <v>4237.29</v>
      </c>
      <c r="N2610" s="11">
        <f>IF(M2610="","",ROUND(M2610*1.18,2))</f>
        <v/>
      </c>
      <c r="O2610" s="12">
        <f>IF(M2610="","",ROUND(N2610-M2610,2))</f>
        <v/>
      </c>
      <c r="P2610" s="13">
        <f>IF(AND(A2610&lt;&gt;"",B2610&lt;&gt;""), A2610&amp;" · "&amp;B2610, "")</f>
        <v/>
      </c>
    </row>
    <row r="2611">
      <c r="A2611" s="6" t="inlineStr">
        <is>
          <t>FY27</t>
        </is>
      </c>
      <c r="B2611" s="6" t="inlineStr">
        <is>
          <t>Jun</t>
        </is>
      </c>
      <c r="C2611" s="6" t="inlineStr">
        <is>
          <t>TN</t>
        </is>
      </c>
      <c r="D2611" s="7" t="inlineStr">
        <is>
          <t>TN22CJ3258</t>
        </is>
      </c>
      <c r="E2611" s="7" t="inlineStr">
        <is>
          <t>NISSAN</t>
        </is>
      </c>
      <c r="F2611" s="7" t="inlineStr">
        <is>
          <t>Micra</t>
        </is>
      </c>
      <c r="G2611" s="7" t="inlineStr">
        <is>
          <t>POPULAR VEHICLES</t>
        </is>
      </c>
      <c r="H2611" s="7" t="inlineStr">
        <is>
          <t>Non-Captive</t>
        </is>
      </c>
      <c r="I2611" s="7" t="inlineStr">
        <is>
          <t>TSM</t>
        </is>
      </c>
      <c r="J2611" s="8" t="n">
        <v>2012</v>
      </c>
      <c r="K2611" s="9" t="n">
        <v>13626</v>
      </c>
      <c r="L2611" s="10" t="n">
        <v>260000</v>
      </c>
      <c r="M2611" s="10" t="n">
        <v>4237.29</v>
      </c>
      <c r="N2611" s="11">
        <f>IF(M2611="","",ROUND(M2611*1.18,2))</f>
        <v/>
      </c>
      <c r="O2611" s="12">
        <f>IF(M2611="","",ROUND(N2611-M2611,2))</f>
        <v/>
      </c>
      <c r="P2611" s="13">
        <f>IF(AND(A2611&lt;&gt;"",B2611&lt;&gt;""), A2611&amp;" · "&amp;B2611, "")</f>
        <v/>
      </c>
    </row>
    <row r="2612">
      <c r="A2612" s="6" t="inlineStr">
        <is>
          <t>FY27</t>
        </is>
      </c>
      <c r="B2612" s="6" t="inlineStr">
        <is>
          <t>Jun</t>
        </is>
      </c>
      <c r="C2612" s="6" t="inlineStr">
        <is>
          <t>TN</t>
        </is>
      </c>
      <c r="D2612" s="7" t="inlineStr">
        <is>
          <t>TN22CQ8217</t>
        </is>
      </c>
      <c r="E2612" s="7" t="inlineStr">
        <is>
          <t>HYUNDAI</t>
        </is>
      </c>
      <c r="F2612" s="7" t="inlineStr">
        <is>
          <t>i10</t>
        </is>
      </c>
      <c r="G2612" s="7" t="inlineStr">
        <is>
          <t>STEER AUTO TECHNOLOGIES PRIVATE LIMITED</t>
        </is>
      </c>
      <c r="H2612" s="7" t="inlineStr">
        <is>
          <t>Non-Captive</t>
        </is>
      </c>
      <c r="I2612" s="7" t="inlineStr">
        <is>
          <t>Lanson</t>
        </is>
      </c>
      <c r="J2612" s="8" t="n">
        <v>2014</v>
      </c>
      <c r="K2612" s="9" t="n">
        <v>47875</v>
      </c>
      <c r="L2612" s="10" t="n">
        <v>300000</v>
      </c>
      <c r="M2612" s="10" t="n">
        <v>4237.29</v>
      </c>
      <c r="N2612" s="11">
        <f>IF(M2612="","",ROUND(M2612*1.18,2))</f>
        <v/>
      </c>
      <c r="O2612" s="12">
        <f>IF(M2612="","",ROUND(N2612-M2612,2))</f>
        <v/>
      </c>
      <c r="P2612" s="13">
        <f>IF(AND(A2612&lt;&gt;"",B2612&lt;&gt;""), A2612&amp;" · "&amp;B2612, "")</f>
        <v/>
      </c>
    </row>
    <row r="2613">
      <c r="A2613" s="6" t="inlineStr">
        <is>
          <t>FY27</t>
        </is>
      </c>
      <c r="B2613" s="6" t="inlineStr">
        <is>
          <t>Jun</t>
        </is>
      </c>
      <c r="C2613" s="6" t="inlineStr">
        <is>
          <t>TN</t>
        </is>
      </c>
      <c r="D2613" s="7" t="inlineStr">
        <is>
          <t>TN22CU2246</t>
        </is>
      </c>
      <c r="E2613" s="7" t="inlineStr">
        <is>
          <t>HYUNDAI</t>
        </is>
      </c>
      <c r="F2613" s="7" t="inlineStr">
        <is>
          <t>i10</t>
        </is>
      </c>
      <c r="G2613" s="7" t="inlineStr">
        <is>
          <t>GLOVIS INDIA PVT LTD</t>
        </is>
      </c>
      <c r="H2613" s="7" t="inlineStr">
        <is>
          <t>Non-Captive</t>
        </is>
      </c>
      <c r="I2613" s="7" t="inlineStr">
        <is>
          <t>TSM</t>
        </is>
      </c>
      <c r="J2613" s="8" t="n">
        <v>2011</v>
      </c>
      <c r="K2613" s="9" t="n">
        <v>54408</v>
      </c>
      <c r="L2613" s="10" t="n">
        <v>260000</v>
      </c>
      <c r="M2613" s="10" t="n">
        <v>4237.29</v>
      </c>
      <c r="N2613" s="11">
        <f>IF(M2613="","",ROUND(M2613*1.18,2))</f>
        <v/>
      </c>
      <c r="O2613" s="12">
        <f>IF(M2613="","",ROUND(N2613-M2613,2))</f>
        <v/>
      </c>
      <c r="P2613" s="13">
        <f>IF(AND(A2613&lt;&gt;"",B2613&lt;&gt;""), A2613&amp;" · "&amp;B2613, "")</f>
        <v/>
      </c>
    </row>
    <row r="2614">
      <c r="A2614" s="6" t="inlineStr">
        <is>
          <t>FY27</t>
        </is>
      </c>
      <c r="B2614" s="6" t="inlineStr">
        <is>
          <t>Jun</t>
        </is>
      </c>
      <c r="C2614" s="6" t="inlineStr">
        <is>
          <t>TN</t>
        </is>
      </c>
      <c r="D2614" s="7" t="inlineStr">
        <is>
          <t>TN22CU3592</t>
        </is>
      </c>
      <c r="E2614" s="7" t="inlineStr">
        <is>
          <t>MARUTI SUZUKI</t>
        </is>
      </c>
      <c r="F2614" s="7" t="inlineStr">
        <is>
          <t>Alto K10</t>
        </is>
      </c>
      <c r="G2614" s="7" t="inlineStr">
        <is>
          <t>AIE CARS PRIVATE LIMITED</t>
        </is>
      </c>
      <c r="H2614" s="7" t="inlineStr">
        <is>
          <t>Non-Captive</t>
        </is>
      </c>
      <c r="I2614" s="7" t="inlineStr">
        <is>
          <t>Lanson</t>
        </is>
      </c>
      <c r="J2614" s="8" t="n">
        <v>2012</v>
      </c>
      <c r="K2614" s="9" t="n">
        <v>59008</v>
      </c>
      <c r="L2614" s="10" t="n">
        <v>120000</v>
      </c>
      <c r="M2614" s="10" t="n">
        <v>4237.29</v>
      </c>
      <c r="N2614" s="11">
        <f>IF(M2614="","",ROUND(M2614*1.18,2))</f>
        <v/>
      </c>
      <c r="O2614" s="12">
        <f>IF(M2614="","",ROUND(N2614-M2614,2))</f>
        <v/>
      </c>
      <c r="P2614" s="13">
        <f>IF(AND(A2614&lt;&gt;"",B2614&lt;&gt;""), A2614&amp;" · "&amp;B2614, "")</f>
        <v/>
      </c>
    </row>
    <row r="2615">
      <c r="A2615" s="6" t="inlineStr">
        <is>
          <t>FY27</t>
        </is>
      </c>
      <c r="B2615" s="6" t="inlineStr">
        <is>
          <t>Jun</t>
        </is>
      </c>
      <c r="C2615" s="6" t="inlineStr">
        <is>
          <t>TN</t>
        </is>
      </c>
      <c r="D2615" s="7" t="inlineStr">
        <is>
          <t>TN22CV8416</t>
        </is>
      </c>
      <c r="E2615" s="7" t="inlineStr">
        <is>
          <t>HYUNDAI</t>
        </is>
      </c>
      <c r="F2615" s="7" t="inlineStr">
        <is>
          <t>i10</t>
        </is>
      </c>
      <c r="G2615" s="7" t="inlineStr">
        <is>
          <t>EXCHANGE CHENNAI</t>
        </is>
      </c>
      <c r="H2615" s="7" t="inlineStr">
        <is>
          <t>Captive</t>
        </is>
      </c>
      <c r="I2615" s="7" t="inlineStr">
        <is>
          <t>S2 Cars</t>
        </is>
      </c>
      <c r="J2615" s="8" t="n">
        <v>2012</v>
      </c>
      <c r="K2615" s="9" t="n">
        <v>51591</v>
      </c>
      <c r="L2615" s="10" t="n">
        <v>150000</v>
      </c>
      <c r="M2615" s="10" t="n">
        <v>8474.58</v>
      </c>
      <c r="N2615" s="11">
        <f>IF(M2615="","",ROUND(M2615*1.18,2))</f>
        <v/>
      </c>
      <c r="O2615" s="12">
        <f>IF(M2615="","",ROUND(N2615-M2615,2))</f>
        <v/>
      </c>
      <c r="P2615" s="13">
        <f>IF(AND(A2615&lt;&gt;"",B2615&lt;&gt;""), A2615&amp;" · "&amp;B2615, "")</f>
        <v/>
      </c>
    </row>
    <row r="2616">
      <c r="A2616" s="6" t="inlineStr">
        <is>
          <t>FY27</t>
        </is>
      </c>
      <c r="B2616" s="6" t="inlineStr">
        <is>
          <t>Jun</t>
        </is>
      </c>
      <c r="C2616" s="6" t="inlineStr">
        <is>
          <t>TN</t>
        </is>
      </c>
      <c r="D2616" s="7" t="inlineStr">
        <is>
          <t>TN22CX4097</t>
        </is>
      </c>
      <c r="E2616" s="7" t="inlineStr">
        <is>
          <t>MARUTI SUZUKI</t>
        </is>
      </c>
      <c r="F2616" s="7" t="inlineStr">
        <is>
          <t>Wagon R</t>
        </is>
      </c>
      <c r="G2616" s="7" t="inlineStr">
        <is>
          <t>KHIVRAJ MOTOR</t>
        </is>
      </c>
      <c r="H2616" s="7" t="inlineStr">
        <is>
          <t>Non-Captive</t>
        </is>
      </c>
      <c r="I2616" s="7" t="inlineStr">
        <is>
          <t>Ramalingam Cars</t>
        </is>
      </c>
      <c r="J2616" s="8" t="n">
        <v>2011</v>
      </c>
      <c r="K2616" s="9" t="n">
        <v>148963</v>
      </c>
      <c r="L2616" s="10" t="n">
        <v>250000</v>
      </c>
      <c r="M2616" s="10" t="n">
        <v>4449.15</v>
      </c>
      <c r="N2616" s="11">
        <f>IF(M2616="","",ROUND(M2616*1.18,2))</f>
        <v/>
      </c>
      <c r="O2616" s="12">
        <f>IF(M2616="","",ROUND(N2616-M2616,2))</f>
        <v/>
      </c>
      <c r="P2616" s="13">
        <f>IF(AND(A2616&lt;&gt;"",B2616&lt;&gt;""), A2616&amp;" · "&amp;B2616, "")</f>
        <v/>
      </c>
    </row>
    <row r="2617">
      <c r="A2617" s="6" t="inlineStr">
        <is>
          <t>FY27</t>
        </is>
      </c>
      <c r="B2617" s="6" t="inlineStr">
        <is>
          <t>Jun</t>
        </is>
      </c>
      <c r="C2617" s="6" t="inlineStr">
        <is>
          <t>TN</t>
        </is>
      </c>
      <c r="D2617" s="7" t="inlineStr">
        <is>
          <t>TN22DB2137</t>
        </is>
      </c>
      <c r="E2617" s="7" t="inlineStr">
        <is>
          <t>MARUTI SUZUKI</t>
        </is>
      </c>
      <c r="F2617" s="7" t="inlineStr">
        <is>
          <t>Alto 800</t>
        </is>
      </c>
      <c r="G2617" s="7" t="inlineStr">
        <is>
          <t>KHIVRAJ MOTOR</t>
        </is>
      </c>
      <c r="H2617" s="7" t="inlineStr">
        <is>
          <t>Non-Captive</t>
        </is>
      </c>
      <c r="I2617" s="7" t="inlineStr">
        <is>
          <t>Ramalingam Cars</t>
        </is>
      </c>
      <c r="J2617" s="8" t="n">
        <v>2015</v>
      </c>
      <c r="K2617" s="9" t="n">
        <v>32800</v>
      </c>
      <c r="L2617" s="10" t="n">
        <v>270000</v>
      </c>
      <c r="M2617" s="10" t="n">
        <v>4237.29</v>
      </c>
      <c r="N2617" s="11">
        <f>IF(M2617="","",ROUND(M2617*1.18,2))</f>
        <v/>
      </c>
      <c r="O2617" s="12">
        <f>IF(M2617="","",ROUND(N2617-M2617,2))</f>
        <v/>
      </c>
      <c r="P2617" s="13">
        <f>IF(AND(A2617&lt;&gt;"",B2617&lt;&gt;""), A2617&amp;" · "&amp;B2617, "")</f>
        <v/>
      </c>
    </row>
    <row r="2618">
      <c r="A2618" s="6" t="inlineStr">
        <is>
          <t>FY27</t>
        </is>
      </c>
      <c r="B2618" s="6" t="inlineStr">
        <is>
          <t>Jun</t>
        </is>
      </c>
      <c r="C2618" s="6" t="inlineStr">
        <is>
          <t>TN</t>
        </is>
      </c>
      <c r="D2618" s="7" t="inlineStr">
        <is>
          <t>TN22DD7501</t>
        </is>
      </c>
      <c r="E2618" s="7" t="inlineStr">
        <is>
          <t>MARUTI SUZUKI</t>
        </is>
      </c>
      <c r="F2618" s="7" t="inlineStr">
        <is>
          <t>Wagon R</t>
        </is>
      </c>
      <c r="G2618" s="7" t="inlineStr">
        <is>
          <t>KHIVRAJ MOTOR</t>
        </is>
      </c>
      <c r="H2618" s="7" t="inlineStr">
        <is>
          <t>Non-Captive</t>
        </is>
      </c>
      <c r="I2618" s="7" t="inlineStr">
        <is>
          <t>New Citi Cars</t>
        </is>
      </c>
      <c r="J2618" s="8" t="n">
        <v>2016</v>
      </c>
      <c r="K2618" s="9" t="n">
        <v>42074</v>
      </c>
      <c r="L2618" s="10" t="n">
        <v>290000</v>
      </c>
      <c r="M2618" s="10" t="n">
        <v>8474.58</v>
      </c>
      <c r="N2618" s="11">
        <f>IF(M2618="","",ROUND(M2618*1.18,2))</f>
        <v/>
      </c>
      <c r="O2618" s="12">
        <f>IF(M2618="","",ROUND(N2618-M2618,2))</f>
        <v/>
      </c>
      <c r="P2618" s="13">
        <f>IF(AND(A2618&lt;&gt;"",B2618&lt;&gt;""), A2618&amp;" · "&amp;B2618, "")</f>
        <v/>
      </c>
    </row>
    <row r="2619">
      <c r="A2619" s="6" t="inlineStr">
        <is>
          <t>FY27</t>
        </is>
      </c>
      <c r="B2619" s="6" t="inlineStr">
        <is>
          <t>Jun</t>
        </is>
      </c>
      <c r="C2619" s="6" t="inlineStr">
        <is>
          <t>TN</t>
        </is>
      </c>
      <c r="D2619" s="7" t="inlineStr">
        <is>
          <t>TN22DH6862</t>
        </is>
      </c>
      <c r="E2619" s="7" t="inlineStr">
        <is>
          <t>MARUTI SUZUKI</t>
        </is>
      </c>
      <c r="F2619" s="7" t="inlineStr">
        <is>
          <t>Alto 800</t>
        </is>
      </c>
      <c r="G2619" s="7" t="inlineStr">
        <is>
          <t>THIRIVENI CARS</t>
        </is>
      </c>
      <c r="H2619" s="7" t="inlineStr">
        <is>
          <t>Non-Captive</t>
        </is>
      </c>
      <c r="I2619" s="7" t="inlineStr">
        <is>
          <t>Ramalingam Cars</t>
        </is>
      </c>
      <c r="J2619" s="8" t="n">
        <v>2017</v>
      </c>
      <c r="K2619" s="9" t="n">
        <v>53687</v>
      </c>
      <c r="L2619" s="10" t="n">
        <v>250000</v>
      </c>
      <c r="M2619" s="10" t="n">
        <v>4449.15</v>
      </c>
      <c r="N2619" s="11">
        <f>IF(M2619="","",ROUND(M2619*1.18,2))</f>
        <v/>
      </c>
      <c r="O2619" s="12">
        <f>IF(M2619="","",ROUND(N2619-M2619,2))</f>
        <v/>
      </c>
      <c r="P2619" s="13">
        <f>IF(AND(A2619&lt;&gt;"",B2619&lt;&gt;""), A2619&amp;" · "&amp;B2619, "")</f>
        <v/>
      </c>
    </row>
    <row r="2620">
      <c r="A2620" s="6" t="inlineStr">
        <is>
          <t>FY27</t>
        </is>
      </c>
      <c r="B2620" s="6" t="inlineStr">
        <is>
          <t>Jun</t>
        </is>
      </c>
      <c r="C2620" s="6" t="inlineStr">
        <is>
          <t>TN</t>
        </is>
      </c>
      <c r="D2620" s="7" t="inlineStr">
        <is>
          <t>TN22DS7853</t>
        </is>
      </c>
      <c r="E2620" s="7" t="inlineStr">
        <is>
          <t>HYUNDAI</t>
        </is>
      </c>
      <c r="F2620" s="7" t="inlineStr">
        <is>
          <t>Grand i10</t>
        </is>
      </c>
      <c r="G2620" s="7" t="inlineStr">
        <is>
          <t>CARS INDIA</t>
        </is>
      </c>
      <c r="H2620" s="7" t="inlineStr">
        <is>
          <t>Non-Captive</t>
        </is>
      </c>
      <c r="I2620" s="7" t="inlineStr">
        <is>
          <t>Nirmal Cars</t>
        </is>
      </c>
      <c r="J2620" s="8" t="n">
        <v>2020</v>
      </c>
      <c r="K2620" s="9" t="n">
        <v>18740</v>
      </c>
      <c r="L2620" s="10" t="n">
        <v>420000</v>
      </c>
      <c r="M2620" s="10" t="n">
        <v>8474.58</v>
      </c>
      <c r="N2620" s="11">
        <f>IF(M2620="","",ROUND(M2620*1.18,2))</f>
        <v/>
      </c>
      <c r="O2620" s="12">
        <f>IF(M2620="","",ROUND(N2620-M2620,2))</f>
        <v/>
      </c>
      <c r="P2620" s="13">
        <f>IF(AND(A2620&lt;&gt;"",B2620&lt;&gt;""), A2620&amp;" · "&amp;B2620, "")</f>
        <v/>
      </c>
    </row>
    <row r="2621">
      <c r="A2621" s="6" t="inlineStr">
        <is>
          <t>FY27</t>
        </is>
      </c>
      <c r="B2621" s="6" t="inlineStr">
        <is>
          <t>Jun</t>
        </is>
      </c>
      <c r="C2621" s="6" t="inlineStr">
        <is>
          <t>TN</t>
        </is>
      </c>
      <c r="D2621" s="7" t="inlineStr">
        <is>
          <t>TN23AU7376</t>
        </is>
      </c>
      <c r="E2621" s="7" t="inlineStr">
        <is>
          <t>HYUNDAI</t>
        </is>
      </c>
      <c r="F2621" s="7" t="inlineStr">
        <is>
          <t>i10</t>
        </is>
      </c>
      <c r="G2621" s="7" t="inlineStr">
        <is>
          <t>EXCHANGE CHENNAI</t>
        </is>
      </c>
      <c r="H2621" s="7" t="inlineStr">
        <is>
          <t>Captive</t>
        </is>
      </c>
      <c r="I2621" s="7" t="inlineStr">
        <is>
          <t>&lt;NA&gt;</t>
        </is>
      </c>
      <c r="J2621" s="8" t="n">
        <v>2008</v>
      </c>
      <c r="K2621" s="9" t="n">
        <v>124793</v>
      </c>
      <c r="L2621" s="10" t="n">
        <v>110000</v>
      </c>
      <c r="M2621" s="10" t="n">
        <v>4237.29</v>
      </c>
      <c r="N2621" s="11">
        <f>IF(M2621="","",ROUND(M2621*1.18,2))</f>
        <v/>
      </c>
      <c r="O2621" s="12">
        <f>IF(M2621="","",ROUND(N2621-M2621,2))</f>
        <v/>
      </c>
      <c r="P2621" s="13">
        <f>IF(AND(A2621&lt;&gt;"",B2621&lt;&gt;""), A2621&amp;" · "&amp;B2621, "")</f>
        <v/>
      </c>
    </row>
    <row r="2622">
      <c r="A2622" s="6" t="inlineStr">
        <is>
          <t>FY27</t>
        </is>
      </c>
      <c r="B2622" s="6" t="inlineStr">
        <is>
          <t>Jun</t>
        </is>
      </c>
      <c r="C2622" s="6" t="inlineStr">
        <is>
          <t>TN</t>
        </is>
      </c>
      <c r="D2622" s="7" t="inlineStr">
        <is>
          <t>TN23BF3433</t>
        </is>
      </c>
      <c r="E2622" s="7" t="inlineStr">
        <is>
          <t>HYUNDAI</t>
        </is>
      </c>
      <c r="F2622" s="7" t="inlineStr">
        <is>
          <t>i20</t>
        </is>
      </c>
      <c r="G2622" s="7" t="inlineStr">
        <is>
          <t>THIRIVENI CARS</t>
        </is>
      </c>
      <c r="H2622" s="7" t="inlineStr">
        <is>
          <t>Non-Captive</t>
        </is>
      </c>
      <c r="I2622" s="7" t="inlineStr">
        <is>
          <t>Nirmal Cars</t>
        </is>
      </c>
      <c r="J2622" s="8" t="n">
        <v>2013</v>
      </c>
      <c r="K2622" s="9" t="n">
        <v>111021</v>
      </c>
      <c r="L2622" s="10" t="n">
        <v>240000</v>
      </c>
      <c r="M2622" s="10" t="n">
        <v>4237.29</v>
      </c>
      <c r="N2622" s="11">
        <f>IF(M2622="","",ROUND(M2622*1.18,2))</f>
        <v/>
      </c>
      <c r="O2622" s="12">
        <f>IF(M2622="","",ROUND(N2622-M2622,2))</f>
        <v/>
      </c>
      <c r="P2622" s="13">
        <f>IF(AND(A2622&lt;&gt;"",B2622&lt;&gt;""), A2622&amp;" · "&amp;B2622, "")</f>
        <v/>
      </c>
    </row>
    <row r="2623">
      <c r="A2623" s="6" t="inlineStr">
        <is>
          <t>FY27</t>
        </is>
      </c>
      <c r="B2623" s="6" t="inlineStr">
        <is>
          <t>Jun</t>
        </is>
      </c>
      <c r="C2623" s="6" t="inlineStr">
        <is>
          <t>TN</t>
        </is>
      </c>
      <c r="D2623" s="7" t="inlineStr">
        <is>
          <t>TN23CF0761</t>
        </is>
      </c>
      <c r="E2623" s="7" t="inlineStr">
        <is>
          <t>HYUNDAI</t>
        </is>
      </c>
      <c r="F2623" s="7" t="inlineStr">
        <is>
          <t>Grand i10</t>
        </is>
      </c>
      <c r="G2623" s="7" t="inlineStr">
        <is>
          <t>JAINS CAR SHOPEE</t>
        </is>
      </c>
      <c r="H2623" s="7" t="inlineStr">
        <is>
          <t>Non-Captive</t>
        </is>
      </c>
      <c r="I2623" s="7" t="inlineStr">
        <is>
          <t>Senthil Cars</t>
        </is>
      </c>
      <c r="J2623" s="8" t="n">
        <v>2017</v>
      </c>
      <c r="K2623" s="9" t="n">
        <v>89034</v>
      </c>
      <c r="L2623" s="10" t="n">
        <v>91000</v>
      </c>
      <c r="M2623" s="10" t="n">
        <v>4237.29</v>
      </c>
      <c r="N2623" s="11">
        <f>IF(M2623="","",ROUND(M2623*1.18,2))</f>
        <v/>
      </c>
      <c r="O2623" s="12">
        <f>IF(M2623="","",ROUND(N2623-M2623,2))</f>
        <v/>
      </c>
      <c r="P2623" s="13">
        <f>IF(AND(A2623&lt;&gt;"",B2623&lt;&gt;""), A2623&amp;" · "&amp;B2623, "")</f>
        <v/>
      </c>
    </row>
    <row r="2624">
      <c r="A2624" s="6" t="inlineStr">
        <is>
          <t>FY27</t>
        </is>
      </c>
      <c r="B2624" s="6" t="inlineStr">
        <is>
          <t>Jun</t>
        </is>
      </c>
      <c r="C2624" s="6" t="inlineStr">
        <is>
          <t>TN</t>
        </is>
      </c>
      <c r="D2624" s="7" t="inlineStr">
        <is>
          <t>TN23CP2599</t>
        </is>
      </c>
      <c r="E2624" s="7" t="inlineStr">
        <is>
          <t>VOLKSWAGEN</t>
        </is>
      </c>
      <c r="F2624" s="7" t="inlineStr">
        <is>
          <t>Polo</t>
        </is>
      </c>
      <c r="G2624" s="7" t="inlineStr">
        <is>
          <t>EXCHANGE CHENNAI</t>
        </is>
      </c>
      <c r="H2624" s="7" t="inlineStr">
        <is>
          <t>Captive</t>
        </is>
      </c>
      <c r="I2624" s="7" t="inlineStr">
        <is>
          <t>&lt;NA&gt;</t>
        </is>
      </c>
      <c r="J2624" s="8" t="n">
        <v>2019</v>
      </c>
      <c r="K2624" s="9" t="n">
        <v>102681</v>
      </c>
      <c r="L2624" s="10" t="n">
        <v>525000</v>
      </c>
      <c r="M2624" s="10" t="n">
        <v>8474.58</v>
      </c>
      <c r="N2624" s="11">
        <f>IF(M2624="","",ROUND(M2624*1.18,2))</f>
        <v/>
      </c>
      <c r="O2624" s="12">
        <f>IF(M2624="","",ROUND(N2624-M2624,2))</f>
        <v/>
      </c>
      <c r="P2624" s="13">
        <f>IF(AND(A2624&lt;&gt;"",B2624&lt;&gt;""), A2624&amp;" · "&amp;B2624, "")</f>
        <v/>
      </c>
    </row>
    <row r="2625">
      <c r="A2625" s="6" t="inlineStr">
        <is>
          <t>FY27</t>
        </is>
      </c>
      <c r="B2625" s="6" t="inlineStr">
        <is>
          <t>Jun</t>
        </is>
      </c>
      <c r="C2625" s="6" t="inlineStr">
        <is>
          <t>TN</t>
        </is>
      </c>
      <c r="D2625" s="7" t="inlineStr">
        <is>
          <t>TN24AL1770</t>
        </is>
      </c>
      <c r="E2625" s="7" t="inlineStr">
        <is>
          <t>DATSUN</t>
        </is>
      </c>
      <c r="F2625" s="7" t="inlineStr">
        <is>
          <t>Redi-GO</t>
        </is>
      </c>
      <c r="G2625" s="7" t="inlineStr">
        <is>
          <t>EXCHANGE ROTN</t>
        </is>
      </c>
      <c r="H2625" s="7" t="inlineStr">
        <is>
          <t>Captive</t>
        </is>
      </c>
      <c r="I2625" s="7" t="inlineStr">
        <is>
          <t>Sai Cars</t>
        </is>
      </c>
      <c r="J2625" s="8" t="n">
        <v>2017</v>
      </c>
      <c r="K2625" s="9" t="n">
        <v>58692</v>
      </c>
      <c r="L2625" s="10" t="n">
        <v>93000</v>
      </c>
      <c r="M2625" s="10" t="n">
        <v>4237.29</v>
      </c>
      <c r="N2625" s="11">
        <f>IF(M2625="","",ROUND(M2625*1.18,2))</f>
        <v/>
      </c>
      <c r="O2625" s="12">
        <f>IF(M2625="","",ROUND(N2625-M2625,2))</f>
        <v/>
      </c>
      <c r="P2625" s="13">
        <f>IF(AND(A2625&lt;&gt;"",B2625&lt;&gt;""), A2625&amp;" · "&amp;B2625, "")</f>
        <v/>
      </c>
    </row>
    <row r="2626">
      <c r="A2626" s="6" t="inlineStr">
        <is>
          <t>FY27</t>
        </is>
      </c>
      <c r="B2626" s="6" t="inlineStr">
        <is>
          <t>Jun</t>
        </is>
      </c>
      <c r="C2626" s="6" t="inlineStr">
        <is>
          <t>TN</t>
        </is>
      </c>
      <c r="D2626" s="7" t="inlineStr">
        <is>
          <t>TN30AB2265</t>
        </is>
      </c>
      <c r="E2626" s="7" t="inlineStr">
        <is>
          <t>TATA</t>
        </is>
      </c>
      <c r="F2626" s="7" t="inlineStr">
        <is>
          <t>Indica</t>
        </is>
      </c>
      <c r="G2626" s="7" t="inlineStr">
        <is>
          <t>EXCHANGE ROTN</t>
        </is>
      </c>
      <c r="H2626" s="7" t="inlineStr">
        <is>
          <t>Captive</t>
        </is>
      </c>
      <c r="I2626" s="7" t="inlineStr">
        <is>
          <t>&lt;NA&gt;</t>
        </is>
      </c>
      <c r="J2626" s="8" t="n">
        <v>2007</v>
      </c>
      <c r="K2626" s="9" t="n">
        <v>159605</v>
      </c>
      <c r="L2626" s="10" t="n">
        <v>30000</v>
      </c>
      <c r="M2626" s="10" t="n">
        <v>4237.29</v>
      </c>
      <c r="N2626" s="11">
        <f>IF(M2626="","",ROUND(M2626*1.18,2))</f>
        <v/>
      </c>
      <c r="O2626" s="12">
        <f>IF(M2626="","",ROUND(N2626-M2626,2))</f>
        <v/>
      </c>
      <c r="P2626" s="13">
        <f>IF(AND(A2626&lt;&gt;"",B2626&lt;&gt;""), A2626&amp;" · "&amp;B2626, "")</f>
        <v/>
      </c>
    </row>
    <row r="2627">
      <c r="A2627" s="6" t="inlineStr">
        <is>
          <t>FY27</t>
        </is>
      </c>
      <c r="B2627" s="6" t="inlineStr">
        <is>
          <t>Jun</t>
        </is>
      </c>
      <c r="C2627" s="6" t="inlineStr">
        <is>
          <t>TN</t>
        </is>
      </c>
      <c r="D2627" s="7" t="inlineStr">
        <is>
          <t>TN30AL3069</t>
        </is>
      </c>
      <c r="E2627" s="7" t="inlineStr">
        <is>
          <t>TATA</t>
        </is>
      </c>
      <c r="F2627" s="7" t="inlineStr">
        <is>
          <t>Indigo</t>
        </is>
      </c>
      <c r="G2627" s="7" t="inlineStr">
        <is>
          <t>EXCHANGE ROTN</t>
        </is>
      </c>
      <c r="H2627" s="7" t="inlineStr">
        <is>
          <t>Captive</t>
        </is>
      </c>
      <c r="I2627" s="7" t="inlineStr">
        <is>
          <t>&lt;NA&gt;</t>
        </is>
      </c>
      <c r="J2627" s="8" t="n">
        <v>2011</v>
      </c>
      <c r="K2627" s="9" t="n">
        <v>146841</v>
      </c>
      <c r="L2627" s="10" t="n">
        <v>145000</v>
      </c>
      <c r="M2627" s="10" t="n">
        <v>4237.29</v>
      </c>
      <c r="N2627" s="11">
        <f>IF(M2627="","",ROUND(M2627*1.18,2))</f>
        <v/>
      </c>
      <c r="O2627" s="12">
        <f>IF(M2627="","",ROUND(N2627-M2627,2))</f>
        <v/>
      </c>
      <c r="P2627" s="13">
        <f>IF(AND(A2627&lt;&gt;"",B2627&lt;&gt;""), A2627&amp;" · "&amp;B2627, "")</f>
        <v/>
      </c>
    </row>
    <row r="2628">
      <c r="A2628" s="6" t="inlineStr">
        <is>
          <t>FY27</t>
        </is>
      </c>
      <c r="B2628" s="6" t="inlineStr">
        <is>
          <t>Jun</t>
        </is>
      </c>
      <c r="C2628" s="6" t="inlineStr">
        <is>
          <t>TN</t>
        </is>
      </c>
      <c r="D2628" s="7" t="inlineStr">
        <is>
          <t>TN30AL4521</t>
        </is>
      </c>
      <c r="E2628" s="7" t="inlineStr">
        <is>
          <t>MARUTI SUZUKI</t>
        </is>
      </c>
      <c r="F2628" s="7" t="inlineStr">
        <is>
          <t>Alto</t>
        </is>
      </c>
      <c r="G2628" s="7" t="inlineStr">
        <is>
          <t>SGA MOTORS INDIA PRIVATE LIMITED</t>
        </is>
      </c>
      <c r="H2628" s="7" t="inlineStr">
        <is>
          <t>Non-Captive</t>
        </is>
      </c>
      <c r="I2628" s="7" t="inlineStr">
        <is>
          <t>&lt;NA&gt;</t>
        </is>
      </c>
      <c r="J2628" s="8" t="n">
        <v>2011</v>
      </c>
      <c r="K2628" s="9" t="n">
        <v>156306</v>
      </c>
      <c r="L2628" s="10" t="n">
        <v>75000</v>
      </c>
      <c r="M2628" s="10" t="n">
        <v>4237.29</v>
      </c>
      <c r="N2628" s="11">
        <f>IF(M2628="","",ROUND(M2628*1.18,2))</f>
        <v/>
      </c>
      <c r="O2628" s="12">
        <f>IF(M2628="","",ROUND(N2628-M2628,2))</f>
        <v/>
      </c>
      <c r="P2628" s="13">
        <f>IF(AND(A2628&lt;&gt;"",B2628&lt;&gt;""), A2628&amp;" · "&amp;B2628, "")</f>
        <v/>
      </c>
    </row>
    <row r="2629">
      <c r="A2629" s="6" t="inlineStr">
        <is>
          <t>FY27</t>
        </is>
      </c>
      <c r="B2629" s="6" t="inlineStr">
        <is>
          <t>Jun</t>
        </is>
      </c>
      <c r="C2629" s="6" t="inlineStr">
        <is>
          <t>TN</t>
        </is>
      </c>
      <c r="D2629" s="7" t="inlineStr">
        <is>
          <t>TN30AQ5595</t>
        </is>
      </c>
      <c r="E2629" s="7" t="inlineStr">
        <is>
          <t>HYUNDAI</t>
        </is>
      </c>
      <c r="F2629" s="7" t="inlineStr">
        <is>
          <t>Eon</t>
        </is>
      </c>
      <c r="G2629" s="7" t="inlineStr">
        <is>
          <t>THIRIVENI CARS</t>
        </is>
      </c>
      <c r="H2629" s="7" t="inlineStr">
        <is>
          <t>Non-Captive</t>
        </is>
      </c>
      <c r="I2629" s="7" t="inlineStr">
        <is>
          <t>Nirmal Cars</t>
        </is>
      </c>
      <c r="J2629" s="8" t="n">
        <v>2012</v>
      </c>
      <c r="K2629" s="9" t="n">
        <v>68974</v>
      </c>
      <c r="L2629" s="10" t="n">
        <v>200000</v>
      </c>
      <c r="M2629" s="10" t="n">
        <v>4237.29</v>
      </c>
      <c r="N2629" s="11">
        <f>IF(M2629="","",ROUND(M2629*1.18,2))</f>
        <v/>
      </c>
      <c r="O2629" s="12">
        <f>IF(M2629="","",ROUND(N2629-M2629,2))</f>
        <v/>
      </c>
      <c r="P2629" s="13">
        <f>IF(AND(A2629&lt;&gt;"",B2629&lt;&gt;""), A2629&amp;" · "&amp;B2629, "")</f>
        <v/>
      </c>
    </row>
    <row r="2630">
      <c r="A2630" s="6" t="inlineStr">
        <is>
          <t>FY27</t>
        </is>
      </c>
      <c r="B2630" s="6" t="inlineStr">
        <is>
          <t>Jun</t>
        </is>
      </c>
      <c r="C2630" s="6" t="inlineStr">
        <is>
          <t>TN</t>
        </is>
      </c>
      <c r="D2630" s="7" t="inlineStr">
        <is>
          <t>TN30AV9779</t>
        </is>
      </c>
      <c r="E2630" s="7" t="inlineStr">
        <is>
          <t>RENAULT</t>
        </is>
      </c>
      <c r="F2630" s="7" t="inlineStr">
        <is>
          <t>Scala</t>
        </is>
      </c>
      <c r="G2630" s="7" t="inlineStr">
        <is>
          <t>THIRIVENI CARS</t>
        </is>
      </c>
      <c r="H2630" s="7" t="inlineStr">
        <is>
          <t>Non-Captive</t>
        </is>
      </c>
      <c r="I2630" s="7" t="inlineStr">
        <is>
          <t>Pine Autos</t>
        </is>
      </c>
      <c r="J2630" s="8" t="n">
        <v>2013</v>
      </c>
      <c r="K2630" s="9" t="n">
        <v>176900</v>
      </c>
      <c r="L2630" s="10" t="n">
        <v>250000</v>
      </c>
      <c r="M2630" s="10" t="n">
        <v>4237.29</v>
      </c>
      <c r="N2630" s="11">
        <f>IF(M2630="","",ROUND(M2630*1.18,2))</f>
        <v/>
      </c>
      <c r="O2630" s="12">
        <f>IF(M2630="","",ROUND(N2630-M2630,2))</f>
        <v/>
      </c>
      <c r="P2630" s="13">
        <f>IF(AND(A2630&lt;&gt;"",B2630&lt;&gt;""), A2630&amp;" · "&amp;B2630, "")</f>
        <v/>
      </c>
    </row>
    <row r="2631">
      <c r="A2631" s="6" t="inlineStr">
        <is>
          <t>FY27</t>
        </is>
      </c>
      <c r="B2631" s="6" t="inlineStr">
        <is>
          <t>Jun</t>
        </is>
      </c>
      <c r="C2631" s="6" t="inlineStr">
        <is>
          <t>TN</t>
        </is>
      </c>
      <c r="D2631" s="7" t="inlineStr">
        <is>
          <t>TN30AX5919</t>
        </is>
      </c>
      <c r="E2631" s="7" t="inlineStr">
        <is>
          <t>TATA</t>
        </is>
      </c>
      <c r="F2631" s="7" t="inlineStr">
        <is>
          <t>Indica</t>
        </is>
      </c>
      <c r="G2631" s="7" t="inlineStr">
        <is>
          <t>SGA MOTORS INDIA PRIVATE LIMITED</t>
        </is>
      </c>
      <c r="H2631" s="7" t="inlineStr">
        <is>
          <t>Non-Captive</t>
        </is>
      </c>
      <c r="I2631" s="7" t="inlineStr">
        <is>
          <t>&lt;NA&gt;</t>
        </is>
      </c>
      <c r="J2631" s="8" t="n">
        <v>2011</v>
      </c>
      <c r="K2631" s="9" t="n">
        <v>289815</v>
      </c>
      <c r="L2631" s="10" t="n">
        <v>40000</v>
      </c>
      <c r="M2631" s="10" t="n">
        <v>4237.29</v>
      </c>
      <c r="N2631" s="11">
        <f>IF(M2631="","",ROUND(M2631*1.18,2))</f>
        <v/>
      </c>
      <c r="O2631" s="12">
        <f>IF(M2631="","",ROUND(N2631-M2631,2))</f>
        <v/>
      </c>
      <c r="P2631" s="13">
        <f>IF(AND(A2631&lt;&gt;"",B2631&lt;&gt;""), A2631&amp;" · "&amp;B2631, "")</f>
        <v/>
      </c>
    </row>
    <row r="2632">
      <c r="A2632" s="6" t="inlineStr">
        <is>
          <t>FY27</t>
        </is>
      </c>
      <c r="B2632" s="6" t="inlineStr">
        <is>
          <t>Jun</t>
        </is>
      </c>
      <c r="C2632" s="6" t="inlineStr">
        <is>
          <t>TN</t>
        </is>
      </c>
      <c r="D2632" s="7" t="inlineStr">
        <is>
          <t>TN30BQ5064</t>
        </is>
      </c>
      <c r="E2632" s="7" t="inlineStr">
        <is>
          <t>MARUTI SUZUKI</t>
        </is>
      </c>
      <c r="F2632" s="7" t="inlineStr">
        <is>
          <t>Ciaz</t>
        </is>
      </c>
      <c r="G2632" s="7" t="inlineStr">
        <is>
          <t>CASTLE TRADERS HONDA</t>
        </is>
      </c>
      <c r="H2632" s="7" t="inlineStr">
        <is>
          <t>Non-Captive</t>
        </is>
      </c>
      <c r="I2632" s="7" t="inlineStr">
        <is>
          <t>S2 Cars</t>
        </is>
      </c>
      <c r="J2632" s="8" t="n">
        <v>2020</v>
      </c>
      <c r="K2632" s="9" t="n">
        <v>67770</v>
      </c>
      <c r="L2632" s="10" t="n">
        <v>500000</v>
      </c>
      <c r="M2632" s="10" t="n">
        <v>6779.66</v>
      </c>
      <c r="N2632" s="11">
        <f>IF(M2632="","",ROUND(M2632*1.18,2))</f>
        <v/>
      </c>
      <c r="O2632" s="12">
        <f>IF(M2632="","",ROUND(N2632-M2632,2))</f>
        <v/>
      </c>
      <c r="P2632" s="13">
        <f>IF(AND(A2632&lt;&gt;"",B2632&lt;&gt;""), A2632&amp;" · "&amp;B2632, "")</f>
        <v/>
      </c>
    </row>
    <row r="2633">
      <c r="A2633" s="6" t="inlineStr">
        <is>
          <t>FY27</t>
        </is>
      </c>
      <c r="B2633" s="6" t="inlineStr">
        <is>
          <t>Jun</t>
        </is>
      </c>
      <c r="C2633" s="6" t="inlineStr">
        <is>
          <t>TN</t>
        </is>
      </c>
      <c r="D2633" s="7" t="inlineStr">
        <is>
          <t>TN30M3454</t>
        </is>
      </c>
      <c r="E2633" s="7" t="inlineStr">
        <is>
          <t>MARUTI SUZUKI</t>
        </is>
      </c>
      <c r="F2633" s="7" t="inlineStr">
        <is>
          <t>Swift</t>
        </is>
      </c>
      <c r="G2633" s="7" t="inlineStr">
        <is>
          <t>EXCHANGE ROTN</t>
        </is>
      </c>
      <c r="H2633" s="7" t="inlineStr">
        <is>
          <t>Captive</t>
        </is>
      </c>
      <c r="I2633" s="7" t="inlineStr">
        <is>
          <t>Sai Cars</t>
        </is>
      </c>
      <c r="J2633" s="8" t="n">
        <v>2006</v>
      </c>
      <c r="K2633" s="9" t="n">
        <v>105748</v>
      </c>
      <c r="L2633" s="10" t="n">
        <v>97000</v>
      </c>
      <c r="M2633" s="10" t="n">
        <v>4237.29</v>
      </c>
      <c r="N2633" s="11">
        <f>IF(M2633="","",ROUND(M2633*1.18,2))</f>
        <v/>
      </c>
      <c r="O2633" s="12">
        <f>IF(M2633="","",ROUND(N2633-M2633,2))</f>
        <v/>
      </c>
      <c r="P2633" s="13">
        <f>IF(AND(A2633&lt;&gt;"",B2633&lt;&gt;""), A2633&amp;" · "&amp;B2633, "")</f>
        <v/>
      </c>
    </row>
    <row r="2634">
      <c r="A2634" s="6" t="inlineStr">
        <is>
          <t>FY27</t>
        </is>
      </c>
      <c r="B2634" s="6" t="inlineStr">
        <is>
          <t>Jun</t>
        </is>
      </c>
      <c r="C2634" s="6" t="inlineStr">
        <is>
          <t>TN</t>
        </is>
      </c>
      <c r="D2634" s="7" t="inlineStr">
        <is>
          <t>TN33AP7367</t>
        </is>
      </c>
      <c r="E2634" s="7" t="inlineStr">
        <is>
          <t>TATA</t>
        </is>
      </c>
      <c r="F2634" s="7" t="inlineStr">
        <is>
          <t>Indica</t>
        </is>
      </c>
      <c r="G2634" s="7" t="inlineStr">
        <is>
          <t>LOTUS HYUNDAI (TEJAS CARS PRIVATE LIMITED</t>
        </is>
      </c>
      <c r="H2634" s="7" t="inlineStr">
        <is>
          <t>Non-Captive</t>
        </is>
      </c>
      <c r="I2634" s="7" t="inlineStr">
        <is>
          <t>&lt;NA&gt;</t>
        </is>
      </c>
      <c r="J2634" s="8" t="n">
        <v>2009</v>
      </c>
      <c r="K2634" s="9" t="n">
        <v>186970</v>
      </c>
      <c r="L2634" s="10" t="n">
        <v>67000</v>
      </c>
      <c r="M2634" s="10" t="n">
        <v>4237.29</v>
      </c>
      <c r="N2634" s="11">
        <f>IF(M2634="","",ROUND(M2634*1.18,2))</f>
        <v/>
      </c>
      <c r="O2634" s="12">
        <f>IF(M2634="","",ROUND(N2634-M2634,2))</f>
        <v/>
      </c>
      <c r="P2634" s="13">
        <f>IF(AND(A2634&lt;&gt;"",B2634&lt;&gt;""), A2634&amp;" · "&amp;B2634, "")</f>
        <v/>
      </c>
    </row>
    <row r="2635">
      <c r="A2635" s="6" t="inlineStr">
        <is>
          <t>FY27</t>
        </is>
      </c>
      <c r="B2635" s="6" t="inlineStr">
        <is>
          <t>Jun</t>
        </is>
      </c>
      <c r="C2635" s="6" t="inlineStr">
        <is>
          <t>TN</t>
        </is>
      </c>
      <c r="D2635" s="7" t="inlineStr">
        <is>
          <t>TN33BA8595</t>
        </is>
      </c>
      <c r="E2635" s="7" t="inlineStr">
        <is>
          <t>FORD</t>
        </is>
      </c>
      <c r="F2635" s="7" t="inlineStr">
        <is>
          <t>Figo</t>
        </is>
      </c>
      <c r="G2635" s="7" t="inlineStr">
        <is>
          <t>EXCHANGE ROTN</t>
        </is>
      </c>
      <c r="H2635" s="7" t="inlineStr">
        <is>
          <t>Captive</t>
        </is>
      </c>
      <c r="I2635" s="7" t="inlineStr">
        <is>
          <t>&lt;NA&gt;</t>
        </is>
      </c>
      <c r="J2635" s="8" t="n">
        <v>2012</v>
      </c>
      <c r="K2635" s="9" t="n">
        <v>110054</v>
      </c>
      <c r="L2635" s="10" t="n">
        <v>165000</v>
      </c>
      <c r="M2635" s="10" t="n">
        <v>4237.29</v>
      </c>
      <c r="N2635" s="11">
        <f>IF(M2635="","",ROUND(M2635*1.18,2))</f>
        <v/>
      </c>
      <c r="O2635" s="12">
        <f>IF(M2635="","",ROUND(N2635-M2635,2))</f>
        <v/>
      </c>
      <c r="P2635" s="13">
        <f>IF(AND(A2635&lt;&gt;"",B2635&lt;&gt;""), A2635&amp;" · "&amp;B2635, "")</f>
        <v/>
      </c>
    </row>
    <row r="2636">
      <c r="A2636" s="6" t="inlineStr">
        <is>
          <t>FY27</t>
        </is>
      </c>
      <c r="B2636" s="6" t="inlineStr">
        <is>
          <t>Jun</t>
        </is>
      </c>
      <c r="C2636" s="6" t="inlineStr">
        <is>
          <t>TN</t>
        </is>
      </c>
      <c r="D2636" s="7" t="inlineStr">
        <is>
          <t>TN33Q9995</t>
        </is>
      </c>
      <c r="E2636" s="7" t="inlineStr">
        <is>
          <t>FIAT</t>
        </is>
      </c>
      <c r="F2636" s="7" t="inlineStr">
        <is>
          <t>Palio</t>
        </is>
      </c>
      <c r="G2636" s="7" t="inlineStr">
        <is>
          <t>EXCHANGE ROTN</t>
        </is>
      </c>
      <c r="H2636" s="7" t="inlineStr">
        <is>
          <t>Captive</t>
        </is>
      </c>
      <c r="I2636" s="7" t="inlineStr">
        <is>
          <t>&lt;NA&gt;</t>
        </is>
      </c>
      <c r="J2636" s="8" t="n">
        <v>2002</v>
      </c>
      <c r="K2636" s="9" t="n">
        <v>88747</v>
      </c>
      <c r="L2636" s="10" t="n">
        <v>30000</v>
      </c>
      <c r="M2636" s="10" t="n">
        <v>4237.29</v>
      </c>
      <c r="N2636" s="11">
        <f>IF(M2636="","",ROUND(M2636*1.18,2))</f>
        <v/>
      </c>
      <c r="O2636" s="12">
        <f>IF(M2636="","",ROUND(N2636-M2636,2))</f>
        <v/>
      </c>
      <c r="P2636" s="13">
        <f>IF(AND(A2636&lt;&gt;"",B2636&lt;&gt;""), A2636&amp;" · "&amp;B2636, "")</f>
        <v/>
      </c>
    </row>
    <row r="2637">
      <c r="A2637" s="6" t="inlineStr">
        <is>
          <t>FY27</t>
        </is>
      </c>
      <c r="B2637" s="6" t="inlineStr">
        <is>
          <t>Jun</t>
        </is>
      </c>
      <c r="C2637" s="6" t="inlineStr">
        <is>
          <t>TN</t>
        </is>
      </c>
      <c r="D2637" s="7" t="inlineStr">
        <is>
          <t>TN34K0823</t>
        </is>
      </c>
      <c r="E2637" s="7" t="inlineStr">
        <is>
          <t>MARUTI SUZUKI</t>
        </is>
      </c>
      <c r="F2637" s="7" t="inlineStr">
        <is>
          <t>Zen Estilo</t>
        </is>
      </c>
      <c r="G2637" s="7" t="inlineStr">
        <is>
          <t>SREE SARADHAMBAL AUTOMOBILES PRIVATE LIMITED</t>
        </is>
      </c>
      <c r="H2637" s="7" t="inlineStr">
        <is>
          <t>Non-Captive</t>
        </is>
      </c>
      <c r="I2637" s="7" t="inlineStr">
        <is>
          <t>&lt;NA&gt;</t>
        </is>
      </c>
      <c r="J2637" s="8" t="n">
        <v>2009</v>
      </c>
      <c r="K2637" s="9" t="n">
        <v>237903</v>
      </c>
      <c r="L2637" s="10" t="n">
        <v>45000</v>
      </c>
      <c r="M2637" s="10" t="n">
        <v>4237.29</v>
      </c>
      <c r="N2637" s="11">
        <f>IF(M2637="","",ROUND(M2637*1.18,2))</f>
        <v/>
      </c>
      <c r="O2637" s="12">
        <f>IF(M2637="","",ROUND(N2637-M2637,2))</f>
        <v/>
      </c>
      <c r="P2637" s="13">
        <f>IF(AND(A2637&lt;&gt;"",B2637&lt;&gt;""), A2637&amp;" · "&amp;B2637, "")</f>
        <v/>
      </c>
    </row>
    <row r="2638">
      <c r="A2638" s="6" t="inlineStr">
        <is>
          <t>FY27</t>
        </is>
      </c>
      <c r="B2638" s="6" t="inlineStr">
        <is>
          <t>Jun</t>
        </is>
      </c>
      <c r="C2638" s="6" t="inlineStr">
        <is>
          <t>TN</t>
        </is>
      </c>
      <c r="D2638" s="7" t="inlineStr">
        <is>
          <t>TN34K8989</t>
        </is>
      </c>
      <c r="E2638" s="7" t="inlineStr">
        <is>
          <t>MAHINDRA</t>
        </is>
      </c>
      <c r="F2638" s="7" t="inlineStr">
        <is>
          <t>Scorpio</t>
        </is>
      </c>
      <c r="G2638" s="7" t="inlineStr">
        <is>
          <t>EXCHANGE ROTN</t>
        </is>
      </c>
      <c r="H2638" s="7" t="inlineStr">
        <is>
          <t>Captive</t>
        </is>
      </c>
      <c r="I2638" s="7" t="inlineStr">
        <is>
          <t>&lt;NA&gt;</t>
        </is>
      </c>
      <c r="J2638" s="8" t="n">
        <v>2010</v>
      </c>
      <c r="K2638" s="9" t="n">
        <v>168504</v>
      </c>
      <c r="L2638" s="10" t="n">
        <v>475000</v>
      </c>
      <c r="M2638" s="10" t="n">
        <v>4237.29</v>
      </c>
      <c r="N2638" s="11">
        <f>IF(M2638="","",ROUND(M2638*1.18,2))</f>
        <v/>
      </c>
      <c r="O2638" s="12">
        <f>IF(M2638="","",ROUND(N2638-M2638,2))</f>
        <v/>
      </c>
      <c r="P2638" s="13">
        <f>IF(AND(A2638&lt;&gt;"",B2638&lt;&gt;""), A2638&amp;" · "&amp;B2638, "")</f>
        <v/>
      </c>
    </row>
    <row r="2639">
      <c r="A2639" s="6" t="inlineStr">
        <is>
          <t>FY27</t>
        </is>
      </c>
      <c r="B2639" s="6" t="inlineStr">
        <is>
          <t>Jun</t>
        </is>
      </c>
      <c r="C2639" s="6" t="inlineStr">
        <is>
          <t>TN</t>
        </is>
      </c>
      <c r="D2639" s="7" t="inlineStr">
        <is>
          <t>TN34Y5519</t>
        </is>
      </c>
      <c r="E2639" s="7" t="inlineStr">
        <is>
          <t>HYUNDAI</t>
        </is>
      </c>
      <c r="F2639" s="7" t="inlineStr">
        <is>
          <t>Eon</t>
        </is>
      </c>
      <c r="G2639" s="7" t="inlineStr">
        <is>
          <t>EXCHANGE ROTN</t>
        </is>
      </c>
      <c r="H2639" s="7" t="inlineStr">
        <is>
          <t>Captive</t>
        </is>
      </c>
      <c r="I2639" s="7" t="inlineStr">
        <is>
          <t>Sri Amman Cars</t>
        </is>
      </c>
      <c r="J2639" s="8" t="n">
        <v>2016</v>
      </c>
      <c r="K2639" s="9" t="n">
        <v>114065</v>
      </c>
      <c r="L2639" s="10" t="n">
        <v>200000</v>
      </c>
      <c r="M2639" s="10" t="n">
        <v>12711.86</v>
      </c>
      <c r="N2639" s="11">
        <f>IF(M2639="","",ROUND(M2639*1.18,2))</f>
        <v/>
      </c>
      <c r="O2639" s="12">
        <f>IF(M2639="","",ROUND(N2639-M2639,2))</f>
        <v/>
      </c>
      <c r="P2639" s="13">
        <f>IF(AND(A2639&lt;&gt;"",B2639&lt;&gt;""), A2639&amp;" · "&amp;B2639, "")</f>
        <v/>
      </c>
    </row>
    <row r="2640">
      <c r="A2640" s="6" t="inlineStr">
        <is>
          <t>FY27</t>
        </is>
      </c>
      <c r="B2640" s="6" t="inlineStr">
        <is>
          <t>Jun</t>
        </is>
      </c>
      <c r="C2640" s="6" t="inlineStr">
        <is>
          <t>TN</t>
        </is>
      </c>
      <c r="D2640" s="7" t="inlineStr">
        <is>
          <t>TN36AB0790</t>
        </is>
      </c>
      <c r="E2640" s="7" t="inlineStr">
        <is>
          <t>MARUTI SUZUKI</t>
        </is>
      </c>
      <c r="F2640" s="7" t="inlineStr">
        <is>
          <t>Alto</t>
        </is>
      </c>
      <c r="G2640" s="7" t="inlineStr">
        <is>
          <t>EXCHANGE ROTN</t>
        </is>
      </c>
      <c r="H2640" s="7" t="inlineStr">
        <is>
          <t>Captive</t>
        </is>
      </c>
      <c r="I2640" s="7" t="inlineStr">
        <is>
          <t>Yugatheran cars</t>
        </is>
      </c>
      <c r="J2640" s="8" t="n">
        <v>2013</v>
      </c>
      <c r="K2640" s="9" t="n">
        <v>77516</v>
      </c>
      <c r="L2640" s="10" t="n">
        <v>210000</v>
      </c>
      <c r="M2640" s="10" t="n">
        <v>12711.86</v>
      </c>
      <c r="N2640" s="11">
        <f>IF(M2640="","",ROUND(M2640*1.18,2))</f>
        <v/>
      </c>
      <c r="O2640" s="12">
        <f>IF(M2640="","",ROUND(N2640-M2640,2))</f>
        <v/>
      </c>
      <c r="P2640" s="13">
        <f>IF(AND(A2640&lt;&gt;"",B2640&lt;&gt;""), A2640&amp;" · "&amp;B2640, "")</f>
        <v/>
      </c>
    </row>
    <row r="2641">
      <c r="A2641" s="6" t="inlineStr">
        <is>
          <t>FY27</t>
        </is>
      </c>
      <c r="B2641" s="6" t="inlineStr">
        <is>
          <t>Jun</t>
        </is>
      </c>
      <c r="C2641" s="6" t="inlineStr">
        <is>
          <t>TN</t>
        </is>
      </c>
      <c r="D2641" s="7" t="inlineStr">
        <is>
          <t>TN36AZ5859</t>
        </is>
      </c>
      <c r="E2641" s="7" t="inlineStr">
        <is>
          <t>HONDA</t>
        </is>
      </c>
      <c r="F2641" s="7" t="inlineStr">
        <is>
          <t>Jazz</t>
        </is>
      </c>
      <c r="G2641" s="7" t="inlineStr">
        <is>
          <t>EXCHANGE ROTN</t>
        </is>
      </c>
      <c r="H2641" s="7" t="inlineStr">
        <is>
          <t>Captive</t>
        </is>
      </c>
      <c r="I2641" s="7" t="inlineStr">
        <is>
          <t>Uzhavan Entp</t>
        </is>
      </c>
      <c r="J2641" s="8" t="n">
        <v>2012</v>
      </c>
      <c r="K2641" s="9" t="n">
        <v>203360</v>
      </c>
      <c r="L2641" s="10" t="n">
        <v>210000</v>
      </c>
      <c r="M2641" s="10" t="n">
        <v>6779.66</v>
      </c>
      <c r="N2641" s="11">
        <f>IF(M2641="","",ROUND(M2641*1.18,2))</f>
        <v/>
      </c>
      <c r="O2641" s="12">
        <f>IF(M2641="","",ROUND(N2641-M2641,2))</f>
        <v/>
      </c>
      <c r="P2641" s="13">
        <f>IF(AND(A2641&lt;&gt;"",B2641&lt;&gt;""), A2641&amp;" · "&amp;B2641, "")</f>
        <v/>
      </c>
    </row>
    <row r="2642">
      <c r="A2642" s="6" t="inlineStr">
        <is>
          <t>FY27</t>
        </is>
      </c>
      <c r="B2642" s="6" t="inlineStr">
        <is>
          <t>Jun</t>
        </is>
      </c>
      <c r="C2642" s="6" t="inlineStr">
        <is>
          <t>TN</t>
        </is>
      </c>
      <c r="D2642" s="7" t="inlineStr">
        <is>
          <t>TN36F2459</t>
        </is>
      </c>
      <c r="E2642" s="7" t="inlineStr">
        <is>
          <t>MARUTI SUZUKI</t>
        </is>
      </c>
      <c r="F2642" s="7" t="inlineStr">
        <is>
          <t>Alto 800</t>
        </is>
      </c>
      <c r="G2642" s="7" t="inlineStr">
        <is>
          <t>TAFE ACCESS LIMITED</t>
        </is>
      </c>
      <c r="H2642" s="7" t="inlineStr">
        <is>
          <t>Non-Captive</t>
        </is>
      </c>
      <c r="I2642" s="7" t="inlineStr">
        <is>
          <t>&lt;NA&gt;</t>
        </is>
      </c>
      <c r="J2642" s="8" t="n">
        <v>2003</v>
      </c>
      <c r="K2642" s="9" t="n">
        <v>80177</v>
      </c>
      <c r="L2642" s="10" t="n">
        <v>35000</v>
      </c>
      <c r="M2642" s="10" t="n">
        <v>4237.29</v>
      </c>
      <c r="N2642" s="11">
        <f>IF(M2642="","",ROUND(M2642*1.18,2))</f>
        <v/>
      </c>
      <c r="O2642" s="12">
        <f>IF(M2642="","",ROUND(N2642-M2642,2))</f>
        <v/>
      </c>
      <c r="P2642" s="13">
        <f>IF(AND(A2642&lt;&gt;"",B2642&lt;&gt;""), A2642&amp;" · "&amp;B2642, "")</f>
        <v/>
      </c>
    </row>
    <row r="2643">
      <c r="A2643" s="6" t="inlineStr">
        <is>
          <t>FY27</t>
        </is>
      </c>
      <c r="B2643" s="6" t="inlineStr">
        <is>
          <t>Jun</t>
        </is>
      </c>
      <c r="C2643" s="6" t="inlineStr">
        <is>
          <t>TN</t>
        </is>
      </c>
      <c r="D2643" s="7" t="inlineStr">
        <is>
          <t>TN36F5969</t>
        </is>
      </c>
      <c r="E2643" s="7" t="inlineStr">
        <is>
          <t>MARUTI SUZUKI</t>
        </is>
      </c>
      <c r="F2643" s="7" t="inlineStr">
        <is>
          <t>Alto 800</t>
        </is>
      </c>
      <c r="G2643" s="7" t="inlineStr">
        <is>
          <t>LOTUS HYUNDAI (TEJAS CARS PRIVATE LIMITED</t>
        </is>
      </c>
      <c r="H2643" s="7" t="inlineStr">
        <is>
          <t>Non-Captive</t>
        </is>
      </c>
      <c r="I2643" s="7" t="inlineStr">
        <is>
          <t>Sivashankar Cars</t>
        </is>
      </c>
      <c r="J2643" s="8" t="n">
        <v>2003</v>
      </c>
      <c r="K2643" s="9" t="n">
        <v>97056</v>
      </c>
      <c r="L2643" s="10" t="n">
        <v>45000</v>
      </c>
      <c r="M2643" s="10" t="n">
        <v>4237.29</v>
      </c>
      <c r="N2643" s="11">
        <f>IF(M2643="","",ROUND(M2643*1.18,2))</f>
        <v/>
      </c>
      <c r="O2643" s="12">
        <f>IF(M2643="","",ROUND(N2643-M2643,2))</f>
        <v/>
      </c>
      <c r="P2643" s="13">
        <f>IF(AND(A2643&lt;&gt;"",B2643&lt;&gt;""), A2643&amp;" · "&amp;B2643, "")</f>
        <v/>
      </c>
    </row>
    <row r="2644">
      <c r="A2644" s="6" t="inlineStr">
        <is>
          <t>FY27</t>
        </is>
      </c>
      <c r="B2644" s="6" t="inlineStr">
        <is>
          <t>Jun</t>
        </is>
      </c>
      <c r="C2644" s="6" t="inlineStr">
        <is>
          <t>TN</t>
        </is>
      </c>
      <c r="D2644" s="7" t="inlineStr">
        <is>
          <t>TN37BF1678</t>
        </is>
      </c>
      <c r="E2644" s="7" t="inlineStr">
        <is>
          <t>MARUTI SUZUKI</t>
        </is>
      </c>
      <c r="F2644" s="7" t="inlineStr">
        <is>
          <t>Alto</t>
        </is>
      </c>
      <c r="G2644" s="7" t="inlineStr">
        <is>
          <t>EXCHANGE ROTN</t>
        </is>
      </c>
      <c r="H2644" s="7" t="inlineStr">
        <is>
          <t>Captive</t>
        </is>
      </c>
      <c r="I2644" s="7" t="inlineStr">
        <is>
          <t>Senthur Finance</t>
        </is>
      </c>
      <c r="J2644" s="8" t="n">
        <v>2009</v>
      </c>
      <c r="K2644" s="9" t="n">
        <v>61675</v>
      </c>
      <c r="L2644" s="10" t="n">
        <v>140000</v>
      </c>
      <c r="M2644" s="10" t="n">
        <v>8474.58</v>
      </c>
      <c r="N2644" s="11">
        <f>IF(M2644="","",ROUND(M2644*1.18,2))</f>
        <v/>
      </c>
      <c r="O2644" s="12">
        <f>IF(M2644="","",ROUND(N2644-M2644,2))</f>
        <v/>
      </c>
      <c r="P2644" s="13">
        <f>IF(AND(A2644&lt;&gt;"",B2644&lt;&gt;""), A2644&amp;" · "&amp;B2644, "")</f>
        <v/>
      </c>
    </row>
    <row r="2645">
      <c r="A2645" s="6" t="inlineStr">
        <is>
          <t>FY27</t>
        </is>
      </c>
      <c r="B2645" s="6" t="inlineStr">
        <is>
          <t>Jun</t>
        </is>
      </c>
      <c r="C2645" s="6" t="inlineStr">
        <is>
          <t>TN</t>
        </is>
      </c>
      <c r="D2645" s="7" t="inlineStr">
        <is>
          <t>TN37BF3435</t>
        </is>
      </c>
      <c r="E2645" s="7" t="inlineStr">
        <is>
          <t>CHEVROLET</t>
        </is>
      </c>
      <c r="F2645" s="7" t="inlineStr">
        <is>
          <t>Spark</t>
        </is>
      </c>
      <c r="G2645" s="7" t="inlineStr">
        <is>
          <t>EXCHANGE ROTN</t>
        </is>
      </c>
      <c r="H2645" s="7" t="inlineStr">
        <is>
          <t>Captive</t>
        </is>
      </c>
      <c r="I2645" s="7" t="inlineStr">
        <is>
          <t>Sai Cars</t>
        </is>
      </c>
      <c r="J2645" s="8" t="n">
        <v>2009</v>
      </c>
      <c r="K2645" s="9" t="n">
        <v>294800</v>
      </c>
      <c r="L2645" s="10" t="n">
        <v>46000</v>
      </c>
      <c r="M2645" s="10" t="n">
        <v>4237.29</v>
      </c>
      <c r="N2645" s="11">
        <f>IF(M2645="","",ROUND(M2645*1.18,2))</f>
        <v/>
      </c>
      <c r="O2645" s="12">
        <f>IF(M2645="","",ROUND(N2645-M2645,2))</f>
        <v/>
      </c>
      <c r="P2645" s="13">
        <f>IF(AND(A2645&lt;&gt;"",B2645&lt;&gt;""), A2645&amp;" · "&amp;B2645, "")</f>
        <v/>
      </c>
    </row>
    <row r="2646">
      <c r="A2646" s="6" t="inlineStr">
        <is>
          <t>FY27</t>
        </is>
      </c>
      <c r="B2646" s="6" t="inlineStr">
        <is>
          <t>Jun</t>
        </is>
      </c>
      <c r="C2646" s="6" t="inlineStr">
        <is>
          <t>TN</t>
        </is>
      </c>
      <c r="D2646" s="7" t="inlineStr">
        <is>
          <t>TN37BH5388</t>
        </is>
      </c>
      <c r="E2646" s="7" t="inlineStr">
        <is>
          <t>MARUTI SUZUKI</t>
        </is>
      </c>
      <c r="F2646" s="7" t="inlineStr">
        <is>
          <t>Alto 800</t>
        </is>
      </c>
      <c r="G2646" s="7" t="inlineStr">
        <is>
          <t>EXCHANGE ROTN</t>
        </is>
      </c>
      <c r="H2646" s="7" t="inlineStr">
        <is>
          <t>Captive</t>
        </is>
      </c>
      <c r="I2646" s="7" t="inlineStr">
        <is>
          <t>Sai Cars</t>
        </is>
      </c>
      <c r="J2646" s="8" t="n">
        <v>2010</v>
      </c>
      <c r="K2646" s="9" t="n">
        <v>85553</v>
      </c>
      <c r="L2646" s="10" t="n">
        <v>72000</v>
      </c>
      <c r="M2646" s="10" t="n">
        <v>4237.29</v>
      </c>
      <c r="N2646" s="11">
        <f>IF(M2646="","",ROUND(M2646*1.18,2))</f>
        <v/>
      </c>
      <c r="O2646" s="12">
        <f>IF(M2646="","",ROUND(N2646-M2646,2))</f>
        <v/>
      </c>
      <c r="P2646" s="13">
        <f>IF(AND(A2646&lt;&gt;"",B2646&lt;&gt;""), A2646&amp;" · "&amp;B2646, "")</f>
        <v/>
      </c>
    </row>
    <row r="2647">
      <c r="A2647" s="6" t="inlineStr">
        <is>
          <t>FY27</t>
        </is>
      </c>
      <c r="B2647" s="6" t="inlineStr">
        <is>
          <t>Jun</t>
        </is>
      </c>
      <c r="C2647" s="6" t="inlineStr">
        <is>
          <t>TN</t>
        </is>
      </c>
      <c r="D2647" s="7" t="inlineStr">
        <is>
          <t>TN37BU1035</t>
        </is>
      </c>
      <c r="E2647" s="7" t="inlineStr">
        <is>
          <t>TATA</t>
        </is>
      </c>
      <c r="F2647" s="7" t="inlineStr">
        <is>
          <t>Aria</t>
        </is>
      </c>
      <c r="G2647" s="7" t="inlineStr">
        <is>
          <t>EXCHANGE ROTN</t>
        </is>
      </c>
      <c r="H2647" s="7" t="inlineStr">
        <is>
          <t>Captive</t>
        </is>
      </c>
      <c r="I2647" s="7" t="inlineStr">
        <is>
          <t>Sai Cars</t>
        </is>
      </c>
      <c r="J2647" s="8" t="n">
        <v>2011</v>
      </c>
      <c r="K2647" s="9" t="n">
        <v>160259</v>
      </c>
      <c r="L2647" s="10" t="n">
        <v>97000</v>
      </c>
      <c r="M2647" s="10" t="n">
        <v>4237.29</v>
      </c>
      <c r="N2647" s="11">
        <f>IF(M2647="","",ROUND(M2647*1.18,2))</f>
        <v/>
      </c>
      <c r="O2647" s="12">
        <f>IF(M2647="","",ROUND(N2647-M2647,2))</f>
        <v/>
      </c>
      <c r="P2647" s="13">
        <f>IF(AND(A2647&lt;&gt;"",B2647&lt;&gt;""), A2647&amp;" · "&amp;B2647, "")</f>
        <v/>
      </c>
    </row>
    <row r="2648">
      <c r="A2648" s="6" t="inlineStr">
        <is>
          <t>FY27</t>
        </is>
      </c>
      <c r="B2648" s="6" t="inlineStr">
        <is>
          <t>Jun</t>
        </is>
      </c>
      <c r="C2648" s="6" t="inlineStr">
        <is>
          <t>TN</t>
        </is>
      </c>
      <c r="D2648" s="7" t="inlineStr">
        <is>
          <t>TN37BZ9033</t>
        </is>
      </c>
      <c r="E2648" s="7" t="inlineStr">
        <is>
          <t>HYUNDAI</t>
        </is>
      </c>
      <c r="F2648" s="7" t="inlineStr">
        <is>
          <t>i10</t>
        </is>
      </c>
      <c r="G2648" s="7" t="inlineStr">
        <is>
          <t>EXCHANGE ROTN</t>
        </is>
      </c>
      <c r="H2648" s="7" t="inlineStr">
        <is>
          <t>Captive</t>
        </is>
      </c>
      <c r="I2648" s="7" t="inlineStr">
        <is>
          <t>Sai Cars</t>
        </is>
      </c>
      <c r="J2648" s="8" t="n">
        <v>2012</v>
      </c>
      <c r="K2648" s="9" t="n">
        <v>100870</v>
      </c>
      <c r="L2648" s="10" t="n">
        <v>86000</v>
      </c>
      <c r="M2648" s="10" t="n">
        <v>4237.29</v>
      </c>
      <c r="N2648" s="11">
        <f>IF(M2648="","",ROUND(M2648*1.18,2))</f>
        <v/>
      </c>
      <c r="O2648" s="12">
        <f>IF(M2648="","",ROUND(N2648-M2648,2))</f>
        <v/>
      </c>
      <c r="P2648" s="13">
        <f>IF(AND(A2648&lt;&gt;"",B2648&lt;&gt;""), A2648&amp;" · "&amp;B2648, "")</f>
        <v/>
      </c>
    </row>
    <row r="2649">
      <c r="A2649" s="6" t="inlineStr">
        <is>
          <t>FY27</t>
        </is>
      </c>
      <c r="B2649" s="6" t="inlineStr">
        <is>
          <t>Jun</t>
        </is>
      </c>
      <c r="C2649" s="6" t="inlineStr">
        <is>
          <t>TN</t>
        </is>
      </c>
      <c r="D2649" s="7" t="inlineStr">
        <is>
          <t>TN37CK3390</t>
        </is>
      </c>
      <c r="E2649" s="7" t="inlineStr">
        <is>
          <t>FIAT</t>
        </is>
      </c>
      <c r="F2649" s="7" t="inlineStr">
        <is>
          <t>Linea</t>
        </is>
      </c>
      <c r="G2649" s="7" t="inlineStr">
        <is>
          <t>EXCHANGE ROTN</t>
        </is>
      </c>
      <c r="H2649" s="7" t="inlineStr">
        <is>
          <t>Captive</t>
        </is>
      </c>
      <c r="I2649" s="7" t="inlineStr">
        <is>
          <t>Sai Cars</t>
        </is>
      </c>
      <c r="J2649" s="8" t="n">
        <v>2014</v>
      </c>
      <c r="K2649" s="9" t="n">
        <v>101375</v>
      </c>
      <c r="L2649" s="10" t="n">
        <v>70000</v>
      </c>
      <c r="M2649" s="10" t="n">
        <v>4237.29</v>
      </c>
      <c r="N2649" s="11">
        <f>IF(M2649="","",ROUND(M2649*1.18,2))</f>
        <v/>
      </c>
      <c r="O2649" s="12">
        <f>IF(M2649="","",ROUND(N2649-M2649,2))</f>
        <v/>
      </c>
      <c r="P2649" s="13">
        <f>IF(AND(A2649&lt;&gt;"",B2649&lt;&gt;""), A2649&amp;" · "&amp;B2649, "")</f>
        <v/>
      </c>
    </row>
    <row r="2650">
      <c r="A2650" s="6" t="inlineStr">
        <is>
          <t>FY27</t>
        </is>
      </c>
      <c r="B2650" s="6" t="inlineStr">
        <is>
          <t>Jun</t>
        </is>
      </c>
      <c r="C2650" s="6" t="inlineStr">
        <is>
          <t>TN</t>
        </is>
      </c>
      <c r="D2650" s="7" t="inlineStr">
        <is>
          <t>TN37CU0167</t>
        </is>
      </c>
      <c r="E2650" s="7" t="inlineStr">
        <is>
          <t>HONDA</t>
        </is>
      </c>
      <c r="F2650" s="7" t="inlineStr">
        <is>
          <t>Brio</t>
        </is>
      </c>
      <c r="G2650" s="7" t="inlineStr">
        <is>
          <t>EXCHANGE ROTN</t>
        </is>
      </c>
      <c r="H2650" s="7" t="inlineStr">
        <is>
          <t>Captive</t>
        </is>
      </c>
      <c r="I2650" s="7" t="inlineStr">
        <is>
          <t>&lt;NA&gt;</t>
        </is>
      </c>
      <c r="J2650" s="8" t="n">
        <v>2016</v>
      </c>
      <c r="K2650" s="9" t="n">
        <v>102924</v>
      </c>
      <c r="L2650" s="10" t="n">
        <v>280000</v>
      </c>
      <c r="M2650" s="10" t="n">
        <v>8474.58</v>
      </c>
      <c r="N2650" s="11">
        <f>IF(M2650="","",ROUND(M2650*1.18,2))</f>
        <v/>
      </c>
      <c r="O2650" s="12">
        <f>IF(M2650="","",ROUND(N2650-M2650,2))</f>
        <v/>
      </c>
      <c r="P2650" s="13">
        <f>IF(AND(A2650&lt;&gt;"",B2650&lt;&gt;""), A2650&amp;" · "&amp;B2650, "")</f>
        <v/>
      </c>
    </row>
    <row r="2651">
      <c r="A2651" s="6" t="inlineStr">
        <is>
          <t>FY27</t>
        </is>
      </c>
      <c r="B2651" s="6" t="inlineStr">
        <is>
          <t>Jun</t>
        </is>
      </c>
      <c r="C2651" s="6" t="inlineStr">
        <is>
          <t>TN</t>
        </is>
      </c>
      <c r="D2651" s="7" t="inlineStr">
        <is>
          <t>TN37V1600</t>
        </is>
      </c>
      <c r="E2651" s="7" t="inlineStr">
        <is>
          <t>MARUTI SUZUKI</t>
        </is>
      </c>
      <c r="F2651" s="7" t="inlineStr">
        <is>
          <t>Zen</t>
        </is>
      </c>
      <c r="G2651" s="7" t="inlineStr">
        <is>
          <t>EXCHANGE ROTN</t>
        </is>
      </c>
      <c r="H2651" s="7" t="inlineStr">
        <is>
          <t>Captive</t>
        </is>
      </c>
      <c r="I2651" s="7" t="inlineStr">
        <is>
          <t>Sivashankar Cars</t>
        </is>
      </c>
      <c r="J2651" s="8" t="n">
        <v>2000</v>
      </c>
      <c r="K2651" s="9" t="n">
        <v>177007</v>
      </c>
      <c r="L2651" s="10" t="n">
        <v>35000</v>
      </c>
      <c r="M2651" s="10" t="n">
        <v>4237.29</v>
      </c>
      <c r="N2651" s="11">
        <f>IF(M2651="","",ROUND(M2651*1.18,2))</f>
        <v/>
      </c>
      <c r="O2651" s="12">
        <f>IF(M2651="","",ROUND(N2651-M2651,2))</f>
        <v/>
      </c>
      <c r="P2651" s="13">
        <f>IF(AND(A2651&lt;&gt;"",B2651&lt;&gt;""), A2651&amp;" · "&amp;B2651, "")</f>
        <v/>
      </c>
    </row>
    <row r="2652">
      <c r="A2652" s="6" t="inlineStr">
        <is>
          <t>FY27</t>
        </is>
      </c>
      <c r="B2652" s="6" t="inlineStr">
        <is>
          <t>Jun</t>
        </is>
      </c>
      <c r="C2652" s="6" t="inlineStr">
        <is>
          <t>TN</t>
        </is>
      </c>
      <c r="D2652" s="7" t="inlineStr">
        <is>
          <t>TN38AK7818</t>
        </is>
      </c>
      <c r="E2652" s="7" t="inlineStr">
        <is>
          <t>HYUNDAI</t>
        </is>
      </c>
      <c r="F2652" s="7" t="inlineStr">
        <is>
          <t>Santro</t>
        </is>
      </c>
      <c r="G2652" s="7" t="inlineStr">
        <is>
          <t>EXCHANGE ROTN</t>
        </is>
      </c>
      <c r="H2652" s="7" t="inlineStr">
        <is>
          <t>Captive</t>
        </is>
      </c>
      <c r="I2652" s="7" t="inlineStr">
        <is>
          <t>Sai Cars</t>
        </is>
      </c>
      <c r="J2652" s="8" t="n">
        <v>2007</v>
      </c>
      <c r="K2652" s="9" t="n">
        <v>133585</v>
      </c>
      <c r="L2652" s="10" t="n">
        <v>72000</v>
      </c>
      <c r="M2652" s="10" t="n">
        <v>4237.29</v>
      </c>
      <c r="N2652" s="11">
        <f>IF(M2652="","",ROUND(M2652*1.18,2))</f>
        <v/>
      </c>
      <c r="O2652" s="12">
        <f>IF(M2652="","",ROUND(N2652-M2652,2))</f>
        <v/>
      </c>
      <c r="P2652" s="13">
        <f>IF(AND(A2652&lt;&gt;"",B2652&lt;&gt;""), A2652&amp;" · "&amp;B2652, "")</f>
        <v/>
      </c>
    </row>
    <row r="2653">
      <c r="A2653" s="6" t="inlineStr">
        <is>
          <t>FY27</t>
        </is>
      </c>
      <c r="B2653" s="6" t="inlineStr">
        <is>
          <t>Jun</t>
        </is>
      </c>
      <c r="C2653" s="6" t="inlineStr">
        <is>
          <t>TN</t>
        </is>
      </c>
      <c r="D2653" s="7" t="inlineStr">
        <is>
          <t>TN38AU1119</t>
        </is>
      </c>
      <c r="E2653" s="7" t="inlineStr">
        <is>
          <t>MARUTI SUZUKI</t>
        </is>
      </c>
      <c r="F2653" s="7" t="inlineStr">
        <is>
          <t>Alto</t>
        </is>
      </c>
      <c r="G2653" s="7" t="inlineStr">
        <is>
          <t>EXCHANGE ROTN</t>
        </is>
      </c>
      <c r="H2653" s="7" t="inlineStr">
        <is>
          <t>Captive</t>
        </is>
      </c>
      <c r="I2653" s="7" t="inlineStr">
        <is>
          <t>Sai Cars</t>
        </is>
      </c>
      <c r="J2653" s="8" t="n">
        <v>2008</v>
      </c>
      <c r="K2653" s="9" t="n">
        <v>46434</v>
      </c>
      <c r="L2653" s="10" t="n">
        <v>82000</v>
      </c>
      <c r="M2653" s="10" t="n">
        <v>4237.29</v>
      </c>
      <c r="N2653" s="11">
        <f>IF(M2653="","",ROUND(M2653*1.18,2))</f>
        <v/>
      </c>
      <c r="O2653" s="12">
        <f>IF(M2653="","",ROUND(N2653-M2653,2))</f>
        <v/>
      </c>
      <c r="P2653" s="13">
        <f>IF(AND(A2653&lt;&gt;"",B2653&lt;&gt;""), A2653&amp;" · "&amp;B2653, "")</f>
        <v/>
      </c>
    </row>
    <row r="2654">
      <c r="A2654" s="6" t="inlineStr">
        <is>
          <t>FY27</t>
        </is>
      </c>
      <c r="B2654" s="6" t="inlineStr">
        <is>
          <t>Jun</t>
        </is>
      </c>
      <c r="C2654" s="6" t="inlineStr">
        <is>
          <t>TN</t>
        </is>
      </c>
      <c r="D2654" s="7" t="inlineStr">
        <is>
          <t>TN38AY5940</t>
        </is>
      </c>
      <c r="E2654" s="7" t="inlineStr">
        <is>
          <t>MARUTI SUZUKI</t>
        </is>
      </c>
      <c r="F2654" s="7" t="inlineStr">
        <is>
          <t>Alto</t>
        </is>
      </c>
      <c r="G2654" s="7" t="inlineStr">
        <is>
          <t>EXCHANGE ROTN</t>
        </is>
      </c>
      <c r="H2654" s="7" t="inlineStr">
        <is>
          <t>Captive</t>
        </is>
      </c>
      <c r="I2654" s="7" t="inlineStr">
        <is>
          <t>&lt;NA&gt;</t>
        </is>
      </c>
      <c r="J2654" s="8" t="n">
        <v>2009</v>
      </c>
      <c r="K2654" s="9" t="n">
        <v>198918</v>
      </c>
      <c r="L2654" s="10" t="n">
        <v>86000</v>
      </c>
      <c r="M2654" s="10" t="n">
        <v>4237.29</v>
      </c>
      <c r="N2654" s="11">
        <f>IF(M2654="","",ROUND(M2654*1.18,2))</f>
        <v/>
      </c>
      <c r="O2654" s="12">
        <f>IF(M2654="","",ROUND(N2654-M2654,2))</f>
        <v/>
      </c>
      <c r="P2654" s="13">
        <f>IF(AND(A2654&lt;&gt;"",B2654&lt;&gt;""), A2654&amp;" · "&amp;B2654, "")</f>
        <v/>
      </c>
    </row>
    <row r="2655">
      <c r="A2655" s="6" t="inlineStr">
        <is>
          <t>FY27</t>
        </is>
      </c>
      <c r="B2655" s="6" t="inlineStr">
        <is>
          <t>Jun</t>
        </is>
      </c>
      <c r="C2655" s="6" t="inlineStr">
        <is>
          <t>TN</t>
        </is>
      </c>
      <c r="D2655" s="7" t="inlineStr">
        <is>
          <t>TN38BP0840</t>
        </is>
      </c>
      <c r="E2655" s="7" t="inlineStr">
        <is>
          <t>TATA</t>
        </is>
      </c>
      <c r="F2655" s="7" t="inlineStr">
        <is>
          <t>Indica</t>
        </is>
      </c>
      <c r="G2655" s="7" t="inlineStr">
        <is>
          <t>EXCHANGE ROTN</t>
        </is>
      </c>
      <c r="H2655" s="7" t="inlineStr">
        <is>
          <t>Captive</t>
        </is>
      </c>
      <c r="I2655" s="7" t="inlineStr">
        <is>
          <t>Yugatheran cars</t>
        </is>
      </c>
      <c r="J2655" s="8" t="n">
        <v>2012</v>
      </c>
      <c r="K2655" s="9" t="n">
        <v>39421</v>
      </c>
      <c r="L2655" s="10" t="n">
        <v>240000</v>
      </c>
      <c r="M2655" s="10" t="n">
        <v>8474.58</v>
      </c>
      <c r="N2655" s="11">
        <f>IF(M2655="","",ROUND(M2655*1.18,2))</f>
        <v/>
      </c>
      <c r="O2655" s="12">
        <f>IF(M2655="","",ROUND(N2655-M2655,2))</f>
        <v/>
      </c>
      <c r="P2655" s="13">
        <f>IF(AND(A2655&lt;&gt;"",B2655&lt;&gt;""), A2655&amp;" · "&amp;B2655, "")</f>
        <v/>
      </c>
    </row>
    <row r="2656">
      <c r="A2656" s="6" t="inlineStr">
        <is>
          <t>FY27</t>
        </is>
      </c>
      <c r="B2656" s="6" t="inlineStr">
        <is>
          <t>Jun</t>
        </is>
      </c>
      <c r="C2656" s="6" t="inlineStr">
        <is>
          <t>TN</t>
        </is>
      </c>
      <c r="D2656" s="7" t="inlineStr">
        <is>
          <t>TN38CM3988</t>
        </is>
      </c>
      <c r="E2656" s="7" t="inlineStr">
        <is>
          <t>DATSUN</t>
        </is>
      </c>
      <c r="F2656" s="7" t="inlineStr">
        <is>
          <t>Redi-GO</t>
        </is>
      </c>
      <c r="G2656" s="7" t="inlineStr">
        <is>
          <t>EXCHANGE ROTN</t>
        </is>
      </c>
      <c r="H2656" s="7" t="inlineStr">
        <is>
          <t>Captive</t>
        </is>
      </c>
      <c r="I2656" s="7" t="inlineStr">
        <is>
          <t>&lt;NA&gt;</t>
        </is>
      </c>
      <c r="J2656" s="8" t="n">
        <v>2017</v>
      </c>
      <c r="K2656" s="9" t="n">
        <v>77848</v>
      </c>
      <c r="L2656" s="10" t="n">
        <v>200000</v>
      </c>
      <c r="M2656" s="10" t="n">
        <v>4237.29</v>
      </c>
      <c r="N2656" s="11">
        <f>IF(M2656="","",ROUND(M2656*1.18,2))</f>
        <v/>
      </c>
      <c r="O2656" s="12">
        <f>IF(M2656="","",ROUND(N2656-M2656,2))</f>
        <v/>
      </c>
      <c r="P2656" s="13">
        <f>IF(AND(A2656&lt;&gt;"",B2656&lt;&gt;""), A2656&amp;" · "&amp;B2656, "")</f>
        <v/>
      </c>
    </row>
    <row r="2657">
      <c r="A2657" s="6" t="inlineStr">
        <is>
          <t>FY27</t>
        </is>
      </c>
      <c r="B2657" s="6" t="inlineStr">
        <is>
          <t>Jun</t>
        </is>
      </c>
      <c r="C2657" s="6" t="inlineStr">
        <is>
          <t>TN</t>
        </is>
      </c>
      <c r="D2657" s="7" t="inlineStr">
        <is>
          <t>TN38CR2616</t>
        </is>
      </c>
      <c r="E2657" s="7" t="inlineStr">
        <is>
          <t>HYUNDAI</t>
        </is>
      </c>
      <c r="F2657" s="7" t="inlineStr">
        <is>
          <t>Santro</t>
        </is>
      </c>
      <c r="G2657" s="7" t="inlineStr">
        <is>
          <t>EXCHANGE ROTN</t>
        </is>
      </c>
      <c r="H2657" s="7" t="inlineStr">
        <is>
          <t>Captive</t>
        </is>
      </c>
      <c r="I2657" s="7" t="inlineStr">
        <is>
          <t>Yugatheran cars</t>
        </is>
      </c>
      <c r="J2657" s="8" t="n">
        <v>2018</v>
      </c>
      <c r="K2657" s="9" t="n">
        <v>53205</v>
      </c>
      <c r="L2657" s="10" t="n">
        <v>350000</v>
      </c>
      <c r="M2657" s="10" t="n">
        <v>10169.49</v>
      </c>
      <c r="N2657" s="11">
        <f>IF(M2657="","",ROUND(M2657*1.18,2))</f>
        <v/>
      </c>
      <c r="O2657" s="12">
        <f>IF(M2657="","",ROUND(N2657-M2657,2))</f>
        <v/>
      </c>
      <c r="P2657" s="13">
        <f>IF(AND(A2657&lt;&gt;"",B2657&lt;&gt;""), A2657&amp;" · "&amp;B2657, "")</f>
        <v/>
      </c>
    </row>
    <row r="2658">
      <c r="A2658" s="6" t="inlineStr">
        <is>
          <t>FY27</t>
        </is>
      </c>
      <c r="B2658" s="6" t="inlineStr">
        <is>
          <t>Jun</t>
        </is>
      </c>
      <c r="C2658" s="6" t="inlineStr">
        <is>
          <t>TN</t>
        </is>
      </c>
      <c r="D2658" s="7" t="inlineStr">
        <is>
          <t>TN38T5577</t>
        </is>
      </c>
      <c r="E2658" s="7" t="inlineStr">
        <is>
          <t>HONDA</t>
        </is>
      </c>
      <c r="F2658" s="7" t="inlineStr">
        <is>
          <t>City</t>
        </is>
      </c>
      <c r="G2658" s="7" t="inlineStr">
        <is>
          <t>EXCHANGE ROTN</t>
        </is>
      </c>
      <c r="H2658" s="7" t="inlineStr">
        <is>
          <t>Captive</t>
        </is>
      </c>
      <c r="I2658" s="7" t="inlineStr">
        <is>
          <t>Sai Cars</t>
        </is>
      </c>
      <c r="J2658" s="8" t="n">
        <v>2003</v>
      </c>
      <c r="K2658" s="9" t="n">
        <v>176666</v>
      </c>
      <c r="L2658" s="10" t="n">
        <v>60000</v>
      </c>
      <c r="M2658" s="10" t="n">
        <v>4237.29</v>
      </c>
      <c r="N2658" s="11">
        <f>IF(M2658="","",ROUND(M2658*1.18,2))</f>
        <v/>
      </c>
      <c r="O2658" s="12">
        <f>IF(M2658="","",ROUND(N2658-M2658,2))</f>
        <v/>
      </c>
      <c r="P2658" s="13">
        <f>IF(AND(A2658&lt;&gt;"",B2658&lt;&gt;""), A2658&amp;" · "&amp;B2658, "")</f>
        <v/>
      </c>
    </row>
    <row r="2659">
      <c r="A2659" s="6" t="inlineStr">
        <is>
          <t>FY27</t>
        </is>
      </c>
      <c r="B2659" s="6" t="inlineStr">
        <is>
          <t>Jun</t>
        </is>
      </c>
      <c r="C2659" s="6" t="inlineStr">
        <is>
          <t>TN</t>
        </is>
      </c>
      <c r="D2659" s="7" t="inlineStr">
        <is>
          <t>TN39BA2298</t>
        </is>
      </c>
      <c r="E2659" s="7" t="inlineStr">
        <is>
          <t>HYUNDAI</t>
        </is>
      </c>
      <c r="F2659" s="7" t="inlineStr">
        <is>
          <t>i10</t>
        </is>
      </c>
      <c r="G2659" s="7" t="inlineStr">
        <is>
          <t>SREE SARADHAMBAL AUTOMOBILES PRIVATE LIMITED</t>
        </is>
      </c>
      <c r="H2659" s="7" t="inlineStr">
        <is>
          <t>Non-Captive</t>
        </is>
      </c>
      <c r="I2659" s="7" t="inlineStr">
        <is>
          <t>&lt;NA&gt;</t>
        </is>
      </c>
      <c r="J2659" s="8" t="n">
        <v>2010</v>
      </c>
      <c r="K2659" s="9" t="n">
        <v>130752</v>
      </c>
      <c r="L2659" s="10" t="n">
        <v>93000</v>
      </c>
      <c r="M2659" s="10" t="n">
        <v>4237.29</v>
      </c>
      <c r="N2659" s="11">
        <f>IF(M2659="","",ROUND(M2659*1.18,2))</f>
        <v/>
      </c>
      <c r="O2659" s="12">
        <f>IF(M2659="","",ROUND(N2659-M2659,2))</f>
        <v/>
      </c>
      <c r="P2659" s="13">
        <f>IF(AND(A2659&lt;&gt;"",B2659&lt;&gt;""), A2659&amp;" · "&amp;B2659, "")</f>
        <v/>
      </c>
    </row>
    <row r="2660">
      <c r="A2660" s="6" t="inlineStr">
        <is>
          <t>FY27</t>
        </is>
      </c>
      <c r="B2660" s="6" t="inlineStr">
        <is>
          <t>Jun</t>
        </is>
      </c>
      <c r="C2660" s="6" t="inlineStr">
        <is>
          <t>TN</t>
        </is>
      </c>
      <c r="D2660" s="7" t="inlineStr">
        <is>
          <t>TN39CK1924</t>
        </is>
      </c>
      <c r="E2660" s="7" t="inlineStr">
        <is>
          <t>HONDA</t>
        </is>
      </c>
      <c r="F2660" s="7" t="inlineStr">
        <is>
          <t>Amaze</t>
        </is>
      </c>
      <c r="G2660" s="7" t="inlineStr">
        <is>
          <t>EXCHANGE ROTN</t>
        </is>
      </c>
      <c r="H2660" s="7" t="inlineStr">
        <is>
          <t>Captive</t>
        </is>
      </c>
      <c r="I2660" s="7" t="inlineStr">
        <is>
          <t>Sai Cars</t>
        </is>
      </c>
      <c r="J2660" s="8" t="n">
        <v>2019</v>
      </c>
      <c r="K2660" s="9" t="n">
        <v>72891</v>
      </c>
      <c r="L2660" s="10" t="n">
        <v>420000</v>
      </c>
      <c r="M2660" s="10" t="n">
        <v>16949.15</v>
      </c>
      <c r="N2660" s="11">
        <f>IF(M2660="","",ROUND(M2660*1.18,2))</f>
        <v/>
      </c>
      <c r="O2660" s="12">
        <f>IF(M2660="","",ROUND(N2660-M2660,2))</f>
        <v/>
      </c>
      <c r="P2660" s="13">
        <f>IF(AND(A2660&lt;&gt;"",B2660&lt;&gt;""), A2660&amp;" · "&amp;B2660, "")</f>
        <v/>
      </c>
    </row>
    <row r="2661">
      <c r="A2661" s="6" t="inlineStr">
        <is>
          <t>FY27</t>
        </is>
      </c>
      <c r="B2661" s="6" t="inlineStr">
        <is>
          <t>Jun</t>
        </is>
      </c>
      <c r="C2661" s="6" t="inlineStr">
        <is>
          <t>TN</t>
        </is>
      </c>
      <c r="D2661" s="7" t="inlineStr">
        <is>
          <t>TN420909</t>
        </is>
      </c>
      <c r="E2661" s="7" t="inlineStr">
        <is>
          <t>SKODA</t>
        </is>
      </c>
      <c r="F2661" s="7" t="inlineStr">
        <is>
          <t>Fabia</t>
        </is>
      </c>
      <c r="G2661" s="7" t="inlineStr">
        <is>
          <t>THIRIVENI CARS</t>
        </is>
      </c>
      <c r="H2661" s="7" t="inlineStr">
        <is>
          <t>Non-Captive</t>
        </is>
      </c>
      <c r="I2661" s="7" t="inlineStr">
        <is>
          <t>Nirmal Cars</t>
        </is>
      </c>
      <c r="J2661" s="8" t="n">
        <v>2008</v>
      </c>
      <c r="K2661" s="9" t="n">
        <v>290501</v>
      </c>
      <c r="L2661" s="10" t="n">
        <v>170000</v>
      </c>
      <c r="M2661" s="10" t="n">
        <v>4237.29</v>
      </c>
      <c r="N2661" s="11">
        <f>IF(M2661="","",ROUND(M2661*1.18,2))</f>
        <v/>
      </c>
      <c r="O2661" s="12">
        <f>IF(M2661="","",ROUND(N2661-M2661,2))</f>
        <v/>
      </c>
      <c r="P2661" s="13">
        <f>IF(AND(A2661&lt;&gt;"",B2661&lt;&gt;""), A2661&amp;" · "&amp;B2661, "")</f>
        <v/>
      </c>
    </row>
    <row r="2662">
      <c r="A2662" s="6" t="inlineStr">
        <is>
          <t>FY27</t>
        </is>
      </c>
      <c r="B2662" s="6" t="inlineStr">
        <is>
          <t>Jun</t>
        </is>
      </c>
      <c r="C2662" s="6" t="inlineStr">
        <is>
          <t>TN</t>
        </is>
      </c>
      <c r="D2662" s="7" t="inlineStr">
        <is>
          <t>TN42X5172</t>
        </is>
      </c>
      <c r="E2662" s="7" t="inlineStr">
        <is>
          <t>TATA</t>
        </is>
      </c>
      <c r="F2662" s="7" t="inlineStr">
        <is>
          <t>Indica</t>
        </is>
      </c>
      <c r="G2662" s="7" t="inlineStr">
        <is>
          <t>AIE CARS PRIVATE LIMITED</t>
        </is>
      </c>
      <c r="H2662" s="7" t="inlineStr">
        <is>
          <t>Non-Captive</t>
        </is>
      </c>
      <c r="I2662" s="7" t="inlineStr">
        <is>
          <t>S2 Cars</t>
        </is>
      </c>
      <c r="J2662" s="8" t="n">
        <v>2010</v>
      </c>
      <c r="K2662" s="9" t="n">
        <v>67786</v>
      </c>
      <c r="L2662" s="10" t="n">
        <v>80000</v>
      </c>
      <c r="M2662" s="10" t="n">
        <v>4237.29</v>
      </c>
      <c r="N2662" s="11">
        <f>IF(M2662="","",ROUND(M2662*1.18,2))</f>
        <v/>
      </c>
      <c r="O2662" s="12">
        <f>IF(M2662="","",ROUND(N2662-M2662,2))</f>
        <v/>
      </c>
      <c r="P2662" s="13">
        <f>IF(AND(A2662&lt;&gt;"",B2662&lt;&gt;""), A2662&amp;" · "&amp;B2662, "")</f>
        <v/>
      </c>
    </row>
    <row r="2663">
      <c r="A2663" s="6" t="inlineStr">
        <is>
          <t>FY27</t>
        </is>
      </c>
      <c r="B2663" s="6" t="inlineStr">
        <is>
          <t>Jun</t>
        </is>
      </c>
      <c r="C2663" s="6" t="inlineStr">
        <is>
          <t>TN</t>
        </is>
      </c>
      <c r="D2663" s="7" t="inlineStr">
        <is>
          <t>TN43A5231</t>
        </is>
      </c>
      <c r="E2663" s="7" t="inlineStr">
        <is>
          <t>TATA</t>
        </is>
      </c>
      <c r="F2663" s="7" t="inlineStr">
        <is>
          <t>Indica</t>
        </is>
      </c>
      <c r="G2663" s="7" t="inlineStr">
        <is>
          <t>LOTUS HYUNDAI (TEJAS CARS PRIVATE LIMITED</t>
        </is>
      </c>
      <c r="H2663" s="7" t="inlineStr">
        <is>
          <t>Non-Captive</t>
        </is>
      </c>
      <c r="I2663" s="7" t="inlineStr">
        <is>
          <t>&lt;NA&gt;</t>
        </is>
      </c>
      <c r="J2663" s="8" t="n">
        <v>2002</v>
      </c>
      <c r="K2663" s="9" t="n">
        <v>17421</v>
      </c>
      <c r="L2663" s="10" t="n">
        <v>54000</v>
      </c>
      <c r="M2663" s="10" t="n">
        <v>4237.29</v>
      </c>
      <c r="N2663" s="11">
        <f>IF(M2663="","",ROUND(M2663*1.18,2))</f>
        <v/>
      </c>
      <c r="O2663" s="12">
        <f>IF(M2663="","",ROUND(N2663-M2663,2))</f>
        <v/>
      </c>
      <c r="P2663" s="13">
        <f>IF(AND(A2663&lt;&gt;"",B2663&lt;&gt;""), A2663&amp;" · "&amp;B2663, "")</f>
        <v/>
      </c>
    </row>
    <row r="2664">
      <c r="A2664" s="6" t="inlineStr">
        <is>
          <t>FY27</t>
        </is>
      </c>
      <c r="B2664" s="6" t="inlineStr">
        <is>
          <t>Jun</t>
        </is>
      </c>
      <c r="C2664" s="6" t="inlineStr">
        <is>
          <t>TN</t>
        </is>
      </c>
      <c r="D2664" s="7" t="inlineStr">
        <is>
          <t>TN43D6234</t>
        </is>
      </c>
      <c r="E2664" s="7" t="inlineStr">
        <is>
          <t>HYUNDAI</t>
        </is>
      </c>
      <c r="F2664" s="7" t="inlineStr">
        <is>
          <t>i20</t>
        </is>
      </c>
      <c r="G2664" s="7" t="inlineStr">
        <is>
          <t>LANSON QCARS PRIVATE LIMITED</t>
        </is>
      </c>
      <c r="H2664" s="7" t="inlineStr">
        <is>
          <t>Non-Captive</t>
        </is>
      </c>
      <c r="I2664" s="7" t="inlineStr">
        <is>
          <t>Nirmal Cars</t>
        </is>
      </c>
      <c r="J2664" s="8" t="n">
        <v>2011</v>
      </c>
      <c r="K2664" s="9" t="n">
        <v>107361</v>
      </c>
      <c r="L2664" s="10" t="n">
        <v>240000</v>
      </c>
      <c r="M2664" s="10" t="n">
        <v>4237.29</v>
      </c>
      <c r="N2664" s="11">
        <f>IF(M2664="","",ROUND(M2664*1.18,2))</f>
        <v/>
      </c>
      <c r="O2664" s="12">
        <f>IF(M2664="","",ROUND(N2664-M2664,2))</f>
        <v/>
      </c>
      <c r="P2664" s="13">
        <f>IF(AND(A2664&lt;&gt;"",B2664&lt;&gt;""), A2664&amp;" · "&amp;B2664, "")</f>
        <v/>
      </c>
    </row>
    <row r="2665">
      <c r="A2665" s="6" t="inlineStr">
        <is>
          <t>FY27</t>
        </is>
      </c>
      <c r="B2665" s="6" t="inlineStr">
        <is>
          <t>Jun</t>
        </is>
      </c>
      <c r="C2665" s="6" t="inlineStr">
        <is>
          <t>TN</t>
        </is>
      </c>
      <c r="D2665" s="7" t="inlineStr">
        <is>
          <t>TN45AF1224</t>
        </is>
      </c>
      <c r="E2665" s="7" t="inlineStr">
        <is>
          <t>FORD</t>
        </is>
      </c>
      <c r="F2665" s="7" t="inlineStr">
        <is>
          <t>Fiesta</t>
        </is>
      </c>
      <c r="G2665" s="7" t="inlineStr">
        <is>
          <t>EXCHANGE ROTN</t>
        </is>
      </c>
      <c r="H2665" s="7" t="inlineStr">
        <is>
          <t>Captive</t>
        </is>
      </c>
      <c r="I2665" s="7" t="inlineStr">
        <is>
          <t>Sivashankar Cars</t>
        </is>
      </c>
      <c r="J2665" s="8" t="n">
        <v>2006</v>
      </c>
      <c r="K2665" s="9" t="n">
        <v>164114</v>
      </c>
      <c r="L2665" s="10" t="n">
        <v>40000</v>
      </c>
      <c r="M2665" s="10" t="n">
        <v>4237.29</v>
      </c>
      <c r="N2665" s="11">
        <f>IF(M2665="","",ROUND(M2665*1.18,2))</f>
        <v/>
      </c>
      <c r="O2665" s="12">
        <f>IF(M2665="","",ROUND(N2665-M2665,2))</f>
        <v/>
      </c>
      <c r="P2665" s="13">
        <f>IF(AND(A2665&lt;&gt;"",B2665&lt;&gt;""), A2665&amp;" · "&amp;B2665, "")</f>
        <v/>
      </c>
    </row>
    <row r="2666">
      <c r="A2666" s="6" t="inlineStr">
        <is>
          <t>FY27</t>
        </is>
      </c>
      <c r="B2666" s="6" t="inlineStr">
        <is>
          <t>Jun</t>
        </is>
      </c>
      <c r="C2666" s="6" t="inlineStr">
        <is>
          <t>TN</t>
        </is>
      </c>
      <c r="D2666" s="7" t="inlineStr">
        <is>
          <t>TN45BB6176</t>
        </is>
      </c>
      <c r="E2666" s="7" t="inlineStr">
        <is>
          <t>HYUNDAI</t>
        </is>
      </c>
      <c r="F2666" s="7" t="inlineStr">
        <is>
          <t>i10</t>
        </is>
      </c>
      <c r="G2666" s="7" t="inlineStr">
        <is>
          <t>EXCHANGE ROTN</t>
        </is>
      </c>
      <c r="H2666" s="7" t="inlineStr">
        <is>
          <t>Captive</t>
        </is>
      </c>
      <c r="I2666" s="7" t="inlineStr">
        <is>
          <t>&lt;NA&gt;</t>
        </is>
      </c>
      <c r="J2666" s="8" t="n">
        <v>2012</v>
      </c>
      <c r="K2666" s="9" t="n">
        <v>55005</v>
      </c>
      <c r="L2666" s="10" t="n">
        <v>247000</v>
      </c>
      <c r="M2666" s="10" t="n">
        <v>4237.29</v>
      </c>
      <c r="N2666" s="11">
        <f>IF(M2666="","",ROUND(M2666*1.18,2))</f>
        <v/>
      </c>
      <c r="O2666" s="12">
        <f>IF(M2666="","",ROUND(N2666-M2666,2))</f>
        <v/>
      </c>
      <c r="P2666" s="13">
        <f>IF(AND(A2666&lt;&gt;"",B2666&lt;&gt;""), A2666&amp;" · "&amp;B2666, "")</f>
        <v/>
      </c>
    </row>
    <row r="2667">
      <c r="A2667" s="6" t="inlineStr">
        <is>
          <t>FY27</t>
        </is>
      </c>
      <c r="B2667" s="6" t="inlineStr">
        <is>
          <t>Jun</t>
        </is>
      </c>
      <c r="C2667" s="6" t="inlineStr">
        <is>
          <t>TN</t>
        </is>
      </c>
      <c r="D2667" s="7" t="inlineStr">
        <is>
          <t>TN45BD7007</t>
        </is>
      </c>
      <c r="E2667" s="7" t="inlineStr">
        <is>
          <t>HONDA</t>
        </is>
      </c>
      <c r="F2667" s="7" t="inlineStr">
        <is>
          <t>Brio</t>
        </is>
      </c>
      <c r="G2667" s="7" t="inlineStr">
        <is>
          <t>EXCHANGE ROTN</t>
        </is>
      </c>
      <c r="H2667" s="7" t="inlineStr">
        <is>
          <t>Captive</t>
        </is>
      </c>
      <c r="I2667" s="7" t="inlineStr">
        <is>
          <t>&lt;NA&gt;</t>
        </is>
      </c>
      <c r="J2667" s="8" t="n">
        <v>2013</v>
      </c>
      <c r="K2667" s="9" t="n">
        <v>130275</v>
      </c>
      <c r="L2667" s="10" t="n">
        <v>200000</v>
      </c>
      <c r="M2667" s="10" t="n">
        <v>4237.29</v>
      </c>
      <c r="N2667" s="11">
        <f>IF(M2667="","",ROUND(M2667*1.18,2))</f>
        <v/>
      </c>
      <c r="O2667" s="12">
        <f>IF(M2667="","",ROUND(N2667-M2667,2))</f>
        <v/>
      </c>
      <c r="P2667" s="13">
        <f>IF(AND(A2667&lt;&gt;"",B2667&lt;&gt;""), A2667&amp;" · "&amp;B2667, "")</f>
        <v/>
      </c>
    </row>
    <row r="2668">
      <c r="A2668" s="6" t="inlineStr">
        <is>
          <t>FY27</t>
        </is>
      </c>
      <c r="B2668" s="6" t="inlineStr">
        <is>
          <t>Jun</t>
        </is>
      </c>
      <c r="C2668" s="6" t="inlineStr">
        <is>
          <t>TN</t>
        </is>
      </c>
      <c r="D2668" s="7" t="inlineStr">
        <is>
          <t>TN47AB4141</t>
        </is>
      </c>
      <c r="E2668" s="7" t="inlineStr">
        <is>
          <t>VOLKSWAGEN</t>
        </is>
      </c>
      <c r="F2668" s="7" t="inlineStr">
        <is>
          <t>Vento</t>
        </is>
      </c>
      <c r="G2668" s="7" t="inlineStr">
        <is>
          <t>EXCHANGE ROTN</t>
        </is>
      </c>
      <c r="H2668" s="7" t="inlineStr">
        <is>
          <t>Captive</t>
        </is>
      </c>
      <c r="I2668" s="7" t="inlineStr">
        <is>
          <t>&lt;NA&gt;</t>
        </is>
      </c>
      <c r="J2668" s="8" t="n">
        <v>2012</v>
      </c>
      <c r="K2668" s="9" t="n">
        <v>203326</v>
      </c>
      <c r="L2668" s="10" t="n">
        <v>260000</v>
      </c>
      <c r="M2668" s="10" t="n">
        <v>8474.58</v>
      </c>
      <c r="N2668" s="11">
        <f>IF(M2668="","",ROUND(M2668*1.18,2))</f>
        <v/>
      </c>
      <c r="O2668" s="12">
        <f>IF(M2668="","",ROUND(N2668-M2668,2))</f>
        <v/>
      </c>
      <c r="P2668" s="13">
        <f>IF(AND(A2668&lt;&gt;"",B2668&lt;&gt;""), A2668&amp;" · "&amp;B2668, "")</f>
        <v/>
      </c>
    </row>
    <row r="2669">
      <c r="A2669" s="6" t="inlineStr">
        <is>
          <t>FY27</t>
        </is>
      </c>
      <c r="B2669" s="6" t="inlineStr">
        <is>
          <t>Jun</t>
        </is>
      </c>
      <c r="C2669" s="6" t="inlineStr">
        <is>
          <t>TN</t>
        </is>
      </c>
      <c r="D2669" s="7" t="inlineStr">
        <is>
          <t>TN47AD6572</t>
        </is>
      </c>
      <c r="E2669" s="7" t="inlineStr">
        <is>
          <t>HONDA</t>
        </is>
      </c>
      <c r="F2669" s="7" t="inlineStr">
        <is>
          <t>City</t>
        </is>
      </c>
      <c r="G2669" s="7" t="inlineStr">
        <is>
          <t>EXCHANGE ROTN</t>
        </is>
      </c>
      <c r="H2669" s="7" t="inlineStr">
        <is>
          <t>Captive</t>
        </is>
      </c>
      <c r="I2669" s="7" t="inlineStr">
        <is>
          <t>&lt;NA&gt;</t>
        </is>
      </c>
      <c r="J2669" s="8" t="n">
        <v>2013</v>
      </c>
      <c r="K2669" s="9" t="n">
        <v>177823</v>
      </c>
      <c r="L2669" s="10" t="n">
        <v>310000</v>
      </c>
      <c r="M2669" s="10" t="n">
        <v>4237.29</v>
      </c>
      <c r="N2669" s="11">
        <f>IF(M2669="","",ROUND(M2669*1.18,2))</f>
        <v/>
      </c>
      <c r="O2669" s="12">
        <f>IF(M2669="","",ROUND(N2669-M2669,2))</f>
        <v/>
      </c>
      <c r="P2669" s="13">
        <f>IF(AND(A2669&lt;&gt;"",B2669&lt;&gt;""), A2669&amp;" · "&amp;B2669, "")</f>
        <v/>
      </c>
    </row>
    <row r="2670">
      <c r="A2670" s="6" t="inlineStr">
        <is>
          <t>FY27</t>
        </is>
      </c>
      <c r="B2670" s="6" t="inlineStr">
        <is>
          <t>Jun</t>
        </is>
      </c>
      <c r="C2670" s="6" t="inlineStr">
        <is>
          <t>TN</t>
        </is>
      </c>
      <c r="D2670" s="7" t="inlineStr">
        <is>
          <t>TN48AA2952</t>
        </is>
      </c>
      <c r="E2670" s="7" t="inlineStr">
        <is>
          <t>MARUTI SUZUKI</t>
        </is>
      </c>
      <c r="F2670" s="7" t="inlineStr">
        <is>
          <t>Swift</t>
        </is>
      </c>
      <c r="G2670" s="7" t="inlineStr">
        <is>
          <t>AIE CARS PRIVATE LIMITED</t>
        </is>
      </c>
      <c r="H2670" s="7" t="inlineStr">
        <is>
          <t>Non-Captive</t>
        </is>
      </c>
      <c r="I2670" s="7" t="inlineStr">
        <is>
          <t>Lanson</t>
        </is>
      </c>
      <c r="J2670" s="8" t="n">
        <v>2013</v>
      </c>
      <c r="K2670" s="9" t="n">
        <v>18895</v>
      </c>
      <c r="L2670" s="10" t="n">
        <v>300000</v>
      </c>
      <c r="M2670" s="10" t="n">
        <v>6779.66</v>
      </c>
      <c r="N2670" s="11">
        <f>IF(M2670="","",ROUND(M2670*1.18,2))</f>
        <v/>
      </c>
      <c r="O2670" s="12">
        <f>IF(M2670="","",ROUND(N2670-M2670,2))</f>
        <v/>
      </c>
      <c r="P2670" s="13">
        <f>IF(AND(A2670&lt;&gt;"",B2670&lt;&gt;""), A2670&amp;" · "&amp;B2670, "")</f>
        <v/>
      </c>
    </row>
    <row r="2671">
      <c r="A2671" s="6" t="inlineStr">
        <is>
          <t>FY27</t>
        </is>
      </c>
      <c r="B2671" s="6" t="inlineStr">
        <is>
          <t>Jun</t>
        </is>
      </c>
      <c r="C2671" s="6" t="inlineStr">
        <is>
          <t>TN</t>
        </is>
      </c>
      <c r="D2671" s="7" t="inlineStr">
        <is>
          <t>TN50F2243</t>
        </is>
      </c>
      <c r="E2671" s="7" t="inlineStr">
        <is>
          <t>MARUTI SUZUKI</t>
        </is>
      </c>
      <c r="F2671" s="7" t="inlineStr">
        <is>
          <t>Alto</t>
        </is>
      </c>
      <c r="G2671" s="7" t="inlineStr">
        <is>
          <t>TAFE ACCESS LIMITED</t>
        </is>
      </c>
      <c r="H2671" s="7" t="inlineStr">
        <is>
          <t>Non-Captive</t>
        </is>
      </c>
      <c r="I2671" s="7" t="inlineStr">
        <is>
          <t>&lt;NA&gt;</t>
        </is>
      </c>
      <c r="J2671" s="8" t="n">
        <v>2008</v>
      </c>
      <c r="K2671" s="9" t="n">
        <v>162474</v>
      </c>
      <c r="L2671" s="10" t="n">
        <v>80000</v>
      </c>
      <c r="M2671" s="10" t="n">
        <v>4237.29</v>
      </c>
      <c r="N2671" s="11">
        <f>IF(M2671="","",ROUND(M2671*1.18,2))</f>
        <v/>
      </c>
      <c r="O2671" s="12">
        <f>IF(M2671="","",ROUND(N2671-M2671,2))</f>
        <v/>
      </c>
      <c r="P2671" s="13">
        <f>IF(AND(A2671&lt;&gt;"",B2671&lt;&gt;""), A2671&amp;" · "&amp;B2671, "")</f>
        <v/>
      </c>
    </row>
    <row r="2672">
      <c r="A2672" s="6" t="inlineStr">
        <is>
          <t>FY27</t>
        </is>
      </c>
      <c r="B2672" s="6" t="inlineStr">
        <is>
          <t>Jun</t>
        </is>
      </c>
      <c r="C2672" s="6" t="inlineStr">
        <is>
          <t>TN</t>
        </is>
      </c>
      <c r="D2672" s="7" t="inlineStr">
        <is>
          <t>TN52L9882</t>
        </is>
      </c>
      <c r="E2672" s="7" t="inlineStr">
        <is>
          <t>MARUTI SUZUKI</t>
        </is>
      </c>
      <c r="F2672" s="7" t="inlineStr">
        <is>
          <t>Omni</t>
        </is>
      </c>
      <c r="G2672" s="7" t="inlineStr">
        <is>
          <t>THIRIVENI CARS</t>
        </is>
      </c>
      <c r="H2672" s="7" t="inlineStr">
        <is>
          <t>Non-Captive</t>
        </is>
      </c>
      <c r="I2672" s="7" t="inlineStr">
        <is>
          <t>Nirmal Cars</t>
        </is>
      </c>
      <c r="J2672" s="8" t="n">
        <v>2017</v>
      </c>
      <c r="K2672" s="9" t="n">
        <v>127939</v>
      </c>
      <c r="L2672" s="10" t="n">
        <v>160000</v>
      </c>
      <c r="M2672" s="10" t="n">
        <v>4237.29</v>
      </c>
      <c r="N2672" s="11">
        <f>IF(M2672="","",ROUND(M2672*1.18,2))</f>
        <v/>
      </c>
      <c r="O2672" s="12">
        <f>IF(M2672="","",ROUND(N2672-M2672,2))</f>
        <v/>
      </c>
      <c r="P2672" s="13">
        <f>IF(AND(A2672&lt;&gt;"",B2672&lt;&gt;""), A2672&amp;" · "&amp;B2672, "")</f>
        <v/>
      </c>
    </row>
    <row r="2673">
      <c r="A2673" s="6" t="inlineStr">
        <is>
          <t>FY27</t>
        </is>
      </c>
      <c r="B2673" s="6" t="inlineStr">
        <is>
          <t>Jun</t>
        </is>
      </c>
      <c r="C2673" s="6" t="inlineStr">
        <is>
          <t>TN</t>
        </is>
      </c>
      <c r="D2673" s="7" t="inlineStr">
        <is>
          <t>TN54D4959</t>
        </is>
      </c>
      <c r="E2673" s="7" t="inlineStr">
        <is>
          <t>CHEVROLET</t>
        </is>
      </c>
      <c r="F2673" s="7" t="inlineStr">
        <is>
          <t>Spark</t>
        </is>
      </c>
      <c r="G2673" s="7" t="inlineStr">
        <is>
          <t>SM CARS</t>
        </is>
      </c>
      <c r="H2673" s="7" t="inlineStr">
        <is>
          <t>Non-Captive</t>
        </is>
      </c>
      <c r="I2673" s="7" t="inlineStr">
        <is>
          <t>&lt;NA&gt;</t>
        </is>
      </c>
      <c r="J2673" s="8" t="n">
        <v>2011</v>
      </c>
      <c r="K2673" s="9" t="n">
        <v>68191</v>
      </c>
      <c r="L2673" s="10" t="n">
        <v>30000</v>
      </c>
      <c r="M2673" s="10" t="n">
        <v>4237.29</v>
      </c>
      <c r="N2673" s="11">
        <f>IF(M2673="","",ROUND(M2673*1.18,2))</f>
        <v/>
      </c>
      <c r="O2673" s="12">
        <f>IF(M2673="","",ROUND(N2673-M2673,2))</f>
        <v/>
      </c>
      <c r="P2673" s="13">
        <f>IF(AND(A2673&lt;&gt;"",B2673&lt;&gt;""), A2673&amp;" · "&amp;B2673, "")</f>
        <v/>
      </c>
    </row>
    <row r="2674">
      <c r="A2674" s="6" t="inlineStr">
        <is>
          <t>FY27</t>
        </is>
      </c>
      <c r="B2674" s="6" t="inlineStr">
        <is>
          <t>Jun</t>
        </is>
      </c>
      <c r="C2674" s="6" t="inlineStr">
        <is>
          <t>TN</t>
        </is>
      </c>
      <c r="D2674" s="7" t="inlineStr">
        <is>
          <t>TN55BA3434</t>
        </is>
      </c>
      <c r="E2674" s="7" t="inlineStr">
        <is>
          <t>HONDA</t>
        </is>
      </c>
      <c r="F2674" s="7" t="inlineStr">
        <is>
          <t>City</t>
        </is>
      </c>
      <c r="G2674" s="7" t="inlineStr">
        <is>
          <t>EXCHANGE ROTN</t>
        </is>
      </c>
      <c r="H2674" s="7" t="inlineStr">
        <is>
          <t>Captive</t>
        </is>
      </c>
      <c r="I2674" s="7" t="inlineStr">
        <is>
          <t>&lt;NA&gt;</t>
        </is>
      </c>
      <c r="J2674" s="8" t="n">
        <v>2017</v>
      </c>
      <c r="K2674" s="9" t="n">
        <v>91493</v>
      </c>
      <c r="L2674" s="10" t="n">
        <v>470000</v>
      </c>
      <c r="M2674" s="10" t="n">
        <v>8474.58</v>
      </c>
      <c r="N2674" s="11">
        <f>IF(M2674="","",ROUND(M2674*1.18,2))</f>
        <v/>
      </c>
      <c r="O2674" s="12">
        <f>IF(M2674="","",ROUND(N2674-M2674,2))</f>
        <v/>
      </c>
      <c r="P2674" s="13">
        <f>IF(AND(A2674&lt;&gt;"",B2674&lt;&gt;""), A2674&amp;" · "&amp;B2674, "")</f>
        <v/>
      </c>
    </row>
    <row r="2675">
      <c r="A2675" s="6" t="inlineStr">
        <is>
          <t>FY27</t>
        </is>
      </c>
      <c r="B2675" s="6" t="inlineStr">
        <is>
          <t>Jun</t>
        </is>
      </c>
      <c r="C2675" s="6" t="inlineStr">
        <is>
          <t>TN</t>
        </is>
      </c>
      <c r="D2675" s="7" t="inlineStr">
        <is>
          <t>TN56M5346</t>
        </is>
      </c>
      <c r="E2675" s="7" t="inlineStr">
        <is>
          <t>FORD</t>
        </is>
      </c>
      <c r="F2675" s="7" t="inlineStr">
        <is>
          <t>Figo</t>
        </is>
      </c>
      <c r="G2675" s="7" t="inlineStr">
        <is>
          <t>EXCHANGE ROTN</t>
        </is>
      </c>
      <c r="H2675" s="7" t="inlineStr">
        <is>
          <t>Captive</t>
        </is>
      </c>
      <c r="I2675" s="7" t="inlineStr">
        <is>
          <t>&lt;NA&gt;</t>
        </is>
      </c>
      <c r="J2675" s="8" t="n">
        <v>2019</v>
      </c>
      <c r="K2675" s="9" t="n">
        <v>181691</v>
      </c>
      <c r="L2675" s="10" t="n">
        <v>300000</v>
      </c>
      <c r="M2675" s="10" t="n">
        <v>8474.58</v>
      </c>
      <c r="N2675" s="11">
        <f>IF(M2675="","",ROUND(M2675*1.18,2))</f>
        <v/>
      </c>
      <c r="O2675" s="12">
        <f>IF(M2675="","",ROUND(N2675-M2675,2))</f>
        <v/>
      </c>
      <c r="P2675" s="13">
        <f>IF(AND(A2675&lt;&gt;"",B2675&lt;&gt;""), A2675&amp;" · "&amp;B2675, "")</f>
        <v/>
      </c>
    </row>
    <row r="2676">
      <c r="A2676" s="6" t="inlineStr">
        <is>
          <t>FY27</t>
        </is>
      </c>
      <c r="B2676" s="6" t="inlineStr">
        <is>
          <t>Jun</t>
        </is>
      </c>
      <c r="C2676" s="6" t="inlineStr">
        <is>
          <t>TN</t>
        </is>
      </c>
      <c r="D2676" s="7" t="inlineStr">
        <is>
          <t>TN57AK0405</t>
        </is>
      </c>
      <c r="E2676" s="7" t="inlineStr">
        <is>
          <t>HYUNDAI</t>
        </is>
      </c>
      <c r="F2676" s="7" t="inlineStr">
        <is>
          <t>Grand i10</t>
        </is>
      </c>
      <c r="G2676" s="7" t="inlineStr">
        <is>
          <t>KHIVRAJ MOTOR</t>
        </is>
      </c>
      <c r="H2676" s="7" t="inlineStr">
        <is>
          <t>Non-Captive</t>
        </is>
      </c>
      <c r="I2676" s="7" t="inlineStr">
        <is>
          <t>SRI SENTHUR CARS</t>
        </is>
      </c>
      <c r="J2676" s="8" t="n">
        <v>2015</v>
      </c>
      <c r="K2676" s="9" t="n">
        <v>91825</v>
      </c>
      <c r="L2676" s="10" t="n">
        <v>200000</v>
      </c>
      <c r="M2676" s="10" t="n">
        <v>6355.93</v>
      </c>
      <c r="N2676" s="11">
        <f>IF(M2676="","",ROUND(M2676*1.18,2))</f>
        <v/>
      </c>
      <c r="O2676" s="12">
        <f>IF(M2676="","",ROUND(N2676-M2676,2))</f>
        <v/>
      </c>
      <c r="P2676" s="13">
        <f>IF(AND(A2676&lt;&gt;"",B2676&lt;&gt;""), A2676&amp;" · "&amp;B2676, "")</f>
        <v/>
      </c>
    </row>
    <row r="2677">
      <c r="A2677" s="6" t="inlineStr">
        <is>
          <t>FY27</t>
        </is>
      </c>
      <c r="B2677" s="6" t="inlineStr">
        <is>
          <t>Jun</t>
        </is>
      </c>
      <c r="C2677" s="6" t="inlineStr">
        <is>
          <t>TN</t>
        </is>
      </c>
      <c r="D2677" s="7" t="inlineStr">
        <is>
          <t>TN57K7661</t>
        </is>
      </c>
      <c r="E2677" s="7" t="inlineStr">
        <is>
          <t>MARUTI SUZUKI</t>
        </is>
      </c>
      <c r="F2677" s="7" t="inlineStr">
        <is>
          <t>Swift</t>
        </is>
      </c>
      <c r="G2677" s="7" t="inlineStr">
        <is>
          <t>EXCHANGE ROTN</t>
        </is>
      </c>
      <c r="H2677" s="7" t="inlineStr">
        <is>
          <t>Captive</t>
        </is>
      </c>
      <c r="I2677" s="7" t="inlineStr">
        <is>
          <t>Sai Cars</t>
        </is>
      </c>
      <c r="J2677" s="8" t="n">
        <v>2006</v>
      </c>
      <c r="K2677" s="9" t="n">
        <v>87777</v>
      </c>
      <c r="L2677" s="10" t="n">
        <v>95000</v>
      </c>
      <c r="M2677" s="10" t="n">
        <v>4237.29</v>
      </c>
      <c r="N2677" s="11">
        <f>IF(M2677="","",ROUND(M2677*1.18,2))</f>
        <v/>
      </c>
      <c r="O2677" s="12">
        <f>IF(M2677="","",ROUND(N2677-M2677,2))</f>
        <v/>
      </c>
      <c r="P2677" s="13">
        <f>IF(AND(A2677&lt;&gt;"",B2677&lt;&gt;""), A2677&amp;" · "&amp;B2677, "")</f>
        <v/>
      </c>
    </row>
    <row r="2678">
      <c r="A2678" s="6" t="inlineStr">
        <is>
          <t>FY27</t>
        </is>
      </c>
      <c r="B2678" s="6" t="inlineStr">
        <is>
          <t>Jun</t>
        </is>
      </c>
      <c r="C2678" s="6" t="inlineStr">
        <is>
          <t>TN</t>
        </is>
      </c>
      <c r="D2678" s="7" t="inlineStr">
        <is>
          <t>TN58AM5061</t>
        </is>
      </c>
      <c r="E2678" s="7" t="inlineStr">
        <is>
          <t>MARUTI SUZUKI</t>
        </is>
      </c>
      <c r="F2678" s="7" t="inlineStr">
        <is>
          <t>Celerio</t>
        </is>
      </c>
      <c r="G2678" s="7" t="inlineStr">
        <is>
          <t>KHIVRAJ MOTOR</t>
        </is>
      </c>
      <c r="H2678" s="7" t="inlineStr">
        <is>
          <t>Non-Captive</t>
        </is>
      </c>
      <c r="I2678" s="7" t="inlineStr">
        <is>
          <t>SRI SENTHUR CARS</t>
        </is>
      </c>
      <c r="J2678" s="8" t="n">
        <v>2016</v>
      </c>
      <c r="K2678" s="9" t="n">
        <v>108868</v>
      </c>
      <c r="L2678" s="10" t="n">
        <v>275000</v>
      </c>
      <c r="M2678" s="10" t="n">
        <v>8627.120000000001</v>
      </c>
      <c r="N2678" s="11">
        <f>IF(M2678="","",ROUND(M2678*1.18,2))</f>
        <v/>
      </c>
      <c r="O2678" s="12">
        <f>IF(M2678="","",ROUND(N2678-M2678,2))</f>
        <v/>
      </c>
      <c r="P2678" s="13">
        <f>IF(AND(A2678&lt;&gt;"",B2678&lt;&gt;""), A2678&amp;" · "&amp;B2678, "")</f>
        <v/>
      </c>
    </row>
    <row r="2679">
      <c r="A2679" s="6" t="inlineStr">
        <is>
          <t>FY27</t>
        </is>
      </c>
      <c r="B2679" s="6" t="inlineStr">
        <is>
          <t>Jun</t>
        </is>
      </c>
      <c r="C2679" s="6" t="inlineStr">
        <is>
          <t>TN</t>
        </is>
      </c>
      <c r="D2679" s="7" t="inlineStr">
        <is>
          <t>TN58AM7446</t>
        </is>
      </c>
      <c r="E2679" s="7" t="inlineStr">
        <is>
          <t>DATSUN</t>
        </is>
      </c>
      <c r="F2679" s="7" t="inlineStr">
        <is>
          <t>Redi-GO</t>
        </is>
      </c>
      <c r="G2679" s="7" t="inlineStr">
        <is>
          <t>EXCHANGE ROTN</t>
        </is>
      </c>
      <c r="H2679" s="7" t="inlineStr">
        <is>
          <t>Captive</t>
        </is>
      </c>
      <c r="I2679" s="7" t="inlineStr">
        <is>
          <t>Rajaganapathy</t>
        </is>
      </c>
      <c r="J2679" s="8" t="n">
        <v>2018</v>
      </c>
      <c r="K2679" s="9" t="n">
        <v>48750</v>
      </c>
      <c r="L2679" s="10" t="n">
        <v>96000</v>
      </c>
      <c r="M2679" s="10" t="n">
        <v>4237.29</v>
      </c>
      <c r="N2679" s="11">
        <f>IF(M2679="","",ROUND(M2679*1.18,2))</f>
        <v/>
      </c>
      <c r="O2679" s="12">
        <f>IF(M2679="","",ROUND(N2679-M2679,2))</f>
        <v/>
      </c>
      <c r="P2679" s="13">
        <f>IF(AND(A2679&lt;&gt;"",B2679&lt;&gt;""), A2679&amp;" · "&amp;B2679, "")</f>
        <v/>
      </c>
    </row>
    <row r="2680">
      <c r="A2680" s="6" t="inlineStr">
        <is>
          <t>FY27</t>
        </is>
      </c>
      <c r="B2680" s="6" t="inlineStr">
        <is>
          <t>Jun</t>
        </is>
      </c>
      <c r="C2680" s="6" t="inlineStr">
        <is>
          <t>TN</t>
        </is>
      </c>
      <c r="D2680" s="7" t="inlineStr">
        <is>
          <t>TN58AR3445</t>
        </is>
      </c>
      <c r="E2680" s="7" t="inlineStr">
        <is>
          <t>HONDA</t>
        </is>
      </c>
      <c r="F2680" s="7" t="inlineStr">
        <is>
          <t>Brio</t>
        </is>
      </c>
      <c r="G2680" s="7" t="inlineStr">
        <is>
          <t>EXCHANGE ROTN</t>
        </is>
      </c>
      <c r="H2680" s="7" t="inlineStr">
        <is>
          <t>Captive</t>
        </is>
      </c>
      <c r="I2680" s="7" t="inlineStr">
        <is>
          <t>Sai Cars</t>
        </is>
      </c>
      <c r="J2680" s="8" t="n">
        <v>2018</v>
      </c>
      <c r="K2680" s="9" t="n">
        <v>65913</v>
      </c>
      <c r="L2680" s="10" t="n">
        <v>320000</v>
      </c>
      <c r="M2680" s="10" t="n">
        <v>8474.58</v>
      </c>
      <c r="N2680" s="11">
        <f>IF(M2680="","",ROUND(M2680*1.18,2))</f>
        <v/>
      </c>
      <c r="O2680" s="12">
        <f>IF(M2680="","",ROUND(N2680-M2680,2))</f>
        <v/>
      </c>
      <c r="P2680" s="13">
        <f>IF(AND(A2680&lt;&gt;"",B2680&lt;&gt;""), A2680&amp;" · "&amp;B2680, "")</f>
        <v/>
      </c>
    </row>
    <row r="2681">
      <c r="A2681" s="6" t="inlineStr">
        <is>
          <t>FY27</t>
        </is>
      </c>
      <c r="B2681" s="6" t="inlineStr">
        <is>
          <t>Jun</t>
        </is>
      </c>
      <c r="C2681" s="6" t="inlineStr">
        <is>
          <t>TN</t>
        </is>
      </c>
      <c r="D2681" s="7" t="inlineStr">
        <is>
          <t>TN58AT1389</t>
        </is>
      </c>
      <c r="E2681" s="7" t="inlineStr">
        <is>
          <t>HYUNDAI</t>
        </is>
      </c>
      <c r="F2681" s="7" t="inlineStr">
        <is>
          <t>Eon</t>
        </is>
      </c>
      <c r="G2681" s="7" t="inlineStr">
        <is>
          <t>PURUSOTHAMAN J CARS</t>
        </is>
      </c>
      <c r="H2681" s="7" t="inlineStr">
        <is>
          <t>Non-Captive</t>
        </is>
      </c>
      <c r="I2681" s="7" t="inlineStr">
        <is>
          <t>Vivek Cars</t>
        </is>
      </c>
      <c r="J2681" s="8" t="n">
        <v>2018</v>
      </c>
      <c r="K2681" s="9" t="n">
        <v>205290</v>
      </c>
      <c r="L2681" s="10" t="n">
        <v>95000</v>
      </c>
      <c r="M2681" s="10" t="n">
        <v>4237.29</v>
      </c>
      <c r="N2681" s="11">
        <f>IF(M2681="","",ROUND(M2681*1.18,2))</f>
        <v/>
      </c>
      <c r="O2681" s="12">
        <f>IF(M2681="","",ROUND(N2681-M2681,2))</f>
        <v/>
      </c>
      <c r="P2681" s="13">
        <f>IF(AND(A2681&lt;&gt;"",B2681&lt;&gt;""), A2681&amp;" · "&amp;B2681, "")</f>
        <v/>
      </c>
    </row>
    <row r="2682">
      <c r="A2682" s="6" t="inlineStr">
        <is>
          <t>FY27</t>
        </is>
      </c>
      <c r="B2682" s="6" t="inlineStr">
        <is>
          <t>Jun</t>
        </is>
      </c>
      <c r="C2682" s="6" t="inlineStr">
        <is>
          <t>TN</t>
        </is>
      </c>
      <c r="D2682" s="7" t="inlineStr">
        <is>
          <t>TN58BB0070</t>
        </is>
      </c>
      <c r="E2682" s="7" t="inlineStr">
        <is>
          <t>RENAULT</t>
        </is>
      </c>
      <c r="F2682" s="7" t="inlineStr">
        <is>
          <t>Kwid</t>
        </is>
      </c>
      <c r="G2682" s="7" t="inlineStr">
        <is>
          <t>EXCHANGE ROTN</t>
        </is>
      </c>
      <c r="H2682" s="7" t="inlineStr">
        <is>
          <t>Captive</t>
        </is>
      </c>
      <c r="I2682" s="7" t="inlineStr">
        <is>
          <t>Sai Cars</t>
        </is>
      </c>
      <c r="J2682" s="8" t="n">
        <v>2019</v>
      </c>
      <c r="K2682" s="9" t="n">
        <v>53501</v>
      </c>
      <c r="L2682" s="10" t="n">
        <v>205000</v>
      </c>
      <c r="M2682" s="10" t="n">
        <v>8474.58</v>
      </c>
      <c r="N2682" s="11">
        <f>IF(M2682="","",ROUND(M2682*1.18,2))</f>
        <v/>
      </c>
      <c r="O2682" s="12">
        <f>IF(M2682="","",ROUND(N2682-M2682,2))</f>
        <v/>
      </c>
      <c r="P2682" s="13">
        <f>IF(AND(A2682&lt;&gt;"",B2682&lt;&gt;""), A2682&amp;" · "&amp;B2682, "")</f>
        <v/>
      </c>
    </row>
    <row r="2683">
      <c r="A2683" s="6" t="inlineStr">
        <is>
          <t>FY27</t>
        </is>
      </c>
      <c r="B2683" s="6" t="inlineStr">
        <is>
          <t>Jun</t>
        </is>
      </c>
      <c r="C2683" s="6" t="inlineStr">
        <is>
          <t>TN</t>
        </is>
      </c>
      <c r="D2683" s="7" t="inlineStr">
        <is>
          <t>TN58P4834</t>
        </is>
      </c>
      <c r="E2683" s="7" t="inlineStr">
        <is>
          <t>MARUTI SUZUKI</t>
        </is>
      </c>
      <c r="F2683" s="7" t="inlineStr">
        <is>
          <t>Alto</t>
        </is>
      </c>
      <c r="G2683" s="7" t="inlineStr">
        <is>
          <t>EXCHANGE ROTN</t>
        </is>
      </c>
      <c r="H2683" s="7" t="inlineStr">
        <is>
          <t>Captive</t>
        </is>
      </c>
      <c r="I2683" s="7" t="inlineStr">
        <is>
          <t>Rajaganapathy</t>
        </is>
      </c>
      <c r="J2683" s="8" t="n">
        <v>2006</v>
      </c>
      <c r="K2683" s="9" t="n">
        <v>79986</v>
      </c>
      <c r="L2683" s="10" t="n">
        <v>81000</v>
      </c>
      <c r="M2683" s="10" t="n">
        <v>4237.29</v>
      </c>
      <c r="N2683" s="11">
        <f>IF(M2683="","",ROUND(M2683*1.18,2))</f>
        <v/>
      </c>
      <c r="O2683" s="12">
        <f>IF(M2683="","",ROUND(N2683-M2683,2))</f>
        <v/>
      </c>
      <c r="P2683" s="13">
        <f>IF(AND(A2683&lt;&gt;"",B2683&lt;&gt;""), A2683&amp;" · "&amp;B2683, "")</f>
        <v/>
      </c>
    </row>
    <row r="2684">
      <c r="A2684" s="6" t="inlineStr">
        <is>
          <t>FY27</t>
        </is>
      </c>
      <c r="B2684" s="6" t="inlineStr">
        <is>
          <t>Jun</t>
        </is>
      </c>
      <c r="C2684" s="6" t="inlineStr">
        <is>
          <t>TN</t>
        </is>
      </c>
      <c r="D2684" s="7" t="inlineStr">
        <is>
          <t>TN58R6498</t>
        </is>
      </c>
      <c r="E2684" s="7" t="inlineStr">
        <is>
          <t>FORD</t>
        </is>
      </c>
      <c r="F2684" s="7" t="inlineStr">
        <is>
          <t>Fiesta</t>
        </is>
      </c>
      <c r="G2684" s="7" t="inlineStr">
        <is>
          <t>AUTOMOTIVATORS</t>
        </is>
      </c>
      <c r="H2684" s="7" t="inlineStr">
        <is>
          <t>Non-Captive</t>
        </is>
      </c>
      <c r="I2684" s="7" t="inlineStr">
        <is>
          <t>Vivek Cars</t>
        </is>
      </c>
      <c r="J2684" s="8" t="n">
        <v>2007</v>
      </c>
      <c r="K2684" s="9" t="n">
        <v>149729</v>
      </c>
      <c r="L2684" s="10" t="n">
        <v>60000</v>
      </c>
      <c r="M2684" s="10" t="n">
        <v>4237.29</v>
      </c>
      <c r="N2684" s="11">
        <f>IF(M2684="","",ROUND(M2684*1.18,2))</f>
        <v/>
      </c>
      <c r="O2684" s="12">
        <f>IF(M2684="","",ROUND(N2684-M2684,2))</f>
        <v/>
      </c>
      <c r="P2684" s="13">
        <f>IF(AND(A2684&lt;&gt;"",B2684&lt;&gt;""), A2684&amp;" · "&amp;B2684, "")</f>
        <v/>
      </c>
    </row>
    <row r="2685">
      <c r="A2685" s="6" t="inlineStr">
        <is>
          <t>FY27</t>
        </is>
      </c>
      <c r="B2685" s="6" t="inlineStr">
        <is>
          <t>Jun</t>
        </is>
      </c>
      <c r="C2685" s="6" t="inlineStr">
        <is>
          <t>TN</t>
        </is>
      </c>
      <c r="D2685" s="7" t="inlineStr">
        <is>
          <t>TN59AA4565</t>
        </is>
      </c>
      <c r="E2685" s="7" t="inlineStr">
        <is>
          <t>MARUTI SUZUKI</t>
        </is>
      </c>
      <c r="F2685" s="7" t="inlineStr">
        <is>
          <t>Omni</t>
        </is>
      </c>
      <c r="G2685" s="7" t="inlineStr">
        <is>
          <t>AUTOMOTIVATORS</t>
        </is>
      </c>
      <c r="H2685" s="7" t="inlineStr">
        <is>
          <t>Non-Captive</t>
        </is>
      </c>
      <c r="I2685" s="7" t="inlineStr">
        <is>
          <t>Purushotham Cars</t>
        </is>
      </c>
      <c r="J2685" s="8" t="n">
        <v>2005</v>
      </c>
      <c r="K2685" s="9" t="n">
        <v>187962</v>
      </c>
      <c r="L2685" s="10" t="n">
        <v>85000</v>
      </c>
      <c r="M2685" s="10" t="n">
        <v>4237.29</v>
      </c>
      <c r="N2685" s="11">
        <f>IF(M2685="","",ROUND(M2685*1.18,2))</f>
        <v/>
      </c>
      <c r="O2685" s="12">
        <f>IF(M2685="","",ROUND(N2685-M2685,2))</f>
        <v/>
      </c>
      <c r="P2685" s="13">
        <f>IF(AND(A2685&lt;&gt;"",B2685&lt;&gt;""), A2685&amp;" · "&amp;B2685, "")</f>
        <v/>
      </c>
    </row>
    <row r="2686">
      <c r="A2686" s="6" t="inlineStr">
        <is>
          <t>FY27</t>
        </is>
      </c>
      <c r="B2686" s="6" t="inlineStr">
        <is>
          <t>Jun</t>
        </is>
      </c>
      <c r="C2686" s="6" t="inlineStr">
        <is>
          <t>TN</t>
        </is>
      </c>
      <c r="D2686" s="7" t="inlineStr">
        <is>
          <t>TN59AR5279</t>
        </is>
      </c>
      <c r="E2686" s="7" t="inlineStr">
        <is>
          <t>NISSAN</t>
        </is>
      </c>
      <c r="F2686" s="7" t="inlineStr">
        <is>
          <t>Micra</t>
        </is>
      </c>
      <c r="G2686" s="7" t="inlineStr">
        <is>
          <t>DINDIGUL VALUE CAR</t>
        </is>
      </c>
      <c r="H2686" s="7" t="inlineStr">
        <is>
          <t>Non-Captive</t>
        </is>
      </c>
      <c r="I2686" s="7" t="inlineStr">
        <is>
          <t>Vivek Cars</t>
        </is>
      </c>
      <c r="J2686" s="8" t="n">
        <v>2011</v>
      </c>
      <c r="K2686" s="9" t="n">
        <v>149532</v>
      </c>
      <c r="L2686" s="10" t="n">
        <v>96000</v>
      </c>
      <c r="M2686" s="10" t="n">
        <v>4237.29</v>
      </c>
      <c r="N2686" s="11">
        <f>IF(M2686="","",ROUND(M2686*1.18,2))</f>
        <v/>
      </c>
      <c r="O2686" s="12">
        <f>IF(M2686="","",ROUND(N2686-M2686,2))</f>
        <v/>
      </c>
      <c r="P2686" s="13">
        <f>IF(AND(A2686&lt;&gt;"",B2686&lt;&gt;""), A2686&amp;" · "&amp;B2686, "")</f>
        <v/>
      </c>
    </row>
    <row r="2687">
      <c r="A2687" s="6" t="inlineStr">
        <is>
          <t>FY27</t>
        </is>
      </c>
      <c r="B2687" s="6" t="inlineStr">
        <is>
          <t>Jun</t>
        </is>
      </c>
      <c r="C2687" s="6" t="inlineStr">
        <is>
          <t>TN</t>
        </is>
      </c>
      <c r="D2687" s="7" t="inlineStr">
        <is>
          <t>TN59AV0333</t>
        </is>
      </c>
      <c r="E2687" s="7" t="inlineStr">
        <is>
          <t>VOLKSWAGEN</t>
        </is>
      </c>
      <c r="F2687" s="7" t="inlineStr">
        <is>
          <t>Vento</t>
        </is>
      </c>
      <c r="G2687" s="7" t="inlineStr">
        <is>
          <t>SUN CARS</t>
        </is>
      </c>
      <c r="H2687" s="7" t="inlineStr">
        <is>
          <t>Non-Captive</t>
        </is>
      </c>
      <c r="I2687" s="7" t="inlineStr">
        <is>
          <t>TSM</t>
        </is>
      </c>
      <c r="J2687" s="8" t="n">
        <v>2011</v>
      </c>
      <c r="K2687" s="9" t="n">
        <v>88060</v>
      </c>
      <c r="L2687" s="10" t="n">
        <v>270000</v>
      </c>
      <c r="M2687" s="10" t="n">
        <v>4237.29</v>
      </c>
      <c r="N2687" s="11">
        <f>IF(M2687="","",ROUND(M2687*1.18,2))</f>
        <v/>
      </c>
      <c r="O2687" s="12">
        <f>IF(M2687="","",ROUND(N2687-M2687,2))</f>
        <v/>
      </c>
      <c r="P2687" s="13">
        <f>IF(AND(A2687&lt;&gt;"",B2687&lt;&gt;""), A2687&amp;" · "&amp;B2687, "")</f>
        <v/>
      </c>
    </row>
    <row r="2688">
      <c r="A2688" s="6" t="inlineStr">
        <is>
          <t>FY27</t>
        </is>
      </c>
      <c r="B2688" s="6" t="inlineStr">
        <is>
          <t>Jun</t>
        </is>
      </c>
      <c r="C2688" s="6" t="inlineStr">
        <is>
          <t>TN</t>
        </is>
      </c>
      <c r="D2688" s="7" t="inlineStr">
        <is>
          <t>TN59AV2470</t>
        </is>
      </c>
      <c r="E2688" s="7" t="inlineStr">
        <is>
          <t>HYUNDAI</t>
        </is>
      </c>
      <c r="F2688" s="7" t="inlineStr">
        <is>
          <t>i10</t>
        </is>
      </c>
      <c r="G2688" s="7" t="inlineStr">
        <is>
          <t>SUN CARS</t>
        </is>
      </c>
      <c r="H2688" s="7" t="inlineStr">
        <is>
          <t>Non-Captive</t>
        </is>
      </c>
      <c r="I2688" s="7" t="inlineStr">
        <is>
          <t>Nirmal Cars</t>
        </is>
      </c>
      <c r="J2688" s="8" t="n">
        <v>2012</v>
      </c>
      <c r="K2688" s="9" t="n">
        <v>103395</v>
      </c>
      <c r="L2688" s="10" t="n">
        <v>290000</v>
      </c>
      <c r="M2688" s="10" t="n">
        <v>4237.29</v>
      </c>
      <c r="N2688" s="11">
        <f>IF(M2688="","",ROUND(M2688*1.18,2))</f>
        <v/>
      </c>
      <c r="O2688" s="12">
        <f>IF(M2688="","",ROUND(N2688-M2688,2))</f>
        <v/>
      </c>
      <c r="P2688" s="13">
        <f>IF(AND(A2688&lt;&gt;"",B2688&lt;&gt;""), A2688&amp;" · "&amp;B2688, "")</f>
        <v/>
      </c>
    </row>
    <row r="2689">
      <c r="A2689" s="6" t="inlineStr">
        <is>
          <t>FY27</t>
        </is>
      </c>
      <c r="B2689" s="6" t="inlineStr">
        <is>
          <t>Jun</t>
        </is>
      </c>
      <c r="C2689" s="6" t="inlineStr">
        <is>
          <t>TN</t>
        </is>
      </c>
      <c r="D2689" s="7" t="inlineStr">
        <is>
          <t>TN59CB8223</t>
        </is>
      </c>
      <c r="E2689" s="7" t="inlineStr">
        <is>
          <t>DATSUN</t>
        </is>
      </c>
      <c r="F2689" s="7" t="inlineStr">
        <is>
          <t>Redi-GO</t>
        </is>
      </c>
      <c r="G2689" s="7" t="inlineStr">
        <is>
          <t>EXCHANGE ROTN</t>
        </is>
      </c>
      <c r="H2689" s="7" t="inlineStr">
        <is>
          <t>Captive</t>
        </is>
      </c>
      <c r="I2689" s="7" t="inlineStr">
        <is>
          <t>Rajaganapathy</t>
        </is>
      </c>
      <c r="J2689" s="8" t="n">
        <v>2018</v>
      </c>
      <c r="K2689" s="9" t="n">
        <v>48750</v>
      </c>
      <c r="L2689" s="10" t="n">
        <v>75000</v>
      </c>
      <c r="M2689" s="10" t="n">
        <v>4237.29</v>
      </c>
      <c r="N2689" s="11">
        <f>IF(M2689="","",ROUND(M2689*1.18,2))</f>
        <v/>
      </c>
      <c r="O2689" s="12">
        <f>IF(M2689="","",ROUND(N2689-M2689,2))</f>
        <v/>
      </c>
      <c r="P2689" s="13">
        <f>IF(AND(A2689&lt;&gt;"",B2689&lt;&gt;""), A2689&amp;" · "&amp;B2689, "")</f>
        <v/>
      </c>
    </row>
    <row r="2690">
      <c r="A2690" s="6" t="inlineStr">
        <is>
          <t>FY27</t>
        </is>
      </c>
      <c r="B2690" s="6" t="inlineStr">
        <is>
          <t>Jun</t>
        </is>
      </c>
      <c r="C2690" s="6" t="inlineStr">
        <is>
          <t>TN</t>
        </is>
      </c>
      <c r="D2690" s="7" t="inlineStr">
        <is>
          <t>TN59CE0943</t>
        </is>
      </c>
      <c r="E2690" s="7" t="inlineStr">
        <is>
          <t>TATA</t>
        </is>
      </c>
      <c r="F2690" s="7" t="inlineStr">
        <is>
          <t>Nexon</t>
        </is>
      </c>
      <c r="G2690" s="7" t="inlineStr">
        <is>
          <t>EXCHANGE ROTN</t>
        </is>
      </c>
      <c r="H2690" s="7" t="inlineStr">
        <is>
          <t>Captive</t>
        </is>
      </c>
      <c r="I2690" s="7" t="inlineStr">
        <is>
          <t>Paul Cars</t>
        </is>
      </c>
      <c r="J2690" s="8" t="n">
        <v>2019</v>
      </c>
      <c r="K2690" s="9" t="n">
        <v>36280</v>
      </c>
      <c r="L2690" s="10" t="n">
        <v>440000</v>
      </c>
      <c r="M2690" s="10" t="n">
        <v>8474.58</v>
      </c>
      <c r="N2690" s="11">
        <f>IF(M2690="","",ROUND(M2690*1.18,2))</f>
        <v/>
      </c>
      <c r="O2690" s="12">
        <f>IF(M2690="","",ROUND(N2690-M2690,2))</f>
        <v/>
      </c>
      <c r="P2690" s="13">
        <f>IF(AND(A2690&lt;&gt;"",B2690&lt;&gt;""), A2690&amp;" · "&amp;B2690, "")</f>
        <v/>
      </c>
    </row>
    <row r="2691">
      <c r="A2691" s="6" t="inlineStr">
        <is>
          <t>FY27</t>
        </is>
      </c>
      <c r="B2691" s="6" t="inlineStr">
        <is>
          <t>Jun</t>
        </is>
      </c>
      <c r="C2691" s="6" t="inlineStr">
        <is>
          <t>TN</t>
        </is>
      </c>
      <c r="D2691" s="7" t="inlineStr">
        <is>
          <t>TN59CS5654</t>
        </is>
      </c>
      <c r="E2691" s="7" t="inlineStr">
        <is>
          <t>TATA</t>
        </is>
      </c>
      <c r="F2691" s="7" t="inlineStr">
        <is>
          <t>Nexon</t>
        </is>
      </c>
      <c r="G2691" s="7" t="inlineStr">
        <is>
          <t>EXCHANGE ROTN</t>
        </is>
      </c>
      <c r="H2691" s="7" t="inlineStr">
        <is>
          <t>Captive</t>
        </is>
      </c>
      <c r="I2691" s="7" t="inlineStr">
        <is>
          <t>Farkeen Reenu</t>
        </is>
      </c>
      <c r="J2691" s="8" t="n">
        <v>2023</v>
      </c>
      <c r="K2691" s="9" t="n">
        <v>26551</v>
      </c>
      <c r="L2691" s="10" t="n">
        <v>760000</v>
      </c>
      <c r="M2691" s="10" t="n">
        <v>8474.58</v>
      </c>
      <c r="N2691" s="11">
        <f>IF(M2691="","",ROUND(M2691*1.18,2))</f>
        <v/>
      </c>
      <c r="O2691" s="12">
        <f>IF(M2691="","",ROUND(N2691-M2691,2))</f>
        <v/>
      </c>
      <c r="P2691" s="13">
        <f>IF(AND(A2691&lt;&gt;"",B2691&lt;&gt;""), A2691&amp;" · "&amp;B2691, "")</f>
        <v/>
      </c>
    </row>
    <row r="2692">
      <c r="A2692" s="6" t="inlineStr">
        <is>
          <t>FY27</t>
        </is>
      </c>
      <c r="B2692" s="6" t="inlineStr">
        <is>
          <t>Jun</t>
        </is>
      </c>
      <c r="C2692" s="6" t="inlineStr">
        <is>
          <t>TN</t>
        </is>
      </c>
      <c r="D2692" s="7" t="inlineStr">
        <is>
          <t>TN60AC4237</t>
        </is>
      </c>
      <c r="E2692" s="7" t="inlineStr">
        <is>
          <t>DATSUN</t>
        </is>
      </c>
      <c r="F2692" s="7" t="inlineStr">
        <is>
          <t>Redi-GO</t>
        </is>
      </c>
      <c r="G2692" s="7" t="inlineStr">
        <is>
          <t>PURUSOTHAMAN J CARS</t>
        </is>
      </c>
      <c r="H2692" s="7" t="inlineStr">
        <is>
          <t>Non-Captive</t>
        </is>
      </c>
      <c r="I2692" s="7" t="inlineStr">
        <is>
          <t>Vivek Cars</t>
        </is>
      </c>
      <c r="J2692" s="8" t="n">
        <v>2017</v>
      </c>
      <c r="K2692" s="9" t="n">
        <v>27943</v>
      </c>
      <c r="L2692" s="10" t="n">
        <v>95000</v>
      </c>
      <c r="M2692" s="10" t="n">
        <v>4237.29</v>
      </c>
      <c r="N2692" s="11">
        <f>IF(M2692="","",ROUND(M2692*1.18,2))</f>
        <v/>
      </c>
      <c r="O2692" s="12">
        <f>IF(M2692="","",ROUND(N2692-M2692,2))</f>
        <v/>
      </c>
      <c r="P2692" s="13">
        <f>IF(AND(A2692&lt;&gt;"",B2692&lt;&gt;""), A2692&amp;" · "&amp;B2692, "")</f>
        <v/>
      </c>
    </row>
    <row r="2693">
      <c r="A2693" s="6" t="inlineStr">
        <is>
          <t>FY27</t>
        </is>
      </c>
      <c r="B2693" s="6" t="inlineStr">
        <is>
          <t>Jun</t>
        </is>
      </c>
      <c r="C2693" s="6" t="inlineStr">
        <is>
          <t>TN</t>
        </is>
      </c>
      <c r="D2693" s="7" t="inlineStr">
        <is>
          <t>TN60J3868</t>
        </is>
      </c>
      <c r="E2693" s="7" t="inlineStr">
        <is>
          <t>TATA</t>
        </is>
      </c>
      <c r="F2693" s="7" t="inlineStr">
        <is>
          <t>Nano</t>
        </is>
      </c>
      <c r="G2693" s="7" t="inlineStr">
        <is>
          <t>M R MOTORS</t>
        </is>
      </c>
      <c r="H2693" s="7" t="inlineStr">
        <is>
          <t>Non-Captive</t>
        </is>
      </c>
      <c r="I2693" s="7" t="inlineStr">
        <is>
          <t>Rajaganapathy</t>
        </is>
      </c>
      <c r="J2693" s="8" t="n">
        <v>2011</v>
      </c>
      <c r="K2693" s="9" t="n">
        <v>110050</v>
      </c>
      <c r="L2693" s="10" t="n">
        <v>40000</v>
      </c>
      <c r="M2693" s="10" t="n">
        <v>4237.29</v>
      </c>
      <c r="N2693" s="11">
        <f>IF(M2693="","",ROUND(M2693*1.18,2))</f>
        <v/>
      </c>
      <c r="O2693" s="12">
        <f>IF(M2693="","",ROUND(N2693-M2693,2))</f>
        <v/>
      </c>
      <c r="P2693" s="13">
        <f>IF(AND(A2693&lt;&gt;"",B2693&lt;&gt;""), A2693&amp;" · "&amp;B2693, "")</f>
        <v/>
      </c>
    </row>
    <row r="2694">
      <c r="A2694" s="6" t="inlineStr">
        <is>
          <t>FY27</t>
        </is>
      </c>
      <c r="B2694" s="6" t="inlineStr">
        <is>
          <t>Jun</t>
        </is>
      </c>
      <c r="C2694" s="6" t="inlineStr">
        <is>
          <t>TN</t>
        </is>
      </c>
      <c r="D2694" s="7" t="inlineStr">
        <is>
          <t>TN60J7962</t>
        </is>
      </c>
      <c r="E2694" s="7" t="inlineStr">
        <is>
          <t>NISSAN</t>
        </is>
      </c>
      <c r="F2694" s="7" t="inlineStr">
        <is>
          <t>Sunny</t>
        </is>
      </c>
      <c r="G2694" s="7" t="inlineStr">
        <is>
          <t>KHIVRAJ MOTOR</t>
        </is>
      </c>
      <c r="H2694" s="7" t="inlineStr">
        <is>
          <t>Non-Captive</t>
        </is>
      </c>
      <c r="I2694" s="7" t="inlineStr">
        <is>
          <t>Senthil Cars</t>
        </is>
      </c>
      <c r="J2694" s="8" t="n">
        <v>2012</v>
      </c>
      <c r="K2694" s="9" t="n">
        <v>207382</v>
      </c>
      <c r="L2694" s="10" t="n">
        <v>200000</v>
      </c>
      <c r="M2694" s="10" t="n">
        <v>5084.75</v>
      </c>
      <c r="N2694" s="11">
        <f>IF(M2694="","",ROUND(M2694*1.18,2))</f>
        <v/>
      </c>
      <c r="O2694" s="12">
        <f>IF(M2694="","",ROUND(N2694-M2694,2))</f>
        <v/>
      </c>
      <c r="P2694" s="13">
        <f>IF(AND(A2694&lt;&gt;"",B2694&lt;&gt;""), A2694&amp;" · "&amp;B2694, "")</f>
        <v/>
      </c>
    </row>
    <row r="2695">
      <c r="A2695" s="6" t="inlineStr">
        <is>
          <t>FY27</t>
        </is>
      </c>
      <c r="B2695" s="6" t="inlineStr">
        <is>
          <t>Jun</t>
        </is>
      </c>
      <c r="C2695" s="6" t="inlineStr">
        <is>
          <t>TN</t>
        </is>
      </c>
      <c r="D2695" s="7" t="inlineStr">
        <is>
          <t>TN60V3999</t>
        </is>
      </c>
      <c r="E2695" s="7" t="inlineStr">
        <is>
          <t>HYUNDAI</t>
        </is>
      </c>
      <c r="F2695" s="7" t="inlineStr">
        <is>
          <t>i20</t>
        </is>
      </c>
      <c r="G2695" s="7" t="inlineStr">
        <is>
          <t>SABARISH CARS</t>
        </is>
      </c>
      <c r="H2695" s="7" t="inlineStr">
        <is>
          <t>Non-Captive</t>
        </is>
      </c>
      <c r="I2695" s="7" t="inlineStr">
        <is>
          <t>Rajaganapathy</t>
        </is>
      </c>
      <c r="J2695" s="8" t="n">
        <v>2010</v>
      </c>
      <c r="K2695" s="9" t="n">
        <v>131268</v>
      </c>
      <c r="L2695" s="10" t="n">
        <v>95000</v>
      </c>
      <c r="M2695" s="10" t="n">
        <v>4237.29</v>
      </c>
      <c r="N2695" s="11">
        <f>IF(M2695="","",ROUND(M2695*1.18,2))</f>
        <v/>
      </c>
      <c r="O2695" s="12">
        <f>IF(M2695="","",ROUND(N2695-M2695,2))</f>
        <v/>
      </c>
      <c r="P2695" s="13">
        <f>IF(AND(A2695&lt;&gt;"",B2695&lt;&gt;""), A2695&amp;" · "&amp;B2695, "")</f>
        <v/>
      </c>
    </row>
    <row r="2696">
      <c r="A2696" s="6" t="inlineStr">
        <is>
          <t>FY27</t>
        </is>
      </c>
      <c r="B2696" s="6" t="inlineStr">
        <is>
          <t>Jun</t>
        </is>
      </c>
      <c r="C2696" s="6" t="inlineStr">
        <is>
          <t>TN</t>
        </is>
      </c>
      <c r="D2696" s="7" t="inlineStr">
        <is>
          <t>TN63AX7758</t>
        </is>
      </c>
      <c r="E2696" s="7" t="inlineStr">
        <is>
          <t>MARUTI SUZUKI</t>
        </is>
      </c>
      <c r="F2696" s="7" t="inlineStr">
        <is>
          <t>Wagon R</t>
        </is>
      </c>
      <c r="G2696" s="7" t="inlineStr">
        <is>
          <t>EXCHANGE ROTN</t>
        </is>
      </c>
      <c r="H2696" s="7" t="inlineStr">
        <is>
          <t>Captive</t>
        </is>
      </c>
      <c r="I2696" s="7" t="inlineStr">
        <is>
          <t>Purushotham Cars</t>
        </is>
      </c>
      <c r="J2696" s="8" t="n">
        <v>2013</v>
      </c>
      <c r="K2696" s="9" t="n">
        <v>92059</v>
      </c>
      <c r="L2696" s="10" t="n">
        <v>140000</v>
      </c>
      <c r="M2696" s="10" t="n">
        <v>8474.58</v>
      </c>
      <c r="N2696" s="11">
        <f>IF(M2696="","",ROUND(M2696*1.18,2))</f>
        <v/>
      </c>
      <c r="O2696" s="12">
        <f>IF(M2696="","",ROUND(N2696-M2696,2))</f>
        <v/>
      </c>
      <c r="P2696" s="13">
        <f>IF(AND(A2696&lt;&gt;"",B2696&lt;&gt;""), A2696&amp;" · "&amp;B2696, "")</f>
        <v/>
      </c>
    </row>
    <row r="2697">
      <c r="A2697" s="6" t="inlineStr">
        <is>
          <t>FY27</t>
        </is>
      </c>
      <c r="B2697" s="6" t="inlineStr">
        <is>
          <t>Jun</t>
        </is>
      </c>
      <c r="C2697" s="6" t="inlineStr">
        <is>
          <t>TN</t>
        </is>
      </c>
      <c r="D2697" s="7" t="inlineStr">
        <is>
          <t>TN63AZ0868</t>
        </is>
      </c>
      <c r="E2697" s="7" t="inlineStr">
        <is>
          <t>CHEVROLET</t>
        </is>
      </c>
      <c r="F2697" s="7" t="inlineStr">
        <is>
          <t>Spark</t>
        </is>
      </c>
      <c r="G2697" s="7" t="inlineStr">
        <is>
          <t>EXCHANGE ROTN</t>
        </is>
      </c>
      <c r="H2697" s="7" t="inlineStr">
        <is>
          <t>Captive</t>
        </is>
      </c>
      <c r="I2697" s="7" t="inlineStr">
        <is>
          <t>Rajaganapathy</t>
        </is>
      </c>
      <c r="J2697" s="8" t="n">
        <v>2011</v>
      </c>
      <c r="K2697" s="9" t="n">
        <v>63805</v>
      </c>
      <c r="L2697" s="10" t="n">
        <v>48000</v>
      </c>
      <c r="M2697" s="10" t="n">
        <v>4237.29</v>
      </c>
      <c r="N2697" s="11">
        <f>IF(M2697="","",ROUND(M2697*1.18,2))</f>
        <v/>
      </c>
      <c r="O2697" s="12">
        <f>IF(M2697="","",ROUND(N2697-M2697,2))</f>
        <v/>
      </c>
      <c r="P2697" s="13">
        <f>IF(AND(A2697&lt;&gt;"",B2697&lt;&gt;""), A2697&amp;" · "&amp;B2697, "")</f>
        <v/>
      </c>
    </row>
    <row r="2698">
      <c r="A2698" s="6" t="inlineStr">
        <is>
          <t>FY27</t>
        </is>
      </c>
      <c r="B2698" s="6" t="inlineStr">
        <is>
          <t>Jun</t>
        </is>
      </c>
      <c r="C2698" s="6" t="inlineStr">
        <is>
          <t>TN</t>
        </is>
      </c>
      <c r="D2698" s="7" t="inlineStr">
        <is>
          <t>TN63CB1985</t>
        </is>
      </c>
      <c r="E2698" s="7" t="inlineStr">
        <is>
          <t>TATA</t>
        </is>
      </c>
      <c r="F2698" s="7" t="inlineStr">
        <is>
          <t>Nexon</t>
        </is>
      </c>
      <c r="G2698" s="7" t="inlineStr">
        <is>
          <t>EXCHANGE ROTN</t>
        </is>
      </c>
      <c r="H2698" s="7" t="inlineStr">
        <is>
          <t>Captive</t>
        </is>
      </c>
      <c r="I2698" s="7" t="inlineStr">
        <is>
          <t>Vivek Cars</t>
        </is>
      </c>
      <c r="J2698" s="8" t="n">
        <v>2025</v>
      </c>
      <c r="K2698" s="9" t="n">
        <v>12794</v>
      </c>
      <c r="L2698" s="10" t="n">
        <v>690000</v>
      </c>
      <c r="M2698" s="10" t="n">
        <v>16949.15</v>
      </c>
      <c r="N2698" s="11">
        <f>IF(M2698="","",ROUND(M2698*1.18,2))</f>
        <v/>
      </c>
      <c r="O2698" s="12">
        <f>IF(M2698="","",ROUND(N2698-M2698,2))</f>
        <v/>
      </c>
      <c r="P2698" s="13">
        <f>IF(AND(A2698&lt;&gt;"",B2698&lt;&gt;""), A2698&amp;" · "&amp;B2698, "")</f>
        <v/>
      </c>
    </row>
    <row r="2699">
      <c r="A2699" s="6" t="inlineStr">
        <is>
          <t>FY27</t>
        </is>
      </c>
      <c r="B2699" s="6" t="inlineStr">
        <is>
          <t>Jun</t>
        </is>
      </c>
      <c r="C2699" s="6" t="inlineStr">
        <is>
          <t>TN</t>
        </is>
      </c>
      <c r="D2699" s="7" t="inlineStr">
        <is>
          <t>TN63S1724</t>
        </is>
      </c>
      <c r="E2699" s="7" t="inlineStr">
        <is>
          <t>HYUNDAI</t>
        </is>
      </c>
      <c r="F2699" s="7" t="inlineStr">
        <is>
          <t>Santro</t>
        </is>
      </c>
      <c r="G2699" s="7" t="inlineStr">
        <is>
          <t>PAUL CARS</t>
        </is>
      </c>
      <c r="H2699" s="7" t="inlineStr">
        <is>
          <t>Non-Captive</t>
        </is>
      </c>
      <c r="I2699" s="7" t="inlineStr">
        <is>
          <t>Rajaganapathy</t>
        </is>
      </c>
      <c r="J2699" s="8" t="n">
        <v>2008</v>
      </c>
      <c r="K2699" s="9" t="n">
        <v>188449</v>
      </c>
      <c r="L2699" s="10" t="n">
        <v>70000</v>
      </c>
      <c r="M2699" s="10" t="n">
        <v>4237.29</v>
      </c>
      <c r="N2699" s="11">
        <f>IF(M2699="","",ROUND(M2699*1.18,2))</f>
        <v/>
      </c>
      <c r="O2699" s="12">
        <f>IF(M2699="","",ROUND(N2699-M2699,2))</f>
        <v/>
      </c>
      <c r="P2699" s="13">
        <f>IF(AND(A2699&lt;&gt;"",B2699&lt;&gt;""), A2699&amp;" · "&amp;B2699, "")</f>
        <v/>
      </c>
    </row>
    <row r="2700">
      <c r="A2700" s="6" t="inlineStr">
        <is>
          <t>FY27</t>
        </is>
      </c>
      <c r="B2700" s="6" t="inlineStr">
        <is>
          <t>Jun</t>
        </is>
      </c>
      <c r="C2700" s="6" t="inlineStr">
        <is>
          <t>TN</t>
        </is>
      </c>
      <c r="D2700" s="7" t="inlineStr">
        <is>
          <t>TN64C9429</t>
        </is>
      </c>
      <c r="E2700" s="7" t="inlineStr">
        <is>
          <t>HYUNDAI</t>
        </is>
      </c>
      <c r="F2700" s="7" t="inlineStr">
        <is>
          <t>i10</t>
        </is>
      </c>
      <c r="G2700" s="7" t="inlineStr">
        <is>
          <t>SIVA AUTOMOTIVE TRADING PRIVATE LIMITED</t>
        </is>
      </c>
      <c r="H2700" s="7" t="inlineStr">
        <is>
          <t>Non-Captive</t>
        </is>
      </c>
      <c r="I2700" s="7" t="inlineStr">
        <is>
          <t>Vivek Cars</t>
        </is>
      </c>
      <c r="J2700" s="8" t="n">
        <v>2010</v>
      </c>
      <c r="K2700" s="9" t="n">
        <v>118152</v>
      </c>
      <c r="L2700" s="10" t="n">
        <v>85000</v>
      </c>
      <c r="M2700" s="10" t="n">
        <v>4237.29</v>
      </c>
      <c r="N2700" s="11">
        <f>IF(M2700="","",ROUND(M2700*1.18,2))</f>
        <v/>
      </c>
      <c r="O2700" s="12">
        <f>IF(M2700="","",ROUND(N2700-M2700,2))</f>
        <v/>
      </c>
      <c r="P2700" s="13">
        <f>IF(AND(A2700&lt;&gt;"",B2700&lt;&gt;""), A2700&amp;" · "&amp;B2700, "")</f>
        <v/>
      </c>
    </row>
    <row r="2701">
      <c r="A2701" s="6" t="inlineStr">
        <is>
          <t>FY27</t>
        </is>
      </c>
      <c r="B2701" s="6" t="inlineStr">
        <is>
          <t>Jun</t>
        </is>
      </c>
      <c r="C2701" s="6" t="inlineStr">
        <is>
          <t>TN</t>
        </is>
      </c>
      <c r="D2701" s="7" t="inlineStr">
        <is>
          <t>TN64H0081</t>
        </is>
      </c>
      <c r="E2701" s="7" t="inlineStr">
        <is>
          <t>MARUTI SUZUKI</t>
        </is>
      </c>
      <c r="F2701" s="7" t="inlineStr">
        <is>
          <t>Wagon R</t>
        </is>
      </c>
      <c r="G2701" s="7" t="inlineStr">
        <is>
          <t>SUN CARS</t>
        </is>
      </c>
      <c r="H2701" s="7" t="inlineStr">
        <is>
          <t>Non-Captive</t>
        </is>
      </c>
      <c r="I2701" s="7" t="inlineStr">
        <is>
          <t>Rajaganapathy</t>
        </is>
      </c>
      <c r="J2701" s="8" t="n">
        <v>2014</v>
      </c>
      <c r="K2701" s="9" t="n">
        <v>87338</v>
      </c>
      <c r="L2701" s="10" t="n">
        <v>90000</v>
      </c>
      <c r="M2701" s="10" t="n">
        <v>4237.29</v>
      </c>
      <c r="N2701" s="11">
        <f>IF(M2701="","",ROUND(M2701*1.18,2))</f>
        <v/>
      </c>
      <c r="O2701" s="12">
        <f>IF(M2701="","",ROUND(N2701-M2701,2))</f>
        <v/>
      </c>
      <c r="P2701" s="13">
        <f>IF(AND(A2701&lt;&gt;"",B2701&lt;&gt;""), A2701&amp;" · "&amp;B2701, "")</f>
        <v/>
      </c>
    </row>
    <row r="2702">
      <c r="A2702" s="6" t="inlineStr">
        <is>
          <t>FY27</t>
        </is>
      </c>
      <c r="B2702" s="6" t="inlineStr">
        <is>
          <t>Jun</t>
        </is>
      </c>
      <c r="C2702" s="6" t="inlineStr">
        <is>
          <t>TN</t>
        </is>
      </c>
      <c r="D2702" s="7" t="inlineStr">
        <is>
          <t>TN64L1237</t>
        </is>
      </c>
      <c r="E2702" s="7" t="inlineStr">
        <is>
          <t>HONDA</t>
        </is>
      </c>
      <c r="F2702" s="7" t="inlineStr">
        <is>
          <t>City</t>
        </is>
      </c>
      <c r="G2702" s="7" t="inlineStr">
        <is>
          <t>EXCHANGE ROTN</t>
        </is>
      </c>
      <c r="H2702" s="7" t="inlineStr">
        <is>
          <t>Captive</t>
        </is>
      </c>
      <c r="I2702" s="7" t="inlineStr">
        <is>
          <t>GGEE Autocare</t>
        </is>
      </c>
      <c r="J2702" s="8" t="n">
        <v>2015</v>
      </c>
      <c r="K2702" s="9" t="n">
        <v>46030</v>
      </c>
      <c r="L2702" s="10" t="n">
        <v>460000</v>
      </c>
      <c r="M2702" s="10" t="n">
        <v>12711.86</v>
      </c>
      <c r="N2702" s="11">
        <f>IF(M2702="","",ROUND(M2702*1.18,2))</f>
        <v/>
      </c>
      <c r="O2702" s="12">
        <f>IF(M2702="","",ROUND(N2702-M2702,2))</f>
        <v/>
      </c>
      <c r="P2702" s="13">
        <f>IF(AND(A2702&lt;&gt;"",B2702&lt;&gt;""), A2702&amp;" · "&amp;B2702, "")</f>
        <v/>
      </c>
    </row>
    <row r="2703">
      <c r="A2703" s="6" t="inlineStr">
        <is>
          <t>FY27</t>
        </is>
      </c>
      <c r="B2703" s="6" t="inlineStr">
        <is>
          <t>Jun</t>
        </is>
      </c>
      <c r="C2703" s="6" t="inlineStr">
        <is>
          <t>TN</t>
        </is>
      </c>
      <c r="D2703" s="7" t="inlineStr">
        <is>
          <t>TN64U4942</t>
        </is>
      </c>
      <c r="E2703" s="7" t="inlineStr">
        <is>
          <t>HONDA</t>
        </is>
      </c>
      <c r="F2703" s="7" t="inlineStr">
        <is>
          <t>City</t>
        </is>
      </c>
      <c r="G2703" s="7" t="inlineStr">
        <is>
          <t>EXCHANGE ROTN</t>
        </is>
      </c>
      <c r="H2703" s="7" t="inlineStr">
        <is>
          <t>Captive</t>
        </is>
      </c>
      <c r="I2703" s="7" t="inlineStr">
        <is>
          <t>Rajaganapathy</t>
        </is>
      </c>
      <c r="J2703" s="8" t="n">
        <v>2019</v>
      </c>
      <c r="K2703" s="9" t="n">
        <v>210219</v>
      </c>
      <c r="L2703" s="10" t="n">
        <v>500000</v>
      </c>
      <c r="M2703" s="10" t="n">
        <v>12711.86</v>
      </c>
      <c r="N2703" s="11">
        <f>IF(M2703="","",ROUND(M2703*1.18,2))</f>
        <v/>
      </c>
      <c r="O2703" s="12">
        <f>IF(M2703="","",ROUND(N2703-M2703,2))</f>
        <v/>
      </c>
      <c r="P2703" s="13">
        <f>IF(AND(A2703&lt;&gt;"",B2703&lt;&gt;""), A2703&amp;" · "&amp;B2703, "")</f>
        <v/>
      </c>
    </row>
    <row r="2704">
      <c r="A2704" s="6" t="inlineStr">
        <is>
          <t>FY27</t>
        </is>
      </c>
      <c r="B2704" s="6" t="inlineStr">
        <is>
          <t>Jun</t>
        </is>
      </c>
      <c r="C2704" s="6" t="inlineStr">
        <is>
          <t>TN</t>
        </is>
      </c>
      <c r="D2704" s="7" t="inlineStr">
        <is>
          <t>TN65AH1389</t>
        </is>
      </c>
      <c r="E2704" s="7" t="inlineStr">
        <is>
          <t>DATSUN</t>
        </is>
      </c>
      <c r="F2704" s="7" t="inlineStr">
        <is>
          <t>Redi-GO</t>
        </is>
      </c>
      <c r="G2704" s="7" t="inlineStr">
        <is>
          <t>BALAJI CARS</t>
        </is>
      </c>
      <c r="H2704" s="7" t="inlineStr">
        <is>
          <t>Non-Captive</t>
        </is>
      </c>
      <c r="I2704" s="7" t="inlineStr">
        <is>
          <t>Purushotham Cars</t>
        </is>
      </c>
      <c r="J2704" s="8" t="n">
        <v>2018</v>
      </c>
      <c r="K2704" s="9" t="n">
        <v>41537</v>
      </c>
      <c r="L2704" s="10" t="n">
        <v>98000</v>
      </c>
      <c r="M2704" s="10" t="n">
        <v>4237.29</v>
      </c>
      <c r="N2704" s="11">
        <f>IF(M2704="","",ROUND(M2704*1.18,2))</f>
        <v/>
      </c>
      <c r="O2704" s="12">
        <f>IF(M2704="","",ROUND(N2704-M2704,2))</f>
        <v/>
      </c>
      <c r="P2704" s="13">
        <f>IF(AND(A2704&lt;&gt;"",B2704&lt;&gt;""), A2704&amp;" · "&amp;B2704, "")</f>
        <v/>
      </c>
    </row>
    <row r="2705">
      <c r="A2705" s="6" t="inlineStr">
        <is>
          <t>FY27</t>
        </is>
      </c>
      <c r="B2705" s="6" t="inlineStr">
        <is>
          <t>Jun</t>
        </is>
      </c>
      <c r="C2705" s="6" t="inlineStr">
        <is>
          <t>TN</t>
        </is>
      </c>
      <c r="D2705" s="7" t="inlineStr">
        <is>
          <t>TN65U5727</t>
        </is>
      </c>
      <c r="E2705" s="7" t="inlineStr">
        <is>
          <t>TATA</t>
        </is>
      </c>
      <c r="F2705" s="7" t="inlineStr">
        <is>
          <t>Indica</t>
        </is>
      </c>
      <c r="G2705" s="7" t="inlineStr">
        <is>
          <t>KSM AUTO CONSULTING</t>
        </is>
      </c>
      <c r="H2705" s="7" t="inlineStr">
        <is>
          <t>Non-Captive</t>
        </is>
      </c>
      <c r="I2705" s="7" t="inlineStr">
        <is>
          <t>Vivek Cars</t>
        </is>
      </c>
      <c r="J2705" s="8" t="n">
        <v>2015</v>
      </c>
      <c r="K2705" s="9" t="n">
        <v>361599</v>
      </c>
      <c r="L2705" s="10" t="n">
        <v>45000</v>
      </c>
      <c r="M2705" s="10" t="n">
        <v>4237.29</v>
      </c>
      <c r="N2705" s="11">
        <f>IF(M2705="","",ROUND(M2705*1.18,2))</f>
        <v/>
      </c>
      <c r="O2705" s="12">
        <f>IF(M2705="","",ROUND(N2705-M2705,2))</f>
        <v/>
      </c>
      <c r="P2705" s="13">
        <f>IF(AND(A2705&lt;&gt;"",B2705&lt;&gt;""), A2705&amp;" · "&amp;B2705, "")</f>
        <v/>
      </c>
    </row>
    <row r="2706">
      <c r="A2706" s="6" t="inlineStr">
        <is>
          <t>FY27</t>
        </is>
      </c>
      <c r="B2706" s="6" t="inlineStr">
        <is>
          <t>Jun</t>
        </is>
      </c>
      <c r="C2706" s="6" t="inlineStr">
        <is>
          <t>TN</t>
        </is>
      </c>
      <c r="D2706" s="7" t="inlineStr">
        <is>
          <t>TN66B2641</t>
        </is>
      </c>
      <c r="E2706" s="7" t="inlineStr">
        <is>
          <t>MARUTI SUZUKI</t>
        </is>
      </c>
      <c r="F2706" s="7" t="inlineStr">
        <is>
          <t>Swift</t>
        </is>
      </c>
      <c r="G2706" s="7" t="inlineStr">
        <is>
          <t>EXCHANGE ROTN</t>
        </is>
      </c>
      <c r="H2706" s="7" t="inlineStr">
        <is>
          <t>Captive</t>
        </is>
      </c>
      <c r="I2706" s="7" t="inlineStr">
        <is>
          <t>&lt;NA&gt;</t>
        </is>
      </c>
      <c r="J2706" s="8" t="n">
        <v>2010</v>
      </c>
      <c r="K2706" s="9" t="n">
        <v>110869</v>
      </c>
      <c r="L2706" s="10" t="n">
        <v>98000</v>
      </c>
      <c r="M2706" s="10" t="n">
        <v>4237.29</v>
      </c>
      <c r="N2706" s="11">
        <f>IF(M2706="","",ROUND(M2706*1.18,2))</f>
        <v/>
      </c>
      <c r="O2706" s="12">
        <f>IF(M2706="","",ROUND(N2706-M2706,2))</f>
        <v/>
      </c>
      <c r="P2706" s="13">
        <f>IF(AND(A2706&lt;&gt;"",B2706&lt;&gt;""), A2706&amp;" · "&amp;B2706, "")</f>
        <v/>
      </c>
    </row>
    <row r="2707">
      <c r="A2707" s="6" t="inlineStr">
        <is>
          <t>FY27</t>
        </is>
      </c>
      <c r="B2707" s="6" t="inlineStr">
        <is>
          <t>Jun</t>
        </is>
      </c>
      <c r="C2707" s="6" t="inlineStr">
        <is>
          <t>TN</t>
        </is>
      </c>
      <c r="D2707" s="7" t="inlineStr">
        <is>
          <t>TN66F3376</t>
        </is>
      </c>
      <c r="E2707" s="7" t="inlineStr">
        <is>
          <t>HYUNDAI</t>
        </is>
      </c>
      <c r="F2707" s="7" t="inlineStr">
        <is>
          <t>i10</t>
        </is>
      </c>
      <c r="G2707" s="7" t="inlineStr">
        <is>
          <t>EXCHANGE ROTN</t>
        </is>
      </c>
      <c r="H2707" s="7" t="inlineStr">
        <is>
          <t>Captive</t>
        </is>
      </c>
      <c r="I2707" s="7" t="inlineStr">
        <is>
          <t>Senthur Finance</t>
        </is>
      </c>
      <c r="J2707" s="8" t="n">
        <v>2012</v>
      </c>
      <c r="K2707" s="9" t="n">
        <v>106956</v>
      </c>
      <c r="L2707" s="10" t="n">
        <v>210000</v>
      </c>
      <c r="M2707" s="10" t="n">
        <v>12711.86</v>
      </c>
      <c r="N2707" s="11">
        <f>IF(M2707="","",ROUND(M2707*1.18,2))</f>
        <v/>
      </c>
      <c r="O2707" s="12">
        <f>IF(M2707="","",ROUND(N2707-M2707,2))</f>
        <v/>
      </c>
      <c r="P2707" s="13">
        <f>IF(AND(A2707&lt;&gt;"",B2707&lt;&gt;""), A2707&amp;" · "&amp;B2707, "")</f>
        <v/>
      </c>
    </row>
    <row r="2708">
      <c r="A2708" s="6" t="inlineStr">
        <is>
          <t>FY27</t>
        </is>
      </c>
      <c r="B2708" s="6" t="inlineStr">
        <is>
          <t>Jun</t>
        </is>
      </c>
      <c r="C2708" s="6" t="inlineStr">
        <is>
          <t>TN</t>
        </is>
      </c>
      <c r="D2708" s="7" t="inlineStr">
        <is>
          <t>TN66F9164</t>
        </is>
      </c>
      <c r="E2708" s="7" t="inlineStr">
        <is>
          <t>FORD</t>
        </is>
      </c>
      <c r="F2708" s="7" t="inlineStr">
        <is>
          <t>Figo</t>
        </is>
      </c>
      <c r="G2708" s="7" t="inlineStr">
        <is>
          <t>EXCHANGE ROTN</t>
        </is>
      </c>
      <c r="H2708" s="7" t="inlineStr">
        <is>
          <t>Captive</t>
        </is>
      </c>
      <c r="I2708" s="7" t="inlineStr">
        <is>
          <t>&lt;NA&gt;</t>
        </is>
      </c>
      <c r="J2708" s="8" t="n">
        <v>2012</v>
      </c>
      <c r="K2708" s="9" t="n">
        <v>176931</v>
      </c>
      <c r="L2708" s="10" t="n">
        <v>135000</v>
      </c>
      <c r="M2708" s="10" t="n">
        <v>4237.29</v>
      </c>
      <c r="N2708" s="11">
        <f>IF(M2708="","",ROUND(M2708*1.18,2))</f>
        <v/>
      </c>
      <c r="O2708" s="12">
        <f>IF(M2708="","",ROUND(N2708-M2708,2))</f>
        <v/>
      </c>
      <c r="P2708" s="13">
        <f>IF(AND(A2708&lt;&gt;"",B2708&lt;&gt;""), A2708&amp;" · "&amp;B2708, "")</f>
        <v/>
      </c>
    </row>
    <row r="2709">
      <c r="A2709" s="6" t="inlineStr">
        <is>
          <t>FY27</t>
        </is>
      </c>
      <c r="B2709" s="6" t="inlineStr">
        <is>
          <t>Jun</t>
        </is>
      </c>
      <c r="C2709" s="6" t="inlineStr">
        <is>
          <t>TN</t>
        </is>
      </c>
      <c r="D2709" s="7" t="inlineStr">
        <is>
          <t>TN66H0411</t>
        </is>
      </c>
      <c r="E2709" s="7" t="inlineStr">
        <is>
          <t>TATA</t>
        </is>
      </c>
      <c r="F2709" s="7" t="inlineStr">
        <is>
          <t>Nano</t>
        </is>
      </c>
      <c r="G2709" s="7" t="inlineStr">
        <is>
          <t>EXCHANGE ROTN</t>
        </is>
      </c>
      <c r="H2709" s="7" t="inlineStr">
        <is>
          <t>Captive</t>
        </is>
      </c>
      <c r="I2709" s="7" t="inlineStr">
        <is>
          <t>Sai Cars</t>
        </is>
      </c>
      <c r="J2709" s="8" t="n">
        <v>2012</v>
      </c>
      <c r="K2709" s="9" t="n">
        <v>27934</v>
      </c>
      <c r="L2709" s="10" t="n">
        <v>40000</v>
      </c>
      <c r="M2709" s="10" t="n">
        <v>4237.29</v>
      </c>
      <c r="N2709" s="11">
        <f>IF(M2709="","",ROUND(M2709*1.18,2))</f>
        <v/>
      </c>
      <c r="O2709" s="12">
        <f>IF(M2709="","",ROUND(N2709-M2709,2))</f>
        <v/>
      </c>
      <c r="P2709" s="13">
        <f>IF(AND(A2709&lt;&gt;"",B2709&lt;&gt;""), A2709&amp;" · "&amp;B2709, "")</f>
        <v/>
      </c>
    </row>
    <row r="2710">
      <c r="A2710" s="6" t="inlineStr">
        <is>
          <t>FY27</t>
        </is>
      </c>
      <c r="B2710" s="6" t="inlineStr">
        <is>
          <t>Jun</t>
        </is>
      </c>
      <c r="C2710" s="6" t="inlineStr">
        <is>
          <t>TN</t>
        </is>
      </c>
      <c r="D2710" s="7" t="inlineStr">
        <is>
          <t>TN66S5716</t>
        </is>
      </c>
      <c r="E2710" s="7" t="inlineStr">
        <is>
          <t>HONDA</t>
        </is>
      </c>
      <c r="F2710" s="7" t="inlineStr">
        <is>
          <t>City</t>
        </is>
      </c>
      <c r="G2710" s="7" t="inlineStr">
        <is>
          <t>EXCHANGE ROTN</t>
        </is>
      </c>
      <c r="H2710" s="7" t="inlineStr">
        <is>
          <t>Captive</t>
        </is>
      </c>
      <c r="I2710" s="7" t="inlineStr">
        <is>
          <t>&lt;NA&gt;</t>
        </is>
      </c>
      <c r="J2710" s="8" t="n">
        <v>2016</v>
      </c>
      <c r="K2710" s="9" t="n">
        <v>190744</v>
      </c>
      <c r="L2710" s="10" t="n">
        <v>375000</v>
      </c>
      <c r="M2710" s="10" t="n">
        <v>8474.58</v>
      </c>
      <c r="N2710" s="11">
        <f>IF(M2710="","",ROUND(M2710*1.18,2))</f>
        <v/>
      </c>
      <c r="O2710" s="12">
        <f>IF(M2710="","",ROUND(N2710-M2710,2))</f>
        <v/>
      </c>
      <c r="P2710" s="13">
        <f>IF(AND(A2710&lt;&gt;"",B2710&lt;&gt;""), A2710&amp;" · "&amp;B2710, "")</f>
        <v/>
      </c>
    </row>
    <row r="2711">
      <c r="A2711" s="6" t="inlineStr">
        <is>
          <t>FY27</t>
        </is>
      </c>
      <c r="B2711" s="6" t="inlineStr">
        <is>
          <t>Jun</t>
        </is>
      </c>
      <c r="C2711" s="6" t="inlineStr">
        <is>
          <t>TN</t>
        </is>
      </c>
      <c r="D2711" s="7" t="inlineStr">
        <is>
          <t>TN67BA9979</t>
        </is>
      </c>
      <c r="E2711" s="7" t="inlineStr">
        <is>
          <t>HONDA</t>
        </is>
      </c>
      <c r="F2711" s="7" t="inlineStr">
        <is>
          <t>Brio</t>
        </is>
      </c>
      <c r="G2711" s="7" t="inlineStr">
        <is>
          <t>EXCHANGE ROTN</t>
        </is>
      </c>
      <c r="H2711" s="7" t="inlineStr">
        <is>
          <t>Captive</t>
        </is>
      </c>
      <c r="I2711" s="7" t="inlineStr">
        <is>
          <t>Paul Cars</t>
        </is>
      </c>
      <c r="J2711" s="8" t="n">
        <v>2014</v>
      </c>
      <c r="K2711" s="9" t="n">
        <v>117847</v>
      </c>
      <c r="L2711" s="10" t="n">
        <v>85000</v>
      </c>
      <c r="M2711" s="10" t="n">
        <v>8474.58</v>
      </c>
      <c r="N2711" s="11">
        <f>IF(M2711="","",ROUND(M2711*1.18,2))</f>
        <v/>
      </c>
      <c r="O2711" s="12">
        <f>IF(M2711="","",ROUND(N2711-M2711,2))</f>
        <v/>
      </c>
      <c r="P2711" s="13">
        <f>IF(AND(A2711&lt;&gt;"",B2711&lt;&gt;""), A2711&amp;" · "&amp;B2711, "")</f>
        <v/>
      </c>
    </row>
    <row r="2712">
      <c r="A2712" s="6" t="inlineStr">
        <is>
          <t>FY27</t>
        </is>
      </c>
      <c r="B2712" s="6" t="inlineStr">
        <is>
          <t>Jun</t>
        </is>
      </c>
      <c r="C2712" s="6" t="inlineStr">
        <is>
          <t>TN</t>
        </is>
      </c>
      <c r="D2712" s="7" t="inlineStr">
        <is>
          <t>TN67BD9942</t>
        </is>
      </c>
      <c r="E2712" s="7" t="inlineStr">
        <is>
          <t>MARUTI SUZUKI</t>
        </is>
      </c>
      <c r="F2712" s="7" t="inlineStr">
        <is>
          <t>Vitara Brezza</t>
        </is>
      </c>
      <c r="G2712" s="7" t="inlineStr">
        <is>
          <t>EXCHANGE ROTN</t>
        </is>
      </c>
      <c r="H2712" s="7" t="inlineStr">
        <is>
          <t>Captive</t>
        </is>
      </c>
      <c r="I2712" s="7" t="inlineStr">
        <is>
          <t>Sri Visakam</t>
        </is>
      </c>
      <c r="J2712" s="8" t="n">
        <v>2017</v>
      </c>
      <c r="K2712" s="9" t="n">
        <v>91300</v>
      </c>
      <c r="L2712" s="10" t="n">
        <v>480000</v>
      </c>
      <c r="M2712" s="10" t="n">
        <v>8474.58</v>
      </c>
      <c r="N2712" s="11">
        <f>IF(M2712="","",ROUND(M2712*1.18,2))</f>
        <v/>
      </c>
      <c r="O2712" s="12">
        <f>IF(M2712="","",ROUND(N2712-M2712,2))</f>
        <v/>
      </c>
      <c r="P2712" s="13">
        <f>IF(AND(A2712&lt;&gt;"",B2712&lt;&gt;""), A2712&amp;" · "&amp;B2712, "")</f>
        <v/>
      </c>
    </row>
    <row r="2713">
      <c r="A2713" s="6" t="inlineStr">
        <is>
          <t>FY27</t>
        </is>
      </c>
      <c r="B2713" s="6" t="inlineStr">
        <is>
          <t>Jun</t>
        </is>
      </c>
      <c r="C2713" s="6" t="inlineStr">
        <is>
          <t>TN</t>
        </is>
      </c>
      <c r="D2713" s="7" t="inlineStr">
        <is>
          <t>TN67BM4978</t>
        </is>
      </c>
      <c r="E2713" s="7" t="inlineStr">
        <is>
          <t>RENAULT</t>
        </is>
      </c>
      <c r="F2713" s="7" t="inlineStr">
        <is>
          <t>Triber</t>
        </is>
      </c>
      <c r="G2713" s="7" t="inlineStr">
        <is>
          <t>EXCHANGE ROTN</t>
        </is>
      </c>
      <c r="H2713" s="7" t="inlineStr">
        <is>
          <t>Captive</t>
        </is>
      </c>
      <c r="I2713" s="7" t="inlineStr">
        <is>
          <t>&lt;NA&gt;</t>
        </is>
      </c>
      <c r="J2713" s="8" t="n">
        <v>2021</v>
      </c>
      <c r="K2713" s="9" t="n">
        <v>65728</v>
      </c>
      <c r="L2713" s="10" t="n">
        <v>450000</v>
      </c>
      <c r="M2713" s="10" t="n">
        <v>8474.58</v>
      </c>
      <c r="N2713" s="11">
        <f>IF(M2713="","",ROUND(M2713*1.18,2))</f>
        <v/>
      </c>
      <c r="O2713" s="12">
        <f>IF(M2713="","",ROUND(N2713-M2713,2))</f>
        <v/>
      </c>
      <c r="P2713" s="13">
        <f>IF(AND(A2713&lt;&gt;"",B2713&lt;&gt;""), A2713&amp;" · "&amp;B2713, "")</f>
        <v/>
      </c>
    </row>
    <row r="2714">
      <c r="A2714" s="6" t="inlineStr">
        <is>
          <t>FY27</t>
        </is>
      </c>
      <c r="B2714" s="6" t="inlineStr">
        <is>
          <t>Jun</t>
        </is>
      </c>
      <c r="C2714" s="6" t="inlineStr">
        <is>
          <t>TN</t>
        </is>
      </c>
      <c r="D2714" s="7" t="inlineStr">
        <is>
          <t>TN69M5701</t>
        </is>
      </c>
      <c r="E2714" s="7" t="inlineStr">
        <is>
          <t>MARUTI SUZUKI</t>
        </is>
      </c>
      <c r="F2714" s="7" t="inlineStr">
        <is>
          <t>Omni</t>
        </is>
      </c>
      <c r="G2714" s="7" t="inlineStr">
        <is>
          <t>KSM AUTO CONSULTING</t>
        </is>
      </c>
      <c r="H2714" s="7" t="inlineStr">
        <is>
          <t>Non-Captive</t>
        </is>
      </c>
      <c r="I2714" s="7" t="inlineStr">
        <is>
          <t>Purushotham Cars</t>
        </is>
      </c>
      <c r="J2714" s="8" t="n">
        <v>2008</v>
      </c>
      <c r="K2714" s="9" t="n">
        <v>89332</v>
      </c>
      <c r="L2714" s="10" t="n">
        <v>93000</v>
      </c>
      <c r="M2714" s="10" t="n">
        <v>4237.29</v>
      </c>
      <c r="N2714" s="11">
        <f>IF(M2714="","",ROUND(M2714*1.18,2))</f>
        <v/>
      </c>
      <c r="O2714" s="12">
        <f>IF(M2714="","",ROUND(N2714-M2714,2))</f>
        <v/>
      </c>
      <c r="P2714" s="13">
        <f>IF(AND(A2714&lt;&gt;"",B2714&lt;&gt;""), A2714&amp;" · "&amp;B2714, "")</f>
        <v/>
      </c>
    </row>
    <row r="2715">
      <c r="A2715" s="6" t="inlineStr">
        <is>
          <t>FY27</t>
        </is>
      </c>
      <c r="B2715" s="6" t="inlineStr">
        <is>
          <t>Jun</t>
        </is>
      </c>
      <c r="C2715" s="6" t="inlineStr">
        <is>
          <t>TN</t>
        </is>
      </c>
      <c r="D2715" s="7" t="inlineStr">
        <is>
          <t>TN72AL0615</t>
        </is>
      </c>
      <c r="E2715" s="7" t="inlineStr">
        <is>
          <t>MARUTI SUZUKI</t>
        </is>
      </c>
      <c r="F2715" s="7" t="inlineStr">
        <is>
          <t>Alto K10</t>
        </is>
      </c>
      <c r="G2715" s="7" t="inlineStr">
        <is>
          <t>KHIVRAJ MOTOR</t>
        </is>
      </c>
      <c r="H2715" s="7" t="inlineStr">
        <is>
          <t>Non-Captive</t>
        </is>
      </c>
      <c r="I2715" s="7" t="inlineStr">
        <is>
          <t>Grid 33</t>
        </is>
      </c>
      <c r="J2715" s="8" t="n">
        <v>2011</v>
      </c>
      <c r="K2715" s="9" t="n">
        <v>103240</v>
      </c>
      <c r="L2715" s="10" t="n">
        <v>155000</v>
      </c>
      <c r="M2715" s="10" t="n">
        <v>5084.75</v>
      </c>
      <c r="N2715" s="11">
        <f>IF(M2715="","",ROUND(M2715*1.18,2))</f>
        <v/>
      </c>
      <c r="O2715" s="12">
        <f>IF(M2715="","",ROUND(N2715-M2715,2))</f>
        <v/>
      </c>
      <c r="P2715" s="13">
        <f>IF(AND(A2715&lt;&gt;"",B2715&lt;&gt;""), A2715&amp;" · "&amp;B2715, "")</f>
        <v/>
      </c>
    </row>
    <row r="2716">
      <c r="A2716" s="6" t="inlineStr">
        <is>
          <t>FY27</t>
        </is>
      </c>
      <c r="B2716" s="6" t="inlineStr">
        <is>
          <t>Jun</t>
        </is>
      </c>
      <c r="C2716" s="6" t="inlineStr">
        <is>
          <t>TN</t>
        </is>
      </c>
      <c r="D2716" s="7" t="inlineStr">
        <is>
          <t>TN74R8444</t>
        </is>
      </c>
      <c r="E2716" s="7" t="inlineStr">
        <is>
          <t>CHEVROLET</t>
        </is>
      </c>
      <c r="F2716" s="7" t="inlineStr">
        <is>
          <t>Beat</t>
        </is>
      </c>
      <c r="G2716" s="7" t="inlineStr">
        <is>
          <t>EXCHANGE ROTN</t>
        </is>
      </c>
      <c r="H2716" s="7" t="inlineStr">
        <is>
          <t>Captive</t>
        </is>
      </c>
      <c r="I2716" s="7" t="inlineStr">
        <is>
          <t>Rajaganapathy</t>
        </is>
      </c>
      <c r="J2716" s="8" t="n">
        <v>2010</v>
      </c>
      <c r="K2716" s="9" t="n">
        <v>77602</v>
      </c>
      <c r="L2716" s="10" t="n">
        <v>94000</v>
      </c>
      <c r="M2716" s="10" t="n">
        <v>4237.29</v>
      </c>
      <c r="N2716" s="11">
        <f>IF(M2716="","",ROUND(M2716*1.18,2))</f>
        <v/>
      </c>
      <c r="O2716" s="12">
        <f>IF(M2716="","",ROUND(N2716-M2716,2))</f>
        <v/>
      </c>
      <c r="P2716" s="13">
        <f>IF(AND(A2716&lt;&gt;"",B2716&lt;&gt;""), A2716&amp;" · "&amp;B2716, "")</f>
        <v/>
      </c>
    </row>
    <row r="2717">
      <c r="A2717" s="6" t="inlineStr">
        <is>
          <t>FY27</t>
        </is>
      </c>
      <c r="B2717" s="6" t="inlineStr">
        <is>
          <t>Jun</t>
        </is>
      </c>
      <c r="C2717" s="6" t="inlineStr">
        <is>
          <t>TN</t>
        </is>
      </c>
      <c r="D2717" s="7" t="inlineStr">
        <is>
          <t>TN86B5673</t>
        </is>
      </c>
      <c r="E2717" s="7" t="inlineStr">
        <is>
          <t>MARUTI SUZUKI</t>
        </is>
      </c>
      <c r="F2717" s="7" t="inlineStr">
        <is>
          <t>Swift</t>
        </is>
      </c>
      <c r="G2717" s="7" t="inlineStr">
        <is>
          <t>COIMBATORE ANAMALLAIS AGENCIES PRIVATE LIMITED</t>
        </is>
      </c>
      <c r="H2717" s="7" t="inlineStr">
        <is>
          <t>Non-Captive</t>
        </is>
      </c>
      <c r="I2717" s="7" t="inlineStr">
        <is>
          <t>Sri Murugan Cars</t>
        </is>
      </c>
      <c r="J2717" s="8" t="n">
        <v>2016</v>
      </c>
      <c r="K2717" s="9" t="n">
        <v>86784</v>
      </c>
      <c r="L2717" s="10" t="n">
        <v>490000</v>
      </c>
      <c r="M2717" s="10" t="n">
        <v>8474.58</v>
      </c>
      <c r="N2717" s="11">
        <f>IF(M2717="","",ROUND(M2717*1.18,2))</f>
        <v/>
      </c>
      <c r="O2717" s="12">
        <f>IF(M2717="","",ROUND(N2717-M2717,2))</f>
        <v/>
      </c>
      <c r="P2717" s="13">
        <f>IF(AND(A2717&lt;&gt;"",B2717&lt;&gt;""), A2717&amp;" · "&amp;B2717, "")</f>
        <v/>
      </c>
    </row>
    <row r="2718">
      <c r="A2718" s="6" t="inlineStr">
        <is>
          <t>FY27</t>
        </is>
      </c>
      <c r="B2718" s="6" t="inlineStr">
        <is>
          <t>Jun</t>
        </is>
      </c>
      <c r="C2718" s="6" t="inlineStr">
        <is>
          <t>TN</t>
        </is>
      </c>
      <c r="D2718" s="7" t="inlineStr">
        <is>
          <t>TN875898</t>
        </is>
      </c>
      <c r="E2718" s="7" t="inlineStr">
        <is>
          <t>HYUNDAI</t>
        </is>
      </c>
      <c r="F2718" s="7" t="inlineStr">
        <is>
          <t>Creta</t>
        </is>
      </c>
      <c r="G2718" s="7" t="inlineStr">
        <is>
          <t>MAHATHI CARS</t>
        </is>
      </c>
      <c r="H2718" s="7" t="inlineStr">
        <is>
          <t>Non-Captive</t>
        </is>
      </c>
      <c r="I2718" s="7" t="inlineStr">
        <is>
          <t>Value Drive</t>
        </is>
      </c>
      <c r="J2718" s="8" t="n">
        <v>2017</v>
      </c>
      <c r="K2718" s="9" t="n">
        <v>87224</v>
      </c>
      <c r="L2718" s="10" t="n">
        <v>552500</v>
      </c>
      <c r="M2718" s="10" t="n">
        <v>6355.93</v>
      </c>
      <c r="N2718" s="11">
        <f>IF(M2718="","",ROUND(M2718*1.18,2))</f>
        <v/>
      </c>
      <c r="O2718" s="12">
        <f>IF(M2718="","",ROUND(N2718-M2718,2))</f>
        <v/>
      </c>
      <c r="P2718" s="13">
        <f>IF(AND(A2718&lt;&gt;"",B2718&lt;&gt;""), A2718&amp;" · "&amp;B2718, "")</f>
        <v/>
      </c>
    </row>
    <row r="2719">
      <c r="A2719" s="6" t="inlineStr">
        <is>
          <t>FY27</t>
        </is>
      </c>
      <c r="B2719" s="6" t="inlineStr">
        <is>
          <t>Jun</t>
        </is>
      </c>
      <c r="C2719" s="6" t="inlineStr">
        <is>
          <t>TN</t>
        </is>
      </c>
      <c r="D2719" s="7" t="inlineStr">
        <is>
          <t>TN879570</t>
        </is>
      </c>
      <c r="E2719" s="7" t="inlineStr">
        <is>
          <t>MAHINDRA</t>
        </is>
      </c>
      <c r="F2719" s="7" t="inlineStr">
        <is>
          <t>Xylo</t>
        </is>
      </c>
      <c r="G2719" s="7" t="inlineStr">
        <is>
          <t>BHAGAVAN CARS</t>
        </is>
      </c>
      <c r="H2719" s="7" t="inlineStr">
        <is>
          <t>Non-Captive</t>
        </is>
      </c>
      <c r="I2719" s="7" t="inlineStr">
        <is>
          <t>AAA Cars</t>
        </is>
      </c>
      <c r="J2719" s="8" t="n">
        <v>2018</v>
      </c>
      <c r="K2719" s="9" t="n">
        <v>138194</v>
      </c>
      <c r="L2719" s="10" t="n">
        <v>300000</v>
      </c>
      <c r="M2719" s="10" t="n">
        <v>5084.75</v>
      </c>
      <c r="N2719" s="11">
        <f>IF(M2719="","",ROUND(M2719*1.18,2))</f>
        <v/>
      </c>
      <c r="O2719" s="12">
        <f>IF(M2719="","",ROUND(N2719-M2719,2))</f>
        <v/>
      </c>
      <c r="P2719" s="13">
        <f>IF(AND(A2719&lt;&gt;"",B2719&lt;&gt;""), A2719&amp;" · "&amp;B2719, "")</f>
        <v/>
      </c>
    </row>
    <row r="2720">
      <c r="A2720" s="6" t="inlineStr">
        <is>
          <t>FY27</t>
        </is>
      </c>
      <c r="B2720" s="6" t="inlineStr">
        <is>
          <t>Jun</t>
        </is>
      </c>
      <c r="C2720" s="6" t="inlineStr">
        <is>
          <t>TN</t>
        </is>
      </c>
      <c r="D2720" s="7" t="inlineStr">
        <is>
          <t>TN88Z2352</t>
        </is>
      </c>
      <c r="E2720" s="7" t="inlineStr">
        <is>
          <t>CHEVROLET</t>
        </is>
      </c>
      <c r="F2720" s="7" t="inlineStr">
        <is>
          <t>Sail</t>
        </is>
      </c>
      <c r="G2720" s="7" t="inlineStr">
        <is>
          <t>THIRIVENI CARS</t>
        </is>
      </c>
      <c r="H2720" s="7" t="inlineStr">
        <is>
          <t>Non-Captive</t>
        </is>
      </c>
      <c r="I2720" s="7" t="inlineStr">
        <is>
          <t>Ramalingam Cars</t>
        </is>
      </c>
      <c r="J2720" s="8" t="n">
        <v>2013</v>
      </c>
      <c r="K2720" s="9" t="n">
        <v>99546</v>
      </c>
      <c r="L2720" s="10" t="n">
        <v>270000</v>
      </c>
      <c r="M2720" s="10" t="n">
        <v>4237.29</v>
      </c>
      <c r="N2720" s="11">
        <f>IF(M2720="","",ROUND(M2720*1.18,2))</f>
        <v/>
      </c>
      <c r="O2720" s="12">
        <f>IF(M2720="","",ROUND(N2720-M2720,2))</f>
        <v/>
      </c>
      <c r="P2720" s="13">
        <f>IF(AND(A2720&lt;&gt;"",B2720&lt;&gt;""), A2720&amp;" · "&amp;B2720, "")</f>
        <v/>
      </c>
    </row>
    <row r="2721">
      <c r="A2721" s="6" t="inlineStr">
        <is>
          <t>FY27</t>
        </is>
      </c>
      <c r="B2721" s="6" t="inlineStr">
        <is>
          <t>Jun</t>
        </is>
      </c>
      <c r="C2721" s="6" t="inlineStr">
        <is>
          <t>TN</t>
        </is>
      </c>
      <c r="D2721" s="7" t="inlineStr">
        <is>
          <t>TN92A7006</t>
        </is>
      </c>
      <c r="E2721" s="7" t="inlineStr">
        <is>
          <t>DATSUN</t>
        </is>
      </c>
      <c r="F2721" s="7" t="inlineStr">
        <is>
          <t>Redi-GO</t>
        </is>
      </c>
      <c r="G2721" s="7" t="inlineStr">
        <is>
          <t>THIRIVENI CARS</t>
        </is>
      </c>
      <c r="H2721" s="7" t="inlineStr">
        <is>
          <t>Non-Captive</t>
        </is>
      </c>
      <c r="I2721" s="7" t="inlineStr">
        <is>
          <t>Nirmal Cars</t>
        </is>
      </c>
      <c r="J2721" s="8" t="n">
        <v>2016</v>
      </c>
      <c r="K2721" s="9" t="n">
        <v>95664</v>
      </c>
      <c r="L2721" s="10" t="n">
        <v>190000</v>
      </c>
      <c r="M2721" s="10" t="n">
        <v>4237.29</v>
      </c>
      <c r="N2721" s="11">
        <f>IF(M2721="","",ROUND(M2721*1.18,2))</f>
        <v/>
      </c>
      <c r="O2721" s="12">
        <f>IF(M2721="","",ROUND(N2721-M2721,2))</f>
        <v/>
      </c>
      <c r="P2721" s="13">
        <f>IF(AND(A2721&lt;&gt;"",B2721&lt;&gt;""), A2721&amp;" · "&amp;B2721, "")</f>
        <v/>
      </c>
    </row>
    <row r="2722">
      <c r="A2722" s="6" t="inlineStr">
        <is>
          <t>FY27</t>
        </is>
      </c>
      <c r="B2722" s="6" t="inlineStr">
        <is>
          <t>Jun</t>
        </is>
      </c>
      <c r="C2722" s="6" t="inlineStr">
        <is>
          <t>TN</t>
        </is>
      </c>
      <c r="D2722" s="7" t="inlineStr">
        <is>
          <t>TN92B1407</t>
        </is>
      </c>
      <c r="E2722" s="7" t="inlineStr">
        <is>
          <t>RENAULT</t>
        </is>
      </c>
      <c r="F2722" s="7" t="inlineStr">
        <is>
          <t>Kwid</t>
        </is>
      </c>
      <c r="G2722" s="7" t="inlineStr">
        <is>
          <t>AADHI CARS PRIVATE LIMITED</t>
        </is>
      </c>
      <c r="H2722" s="7" t="inlineStr">
        <is>
          <t>Non-Captive</t>
        </is>
      </c>
      <c r="I2722" s="7" t="inlineStr">
        <is>
          <t>Nirmal Cars</t>
        </is>
      </c>
      <c r="J2722" s="8" t="n">
        <v>2017</v>
      </c>
      <c r="K2722" s="9" t="n">
        <v>121785</v>
      </c>
      <c r="L2722" s="10" t="n">
        <v>280000</v>
      </c>
      <c r="M2722" s="10" t="n">
        <v>4237.29</v>
      </c>
      <c r="N2722" s="11">
        <f>IF(M2722="","",ROUND(M2722*1.18,2))</f>
        <v/>
      </c>
      <c r="O2722" s="12">
        <f>IF(M2722="","",ROUND(N2722-M2722,2))</f>
        <v/>
      </c>
      <c r="P2722" s="13">
        <f>IF(AND(A2722&lt;&gt;"",B2722&lt;&gt;""), A2722&amp;" · "&amp;B2722, "")</f>
        <v/>
      </c>
    </row>
    <row r="2723">
      <c r="A2723" s="6" t="inlineStr">
        <is>
          <t>FY27</t>
        </is>
      </c>
      <c r="B2723" s="6" t="inlineStr">
        <is>
          <t>Jun</t>
        </is>
      </c>
      <c r="C2723" s="6" t="inlineStr">
        <is>
          <t>TN</t>
        </is>
      </c>
      <c r="D2723" s="7" t="inlineStr">
        <is>
          <t>TN99B7502</t>
        </is>
      </c>
      <c r="E2723" s="7" t="inlineStr">
        <is>
          <t>MARUTI SUZUKI</t>
        </is>
      </c>
      <c r="F2723" s="7" t="inlineStr">
        <is>
          <t>Alto</t>
        </is>
      </c>
      <c r="G2723" s="7" t="inlineStr">
        <is>
          <t>EXCHANGE ROTN</t>
        </is>
      </c>
      <c r="H2723" s="7" t="inlineStr">
        <is>
          <t>Captive</t>
        </is>
      </c>
      <c r="I2723" s="7" t="inlineStr">
        <is>
          <t>&lt;NA&gt;</t>
        </is>
      </c>
      <c r="J2723" s="8" t="n">
        <v>2009</v>
      </c>
      <c r="K2723" s="9" t="n">
        <v>61675</v>
      </c>
      <c r="L2723" s="10" t="n">
        <v>340000</v>
      </c>
      <c r="M2723" s="10" t="n">
        <v>8474.58</v>
      </c>
      <c r="N2723" s="11">
        <f>IF(M2723="","",ROUND(M2723*1.18,2))</f>
        <v/>
      </c>
      <c r="O2723" s="12">
        <f>IF(M2723="","",ROUND(N2723-M2723,2))</f>
        <v/>
      </c>
      <c r="P2723" s="13">
        <f>IF(AND(A2723&lt;&gt;"",B2723&lt;&gt;""), A2723&amp;" · "&amp;B2723, "")</f>
        <v/>
      </c>
    </row>
    <row r="2724">
      <c r="A2724" s="6" t="inlineStr">
        <is>
          <t>FY27</t>
        </is>
      </c>
      <c r="B2724" s="6" t="inlineStr">
        <is>
          <t>Jun</t>
        </is>
      </c>
      <c r="C2724" s="6" t="inlineStr">
        <is>
          <t>TN</t>
        </is>
      </c>
      <c r="D2724" s="7" t="inlineStr">
        <is>
          <t>TN99Q9894</t>
        </is>
      </c>
      <c r="E2724" s="7" t="inlineStr">
        <is>
          <t>SKODA</t>
        </is>
      </c>
      <c r="F2724" s="7" t="inlineStr">
        <is>
          <t>Rapid</t>
        </is>
      </c>
      <c r="G2724" s="7" t="inlineStr">
        <is>
          <t>N R GARAGE</t>
        </is>
      </c>
      <c r="H2724" s="7" t="inlineStr">
        <is>
          <t>Non-Captive</t>
        </is>
      </c>
      <c r="I2724" s="7" t="inlineStr">
        <is>
          <t>&lt;NA&gt;</t>
        </is>
      </c>
      <c r="J2724" s="8" t="n">
        <v>2019</v>
      </c>
      <c r="K2724" s="9" t="n">
        <v>108129</v>
      </c>
      <c r="L2724" s="10" t="n">
        <v>575000</v>
      </c>
      <c r="M2724" s="10" t="n">
        <v>4237.29</v>
      </c>
      <c r="N2724" s="11">
        <f>IF(M2724="","",ROUND(M2724*1.18,2))</f>
        <v/>
      </c>
      <c r="O2724" s="12">
        <f>IF(M2724="","",ROUND(N2724-M2724,2))</f>
        <v/>
      </c>
      <c r="P2724" s="13">
        <f>IF(AND(A2724&lt;&gt;"",B2724&lt;&gt;""), A2724&amp;" · "&amp;B2724, "")</f>
        <v/>
      </c>
    </row>
    <row r="2725">
      <c r="A2725" s="6" t="inlineStr">
        <is>
          <t>FY27</t>
        </is>
      </c>
      <c r="B2725" s="6" t="inlineStr">
        <is>
          <t>Jul</t>
        </is>
      </c>
      <c r="C2725" s="6" t="inlineStr">
        <is>
          <t>AP/TS</t>
        </is>
      </c>
      <c r="D2725" s="7" t="inlineStr">
        <is>
          <t>AP03CS2961</t>
        </is>
      </c>
      <c r="E2725" s="7" t="inlineStr">
        <is>
          <t>HONDA</t>
        </is>
      </c>
      <c r="F2725" s="7" t="inlineStr">
        <is>
          <t>WR-V</t>
        </is>
      </c>
      <c r="G2725" s="7" t="inlineStr">
        <is>
          <t>EXCHANGE</t>
        </is>
      </c>
      <c r="H2725" s="7" t="inlineStr">
        <is>
          <t>Captive</t>
        </is>
      </c>
      <c r="I2725" s="7" t="inlineStr">
        <is>
          <t>Chekuri Chandra Shekar Satyanarayana Raju</t>
        </is>
      </c>
      <c r="J2725" s="8" t="n">
        <v>2018</v>
      </c>
      <c r="K2725" s="9" t="n">
        <v>171025</v>
      </c>
      <c r="L2725" s="10" t="n">
        <v>265000</v>
      </c>
      <c r="M2725" s="10" t="n">
        <v>8474.58</v>
      </c>
      <c r="N2725" s="11">
        <f>IF(M2725="","",ROUND(M2725*1.18,2))</f>
        <v/>
      </c>
      <c r="O2725" s="12">
        <f>IF(M2725="","",ROUND(N2725-M2725,2))</f>
        <v/>
      </c>
      <c r="P2725" s="13">
        <f>IF(AND(A2725&lt;&gt;"",B2725&lt;&gt;""), A2725&amp;" · "&amp;B2725, "")</f>
        <v/>
      </c>
    </row>
    <row r="2726">
      <c r="A2726" s="6" t="inlineStr">
        <is>
          <t>FY27</t>
        </is>
      </c>
      <c r="B2726" s="6" t="inlineStr">
        <is>
          <t>Jul</t>
        </is>
      </c>
      <c r="C2726" s="6" t="inlineStr">
        <is>
          <t>AP/TS</t>
        </is>
      </c>
      <c r="D2726" s="7" t="inlineStr">
        <is>
          <t>AP07AR2239</t>
        </is>
      </c>
      <c r="E2726" s="7" t="inlineStr">
        <is>
          <t>MARUTI SUZUKI</t>
        </is>
      </c>
      <c r="F2726" s="7" t="inlineStr">
        <is>
          <t>Alto</t>
        </is>
      </c>
      <c r="G2726" s="7" t="inlineStr">
        <is>
          <t>GUTHI RAVI KRISHNA</t>
        </is>
      </c>
      <c r="H2726" s="7" t="inlineStr">
        <is>
          <t>Non-Captive</t>
        </is>
      </c>
      <c r="I2726" s="7" t="inlineStr">
        <is>
          <t>Yarlagadda Sai Phanindra</t>
        </is>
      </c>
      <c r="J2726" s="8" t="n">
        <v>2008</v>
      </c>
      <c r="K2726" s="9" t="n">
        <v>136735</v>
      </c>
      <c r="L2726" s="10" t="n">
        <v>66000</v>
      </c>
      <c r="M2726" s="10" t="n">
        <v>5084.75</v>
      </c>
      <c r="N2726" s="11">
        <f>IF(M2726="","",ROUND(M2726*1.18,2))</f>
        <v/>
      </c>
      <c r="O2726" s="12">
        <f>IF(M2726="","",ROUND(N2726-M2726,2))</f>
        <v/>
      </c>
      <c r="P2726" s="13">
        <f>IF(AND(A2726&lt;&gt;"",B2726&lt;&gt;""), A2726&amp;" · "&amp;B2726, "")</f>
        <v/>
      </c>
    </row>
    <row r="2727">
      <c r="A2727" s="6" t="inlineStr">
        <is>
          <t>FY27</t>
        </is>
      </c>
      <c r="B2727" s="6" t="inlineStr">
        <is>
          <t>Jul</t>
        </is>
      </c>
      <c r="C2727" s="6" t="inlineStr">
        <is>
          <t>AP/TS</t>
        </is>
      </c>
      <c r="D2727" s="7" t="inlineStr">
        <is>
          <t>AP07CY2366</t>
        </is>
      </c>
      <c r="E2727" s="7" t="inlineStr">
        <is>
          <t>HYUNDAI</t>
        </is>
      </c>
      <c r="F2727" s="7" t="inlineStr">
        <is>
          <t>Grand i10</t>
        </is>
      </c>
      <c r="G2727" s="7" t="inlineStr">
        <is>
          <t>EXCHANGE</t>
        </is>
      </c>
      <c r="H2727" s="7" t="inlineStr">
        <is>
          <t>Captive</t>
        </is>
      </c>
      <c r="I2727" s="7" t="inlineStr">
        <is>
          <t>Devarakonda Siva Durga Prasad</t>
        </is>
      </c>
      <c r="J2727" s="8" t="n">
        <v>2016</v>
      </c>
      <c r="K2727" s="9" t="n">
        <v>61438</v>
      </c>
      <c r="L2727" s="10" t="n">
        <v>258000</v>
      </c>
      <c r="M2727" s="10" t="n">
        <v>6779.66</v>
      </c>
      <c r="N2727" s="11">
        <f>IF(M2727="","",ROUND(M2727*1.18,2))</f>
        <v/>
      </c>
      <c r="O2727" s="12">
        <f>IF(M2727="","",ROUND(N2727-M2727,2))</f>
        <v/>
      </c>
      <c r="P2727" s="13">
        <f>IF(AND(A2727&lt;&gt;"",B2727&lt;&gt;""), A2727&amp;" · "&amp;B2727, "")</f>
        <v/>
      </c>
    </row>
    <row r="2728">
      <c r="A2728" s="6" t="inlineStr">
        <is>
          <t>FY27</t>
        </is>
      </c>
      <c r="B2728" s="6" t="inlineStr">
        <is>
          <t>Jul</t>
        </is>
      </c>
      <c r="C2728" s="6" t="inlineStr">
        <is>
          <t>AP/TS</t>
        </is>
      </c>
      <c r="D2728" s="7" t="inlineStr">
        <is>
          <t>AP07DD2939</t>
        </is>
      </c>
      <c r="E2728" s="7" t="inlineStr">
        <is>
          <t>HONDA</t>
        </is>
      </c>
      <c r="F2728" s="7" t="inlineStr">
        <is>
          <t>Brio</t>
        </is>
      </c>
      <c r="G2728" s="7" t="inlineStr">
        <is>
          <t>MOHAMMED GOUSE BASHA</t>
        </is>
      </c>
      <c r="H2728" s="7" t="inlineStr">
        <is>
          <t>Non-Captive</t>
        </is>
      </c>
      <c r="I2728" s="7" t="inlineStr">
        <is>
          <t>Guthi Ravi Krishna</t>
        </is>
      </c>
      <c r="J2728" s="8" t="n">
        <v>2016</v>
      </c>
      <c r="K2728" s="9" t="n">
        <v>115882</v>
      </c>
      <c r="L2728" s="10" t="n">
        <v>258000</v>
      </c>
      <c r="M2728" s="10" t="n">
        <v>6779.66</v>
      </c>
      <c r="N2728" s="11">
        <f>IF(M2728="","",ROUND(M2728*1.18,2))</f>
        <v/>
      </c>
      <c r="O2728" s="12">
        <f>IF(M2728="","",ROUND(N2728-M2728,2))</f>
        <v/>
      </c>
      <c r="P2728" s="13">
        <f>IF(AND(A2728&lt;&gt;"",B2728&lt;&gt;""), A2728&amp;" · "&amp;B2728, "")</f>
        <v/>
      </c>
    </row>
    <row r="2729">
      <c r="A2729" s="6" t="inlineStr">
        <is>
          <t>FY27</t>
        </is>
      </c>
      <c r="B2729" s="6" t="inlineStr">
        <is>
          <t>Jul</t>
        </is>
      </c>
      <c r="C2729" s="6" t="inlineStr">
        <is>
          <t>AP/TS</t>
        </is>
      </c>
      <c r="D2729" s="7" t="inlineStr">
        <is>
          <t>AP09BR9891</t>
        </is>
      </c>
      <c r="E2729" s="7" t="inlineStr">
        <is>
          <t>HONDA</t>
        </is>
      </c>
      <c r="F2729" s="7" t="inlineStr">
        <is>
          <t>City</t>
        </is>
      </c>
      <c r="G2729" s="7" t="inlineStr">
        <is>
          <t>PRABJYOTH SINGH WASU</t>
        </is>
      </c>
      <c r="H2729" s="7" t="inlineStr">
        <is>
          <t>Non-Captive</t>
        </is>
      </c>
      <c r="I2729" s="7" t="inlineStr">
        <is>
          <t>Ramesh Palley</t>
        </is>
      </c>
      <c r="J2729" s="8" t="n">
        <v>2008</v>
      </c>
      <c r="K2729" s="9" t="n">
        <v>146767</v>
      </c>
      <c r="L2729" s="10" t="n">
        <v>96000</v>
      </c>
      <c r="M2729" s="10" t="n">
        <v>5084.75</v>
      </c>
      <c r="N2729" s="11">
        <f>IF(M2729="","",ROUND(M2729*1.18,2))</f>
        <v/>
      </c>
      <c r="O2729" s="12">
        <f>IF(M2729="","",ROUND(N2729-M2729,2))</f>
        <v/>
      </c>
      <c r="P2729" s="13">
        <f>IF(AND(A2729&lt;&gt;"",B2729&lt;&gt;""), A2729&amp;" · "&amp;B2729, "")</f>
        <v/>
      </c>
    </row>
    <row r="2730">
      <c r="A2730" s="6" t="inlineStr">
        <is>
          <t>FY27</t>
        </is>
      </c>
      <c r="B2730" s="6" t="inlineStr">
        <is>
          <t>Jul</t>
        </is>
      </c>
      <c r="C2730" s="6" t="inlineStr">
        <is>
          <t>AP/TS</t>
        </is>
      </c>
      <c r="D2730" s="7" t="inlineStr">
        <is>
          <t>AP09CC9090</t>
        </is>
      </c>
      <c r="E2730" s="7" t="inlineStr">
        <is>
          <t>HONDA</t>
        </is>
      </c>
      <c r="F2730" s="7" t="inlineStr">
        <is>
          <t>Accord</t>
        </is>
      </c>
      <c r="G2730" s="7" t="inlineStr">
        <is>
          <t>BUKYA SANTHOSH NAIK</t>
        </is>
      </c>
      <c r="H2730" s="7" t="inlineStr">
        <is>
          <t>Non-Captive</t>
        </is>
      </c>
      <c r="I2730" s="7" t="inlineStr">
        <is>
          <t>K Surendra Reddy (KSR Enterprises</t>
        </is>
      </c>
      <c r="J2730" s="8" t="n">
        <v>2011</v>
      </c>
      <c r="K2730" s="9" t="n">
        <v>90286</v>
      </c>
      <c r="L2730" s="10" t="n">
        <v>207500</v>
      </c>
      <c r="M2730" s="10" t="n">
        <v>6355.93</v>
      </c>
      <c r="N2730" s="11">
        <f>IF(M2730="","",ROUND(M2730*1.18,2))</f>
        <v/>
      </c>
      <c r="O2730" s="12">
        <f>IF(M2730="","",ROUND(N2730-M2730,2))</f>
        <v/>
      </c>
      <c r="P2730" s="13">
        <f>IF(AND(A2730&lt;&gt;"",B2730&lt;&gt;""), A2730&amp;" · "&amp;B2730, "")</f>
        <v/>
      </c>
    </row>
    <row r="2731">
      <c r="A2731" s="6" t="inlineStr">
        <is>
          <t>FY27</t>
        </is>
      </c>
      <c r="B2731" s="6" t="inlineStr">
        <is>
          <t>Jul</t>
        </is>
      </c>
      <c r="C2731" s="6" t="inlineStr">
        <is>
          <t>AP/TS</t>
        </is>
      </c>
      <c r="D2731" s="7" t="inlineStr">
        <is>
          <t>AP09CK2300</t>
        </is>
      </c>
      <c r="E2731" s="7" t="inlineStr">
        <is>
          <t>HONDA</t>
        </is>
      </c>
      <c r="F2731" s="7" t="inlineStr">
        <is>
          <t>City</t>
        </is>
      </c>
      <c r="G2731" s="7" t="inlineStr">
        <is>
          <t>PUNEET GUPTA</t>
        </is>
      </c>
      <c r="H2731" s="7" t="inlineStr">
        <is>
          <t>Non-Captive</t>
        </is>
      </c>
      <c r="I2731" s="7" t="inlineStr">
        <is>
          <t>Koppulapelli Anand Goud (Anand Cars</t>
        </is>
      </c>
      <c r="J2731" s="8" t="n">
        <v>2012</v>
      </c>
      <c r="K2731" s="9" t="n">
        <v>173125</v>
      </c>
      <c r="L2731" s="10" t="n">
        <v>180000</v>
      </c>
      <c r="M2731" s="10" t="n">
        <v>5932.2</v>
      </c>
      <c r="N2731" s="11">
        <f>IF(M2731="","",ROUND(M2731*1.18,2))</f>
        <v/>
      </c>
      <c r="O2731" s="12">
        <f>IF(M2731="","",ROUND(N2731-M2731,2))</f>
        <v/>
      </c>
      <c r="P2731" s="13">
        <f>IF(AND(A2731&lt;&gt;"",B2731&lt;&gt;""), A2731&amp;" · "&amp;B2731, "")</f>
        <v/>
      </c>
    </row>
    <row r="2732">
      <c r="A2732" s="6" t="inlineStr">
        <is>
          <t>FY27</t>
        </is>
      </c>
      <c r="B2732" s="6" t="inlineStr">
        <is>
          <t>Jul</t>
        </is>
      </c>
      <c r="C2732" s="6" t="inlineStr">
        <is>
          <t>AP/TS</t>
        </is>
      </c>
      <c r="D2732" s="7" t="inlineStr">
        <is>
          <t>AP09CR3003</t>
        </is>
      </c>
      <c r="E2732" s="7" t="inlineStr">
        <is>
          <t>MAHINDRA</t>
        </is>
      </c>
      <c r="F2732" s="7" t="inlineStr">
        <is>
          <t>XUV500</t>
        </is>
      </c>
      <c r="G2732" s="7" t="inlineStr">
        <is>
          <t>PUNEET GUPTA</t>
        </is>
      </c>
      <c r="H2732" s="7" t="inlineStr">
        <is>
          <t>Non-Captive</t>
        </is>
      </c>
      <c r="I2732" s="7" t="inlineStr">
        <is>
          <t>Koppulapelli Anand Goud (Anand Cars</t>
        </is>
      </c>
      <c r="J2732" s="8" t="n">
        <v>2013</v>
      </c>
      <c r="K2732" s="9" t="n">
        <v>160986</v>
      </c>
      <c r="L2732" s="10" t="n">
        <v>358000</v>
      </c>
      <c r="M2732" s="10" t="n">
        <v>6779.66</v>
      </c>
      <c r="N2732" s="11">
        <f>IF(M2732="","",ROUND(M2732*1.18,2))</f>
        <v/>
      </c>
      <c r="O2732" s="12">
        <f>IF(M2732="","",ROUND(N2732-M2732,2))</f>
        <v/>
      </c>
      <c r="P2732" s="13">
        <f>IF(AND(A2732&lt;&gt;"",B2732&lt;&gt;""), A2732&amp;" · "&amp;B2732, "")</f>
        <v/>
      </c>
    </row>
    <row r="2733">
      <c r="A2733" s="6" t="inlineStr">
        <is>
          <t>FY27</t>
        </is>
      </c>
      <c r="B2733" s="6" t="inlineStr">
        <is>
          <t>Jul</t>
        </is>
      </c>
      <c r="C2733" s="6" t="inlineStr">
        <is>
          <t>AP/TS</t>
        </is>
      </c>
      <c r="D2733" s="7" t="inlineStr">
        <is>
          <t>AP09CW6770</t>
        </is>
      </c>
      <c r="E2733" s="7" t="inlineStr">
        <is>
          <t>MARUTI SUZUKI</t>
        </is>
      </c>
      <c r="F2733" s="7" t="inlineStr">
        <is>
          <t>Dzire</t>
        </is>
      </c>
      <c r="G2733" s="7" t="inlineStr">
        <is>
          <t>PRABJYOTH SINGH WASU</t>
        </is>
      </c>
      <c r="H2733" s="7" t="inlineStr">
        <is>
          <t>Non-Captive</t>
        </is>
      </c>
      <c r="I2733" s="7" t="inlineStr">
        <is>
          <t>Ramesh Palley</t>
        </is>
      </c>
      <c r="J2733" s="8" t="n">
        <v>2014</v>
      </c>
      <c r="K2733" s="9" t="n">
        <v>162850</v>
      </c>
      <c r="L2733" s="10" t="n">
        <v>136000</v>
      </c>
      <c r="M2733" s="10" t="n">
        <v>5084.75</v>
      </c>
      <c r="N2733" s="11">
        <f>IF(M2733="","",ROUND(M2733*1.18,2))</f>
        <v/>
      </c>
      <c r="O2733" s="12">
        <f>IF(M2733="","",ROUND(N2733-M2733,2))</f>
        <v/>
      </c>
      <c r="P2733" s="13">
        <f>IF(AND(A2733&lt;&gt;"",B2733&lt;&gt;""), A2733&amp;" · "&amp;B2733, "")</f>
        <v/>
      </c>
    </row>
    <row r="2734">
      <c r="A2734" s="6" t="inlineStr">
        <is>
          <t>FY27</t>
        </is>
      </c>
      <c r="B2734" s="6" t="inlineStr">
        <is>
          <t>Jul</t>
        </is>
      </c>
      <c r="C2734" s="6" t="inlineStr">
        <is>
          <t>AP/TS</t>
        </is>
      </c>
      <c r="D2734" s="7" t="inlineStr">
        <is>
          <t>AP10AY0023</t>
        </is>
      </c>
      <c r="E2734" s="7" t="inlineStr">
        <is>
          <t>TOYOTA</t>
        </is>
      </c>
      <c r="F2734" s="7" t="inlineStr">
        <is>
          <t>Corolla Altis</t>
        </is>
      </c>
      <c r="G2734" s="7" t="inlineStr">
        <is>
          <t>PRABJYOTH SINGH WASU</t>
        </is>
      </c>
      <c r="H2734" s="7" t="inlineStr">
        <is>
          <t>Non-Captive</t>
        </is>
      </c>
      <c r="I2734" s="7" t="inlineStr">
        <is>
          <t>Abdul Aziz</t>
        </is>
      </c>
      <c r="J2734" s="8" t="n">
        <v>2011</v>
      </c>
      <c r="K2734" s="9" t="n">
        <v>121016</v>
      </c>
      <c r="L2734" s="10" t="n">
        <v>90000</v>
      </c>
      <c r="M2734" s="10" t="n">
        <v>4237.29</v>
      </c>
      <c r="N2734" s="11">
        <f>IF(M2734="","",ROUND(M2734*1.18,2))</f>
        <v/>
      </c>
      <c r="O2734" s="12">
        <f>IF(M2734="","",ROUND(N2734-M2734,2))</f>
        <v/>
      </c>
      <c r="P2734" s="13">
        <f>IF(AND(A2734&lt;&gt;"",B2734&lt;&gt;""), A2734&amp;" · "&amp;B2734, "")</f>
        <v/>
      </c>
    </row>
    <row r="2735">
      <c r="A2735" s="6" t="inlineStr">
        <is>
          <t>FY27</t>
        </is>
      </c>
      <c r="B2735" s="6" t="inlineStr">
        <is>
          <t>Jul</t>
        </is>
      </c>
      <c r="C2735" s="6" t="inlineStr">
        <is>
          <t>AP/TS</t>
        </is>
      </c>
      <c r="D2735" s="7" t="inlineStr">
        <is>
          <t>AP10BF9402</t>
        </is>
      </c>
      <c r="E2735" s="7" t="inlineStr">
        <is>
          <t>HONDA</t>
        </is>
      </c>
      <c r="F2735" s="7" t="inlineStr">
        <is>
          <t>Amaze</t>
        </is>
      </c>
      <c r="G2735" s="7" t="inlineStr">
        <is>
          <t>EXCHANGE</t>
        </is>
      </c>
      <c r="H2735" s="7" t="inlineStr">
        <is>
          <t>Captive</t>
        </is>
      </c>
      <c r="I2735" s="7" t="inlineStr">
        <is>
          <t>Koppulapelli Anand Goud (Anand Cars</t>
        </is>
      </c>
      <c r="J2735" s="8" t="n">
        <v>2014</v>
      </c>
      <c r="K2735" s="9" t="n">
        <v>85452</v>
      </c>
      <c r="L2735" s="10" t="n">
        <v>187000</v>
      </c>
      <c r="M2735" s="10" t="n">
        <v>5932.2</v>
      </c>
      <c r="N2735" s="11">
        <f>IF(M2735="","",ROUND(M2735*1.18,2))</f>
        <v/>
      </c>
      <c r="O2735" s="12">
        <f>IF(M2735="","",ROUND(N2735-M2735,2))</f>
        <v/>
      </c>
      <c r="P2735" s="13">
        <f>IF(AND(A2735&lt;&gt;"",B2735&lt;&gt;""), A2735&amp;" · "&amp;B2735, "")</f>
        <v/>
      </c>
    </row>
    <row r="2736">
      <c r="A2736" s="6" t="inlineStr">
        <is>
          <t>FY27</t>
        </is>
      </c>
      <c r="B2736" s="6" t="inlineStr">
        <is>
          <t>Jul</t>
        </is>
      </c>
      <c r="C2736" s="6" t="inlineStr">
        <is>
          <t>AP/TS</t>
        </is>
      </c>
      <c r="D2736" s="7" t="inlineStr">
        <is>
          <t>AP11AP6006</t>
        </is>
      </c>
      <c r="E2736" s="7" t="inlineStr">
        <is>
          <t>FORD</t>
        </is>
      </c>
      <c r="F2736" s="7" t="inlineStr">
        <is>
          <t>Figo</t>
        </is>
      </c>
      <c r="G2736" s="7" t="inlineStr">
        <is>
          <t>PRABJYOTH SINGH WASU</t>
        </is>
      </c>
      <c r="H2736" s="7" t="inlineStr">
        <is>
          <t>Non-Captive</t>
        </is>
      </c>
      <c r="I2736" s="7" t="inlineStr">
        <is>
          <t>Abdul Aziz</t>
        </is>
      </c>
      <c r="J2736" s="8" t="n">
        <v>2012</v>
      </c>
      <c r="K2736" s="9" t="n">
        <v>113050</v>
      </c>
      <c r="L2736" s="10" t="n">
        <v>90000</v>
      </c>
      <c r="M2736" s="10" t="n">
        <v>4237.29</v>
      </c>
      <c r="N2736" s="11">
        <f>IF(M2736="","",ROUND(M2736*1.18,2))</f>
        <v/>
      </c>
      <c r="O2736" s="12">
        <f>IF(M2736="","",ROUND(N2736-M2736,2))</f>
        <v/>
      </c>
      <c r="P2736" s="13">
        <f>IF(AND(A2736&lt;&gt;"",B2736&lt;&gt;""), A2736&amp;" · "&amp;B2736, "")</f>
        <v/>
      </c>
    </row>
    <row r="2737">
      <c r="A2737" s="6" t="inlineStr">
        <is>
          <t>FY27</t>
        </is>
      </c>
      <c r="B2737" s="6" t="inlineStr">
        <is>
          <t>Jul</t>
        </is>
      </c>
      <c r="C2737" s="6" t="inlineStr">
        <is>
          <t>AP/TS</t>
        </is>
      </c>
      <c r="D2737" s="7" t="inlineStr">
        <is>
          <t>AP15AE8341</t>
        </is>
      </c>
      <c r="E2737" s="7" t="inlineStr">
        <is>
          <t>HYUNDAI</t>
        </is>
      </c>
      <c r="F2737" s="7" t="inlineStr">
        <is>
          <t>Santro</t>
        </is>
      </c>
      <c r="G2737" s="7" t="inlineStr">
        <is>
          <t>GUTHI RAVI KRISHNA</t>
        </is>
      </c>
      <c r="H2737" s="7" t="inlineStr">
        <is>
          <t>Non-Captive</t>
        </is>
      </c>
      <c r="I2737" s="7" t="inlineStr">
        <is>
          <t>Mohammed Gouse Basha</t>
        </is>
      </c>
      <c r="J2737" s="8" t="n">
        <v>2007</v>
      </c>
      <c r="K2737" s="9" t="n">
        <v>130010</v>
      </c>
      <c r="L2737" s="10" t="n">
        <v>55000</v>
      </c>
      <c r="M2737" s="10" t="n">
        <v>4237.29</v>
      </c>
      <c r="N2737" s="11">
        <f>IF(M2737="","",ROUND(M2737*1.18,2))</f>
        <v/>
      </c>
      <c r="O2737" s="12">
        <f>IF(M2737="","",ROUND(N2737-M2737,2))</f>
        <v/>
      </c>
      <c r="P2737" s="13">
        <f>IF(AND(A2737&lt;&gt;"",B2737&lt;&gt;""), A2737&amp;" · "&amp;B2737, "")</f>
        <v/>
      </c>
    </row>
    <row r="2738">
      <c r="A2738" s="6" t="inlineStr">
        <is>
          <t>FY27</t>
        </is>
      </c>
      <c r="B2738" s="6" t="inlineStr">
        <is>
          <t>Jul</t>
        </is>
      </c>
      <c r="C2738" s="6" t="inlineStr">
        <is>
          <t>AP/TS</t>
        </is>
      </c>
      <c r="D2738" s="7" t="inlineStr">
        <is>
          <t>AP15BE4757</t>
        </is>
      </c>
      <c r="E2738" s="7" t="inlineStr">
        <is>
          <t>HYUNDAI</t>
        </is>
      </c>
      <c r="F2738" s="7" t="inlineStr">
        <is>
          <t>i20</t>
        </is>
      </c>
      <c r="G2738" s="7" t="inlineStr">
        <is>
          <t>TENALI SRINIVAS</t>
        </is>
      </c>
      <c r="H2738" s="7" t="inlineStr">
        <is>
          <t>Non-Captive</t>
        </is>
      </c>
      <c r="I2738" s="7" t="inlineStr">
        <is>
          <t>Shaik Salim</t>
        </is>
      </c>
      <c r="J2738" s="8" t="n">
        <v>2012</v>
      </c>
      <c r="K2738" s="9" t="n">
        <v>89420</v>
      </c>
      <c r="L2738" s="10" t="n">
        <v>126500</v>
      </c>
      <c r="M2738" s="10" t="n">
        <v>5508.47</v>
      </c>
      <c r="N2738" s="11">
        <f>IF(M2738="","",ROUND(M2738*1.18,2))</f>
        <v/>
      </c>
      <c r="O2738" s="12">
        <f>IF(M2738="","",ROUND(N2738-M2738,2))</f>
        <v/>
      </c>
      <c r="P2738" s="13">
        <f>IF(AND(A2738&lt;&gt;"",B2738&lt;&gt;""), A2738&amp;" · "&amp;B2738, "")</f>
        <v/>
      </c>
    </row>
    <row r="2739">
      <c r="A2739" s="6" t="inlineStr">
        <is>
          <t>FY27</t>
        </is>
      </c>
      <c r="B2739" s="6" t="inlineStr">
        <is>
          <t>Jul</t>
        </is>
      </c>
      <c r="C2739" s="6" t="inlineStr">
        <is>
          <t>AP/TS</t>
        </is>
      </c>
      <c r="D2739" s="7" t="inlineStr">
        <is>
          <t>AP16AP4099</t>
        </is>
      </c>
      <c r="E2739" s="7" t="inlineStr">
        <is>
          <t>MARUTI SUZUKI</t>
        </is>
      </c>
      <c r="F2739" s="7" t="inlineStr">
        <is>
          <t>Alto</t>
        </is>
      </c>
      <c r="G2739" s="7" t="inlineStr">
        <is>
          <t>TENALI SRINIVAS</t>
        </is>
      </c>
      <c r="H2739" s="7" t="inlineStr">
        <is>
          <t>Non-Captive</t>
        </is>
      </c>
      <c r="I2739" s="7" t="inlineStr">
        <is>
          <t>Shaik Naseer Basha</t>
        </is>
      </c>
      <c r="J2739" s="8" t="n">
        <v>2006</v>
      </c>
      <c r="K2739" s="9" t="n">
        <v>130023</v>
      </c>
      <c r="L2739" s="10" t="n">
        <v>66500</v>
      </c>
      <c r="M2739" s="10" t="n">
        <v>5508.47</v>
      </c>
      <c r="N2739" s="11">
        <f>IF(M2739="","",ROUND(M2739*1.18,2))</f>
        <v/>
      </c>
      <c r="O2739" s="12">
        <f>IF(M2739="","",ROUND(N2739-M2739,2))</f>
        <v/>
      </c>
      <c r="P2739" s="13">
        <f>IF(AND(A2739&lt;&gt;"",B2739&lt;&gt;""), A2739&amp;" · "&amp;B2739, "")</f>
        <v/>
      </c>
    </row>
    <row r="2740">
      <c r="A2740" s="6" t="inlineStr">
        <is>
          <t>FY27</t>
        </is>
      </c>
      <c r="B2740" s="6" t="inlineStr">
        <is>
          <t>Jul</t>
        </is>
      </c>
      <c r="C2740" s="6" t="inlineStr">
        <is>
          <t>AP/TS</t>
        </is>
      </c>
      <c r="D2740" s="7" t="inlineStr">
        <is>
          <t>AP16AX6129</t>
        </is>
      </c>
      <c r="E2740" s="7" t="inlineStr">
        <is>
          <t>HONDA</t>
        </is>
      </c>
      <c r="F2740" s="7" t="inlineStr">
        <is>
          <t>City</t>
        </is>
      </c>
      <c r="G2740" s="7" t="inlineStr">
        <is>
          <t>TENALI SRINIVAS</t>
        </is>
      </c>
      <c r="H2740" s="7" t="inlineStr">
        <is>
          <t>Non-Captive</t>
        </is>
      </c>
      <c r="I2740" s="7" t="inlineStr">
        <is>
          <t>Sireesha Kodali</t>
        </is>
      </c>
      <c r="J2740" s="8" t="n">
        <v>2013</v>
      </c>
      <c r="K2740" s="9" t="n">
        <v>147623</v>
      </c>
      <c r="L2740" s="10" t="n">
        <v>237500</v>
      </c>
      <c r="M2740" s="10" t="n">
        <v>6355.93</v>
      </c>
      <c r="N2740" s="11">
        <f>IF(M2740="","",ROUND(M2740*1.18,2))</f>
        <v/>
      </c>
      <c r="O2740" s="12">
        <f>IF(M2740="","",ROUND(N2740-M2740,2))</f>
        <v/>
      </c>
      <c r="P2740" s="13">
        <f>IF(AND(A2740&lt;&gt;"",B2740&lt;&gt;""), A2740&amp;" · "&amp;B2740, "")</f>
        <v/>
      </c>
    </row>
    <row r="2741">
      <c r="A2741" s="6" t="inlineStr">
        <is>
          <t>FY27</t>
        </is>
      </c>
      <c r="B2741" s="6" t="inlineStr">
        <is>
          <t>Jul</t>
        </is>
      </c>
      <c r="C2741" s="6" t="inlineStr">
        <is>
          <t>AP/TS</t>
        </is>
      </c>
      <c r="D2741" s="7" t="inlineStr">
        <is>
          <t>AP16BQ5232</t>
        </is>
      </c>
      <c r="E2741" s="7" t="inlineStr">
        <is>
          <t>HYUNDAI</t>
        </is>
      </c>
      <c r="F2741" s="7" t="inlineStr">
        <is>
          <t>Santro</t>
        </is>
      </c>
      <c r="G2741" s="7" t="inlineStr">
        <is>
          <t>TENALI SRINIVAS</t>
        </is>
      </c>
      <c r="H2741" s="7" t="inlineStr">
        <is>
          <t>Non-Captive</t>
        </is>
      </c>
      <c r="I2741" s="7" t="inlineStr">
        <is>
          <t>Guthi Ravi Krishna</t>
        </is>
      </c>
      <c r="J2741" s="8" t="n">
        <v>2010</v>
      </c>
      <c r="K2741" s="9" t="n">
        <v>88320</v>
      </c>
      <c r="L2741" s="10" t="n">
        <v>66000</v>
      </c>
      <c r="M2741" s="10" t="n">
        <v>5084.75</v>
      </c>
      <c r="N2741" s="11">
        <f>IF(M2741="","",ROUND(M2741*1.18,2))</f>
        <v/>
      </c>
      <c r="O2741" s="12">
        <f>IF(M2741="","",ROUND(N2741-M2741,2))</f>
        <v/>
      </c>
      <c r="P2741" s="13">
        <f>IF(AND(A2741&lt;&gt;"",B2741&lt;&gt;""), A2741&amp;" · "&amp;B2741, "")</f>
        <v/>
      </c>
    </row>
    <row r="2742">
      <c r="A2742" s="6" t="inlineStr">
        <is>
          <t>FY27</t>
        </is>
      </c>
      <c r="B2742" s="6" t="inlineStr">
        <is>
          <t>Jul</t>
        </is>
      </c>
      <c r="C2742" s="6" t="inlineStr">
        <is>
          <t>AP/TS</t>
        </is>
      </c>
      <c r="D2742" s="7" t="inlineStr">
        <is>
          <t>AP16BU7806</t>
        </is>
      </c>
      <c r="E2742" s="7" t="inlineStr">
        <is>
          <t>HYUNDAI</t>
        </is>
      </c>
      <c r="F2742" s="7" t="inlineStr">
        <is>
          <t>Wagon R</t>
        </is>
      </c>
      <c r="G2742" s="7" t="inlineStr">
        <is>
          <t>MOHAMMED GOUSE BASHA</t>
        </is>
      </c>
      <c r="H2742" s="7" t="inlineStr">
        <is>
          <t>Non-Captive</t>
        </is>
      </c>
      <c r="I2742" s="7" t="inlineStr">
        <is>
          <t>Kanakaprasad Koutharapu</t>
        </is>
      </c>
      <c r="J2742" s="8" t="n">
        <v>2010</v>
      </c>
      <c r="K2742" s="9" t="n">
        <v>121061</v>
      </c>
      <c r="L2742" s="10" t="n">
        <v>75000</v>
      </c>
      <c r="M2742" s="10" t="n">
        <v>4237.29</v>
      </c>
      <c r="N2742" s="11">
        <f>IF(M2742="","",ROUND(M2742*1.18,2))</f>
        <v/>
      </c>
      <c r="O2742" s="12">
        <f>IF(M2742="","",ROUND(N2742-M2742,2))</f>
        <v/>
      </c>
      <c r="P2742" s="13">
        <f>IF(AND(A2742&lt;&gt;"",B2742&lt;&gt;""), A2742&amp;" · "&amp;B2742, "")</f>
        <v/>
      </c>
    </row>
    <row r="2743">
      <c r="A2743" s="6" t="inlineStr">
        <is>
          <t>FY27</t>
        </is>
      </c>
      <c r="B2743" s="6" t="inlineStr">
        <is>
          <t>Jul</t>
        </is>
      </c>
      <c r="C2743" s="6" t="inlineStr">
        <is>
          <t>AP/TS</t>
        </is>
      </c>
      <c r="D2743" s="7" t="inlineStr">
        <is>
          <t>AP16CJ5564</t>
        </is>
      </c>
      <c r="E2743" s="7" t="inlineStr">
        <is>
          <t>MARUTI SUZUKI</t>
        </is>
      </c>
      <c r="F2743" s="7" t="inlineStr">
        <is>
          <t>Dzire</t>
        </is>
      </c>
      <c r="G2743" s="7" t="inlineStr">
        <is>
          <t>EXCHANGE</t>
        </is>
      </c>
      <c r="H2743" s="7" t="inlineStr">
        <is>
          <t>Captive</t>
        </is>
      </c>
      <c r="I2743" s="7" t="inlineStr">
        <is>
          <t>Devarapalli Avinash</t>
        </is>
      </c>
      <c r="J2743" s="8" t="n">
        <v>2013</v>
      </c>
      <c r="K2743" s="9" t="n">
        <v>126013</v>
      </c>
      <c r="L2743" s="10" t="n">
        <v>210000</v>
      </c>
      <c r="M2743" s="10" t="n">
        <v>8474.58</v>
      </c>
      <c r="N2743" s="11">
        <f>IF(M2743="","",ROUND(M2743*1.18,2))</f>
        <v/>
      </c>
      <c r="O2743" s="12">
        <f>IF(M2743="","",ROUND(N2743-M2743,2))</f>
        <v/>
      </c>
      <c r="P2743" s="13">
        <f>IF(AND(A2743&lt;&gt;"",B2743&lt;&gt;""), A2743&amp;" · "&amp;B2743, "")</f>
        <v/>
      </c>
    </row>
    <row r="2744">
      <c r="A2744" s="6" t="inlineStr">
        <is>
          <t>FY27</t>
        </is>
      </c>
      <c r="B2744" s="6" t="inlineStr">
        <is>
          <t>Jul</t>
        </is>
      </c>
      <c r="C2744" s="6" t="inlineStr">
        <is>
          <t>AP/TS</t>
        </is>
      </c>
      <c r="D2744" s="7" t="inlineStr">
        <is>
          <t>AP16CL3969</t>
        </is>
      </c>
      <c r="E2744" s="7" t="inlineStr">
        <is>
          <t>HONDA</t>
        </is>
      </c>
      <c r="F2744" s="7" t="inlineStr">
        <is>
          <t>City</t>
        </is>
      </c>
      <c r="G2744" s="7" t="inlineStr">
        <is>
          <t>GUTHI RAVI KRISHNA</t>
        </is>
      </c>
      <c r="H2744" s="7" t="inlineStr">
        <is>
          <t>Non-Captive</t>
        </is>
      </c>
      <c r="I2744" s="7" t="inlineStr">
        <is>
          <t>Suresh Ginjupalli</t>
        </is>
      </c>
      <c r="J2744" s="8" t="n">
        <v>2013</v>
      </c>
      <c r="K2744" s="9" t="n">
        <v>109041</v>
      </c>
      <c r="L2744" s="10" t="n">
        <v>207000</v>
      </c>
      <c r="M2744" s="10" t="n">
        <v>5932.2</v>
      </c>
      <c r="N2744" s="11">
        <f>IF(M2744="","",ROUND(M2744*1.18,2))</f>
        <v/>
      </c>
      <c r="O2744" s="12">
        <f>IF(M2744="","",ROUND(N2744-M2744,2))</f>
        <v/>
      </c>
      <c r="P2744" s="13">
        <f>IF(AND(A2744&lt;&gt;"",B2744&lt;&gt;""), A2744&amp;" · "&amp;B2744, "")</f>
        <v/>
      </c>
    </row>
    <row r="2745">
      <c r="A2745" s="6" t="inlineStr">
        <is>
          <t>FY27</t>
        </is>
      </c>
      <c r="B2745" s="6" t="inlineStr">
        <is>
          <t>Jul</t>
        </is>
      </c>
      <c r="C2745" s="6" t="inlineStr">
        <is>
          <t>AP/TS</t>
        </is>
      </c>
      <c r="D2745" s="7" t="inlineStr">
        <is>
          <t>AP16CU6588</t>
        </is>
      </c>
      <c r="E2745" s="7" t="inlineStr">
        <is>
          <t>HONDA</t>
        </is>
      </c>
      <c r="F2745" s="7" t="inlineStr">
        <is>
          <t>Mobilio</t>
        </is>
      </c>
      <c r="G2745" s="7" t="inlineStr">
        <is>
          <t>GOPI NAGARAJU</t>
        </is>
      </c>
      <c r="H2745" s="7" t="inlineStr">
        <is>
          <t>Non-Captive</t>
        </is>
      </c>
      <c r="I2745" s="7" t="inlineStr">
        <is>
          <t>Tenali Srinivas</t>
        </is>
      </c>
      <c r="J2745" s="8" t="n">
        <v>2014</v>
      </c>
      <c r="K2745" s="9" t="n">
        <v>125263</v>
      </c>
      <c r="L2745" s="10" t="n">
        <v>327500</v>
      </c>
      <c r="M2745" s="10" t="n">
        <v>6355.93</v>
      </c>
      <c r="N2745" s="11">
        <f>IF(M2745="","",ROUND(M2745*1.18,2))</f>
        <v/>
      </c>
      <c r="O2745" s="12">
        <f>IF(M2745="","",ROUND(N2745-M2745,2))</f>
        <v/>
      </c>
      <c r="P2745" s="13">
        <f>IF(AND(A2745&lt;&gt;"",B2745&lt;&gt;""), A2745&amp;" · "&amp;B2745, "")</f>
        <v/>
      </c>
    </row>
    <row r="2746">
      <c r="A2746" s="6" t="inlineStr">
        <is>
          <t>FY27</t>
        </is>
      </c>
      <c r="B2746" s="6" t="inlineStr">
        <is>
          <t>Jul</t>
        </is>
      </c>
      <c r="C2746" s="6" t="inlineStr">
        <is>
          <t>AP/TS</t>
        </is>
      </c>
      <c r="D2746" s="7" t="inlineStr">
        <is>
          <t>AP16CW4786</t>
        </is>
      </c>
      <c r="E2746" s="7" t="inlineStr">
        <is>
          <t>HONDA</t>
        </is>
      </c>
      <c r="F2746" s="7" t="inlineStr">
        <is>
          <t>Amaze</t>
        </is>
      </c>
      <c r="G2746" s="7" t="inlineStr">
        <is>
          <t>TENALI SRINIVAS</t>
        </is>
      </c>
      <c r="H2746" s="7" t="inlineStr">
        <is>
          <t>Non-Captive</t>
        </is>
      </c>
      <c r="I2746" s="7" t="inlineStr">
        <is>
          <t>Sireesha Kodali</t>
        </is>
      </c>
      <c r="J2746" s="8" t="n">
        <v>2014</v>
      </c>
      <c r="K2746" s="9" t="n">
        <v>126680</v>
      </c>
      <c r="L2746" s="10" t="n">
        <v>222500</v>
      </c>
      <c r="M2746" s="10" t="n">
        <v>6355.93</v>
      </c>
      <c r="N2746" s="11">
        <f>IF(M2746="","",ROUND(M2746*1.18,2))</f>
        <v/>
      </c>
      <c r="O2746" s="12">
        <f>IF(M2746="","",ROUND(N2746-M2746,2))</f>
        <v/>
      </c>
      <c r="P2746" s="13">
        <f>IF(AND(A2746&lt;&gt;"",B2746&lt;&gt;""), A2746&amp;" · "&amp;B2746, "")</f>
        <v/>
      </c>
    </row>
    <row r="2747">
      <c r="A2747" s="6" t="inlineStr">
        <is>
          <t>FY27</t>
        </is>
      </c>
      <c r="B2747" s="6" t="inlineStr">
        <is>
          <t>Jul</t>
        </is>
      </c>
      <c r="C2747" s="6" t="inlineStr">
        <is>
          <t>AP/TS</t>
        </is>
      </c>
      <c r="D2747" s="7" t="inlineStr">
        <is>
          <t>AP16CX2949</t>
        </is>
      </c>
      <c r="E2747" s="7" t="inlineStr">
        <is>
          <t>HONDA</t>
        </is>
      </c>
      <c r="F2747" s="7" t="inlineStr">
        <is>
          <t>Amaze</t>
        </is>
      </c>
      <c r="G2747" s="7" t="inlineStr">
        <is>
          <t>TENALI SRINIVAS</t>
        </is>
      </c>
      <c r="H2747" s="7" t="inlineStr">
        <is>
          <t>Non-Captive</t>
        </is>
      </c>
      <c r="I2747" s="7" t="inlineStr">
        <is>
          <t>Devarakonda Siva Durga Prasad</t>
        </is>
      </c>
      <c r="J2747" s="8" t="n">
        <v>2015</v>
      </c>
      <c r="K2747" s="9" t="n">
        <v>160452</v>
      </c>
      <c r="L2747" s="10" t="n">
        <v>187000</v>
      </c>
      <c r="M2747" s="10" t="n">
        <v>5932.2</v>
      </c>
      <c r="N2747" s="11">
        <f>IF(M2747="","",ROUND(M2747*1.18,2))</f>
        <v/>
      </c>
      <c r="O2747" s="12">
        <f>IF(M2747="","",ROUND(N2747-M2747,2))</f>
        <v/>
      </c>
      <c r="P2747" s="13">
        <f>IF(AND(A2747&lt;&gt;"",B2747&lt;&gt;""), A2747&amp;" · "&amp;B2747, "")</f>
        <v/>
      </c>
    </row>
    <row r="2748">
      <c r="A2748" s="6" t="inlineStr">
        <is>
          <t>FY27</t>
        </is>
      </c>
      <c r="B2748" s="6" t="inlineStr">
        <is>
          <t>Jul</t>
        </is>
      </c>
      <c r="C2748" s="6" t="inlineStr">
        <is>
          <t>AP/TS</t>
        </is>
      </c>
      <c r="D2748" s="7" t="inlineStr">
        <is>
          <t>AP16CZ1242</t>
        </is>
      </c>
      <c r="E2748" s="7" t="inlineStr">
        <is>
          <t>HONDA</t>
        </is>
      </c>
      <c r="F2748" s="7" t="inlineStr">
        <is>
          <t>City</t>
        </is>
      </c>
      <c r="G2748" s="7" t="inlineStr">
        <is>
          <t>TENALI SRINIVAS</t>
        </is>
      </c>
      <c r="H2748" s="7" t="inlineStr">
        <is>
          <t>Non-Captive</t>
        </is>
      </c>
      <c r="I2748" s="7" t="inlineStr">
        <is>
          <t>Devarakonda Siva Durga Prasad</t>
        </is>
      </c>
      <c r="J2748" s="8" t="n">
        <v>2014</v>
      </c>
      <c r="K2748" s="9" t="n">
        <v>158253</v>
      </c>
      <c r="L2748" s="10" t="n">
        <v>197000</v>
      </c>
      <c r="M2748" s="10" t="n">
        <v>5932.2</v>
      </c>
      <c r="N2748" s="11">
        <f>IF(M2748="","",ROUND(M2748*1.18,2))</f>
        <v/>
      </c>
      <c r="O2748" s="12">
        <f>IF(M2748="","",ROUND(N2748-M2748,2))</f>
        <v/>
      </c>
      <c r="P2748" s="13">
        <f>IF(AND(A2748&lt;&gt;"",B2748&lt;&gt;""), A2748&amp;" · "&amp;B2748, "")</f>
        <v/>
      </c>
    </row>
    <row r="2749">
      <c r="A2749" s="6" t="inlineStr">
        <is>
          <t>FY27</t>
        </is>
      </c>
      <c r="B2749" s="6" t="inlineStr">
        <is>
          <t>Jul</t>
        </is>
      </c>
      <c r="C2749" s="6" t="inlineStr">
        <is>
          <t>AP/TS</t>
        </is>
      </c>
      <c r="D2749" s="7" t="inlineStr">
        <is>
          <t>AP16DC2538</t>
        </is>
      </c>
      <c r="E2749" s="7" t="inlineStr">
        <is>
          <t>VOLKSWAGEN</t>
        </is>
      </c>
      <c r="F2749" s="7" t="inlineStr">
        <is>
          <t>Vento</t>
        </is>
      </c>
      <c r="G2749" s="7" t="inlineStr">
        <is>
          <t>GOPI NAGARAJU</t>
        </is>
      </c>
      <c r="H2749" s="7" t="inlineStr">
        <is>
          <t>Non-Captive</t>
        </is>
      </c>
      <c r="I2749" s="7" t="inlineStr">
        <is>
          <t>Tenali Srinivas</t>
        </is>
      </c>
      <c r="J2749" s="8" t="n">
        <v>2015</v>
      </c>
      <c r="K2749" s="9" t="n">
        <v>95452</v>
      </c>
      <c r="L2749" s="10" t="n">
        <v>327500</v>
      </c>
      <c r="M2749" s="10" t="n">
        <v>6355.93</v>
      </c>
      <c r="N2749" s="11">
        <f>IF(M2749="","",ROUND(M2749*1.18,2))</f>
        <v/>
      </c>
      <c r="O2749" s="12">
        <f>IF(M2749="","",ROUND(N2749-M2749,2))</f>
        <v/>
      </c>
      <c r="P2749" s="13">
        <f>IF(AND(A2749&lt;&gt;"",B2749&lt;&gt;""), A2749&amp;" · "&amp;B2749, "")</f>
        <v/>
      </c>
    </row>
    <row r="2750">
      <c r="A2750" s="6" t="inlineStr">
        <is>
          <t>FY27</t>
        </is>
      </c>
      <c r="B2750" s="6" t="inlineStr">
        <is>
          <t>Jul</t>
        </is>
      </c>
      <c r="C2750" s="6" t="inlineStr">
        <is>
          <t>AP/TS</t>
        </is>
      </c>
      <c r="D2750" s="7" t="inlineStr">
        <is>
          <t>AP16DF4818</t>
        </is>
      </c>
      <c r="E2750" s="7" t="inlineStr">
        <is>
          <t>HONDA</t>
        </is>
      </c>
      <c r="F2750" s="7" t="inlineStr">
        <is>
          <t>Amaze</t>
        </is>
      </c>
      <c r="G2750" s="7" t="inlineStr">
        <is>
          <t>EXCHANGE</t>
        </is>
      </c>
      <c r="H2750" s="7" t="inlineStr">
        <is>
          <t>Captive</t>
        </is>
      </c>
      <c r="I2750" s="7" t="inlineStr">
        <is>
          <t>Kanakaprasad Koutharapu</t>
        </is>
      </c>
      <c r="J2750" s="8" t="n">
        <v>2015</v>
      </c>
      <c r="K2750" s="9" t="n">
        <v>45175</v>
      </c>
      <c r="L2750" s="10" t="n">
        <v>321000</v>
      </c>
      <c r="M2750" s="10" t="n">
        <v>9322.030000000001</v>
      </c>
      <c r="N2750" s="11">
        <f>IF(M2750="","",ROUND(M2750*1.18,2))</f>
        <v/>
      </c>
      <c r="O2750" s="12">
        <f>IF(M2750="","",ROUND(N2750-M2750,2))</f>
        <v/>
      </c>
      <c r="P2750" s="13">
        <f>IF(AND(A2750&lt;&gt;"",B2750&lt;&gt;""), A2750&amp;" · "&amp;B2750, "")</f>
        <v/>
      </c>
    </row>
    <row r="2751">
      <c r="A2751" s="6" t="inlineStr">
        <is>
          <t>FY27</t>
        </is>
      </c>
      <c r="B2751" s="6" t="inlineStr">
        <is>
          <t>Jul</t>
        </is>
      </c>
      <c r="C2751" s="6" t="inlineStr">
        <is>
          <t>AP/TS</t>
        </is>
      </c>
      <c r="D2751" s="7" t="inlineStr">
        <is>
          <t>AP16DK3323</t>
        </is>
      </c>
      <c r="E2751" s="7" t="inlineStr">
        <is>
          <t>MARUTI SUZUKI</t>
        </is>
      </c>
      <c r="F2751" s="7" t="inlineStr">
        <is>
          <t>Wagon R</t>
        </is>
      </c>
      <c r="G2751" s="7" t="inlineStr">
        <is>
          <t>EXCHANGE</t>
        </is>
      </c>
      <c r="H2751" s="7" t="inlineStr">
        <is>
          <t>Captive</t>
        </is>
      </c>
      <c r="I2751" s="7" t="inlineStr">
        <is>
          <t>Guthi Ravi Krishna</t>
        </is>
      </c>
      <c r="J2751" s="8" t="n">
        <v>2016</v>
      </c>
      <c r="K2751" s="9" t="n">
        <v>78049</v>
      </c>
      <c r="L2751" s="10" t="n">
        <v>236000</v>
      </c>
      <c r="M2751" s="10" t="n">
        <v>8474.58</v>
      </c>
      <c r="N2751" s="11">
        <f>IF(M2751="","",ROUND(M2751*1.18,2))</f>
        <v/>
      </c>
      <c r="O2751" s="12">
        <f>IF(M2751="","",ROUND(N2751-M2751,2))</f>
        <v/>
      </c>
      <c r="P2751" s="13">
        <f>IF(AND(A2751&lt;&gt;"",B2751&lt;&gt;""), A2751&amp;" · "&amp;B2751, "")</f>
        <v/>
      </c>
    </row>
    <row r="2752">
      <c r="A2752" s="6" t="inlineStr">
        <is>
          <t>FY27</t>
        </is>
      </c>
      <c r="B2752" s="6" t="inlineStr">
        <is>
          <t>Jul</t>
        </is>
      </c>
      <c r="C2752" s="6" t="inlineStr">
        <is>
          <t>AP/TS</t>
        </is>
      </c>
      <c r="D2752" s="7" t="inlineStr">
        <is>
          <t>AP16DP0879</t>
        </is>
      </c>
      <c r="E2752" s="7" t="inlineStr">
        <is>
          <t>HONDA</t>
        </is>
      </c>
      <c r="F2752" s="7" t="inlineStr">
        <is>
          <t>Jazz</t>
        </is>
      </c>
      <c r="G2752" s="7" t="inlineStr">
        <is>
          <t>EXCHANGE</t>
        </is>
      </c>
      <c r="H2752" s="7" t="inlineStr">
        <is>
          <t>Captive</t>
        </is>
      </c>
      <c r="I2752" s="7" t="inlineStr">
        <is>
          <t>Mittisila Jeevan Kumar</t>
        </is>
      </c>
      <c r="J2752" s="8" t="n">
        <v>2016</v>
      </c>
      <c r="K2752" s="9" t="n">
        <v>68049</v>
      </c>
      <c r="L2752" s="10" t="n">
        <v>261000</v>
      </c>
      <c r="M2752" s="10" t="n">
        <v>12711.86</v>
      </c>
      <c r="N2752" s="11">
        <f>IF(M2752="","",ROUND(M2752*1.18,2))</f>
        <v/>
      </c>
      <c r="O2752" s="12">
        <f>IF(M2752="","",ROUND(N2752-M2752,2))</f>
        <v/>
      </c>
      <c r="P2752" s="13">
        <f>IF(AND(A2752&lt;&gt;"",B2752&lt;&gt;""), A2752&amp;" · "&amp;B2752, "")</f>
        <v/>
      </c>
    </row>
    <row r="2753">
      <c r="A2753" s="6" t="inlineStr">
        <is>
          <t>FY27</t>
        </is>
      </c>
      <c r="B2753" s="6" t="inlineStr">
        <is>
          <t>Jul</t>
        </is>
      </c>
      <c r="C2753" s="6" t="inlineStr">
        <is>
          <t>AP/TS</t>
        </is>
      </c>
      <c r="D2753" s="7" t="inlineStr">
        <is>
          <t>AP16EF3967</t>
        </is>
      </c>
      <c r="E2753" s="7" t="inlineStr">
        <is>
          <t>HONDA</t>
        </is>
      </c>
      <c r="F2753" s="7" t="inlineStr">
        <is>
          <t>City</t>
        </is>
      </c>
      <c r="G2753" s="7" t="inlineStr">
        <is>
          <t>EXCHANGE</t>
        </is>
      </c>
      <c r="H2753" s="7" t="inlineStr">
        <is>
          <t>Captive</t>
        </is>
      </c>
      <c r="I2753" s="7" t="inlineStr">
        <is>
          <t>Vedicherla Sudheer Reddy - VSR Cars</t>
        </is>
      </c>
      <c r="J2753" s="8" t="n">
        <v>2017</v>
      </c>
      <c r="K2753" s="9" t="n">
        <v>47400</v>
      </c>
      <c r="L2753" s="10" t="n">
        <v>410000</v>
      </c>
      <c r="M2753" s="10" t="n">
        <v>8474.58</v>
      </c>
      <c r="N2753" s="11">
        <f>IF(M2753="","",ROUND(M2753*1.18,2))</f>
        <v/>
      </c>
      <c r="O2753" s="12">
        <f>IF(M2753="","",ROUND(N2753-M2753,2))</f>
        <v/>
      </c>
      <c r="P2753" s="13">
        <f>IF(AND(A2753&lt;&gt;"",B2753&lt;&gt;""), A2753&amp;" · "&amp;B2753, "")</f>
        <v/>
      </c>
    </row>
    <row r="2754">
      <c r="A2754" s="6" t="inlineStr">
        <is>
          <t>FY27</t>
        </is>
      </c>
      <c r="B2754" s="6" t="inlineStr">
        <is>
          <t>Jul</t>
        </is>
      </c>
      <c r="C2754" s="6" t="inlineStr">
        <is>
          <t>AP/TS</t>
        </is>
      </c>
      <c r="D2754" s="7" t="inlineStr">
        <is>
          <t>AP16EW2265</t>
        </is>
      </c>
      <c r="E2754" s="7" t="inlineStr">
        <is>
          <t>MARUTI SUZUKI</t>
        </is>
      </c>
      <c r="F2754" s="7" t="inlineStr">
        <is>
          <t>Celerio</t>
        </is>
      </c>
      <c r="G2754" s="7" t="inlineStr">
        <is>
          <t>SESETTI MANOJ KUMAR</t>
        </is>
      </c>
      <c r="H2754" s="7" t="inlineStr">
        <is>
          <t>Non-Captive</t>
        </is>
      </c>
      <c r="I2754" s="7" t="inlineStr">
        <is>
          <t>Suresh Ginjupalli</t>
        </is>
      </c>
      <c r="J2754" s="8" t="n">
        <v>2018</v>
      </c>
      <c r="K2754" s="9" t="n">
        <v>139181</v>
      </c>
      <c r="L2754" s="10" t="n">
        <v>195500</v>
      </c>
      <c r="M2754" s="10" t="n">
        <v>6355.93</v>
      </c>
      <c r="N2754" s="11">
        <f>IF(M2754="","",ROUND(M2754*1.18,2))</f>
        <v/>
      </c>
      <c r="O2754" s="12">
        <f>IF(M2754="","",ROUND(N2754-M2754,2))</f>
        <v/>
      </c>
      <c r="P2754" s="13">
        <f>IF(AND(A2754&lt;&gt;"",B2754&lt;&gt;""), A2754&amp;" · "&amp;B2754, "")</f>
        <v/>
      </c>
    </row>
    <row r="2755">
      <c r="A2755" s="6" t="inlineStr">
        <is>
          <t>FY27</t>
        </is>
      </c>
      <c r="B2755" s="6" t="inlineStr">
        <is>
          <t>Jul</t>
        </is>
      </c>
      <c r="C2755" s="6" t="inlineStr">
        <is>
          <t>AP/TS</t>
        </is>
      </c>
      <c r="D2755" s="7" t="inlineStr">
        <is>
          <t>AP16FB5361</t>
        </is>
      </c>
      <c r="E2755" s="7" t="inlineStr">
        <is>
          <t>MARUTI SUZUKI</t>
        </is>
      </c>
      <c r="F2755" s="7" t="inlineStr">
        <is>
          <t>Celerio</t>
        </is>
      </c>
      <c r="G2755" s="7" t="inlineStr">
        <is>
          <t>GOPI NAGARAJU</t>
        </is>
      </c>
      <c r="H2755" s="7" t="inlineStr">
        <is>
          <t>Non-Captive</t>
        </is>
      </c>
      <c r="I2755" s="7" t="inlineStr">
        <is>
          <t>Mohammed Riyaz</t>
        </is>
      </c>
      <c r="J2755" s="8" t="n">
        <v>2018</v>
      </c>
      <c r="K2755" s="9" t="n">
        <v>143041</v>
      </c>
      <c r="L2755" s="10" t="n">
        <v>197000</v>
      </c>
      <c r="M2755" s="10" t="n">
        <v>5932.2</v>
      </c>
      <c r="N2755" s="11">
        <f>IF(M2755="","",ROUND(M2755*1.18,2))</f>
        <v/>
      </c>
      <c r="O2755" s="12">
        <f>IF(M2755="","",ROUND(N2755-M2755,2))</f>
        <v/>
      </c>
      <c r="P2755" s="13">
        <f>IF(AND(A2755&lt;&gt;"",B2755&lt;&gt;""), A2755&amp;" · "&amp;B2755, "")</f>
        <v/>
      </c>
    </row>
    <row r="2756">
      <c r="A2756" s="6" t="inlineStr">
        <is>
          <t>FY27</t>
        </is>
      </c>
      <c r="B2756" s="6" t="inlineStr">
        <is>
          <t>Jul</t>
        </is>
      </c>
      <c r="C2756" s="6" t="inlineStr">
        <is>
          <t>AP/TS</t>
        </is>
      </c>
      <c r="D2756" s="7" t="inlineStr">
        <is>
          <t>AP16FD1458</t>
        </is>
      </c>
      <c r="E2756" s="7" t="inlineStr">
        <is>
          <t>FORD</t>
        </is>
      </c>
      <c r="F2756" s="7" t="inlineStr">
        <is>
          <t>Figo</t>
        </is>
      </c>
      <c r="G2756" s="7" t="inlineStr">
        <is>
          <t>SESETTI MANOJ KUMAR</t>
        </is>
      </c>
      <c r="H2756" s="7" t="inlineStr">
        <is>
          <t>Non-Captive</t>
        </is>
      </c>
      <c r="I2756" s="7" t="inlineStr">
        <is>
          <t>Suresh Ginjupalli</t>
        </is>
      </c>
      <c r="J2756" s="8" t="n">
        <v>2018</v>
      </c>
      <c r="K2756" s="9" t="n">
        <v>156334</v>
      </c>
      <c r="L2756" s="10" t="n">
        <v>195500</v>
      </c>
      <c r="M2756" s="10" t="n">
        <v>6355.93</v>
      </c>
      <c r="N2756" s="11">
        <f>IF(M2756="","",ROUND(M2756*1.18,2))</f>
        <v/>
      </c>
      <c r="O2756" s="12">
        <f>IF(M2756="","",ROUND(N2756-M2756,2))</f>
        <v/>
      </c>
      <c r="P2756" s="13">
        <f>IF(AND(A2756&lt;&gt;"",B2756&lt;&gt;""), A2756&amp;" · "&amp;B2756, "")</f>
        <v/>
      </c>
    </row>
    <row r="2757">
      <c r="A2757" s="6" t="inlineStr">
        <is>
          <t>FY27</t>
        </is>
      </c>
      <c r="B2757" s="6" t="inlineStr">
        <is>
          <t>Jul</t>
        </is>
      </c>
      <c r="C2757" s="6" t="inlineStr">
        <is>
          <t>AP/TS</t>
        </is>
      </c>
      <c r="D2757" s="7" t="inlineStr">
        <is>
          <t>AP16FJ1988</t>
        </is>
      </c>
      <c r="E2757" s="7" t="inlineStr">
        <is>
          <t>MARUTI SUZUKI</t>
        </is>
      </c>
      <c r="F2757" s="7" t="inlineStr">
        <is>
          <t>Ignis</t>
        </is>
      </c>
      <c r="G2757" s="7" t="inlineStr">
        <is>
          <t>EXCHANGE</t>
        </is>
      </c>
      <c r="H2757" s="7" t="inlineStr">
        <is>
          <t>Captive</t>
        </is>
      </c>
      <c r="I2757" s="7" t="inlineStr">
        <is>
          <t>Mohammed Gouse Basha</t>
        </is>
      </c>
      <c r="J2757" s="8" t="n">
        <v>2018</v>
      </c>
      <c r="K2757" s="9" t="n">
        <v>106538</v>
      </c>
      <c r="L2757" s="10" t="n">
        <v>170000</v>
      </c>
      <c r="M2757" s="10" t="n">
        <v>8474.58</v>
      </c>
      <c r="N2757" s="11">
        <f>IF(M2757="","",ROUND(M2757*1.18,2))</f>
        <v/>
      </c>
      <c r="O2757" s="12">
        <f>IF(M2757="","",ROUND(N2757-M2757,2))</f>
        <v/>
      </c>
      <c r="P2757" s="13">
        <f>IF(AND(A2757&lt;&gt;"",B2757&lt;&gt;""), A2757&amp;" · "&amp;B2757, "")</f>
        <v/>
      </c>
    </row>
    <row r="2758">
      <c r="A2758" s="6" t="inlineStr">
        <is>
          <t>FY27</t>
        </is>
      </c>
      <c r="B2758" s="6" t="inlineStr">
        <is>
          <t>Jul</t>
        </is>
      </c>
      <c r="C2758" s="6" t="inlineStr">
        <is>
          <t>AP/TS</t>
        </is>
      </c>
      <c r="D2758" s="7" t="inlineStr">
        <is>
          <t>AP16FL1292</t>
        </is>
      </c>
      <c r="E2758" s="7" t="inlineStr">
        <is>
          <t>MARUTI SUZUKI</t>
        </is>
      </c>
      <c r="F2758" s="7" t="inlineStr">
        <is>
          <t>Swift</t>
        </is>
      </c>
      <c r="G2758" s="7" t="inlineStr">
        <is>
          <t>VINOD KUMAR MURARI</t>
        </is>
      </c>
      <c r="H2758" s="7" t="inlineStr">
        <is>
          <t>Non-Captive</t>
        </is>
      </c>
      <c r="I2758" s="7" t="inlineStr">
        <is>
          <t>Mohammed Gouse Basha</t>
        </is>
      </c>
      <c r="J2758" s="8" t="n">
        <v>2018</v>
      </c>
      <c r="K2758" s="9" t="n">
        <v>127705</v>
      </c>
      <c r="L2758" s="10" t="n">
        <v>317500</v>
      </c>
      <c r="M2758" s="10" t="n">
        <v>6355.93</v>
      </c>
      <c r="N2758" s="11">
        <f>IF(M2758="","",ROUND(M2758*1.18,2))</f>
        <v/>
      </c>
      <c r="O2758" s="12">
        <f>IF(M2758="","",ROUND(N2758-M2758,2))</f>
        <v/>
      </c>
      <c r="P2758" s="13">
        <f>IF(AND(A2758&lt;&gt;"",B2758&lt;&gt;""), A2758&amp;" · "&amp;B2758, "")</f>
        <v/>
      </c>
    </row>
    <row r="2759">
      <c r="A2759" s="6" t="inlineStr">
        <is>
          <t>FY27</t>
        </is>
      </c>
      <c r="B2759" s="6" t="inlineStr">
        <is>
          <t>Jul</t>
        </is>
      </c>
      <c r="C2759" s="6" t="inlineStr">
        <is>
          <t>AP/TS</t>
        </is>
      </c>
      <c r="D2759" s="7" t="inlineStr">
        <is>
          <t>AP26BH6969</t>
        </is>
      </c>
      <c r="E2759" s="7" t="inlineStr">
        <is>
          <t>FORD</t>
        </is>
      </c>
      <c r="F2759" s="7" t="inlineStr">
        <is>
          <t>EcoSport</t>
        </is>
      </c>
      <c r="G2759" s="7" t="inlineStr">
        <is>
          <t>GOPI NAGARAJU</t>
        </is>
      </c>
      <c r="H2759" s="7" t="inlineStr">
        <is>
          <t>Non-Captive</t>
        </is>
      </c>
      <c r="I2759" s="7" t="inlineStr">
        <is>
          <t>Mohammed Riyaz</t>
        </is>
      </c>
      <c r="J2759" s="8" t="n">
        <v>2016</v>
      </c>
      <c r="K2759" s="9" t="n">
        <v>142566</v>
      </c>
      <c r="L2759" s="10" t="n">
        <v>338000</v>
      </c>
      <c r="M2759" s="10" t="n">
        <v>6779.66</v>
      </c>
      <c r="N2759" s="11">
        <f>IF(M2759="","",ROUND(M2759*1.18,2))</f>
        <v/>
      </c>
      <c r="O2759" s="12">
        <f>IF(M2759="","",ROUND(N2759-M2759,2))</f>
        <v/>
      </c>
      <c r="P2759" s="13">
        <f>IF(AND(A2759&lt;&gt;"",B2759&lt;&gt;""), A2759&amp;" · "&amp;B2759, "")</f>
        <v/>
      </c>
    </row>
    <row r="2760">
      <c r="A2760" s="6" t="inlineStr">
        <is>
          <t>FY27</t>
        </is>
      </c>
      <c r="B2760" s="6" t="inlineStr">
        <is>
          <t>Jul</t>
        </is>
      </c>
      <c r="C2760" s="6" t="inlineStr">
        <is>
          <t>AP/TS</t>
        </is>
      </c>
      <c r="D2760" s="7" t="inlineStr">
        <is>
          <t>AP28DK5306</t>
        </is>
      </c>
      <c r="E2760" s="7" t="inlineStr">
        <is>
          <t>HONDA</t>
        </is>
      </c>
      <c r="F2760" s="7" t="inlineStr">
        <is>
          <t>City</t>
        </is>
      </c>
      <c r="G2760" s="7" t="inlineStr">
        <is>
          <t>EXCHANGE</t>
        </is>
      </c>
      <c r="H2760" s="7" t="inlineStr">
        <is>
          <t>Captive</t>
        </is>
      </c>
      <c r="I2760" s="7" t="inlineStr">
        <is>
          <t>Abdul Razzaq</t>
        </is>
      </c>
      <c r="J2760" s="8" t="n">
        <v>2011</v>
      </c>
      <c r="K2760" s="9" t="n">
        <v>71587</v>
      </c>
      <c r="L2760" s="10" t="n">
        <v>177000</v>
      </c>
      <c r="M2760" s="10" t="n">
        <v>5932.2</v>
      </c>
      <c r="N2760" s="11">
        <f>IF(M2760="","",ROUND(M2760*1.18,2))</f>
        <v/>
      </c>
      <c r="O2760" s="12">
        <f>IF(M2760="","",ROUND(N2760-M2760,2))</f>
        <v/>
      </c>
      <c r="P2760" s="13">
        <f>IF(AND(A2760&lt;&gt;"",B2760&lt;&gt;""), A2760&amp;" · "&amp;B2760, "")</f>
        <v/>
      </c>
    </row>
    <row r="2761">
      <c r="A2761" s="6" t="inlineStr">
        <is>
          <t>FY27</t>
        </is>
      </c>
      <c r="B2761" s="6" t="inlineStr">
        <is>
          <t>Jul</t>
        </is>
      </c>
      <c r="C2761" s="6" t="inlineStr">
        <is>
          <t>AP/TS</t>
        </is>
      </c>
      <c r="D2761" s="7" t="inlineStr">
        <is>
          <t>AP29AZ2596</t>
        </is>
      </c>
      <c r="E2761" s="7" t="inlineStr">
        <is>
          <t>HONDA</t>
        </is>
      </c>
      <c r="F2761" s="7" t="inlineStr">
        <is>
          <t>City</t>
        </is>
      </c>
      <c r="G2761" s="7" t="inlineStr">
        <is>
          <t>PUNEET GUPTA</t>
        </is>
      </c>
      <c r="H2761" s="7" t="inlineStr">
        <is>
          <t>Non-Captive</t>
        </is>
      </c>
      <c r="I2761" s="7" t="inlineStr">
        <is>
          <t>Koppulapelli Anand Goud (Anand Cars</t>
        </is>
      </c>
      <c r="J2761" s="8" t="n">
        <v>2013</v>
      </c>
      <c r="K2761" s="9" t="n">
        <v>145236</v>
      </c>
      <c r="L2761" s="10" t="n">
        <v>190000</v>
      </c>
      <c r="M2761" s="10" t="n">
        <v>5932.2</v>
      </c>
      <c r="N2761" s="11">
        <f>IF(M2761="","",ROUND(M2761*1.18,2))</f>
        <v/>
      </c>
      <c r="O2761" s="12">
        <f>IF(M2761="","",ROUND(N2761-M2761,2))</f>
        <v/>
      </c>
      <c r="P2761" s="13">
        <f>IF(AND(A2761&lt;&gt;"",B2761&lt;&gt;""), A2761&amp;" · "&amp;B2761, "")</f>
        <v/>
      </c>
    </row>
    <row r="2762">
      <c r="A2762" s="6" t="inlineStr">
        <is>
          <t>FY27</t>
        </is>
      </c>
      <c r="B2762" s="6" t="inlineStr">
        <is>
          <t>Jul</t>
        </is>
      </c>
      <c r="C2762" s="6" t="inlineStr">
        <is>
          <t>AP/TS</t>
        </is>
      </c>
      <c r="D2762" s="7" t="inlineStr">
        <is>
          <t>AP31CD8348</t>
        </is>
      </c>
      <c r="E2762" s="7" t="inlineStr">
        <is>
          <t>MARUTI SUZUKI</t>
        </is>
      </c>
      <c r="F2762" s="7" t="inlineStr">
        <is>
          <t>Alto 800</t>
        </is>
      </c>
      <c r="G2762" s="7" t="inlineStr">
        <is>
          <t>EXCHANGE</t>
        </is>
      </c>
      <c r="H2762" s="7" t="inlineStr">
        <is>
          <t>Captive</t>
        </is>
      </c>
      <c r="I2762" s="7" t="inlineStr">
        <is>
          <t>Kaki Dinesh Kumar</t>
        </is>
      </c>
      <c r="J2762" s="8" t="n">
        <v>2013</v>
      </c>
      <c r="K2762" s="9" t="n">
        <v>95762</v>
      </c>
      <c r="L2762" s="10" t="n">
        <v>123000</v>
      </c>
      <c r="M2762" s="10" t="n">
        <v>6779.66</v>
      </c>
      <c r="N2762" s="11">
        <f>IF(M2762="","",ROUND(M2762*1.18,2))</f>
        <v/>
      </c>
      <c r="O2762" s="12">
        <f>IF(M2762="","",ROUND(N2762-M2762,2))</f>
        <v/>
      </c>
      <c r="P2762" s="13">
        <f>IF(AND(A2762&lt;&gt;"",B2762&lt;&gt;""), A2762&amp;" · "&amp;B2762, "")</f>
        <v/>
      </c>
    </row>
    <row r="2763">
      <c r="A2763" s="6" t="inlineStr">
        <is>
          <t>FY27</t>
        </is>
      </c>
      <c r="B2763" s="6" t="inlineStr">
        <is>
          <t>Jul</t>
        </is>
      </c>
      <c r="C2763" s="6" t="inlineStr">
        <is>
          <t>AP/TS</t>
        </is>
      </c>
      <c r="D2763" s="7" t="inlineStr">
        <is>
          <t>AP31CS3345</t>
        </is>
      </c>
      <c r="E2763" s="7" t="inlineStr">
        <is>
          <t>HONDA</t>
        </is>
      </c>
      <c r="F2763" s="7" t="inlineStr">
        <is>
          <t>Mobilio</t>
        </is>
      </c>
      <c r="G2763" s="7" t="inlineStr">
        <is>
          <t>EXCHANGE</t>
        </is>
      </c>
      <c r="H2763" s="7" t="inlineStr">
        <is>
          <t>Captive</t>
        </is>
      </c>
      <c r="I2763" s="7" t="inlineStr">
        <is>
          <t>Kaki Dinesh Kumar</t>
        </is>
      </c>
      <c r="J2763" s="8" t="n">
        <v>2014</v>
      </c>
      <c r="K2763" s="9" t="n">
        <v>289675</v>
      </c>
      <c r="L2763" s="10" t="n">
        <v>120000</v>
      </c>
      <c r="M2763" s="10" t="n">
        <v>8474.58</v>
      </c>
      <c r="N2763" s="11">
        <f>IF(M2763="","",ROUND(M2763*1.18,2))</f>
        <v/>
      </c>
      <c r="O2763" s="12">
        <f>IF(M2763="","",ROUND(N2763-M2763,2))</f>
        <v/>
      </c>
      <c r="P2763" s="13">
        <f>IF(AND(A2763&lt;&gt;"",B2763&lt;&gt;""), A2763&amp;" · "&amp;B2763, "")</f>
        <v/>
      </c>
    </row>
    <row r="2764">
      <c r="A2764" s="6" t="inlineStr">
        <is>
          <t>FY27</t>
        </is>
      </c>
      <c r="B2764" s="6" t="inlineStr">
        <is>
          <t>Jul</t>
        </is>
      </c>
      <c r="C2764" s="6" t="inlineStr">
        <is>
          <t>AP/TS</t>
        </is>
      </c>
      <c r="D2764" s="7" t="inlineStr">
        <is>
          <t>AP31DD6369</t>
        </is>
      </c>
      <c r="E2764" s="7" t="inlineStr">
        <is>
          <t>HONDA</t>
        </is>
      </c>
      <c r="F2764" s="7" t="inlineStr">
        <is>
          <t>City</t>
        </is>
      </c>
      <c r="G2764" s="7" t="inlineStr">
        <is>
          <t>EXCHANGE</t>
        </is>
      </c>
      <c r="H2764" s="7" t="inlineStr">
        <is>
          <t>Captive</t>
        </is>
      </c>
      <c r="I2764" s="7" t="inlineStr">
        <is>
          <t>Kaki Dinesh Kumar</t>
        </is>
      </c>
      <c r="J2764" s="8" t="n">
        <v>2016</v>
      </c>
      <c r="K2764" s="9" t="n">
        <v>132475</v>
      </c>
      <c r="L2764" s="10" t="n">
        <v>355000</v>
      </c>
      <c r="M2764" s="10" t="n">
        <v>12711.86</v>
      </c>
      <c r="N2764" s="11">
        <f>IF(M2764="","",ROUND(M2764*1.18,2))</f>
        <v/>
      </c>
      <c r="O2764" s="12">
        <f>IF(M2764="","",ROUND(N2764-M2764,2))</f>
        <v/>
      </c>
      <c r="P2764" s="13">
        <f>IF(AND(A2764&lt;&gt;"",B2764&lt;&gt;""), A2764&amp;" · "&amp;B2764, "")</f>
        <v/>
      </c>
    </row>
    <row r="2765">
      <c r="A2765" s="6" t="inlineStr">
        <is>
          <t>FY27</t>
        </is>
      </c>
      <c r="B2765" s="6" t="inlineStr">
        <is>
          <t>Jul</t>
        </is>
      </c>
      <c r="C2765" s="6" t="inlineStr">
        <is>
          <t>AP/TS</t>
        </is>
      </c>
      <c r="D2765" s="7" t="inlineStr">
        <is>
          <t>AP31TV7513</t>
        </is>
      </c>
      <c r="E2765" s="7" t="inlineStr">
        <is>
          <t>MARUTI SUZUKI</t>
        </is>
      </c>
      <c r="F2765" s="7" t="inlineStr">
        <is>
          <t>Dzire</t>
        </is>
      </c>
      <c r="G2765" s="7" t="inlineStr">
        <is>
          <t>TENALI SRINIVAS</t>
        </is>
      </c>
      <c r="H2765" s="7" t="inlineStr">
        <is>
          <t>Non-Captive</t>
        </is>
      </c>
      <c r="I2765" s="7" t="inlineStr">
        <is>
          <t>Shaik Naseer Basha</t>
        </is>
      </c>
      <c r="J2765" s="8" t="n">
        <v>2016</v>
      </c>
      <c r="K2765" s="9" t="n">
        <v>124855</v>
      </c>
      <c r="L2765" s="10" t="n">
        <v>196000</v>
      </c>
      <c r="M2765" s="10" t="n">
        <v>5084.75</v>
      </c>
      <c r="N2765" s="11">
        <f>IF(M2765="","",ROUND(M2765*1.18,2))</f>
        <v/>
      </c>
      <c r="O2765" s="12">
        <f>IF(M2765="","",ROUND(N2765-M2765,2))</f>
        <v/>
      </c>
      <c r="P2765" s="13">
        <f>IF(AND(A2765&lt;&gt;"",B2765&lt;&gt;""), A2765&amp;" · "&amp;B2765, "")</f>
        <v/>
      </c>
    </row>
    <row r="2766">
      <c r="A2766" s="6" t="inlineStr">
        <is>
          <t>FY27</t>
        </is>
      </c>
      <c r="B2766" s="6" t="inlineStr">
        <is>
          <t>Jul</t>
        </is>
      </c>
      <c r="C2766" s="6" t="inlineStr">
        <is>
          <t>AP/TS</t>
        </is>
      </c>
      <c r="D2766" s="7" t="inlineStr">
        <is>
          <t>AP31TV7821</t>
        </is>
      </c>
      <c r="E2766" s="7" t="inlineStr">
        <is>
          <t>HONDA</t>
        </is>
      </c>
      <c r="F2766" s="7" t="inlineStr">
        <is>
          <t>Amaze</t>
        </is>
      </c>
      <c r="G2766" s="7" t="inlineStr">
        <is>
          <t>EXCHANGE</t>
        </is>
      </c>
      <c r="H2766" s="7" t="inlineStr">
        <is>
          <t>Captive</t>
        </is>
      </c>
      <c r="I2766" s="7" t="inlineStr">
        <is>
          <t>Behara Ramu</t>
        </is>
      </c>
      <c r="J2766" s="8" t="n">
        <v>2017</v>
      </c>
      <c r="K2766" s="9" t="n">
        <v>249567</v>
      </c>
      <c r="L2766" s="10" t="n">
        <v>177000</v>
      </c>
      <c r="M2766" s="10" t="n">
        <v>10169.49</v>
      </c>
      <c r="N2766" s="11">
        <f>IF(M2766="","",ROUND(M2766*1.18,2))</f>
        <v/>
      </c>
      <c r="O2766" s="12">
        <f>IF(M2766="","",ROUND(N2766-M2766,2))</f>
        <v/>
      </c>
      <c r="P2766" s="13">
        <f>IF(AND(A2766&lt;&gt;"",B2766&lt;&gt;""), A2766&amp;" · "&amp;B2766, "")</f>
        <v/>
      </c>
    </row>
    <row r="2767">
      <c r="A2767" s="6" t="inlineStr">
        <is>
          <t>FY27</t>
        </is>
      </c>
      <c r="B2767" s="6" t="inlineStr">
        <is>
          <t>Jul</t>
        </is>
      </c>
      <c r="C2767" s="6" t="inlineStr">
        <is>
          <t>AP/TS</t>
        </is>
      </c>
      <c r="D2767" s="7" t="inlineStr">
        <is>
          <t>AP37CM5000</t>
        </is>
      </c>
      <c r="E2767" s="7" t="inlineStr">
        <is>
          <t>HONDA</t>
        </is>
      </c>
      <c r="F2767" s="7" t="inlineStr">
        <is>
          <t>Jazz</t>
        </is>
      </c>
      <c r="G2767" s="7" t="inlineStr">
        <is>
          <t>EXCHANGE</t>
        </is>
      </c>
      <c r="H2767" s="7" t="inlineStr">
        <is>
          <t>Captive</t>
        </is>
      </c>
      <c r="I2767" s="7" t="inlineStr">
        <is>
          <t>Kaki Dinesh Kumar</t>
        </is>
      </c>
      <c r="J2767" s="8" t="n">
        <v>2015</v>
      </c>
      <c r="K2767" s="9" t="n">
        <v>99123</v>
      </c>
      <c r="L2767" s="10" t="n">
        <v>278000</v>
      </c>
      <c r="M2767" s="10" t="n">
        <v>10169.49</v>
      </c>
      <c r="N2767" s="11">
        <f>IF(M2767="","",ROUND(M2767*1.18,2))</f>
        <v/>
      </c>
      <c r="O2767" s="12">
        <f>IF(M2767="","",ROUND(N2767-M2767,2))</f>
        <v/>
      </c>
      <c r="P2767" s="13">
        <f>IF(AND(A2767&lt;&gt;"",B2767&lt;&gt;""), A2767&amp;" · "&amp;B2767, "")</f>
        <v/>
      </c>
    </row>
    <row r="2768">
      <c r="A2768" s="6" t="inlineStr">
        <is>
          <t>FY27</t>
        </is>
      </c>
      <c r="B2768" s="6" t="inlineStr">
        <is>
          <t>Jul</t>
        </is>
      </c>
      <c r="C2768" s="6" t="inlineStr">
        <is>
          <t>AP/TS</t>
        </is>
      </c>
      <c r="D2768" s="7" t="inlineStr">
        <is>
          <t>AP37CP3465</t>
        </is>
      </c>
      <c r="E2768" s="7" t="inlineStr">
        <is>
          <t>HYUNDAI</t>
        </is>
      </c>
      <c r="F2768" s="7" t="inlineStr">
        <is>
          <t>i10</t>
        </is>
      </c>
      <c r="G2768" s="7" t="inlineStr">
        <is>
          <t>MOHAMMED GOUSE BASHA</t>
        </is>
      </c>
      <c r="H2768" s="7" t="inlineStr">
        <is>
          <t>Non-Captive</t>
        </is>
      </c>
      <c r="I2768" s="7" t="inlineStr">
        <is>
          <t>Somanadhi Mahalaxmi Venkatesh</t>
        </is>
      </c>
      <c r="J2768" s="8" t="n">
        <v>2015</v>
      </c>
      <c r="K2768" s="9" t="n">
        <v>128668</v>
      </c>
      <c r="L2768" s="10" t="n">
        <v>187000</v>
      </c>
      <c r="M2768" s="10" t="n">
        <v>5932.2</v>
      </c>
      <c r="N2768" s="11">
        <f>IF(M2768="","",ROUND(M2768*1.18,2))</f>
        <v/>
      </c>
      <c r="O2768" s="12">
        <f>IF(M2768="","",ROUND(N2768-M2768,2))</f>
        <v/>
      </c>
      <c r="P2768" s="13">
        <f>IF(AND(A2768&lt;&gt;"",B2768&lt;&gt;""), A2768&amp;" · "&amp;B2768, "")</f>
        <v/>
      </c>
    </row>
    <row r="2769">
      <c r="A2769" s="6" t="inlineStr">
        <is>
          <t>FY27</t>
        </is>
      </c>
      <c r="B2769" s="6" t="inlineStr">
        <is>
          <t>Jul</t>
        </is>
      </c>
      <c r="C2769" s="6" t="inlineStr">
        <is>
          <t>AP/TS</t>
        </is>
      </c>
      <c r="D2769" s="7" t="inlineStr">
        <is>
          <t>AP37DE9196</t>
        </is>
      </c>
      <c r="E2769" s="7" t="inlineStr">
        <is>
          <t>HONDA</t>
        </is>
      </c>
      <c r="F2769" s="7" t="inlineStr">
        <is>
          <t>City</t>
        </is>
      </c>
      <c r="G2769" s="7" t="inlineStr">
        <is>
          <t>EXCHANGE</t>
        </is>
      </c>
      <c r="H2769" s="7" t="inlineStr">
        <is>
          <t>Captive</t>
        </is>
      </c>
      <c r="I2769" s="7" t="inlineStr">
        <is>
          <t>D Avinash</t>
        </is>
      </c>
      <c r="J2769" s="8" t="n">
        <v>2018</v>
      </c>
      <c r="K2769" s="9" t="n">
        <v>83809</v>
      </c>
      <c r="L2769" s="10" t="n">
        <v>357500</v>
      </c>
      <c r="M2769" s="10" t="n">
        <v>6355.93</v>
      </c>
      <c r="N2769" s="11">
        <f>IF(M2769="","",ROUND(M2769*1.18,2))</f>
        <v/>
      </c>
      <c r="O2769" s="12">
        <f>IF(M2769="","",ROUND(N2769-M2769,2))</f>
        <v/>
      </c>
      <c r="P2769" s="13">
        <f>IF(AND(A2769&lt;&gt;"",B2769&lt;&gt;""), A2769&amp;" · "&amp;B2769, "")</f>
        <v/>
      </c>
    </row>
    <row r="2770">
      <c r="A2770" s="6" t="inlineStr">
        <is>
          <t>FY27</t>
        </is>
      </c>
      <c r="B2770" s="6" t="inlineStr">
        <is>
          <t>Jul</t>
        </is>
      </c>
      <c r="C2770" s="6" t="inlineStr">
        <is>
          <t>AP/TS</t>
        </is>
      </c>
      <c r="D2770" s="7" t="inlineStr">
        <is>
          <t>AP39BC8466</t>
        </is>
      </c>
      <c r="E2770" s="7" t="inlineStr">
        <is>
          <t>VOLKSWAGEN</t>
        </is>
      </c>
      <c r="F2770" s="7" t="inlineStr">
        <is>
          <t>Ameo</t>
        </is>
      </c>
      <c r="G2770" s="7" t="inlineStr">
        <is>
          <t>GOPI NAGARAJU</t>
        </is>
      </c>
      <c r="H2770" s="7" t="inlineStr">
        <is>
          <t>Non-Captive</t>
        </is>
      </c>
      <c r="I2770" s="7" t="inlineStr">
        <is>
          <t>Mohammed Riyaz</t>
        </is>
      </c>
      <c r="J2770" s="8" t="n">
        <v>2018</v>
      </c>
      <c r="K2770" s="9" t="n">
        <v>142010</v>
      </c>
      <c r="L2770" s="10" t="n">
        <v>197000</v>
      </c>
      <c r="M2770" s="10" t="n">
        <v>5932.2</v>
      </c>
      <c r="N2770" s="11">
        <f>IF(M2770="","",ROUND(M2770*1.18,2))</f>
        <v/>
      </c>
      <c r="O2770" s="12">
        <f>IF(M2770="","",ROUND(N2770-M2770,2))</f>
        <v/>
      </c>
      <c r="P2770" s="13">
        <f>IF(AND(A2770&lt;&gt;"",B2770&lt;&gt;""), A2770&amp;" · "&amp;B2770, "")</f>
        <v/>
      </c>
    </row>
    <row r="2771">
      <c r="A2771" s="6" t="inlineStr">
        <is>
          <t>FY27</t>
        </is>
      </c>
      <c r="B2771" s="6" t="inlineStr">
        <is>
          <t>Jul</t>
        </is>
      </c>
      <c r="C2771" s="6" t="inlineStr">
        <is>
          <t>AP/TS</t>
        </is>
      </c>
      <c r="D2771" s="7" t="inlineStr">
        <is>
          <t>AP39CG7475</t>
        </is>
      </c>
      <c r="E2771" s="7" t="inlineStr">
        <is>
          <t>HONDA</t>
        </is>
      </c>
      <c r="F2771" s="7" t="inlineStr">
        <is>
          <t>Jazz</t>
        </is>
      </c>
      <c r="G2771" s="7" t="inlineStr">
        <is>
          <t>EXCHANGE</t>
        </is>
      </c>
      <c r="H2771" s="7" t="inlineStr">
        <is>
          <t>Captive</t>
        </is>
      </c>
      <c r="I2771" s="7" t="inlineStr">
        <is>
          <t>Tenali Srinivas</t>
        </is>
      </c>
      <c r="J2771" s="8" t="n">
        <v>2019</v>
      </c>
      <c r="K2771" s="9" t="n">
        <v>56411</v>
      </c>
      <c r="L2771" s="10" t="n">
        <v>378000</v>
      </c>
      <c r="M2771" s="10" t="n">
        <v>6779.66</v>
      </c>
      <c r="N2771" s="11">
        <f>IF(M2771="","",ROUND(M2771*1.18,2))</f>
        <v/>
      </c>
      <c r="O2771" s="12">
        <f>IF(M2771="","",ROUND(N2771-M2771,2))</f>
        <v/>
      </c>
      <c r="P2771" s="13">
        <f>IF(AND(A2771&lt;&gt;"",B2771&lt;&gt;""), A2771&amp;" · "&amp;B2771, "")</f>
        <v/>
      </c>
    </row>
    <row r="2772">
      <c r="A2772" s="6" t="inlineStr">
        <is>
          <t>FY27</t>
        </is>
      </c>
      <c r="B2772" s="6" t="inlineStr">
        <is>
          <t>Jul</t>
        </is>
      </c>
      <c r="C2772" s="6" t="inlineStr">
        <is>
          <t>AP/TS</t>
        </is>
      </c>
      <c r="D2772" s="7" t="inlineStr">
        <is>
          <t>AP39DE4559</t>
        </is>
      </c>
      <c r="E2772" s="7" t="inlineStr">
        <is>
          <t>HYUNDAI</t>
        </is>
      </c>
      <c r="F2772" s="7" t="inlineStr">
        <is>
          <t>i20</t>
        </is>
      </c>
      <c r="G2772" s="7" t="inlineStr">
        <is>
          <t>EXCHANGE</t>
        </is>
      </c>
      <c r="H2772" s="7" t="inlineStr">
        <is>
          <t>Captive</t>
        </is>
      </c>
      <c r="I2772" s="7" t="inlineStr">
        <is>
          <t>Guthi Ravi Krishna</t>
        </is>
      </c>
      <c r="J2772" s="8" t="n">
        <v>2019</v>
      </c>
      <c r="K2772" s="9" t="n">
        <v>117553</v>
      </c>
      <c r="L2772" s="10" t="n">
        <v>417000</v>
      </c>
      <c r="M2772" s="10" t="n">
        <v>10169.49</v>
      </c>
      <c r="N2772" s="11">
        <f>IF(M2772="","",ROUND(M2772*1.18,2))</f>
        <v/>
      </c>
      <c r="O2772" s="12">
        <f>IF(M2772="","",ROUND(N2772-M2772,2))</f>
        <v/>
      </c>
      <c r="P2772" s="13">
        <f>IF(AND(A2772&lt;&gt;"",B2772&lt;&gt;""), A2772&amp;" · "&amp;B2772, "")</f>
        <v/>
      </c>
    </row>
    <row r="2773">
      <c r="A2773" s="6" t="inlineStr">
        <is>
          <t>FY27</t>
        </is>
      </c>
      <c r="B2773" s="6" t="inlineStr">
        <is>
          <t>Jul</t>
        </is>
      </c>
      <c r="C2773" s="6" t="inlineStr">
        <is>
          <t>AP/TS</t>
        </is>
      </c>
      <c r="D2773" s="7" t="inlineStr">
        <is>
          <t>AP39NH1729</t>
        </is>
      </c>
      <c r="E2773" s="7" t="inlineStr">
        <is>
          <t>KIA</t>
        </is>
      </c>
      <c r="F2773" s="7" t="inlineStr">
        <is>
          <t>Seltos</t>
        </is>
      </c>
      <c r="G2773" s="7" t="inlineStr">
        <is>
          <t>EXCHANGE</t>
        </is>
      </c>
      <c r="H2773" s="7" t="inlineStr">
        <is>
          <t>Captive</t>
        </is>
      </c>
      <c r="I2773" s="7" t="inlineStr">
        <is>
          <t>Mohammed Riyaz</t>
        </is>
      </c>
      <c r="J2773" s="8" t="n">
        <v>2022</v>
      </c>
      <c r="K2773" s="9" t="n">
        <v>67411</v>
      </c>
      <c r="L2773" s="10" t="n">
        <v>857000</v>
      </c>
      <c r="M2773" s="10" t="n">
        <v>14406.78</v>
      </c>
      <c r="N2773" s="11">
        <f>IF(M2773="","",ROUND(M2773*1.18,2))</f>
        <v/>
      </c>
      <c r="O2773" s="12">
        <f>IF(M2773="","",ROUND(N2773-M2773,2))</f>
        <v/>
      </c>
      <c r="P2773" s="13">
        <f>IF(AND(A2773&lt;&gt;"",B2773&lt;&gt;""), A2773&amp;" · "&amp;B2773, "")</f>
        <v/>
      </c>
    </row>
    <row r="2774">
      <c r="A2774" s="6" t="inlineStr">
        <is>
          <t>FY27</t>
        </is>
      </c>
      <c r="B2774" s="6" t="inlineStr">
        <is>
          <t>Jul</t>
        </is>
      </c>
      <c r="C2774" s="6" t="inlineStr">
        <is>
          <t>AP/TS</t>
        </is>
      </c>
      <c r="D2774" s="7" t="inlineStr">
        <is>
          <t>MH12PZ1248</t>
        </is>
      </c>
      <c r="E2774" s="7" t="inlineStr">
        <is>
          <t>FORD</t>
        </is>
      </c>
      <c r="F2774" s="7" t="inlineStr">
        <is>
          <t>EcoSport</t>
        </is>
      </c>
      <c r="G2774" s="7" t="inlineStr">
        <is>
          <t>EXCHANGE</t>
        </is>
      </c>
      <c r="H2774" s="7" t="inlineStr">
        <is>
          <t>Captive</t>
        </is>
      </c>
      <c r="I2774" s="7" t="inlineStr">
        <is>
          <t>Polukonda Naga Suresh</t>
        </is>
      </c>
      <c r="J2774" s="8" t="n">
        <v>2017</v>
      </c>
      <c r="K2774" s="9" t="n">
        <v>44951</v>
      </c>
      <c r="L2774" s="10" t="n">
        <v>240000</v>
      </c>
      <c r="M2774" s="10" t="n">
        <v>8474.58</v>
      </c>
      <c r="N2774" s="11">
        <f>IF(M2774="","",ROUND(M2774*1.18,2))</f>
        <v/>
      </c>
      <c r="O2774" s="12">
        <f>IF(M2774="","",ROUND(N2774-M2774,2))</f>
        <v/>
      </c>
      <c r="P2774" s="13">
        <f>IF(AND(A2774&lt;&gt;"",B2774&lt;&gt;""), A2774&amp;" · "&amp;B2774, "")</f>
        <v/>
      </c>
    </row>
    <row r="2775">
      <c r="A2775" s="6" t="inlineStr">
        <is>
          <t>FY27</t>
        </is>
      </c>
      <c r="B2775" s="6" t="inlineStr">
        <is>
          <t>Jul</t>
        </is>
      </c>
      <c r="C2775" s="6" t="inlineStr">
        <is>
          <t>AP/TS</t>
        </is>
      </c>
      <c r="D2775" s="7" t="inlineStr">
        <is>
          <t>TS07ED2599</t>
        </is>
      </c>
      <c r="E2775" s="7" t="inlineStr">
        <is>
          <t>FORD</t>
        </is>
      </c>
      <c r="F2775" s="7" t="inlineStr">
        <is>
          <t>EcoSport</t>
        </is>
      </c>
      <c r="G2775" s="7" t="inlineStr">
        <is>
          <t>PUNEET GUPTA</t>
        </is>
      </c>
      <c r="H2775" s="7" t="inlineStr">
        <is>
          <t>Non-Captive</t>
        </is>
      </c>
      <c r="I2775" s="7" t="inlineStr">
        <is>
          <t>Chekuri Chandra Shekar Satyanarayana Raju</t>
        </is>
      </c>
      <c r="J2775" s="8" t="n">
        <v>2014</v>
      </c>
      <c r="K2775" s="9" t="n">
        <v>140251</v>
      </c>
      <c r="L2775" s="10" t="n">
        <v>287500</v>
      </c>
      <c r="M2775" s="10" t="n">
        <v>6355.93</v>
      </c>
      <c r="N2775" s="11">
        <f>IF(M2775="","",ROUND(M2775*1.18,2))</f>
        <v/>
      </c>
      <c r="O2775" s="12">
        <f>IF(M2775="","",ROUND(N2775-M2775,2))</f>
        <v/>
      </c>
      <c r="P2775" s="13">
        <f>IF(AND(A2775&lt;&gt;"",B2775&lt;&gt;""), A2775&amp;" · "&amp;B2775, "")</f>
        <v/>
      </c>
    </row>
    <row r="2776">
      <c r="A2776" s="6" t="inlineStr">
        <is>
          <t>FY27</t>
        </is>
      </c>
      <c r="B2776" s="6" t="inlineStr">
        <is>
          <t>Jul</t>
        </is>
      </c>
      <c r="C2776" s="6" t="inlineStr">
        <is>
          <t>AP/TS</t>
        </is>
      </c>
      <c r="D2776" s="7" t="inlineStr">
        <is>
          <t>TS07FS8253</t>
        </is>
      </c>
      <c r="E2776" s="7" t="inlineStr">
        <is>
          <t>HYUNDAI</t>
        </is>
      </c>
      <c r="F2776" s="7" t="inlineStr">
        <is>
          <t>Grand i10</t>
        </is>
      </c>
      <c r="G2776" s="7" t="inlineStr">
        <is>
          <t>PUNEET GUPTA</t>
        </is>
      </c>
      <c r="H2776" s="7" t="inlineStr">
        <is>
          <t>Non-Captive</t>
        </is>
      </c>
      <c r="I2776" s="7" t="inlineStr">
        <is>
          <t>Chekuri Chandra Shekar Satyanarayana Raju</t>
        </is>
      </c>
      <c r="J2776" s="8" t="n">
        <v>2017</v>
      </c>
      <c r="K2776" s="9" t="n">
        <v>124613</v>
      </c>
      <c r="L2776" s="10" t="n">
        <v>277500</v>
      </c>
      <c r="M2776" s="10" t="n">
        <v>6355.93</v>
      </c>
      <c r="N2776" s="11">
        <f>IF(M2776="","",ROUND(M2776*1.18,2))</f>
        <v/>
      </c>
      <c r="O2776" s="12">
        <f>IF(M2776="","",ROUND(N2776-M2776,2))</f>
        <v/>
      </c>
      <c r="P2776" s="13">
        <f>IF(AND(A2776&lt;&gt;"",B2776&lt;&gt;""), A2776&amp;" · "&amp;B2776, "")</f>
        <v/>
      </c>
    </row>
    <row r="2777">
      <c r="A2777" s="6" t="inlineStr">
        <is>
          <t>FY27</t>
        </is>
      </c>
      <c r="B2777" s="6" t="inlineStr">
        <is>
          <t>Jul</t>
        </is>
      </c>
      <c r="C2777" s="6" t="inlineStr">
        <is>
          <t>AP/TS</t>
        </is>
      </c>
      <c r="D2777" s="7" t="inlineStr">
        <is>
          <t>TS08GK9365</t>
        </is>
      </c>
      <c r="E2777" s="7" t="inlineStr">
        <is>
          <t>HONDA</t>
        </is>
      </c>
      <c r="F2777" s="7" t="inlineStr">
        <is>
          <t>Amaze</t>
        </is>
      </c>
      <c r="G2777" s="7" t="inlineStr">
        <is>
          <t>EXCHANGE</t>
        </is>
      </c>
      <c r="H2777" s="7" t="inlineStr">
        <is>
          <t>Captive</t>
        </is>
      </c>
      <c r="I2777" s="7" t="inlineStr">
        <is>
          <t>Abdul Aziz</t>
        </is>
      </c>
      <c r="J2777" s="8" t="n">
        <v>2019</v>
      </c>
      <c r="K2777" s="9" t="n">
        <v>68689</v>
      </c>
      <c r="L2777" s="10" t="n">
        <v>400000</v>
      </c>
      <c r="M2777" s="10" t="n">
        <v>8474.58</v>
      </c>
      <c r="N2777" s="11">
        <f>IF(M2777="","",ROUND(M2777*1.18,2))</f>
        <v/>
      </c>
      <c r="O2777" s="12">
        <f>IF(M2777="","",ROUND(N2777-M2777,2))</f>
        <v/>
      </c>
      <c r="P2777" s="13">
        <f>IF(AND(A2777&lt;&gt;"",B2777&lt;&gt;""), A2777&amp;" · "&amp;B2777, "")</f>
        <v/>
      </c>
    </row>
    <row r="2778">
      <c r="A2778" s="6" t="inlineStr">
        <is>
          <t>FY27</t>
        </is>
      </c>
      <c r="B2778" s="6" t="inlineStr">
        <is>
          <t>Jul</t>
        </is>
      </c>
      <c r="C2778" s="6" t="inlineStr">
        <is>
          <t>AP/TS</t>
        </is>
      </c>
      <c r="D2778" s="7" t="inlineStr">
        <is>
          <t>TS08GS0984</t>
        </is>
      </c>
      <c r="E2778" s="7" t="inlineStr">
        <is>
          <t>MARUTI SUZUKI</t>
        </is>
      </c>
      <c r="F2778" s="7" t="inlineStr">
        <is>
          <t>Swift</t>
        </is>
      </c>
      <c r="G2778" s="7" t="inlineStr">
        <is>
          <t>EXCHANGE</t>
        </is>
      </c>
      <c r="H2778" s="7" t="inlineStr">
        <is>
          <t>Captive</t>
        </is>
      </c>
      <c r="I2778" s="7" t="inlineStr">
        <is>
          <t>Ramesh Palley</t>
        </is>
      </c>
      <c r="J2778" s="8" t="n">
        <v>2019</v>
      </c>
      <c r="K2778" s="9" t="n">
        <v>94476</v>
      </c>
      <c r="L2778" s="10" t="n">
        <v>378000</v>
      </c>
      <c r="M2778" s="10" t="n">
        <v>6779.66</v>
      </c>
      <c r="N2778" s="11">
        <f>IF(M2778="","",ROUND(M2778*1.18,2))</f>
        <v/>
      </c>
      <c r="O2778" s="12">
        <f>IF(M2778="","",ROUND(N2778-M2778,2))</f>
        <v/>
      </c>
      <c r="P2778" s="13">
        <f>IF(AND(A2778&lt;&gt;"",B2778&lt;&gt;""), A2778&amp;" · "&amp;B2778, "")</f>
        <v/>
      </c>
    </row>
    <row r="2779">
      <c r="A2779" s="6" t="inlineStr">
        <is>
          <t>FY27</t>
        </is>
      </c>
      <c r="B2779" s="6" t="inlineStr">
        <is>
          <t>Jul</t>
        </is>
      </c>
      <c r="C2779" s="6" t="inlineStr">
        <is>
          <t>AP/TS</t>
        </is>
      </c>
      <c r="D2779" s="7" t="inlineStr">
        <is>
          <t>TS09EB2998</t>
        </is>
      </c>
      <c r="E2779" s="7" t="inlineStr">
        <is>
          <t>HONDA</t>
        </is>
      </c>
      <c r="F2779" s="7" t="inlineStr">
        <is>
          <t>Brio</t>
        </is>
      </c>
      <c r="G2779" s="7" t="inlineStr">
        <is>
          <t>PUNEET GUPTA</t>
        </is>
      </c>
      <c r="H2779" s="7" t="inlineStr">
        <is>
          <t>Non-Captive</t>
        </is>
      </c>
      <c r="I2779" s="7" t="inlineStr">
        <is>
          <t>Bukya Santhosh Naik</t>
        </is>
      </c>
      <c r="J2779" s="8" t="n">
        <v>2014</v>
      </c>
      <c r="K2779" s="9" t="n">
        <v>108256</v>
      </c>
      <c r="L2779" s="10" t="n">
        <v>210000</v>
      </c>
      <c r="M2779" s="10" t="n">
        <v>8474.58</v>
      </c>
      <c r="N2779" s="11">
        <f>IF(M2779="","",ROUND(M2779*1.18,2))</f>
        <v/>
      </c>
      <c r="O2779" s="12">
        <f>IF(M2779="","",ROUND(N2779-M2779,2))</f>
        <v/>
      </c>
      <c r="P2779" s="13">
        <f>IF(AND(A2779&lt;&gt;"",B2779&lt;&gt;""), A2779&amp;" · "&amp;B2779, "")</f>
        <v/>
      </c>
    </row>
    <row r="2780">
      <c r="A2780" s="6" t="inlineStr">
        <is>
          <t>FY27</t>
        </is>
      </c>
      <c r="B2780" s="6" t="inlineStr">
        <is>
          <t>Jul</t>
        </is>
      </c>
      <c r="C2780" s="6" t="inlineStr">
        <is>
          <t>AP/TS</t>
        </is>
      </c>
      <c r="D2780" s="7" t="inlineStr">
        <is>
          <t>TS09EL4677</t>
        </is>
      </c>
      <c r="E2780" s="7" t="inlineStr">
        <is>
          <t>MARUTI SUZUKI</t>
        </is>
      </c>
      <c r="F2780" s="7" t="inlineStr">
        <is>
          <t>Baleno</t>
        </is>
      </c>
      <c r="G2780" s="7" t="inlineStr">
        <is>
          <t>PUNEET GUPTA</t>
        </is>
      </c>
      <c r="H2780" s="7" t="inlineStr">
        <is>
          <t>Non-Captive</t>
        </is>
      </c>
      <c r="I2780" s="7" t="inlineStr">
        <is>
          <t>Abdul Razzaq</t>
        </is>
      </c>
      <c r="J2780" s="8" t="n">
        <v>2016</v>
      </c>
      <c r="K2780" s="9" t="n">
        <v>65338</v>
      </c>
      <c r="L2780" s="10" t="n">
        <v>308000</v>
      </c>
      <c r="M2780" s="10" t="n">
        <v>6779.66</v>
      </c>
      <c r="N2780" s="11">
        <f>IF(M2780="","",ROUND(M2780*1.18,2))</f>
        <v/>
      </c>
      <c r="O2780" s="12">
        <f>IF(M2780="","",ROUND(N2780-M2780,2))</f>
        <v/>
      </c>
      <c r="P2780" s="13">
        <f>IF(AND(A2780&lt;&gt;"",B2780&lt;&gt;""), A2780&amp;" · "&amp;B2780, "")</f>
        <v/>
      </c>
    </row>
    <row r="2781">
      <c r="A2781" s="6" t="inlineStr">
        <is>
          <t>FY27</t>
        </is>
      </c>
      <c r="B2781" s="6" t="inlineStr">
        <is>
          <t>Jul</t>
        </is>
      </c>
      <c r="C2781" s="6" t="inlineStr">
        <is>
          <t>AP/TS</t>
        </is>
      </c>
      <c r="D2781" s="7" t="inlineStr">
        <is>
          <t>TS10ED2425</t>
        </is>
      </c>
      <c r="E2781" s="7" t="inlineStr">
        <is>
          <t>FORD</t>
        </is>
      </c>
      <c r="F2781" s="7" t="inlineStr">
        <is>
          <t>EcoSport</t>
        </is>
      </c>
      <c r="G2781" s="7" t="inlineStr">
        <is>
          <t>EXCHANGE</t>
        </is>
      </c>
      <c r="H2781" s="7" t="inlineStr">
        <is>
          <t>Captive</t>
        </is>
      </c>
      <c r="I2781" s="7" t="inlineStr">
        <is>
          <t>Koppulapelli Anand Goud (Anand Cars</t>
        </is>
      </c>
      <c r="J2781" s="8" t="n">
        <v>2015</v>
      </c>
      <c r="K2781" s="9" t="n">
        <v>105224</v>
      </c>
      <c r="L2781" s="10" t="n">
        <v>297000</v>
      </c>
      <c r="M2781" s="10" t="n">
        <v>10169.49</v>
      </c>
      <c r="N2781" s="11">
        <f>IF(M2781="","",ROUND(M2781*1.18,2))</f>
        <v/>
      </c>
      <c r="O2781" s="12">
        <f>IF(M2781="","",ROUND(N2781-M2781,2))</f>
        <v/>
      </c>
      <c r="P2781" s="13">
        <f>IF(AND(A2781&lt;&gt;"",B2781&lt;&gt;""), A2781&amp;" · "&amp;B2781, "")</f>
        <v/>
      </c>
    </row>
    <row r="2782">
      <c r="A2782" s="6" t="inlineStr">
        <is>
          <t>FY27</t>
        </is>
      </c>
      <c r="B2782" s="6" t="inlineStr">
        <is>
          <t>Jul</t>
        </is>
      </c>
      <c r="C2782" s="6" t="inlineStr">
        <is>
          <t>AP/TS</t>
        </is>
      </c>
      <c r="D2782" s="7" t="inlineStr">
        <is>
          <t>TS10EM1511</t>
        </is>
      </c>
      <c r="E2782" s="7" t="inlineStr">
        <is>
          <t>NISSAN</t>
        </is>
      </c>
      <c r="F2782" s="7" t="inlineStr">
        <is>
          <t>Terrano</t>
        </is>
      </c>
      <c r="G2782" s="7" t="inlineStr">
        <is>
          <t>EXCHANGE</t>
        </is>
      </c>
      <c r="H2782" s="7" t="inlineStr">
        <is>
          <t>Captive</t>
        </is>
      </c>
      <c r="I2782" s="7" t="inlineStr">
        <is>
          <t>Vara Rajendra Varma</t>
        </is>
      </c>
      <c r="J2782" s="8" t="n">
        <v>2017</v>
      </c>
      <c r="K2782" s="9" t="n">
        <v>159967</v>
      </c>
      <c r="L2782" s="10" t="n">
        <v>297000</v>
      </c>
      <c r="M2782" s="10" t="n">
        <v>8474.58</v>
      </c>
      <c r="N2782" s="11">
        <f>IF(M2782="","",ROUND(M2782*1.18,2))</f>
        <v/>
      </c>
      <c r="O2782" s="12">
        <f>IF(M2782="","",ROUND(N2782-M2782,2))</f>
        <v/>
      </c>
      <c r="P2782" s="13">
        <f>IF(AND(A2782&lt;&gt;"",B2782&lt;&gt;""), A2782&amp;" · "&amp;B2782, "")</f>
        <v/>
      </c>
    </row>
    <row r="2783">
      <c r="A2783" s="6" t="inlineStr">
        <is>
          <t>FY27</t>
        </is>
      </c>
      <c r="B2783" s="6" t="inlineStr">
        <is>
          <t>Jul</t>
        </is>
      </c>
      <c r="C2783" s="6" t="inlineStr">
        <is>
          <t>AP/TS</t>
        </is>
      </c>
      <c r="D2783" s="7" t="inlineStr">
        <is>
          <t>TS10EP2960</t>
        </is>
      </c>
      <c r="E2783" s="7" t="inlineStr">
        <is>
          <t>MARUTI SUZUKI</t>
        </is>
      </c>
      <c r="F2783" s="7" t="inlineStr">
        <is>
          <t>Celerio X</t>
        </is>
      </c>
      <c r="G2783" s="7" t="inlineStr">
        <is>
          <t>EXCHANGE</t>
        </is>
      </c>
      <c r="H2783" s="7" t="inlineStr">
        <is>
          <t>Captive</t>
        </is>
      </c>
      <c r="I2783" s="7" t="inlineStr">
        <is>
          <t>Vara Rajendra Varma</t>
        </is>
      </c>
      <c r="J2783" s="8" t="n">
        <v>2018</v>
      </c>
      <c r="K2783" s="9" t="n">
        <v>12601</v>
      </c>
      <c r="L2783" s="10" t="n">
        <v>293000</v>
      </c>
      <c r="M2783" s="10" t="n">
        <v>6779.66</v>
      </c>
      <c r="N2783" s="11">
        <f>IF(M2783="","",ROUND(M2783*1.18,2))</f>
        <v/>
      </c>
      <c r="O2783" s="12">
        <f>IF(M2783="","",ROUND(N2783-M2783,2))</f>
        <v/>
      </c>
      <c r="P2783" s="13">
        <f>IF(AND(A2783&lt;&gt;"",B2783&lt;&gt;""), A2783&amp;" · "&amp;B2783, "")</f>
        <v/>
      </c>
    </row>
    <row r="2784">
      <c r="A2784" s="6" t="inlineStr">
        <is>
          <t>FY27</t>
        </is>
      </c>
      <c r="B2784" s="6" t="inlineStr">
        <is>
          <t>Jul</t>
        </is>
      </c>
      <c r="C2784" s="6" t="inlineStr">
        <is>
          <t>AP/TS</t>
        </is>
      </c>
      <c r="D2784" s="7" t="inlineStr">
        <is>
          <t>TS15EV1921</t>
        </is>
      </c>
      <c r="E2784" s="7" t="inlineStr">
        <is>
          <t>TOYOTA</t>
        </is>
      </c>
      <c r="F2784" s="7" t="inlineStr">
        <is>
          <t>Etios</t>
        </is>
      </c>
      <c r="G2784" s="7" t="inlineStr">
        <is>
          <t>BUKYA SANTHOSH NAIK</t>
        </is>
      </c>
      <c r="H2784" s="7" t="inlineStr">
        <is>
          <t>Non-Captive</t>
        </is>
      </c>
      <c r="I2784" s="7" t="inlineStr">
        <is>
          <t>K Surendra Reddy (KSR Enterprises</t>
        </is>
      </c>
      <c r="J2784" s="8" t="n">
        <v>2018</v>
      </c>
      <c r="K2784" s="9" t="n">
        <v>142251</v>
      </c>
      <c r="L2784" s="10" t="n">
        <v>247500</v>
      </c>
      <c r="M2784" s="10" t="n">
        <v>6355.93</v>
      </c>
      <c r="N2784" s="11">
        <f>IF(M2784="","",ROUND(M2784*1.18,2))</f>
        <v/>
      </c>
      <c r="O2784" s="12">
        <f>IF(M2784="","",ROUND(N2784-M2784,2))</f>
        <v/>
      </c>
      <c r="P2784" s="13">
        <f>IF(AND(A2784&lt;&gt;"",B2784&lt;&gt;""), A2784&amp;" · "&amp;B2784, "")</f>
        <v/>
      </c>
    </row>
    <row r="2785">
      <c r="A2785" s="6" t="inlineStr">
        <is>
          <t>FY27</t>
        </is>
      </c>
      <c r="B2785" s="6" t="inlineStr">
        <is>
          <t>Jul</t>
        </is>
      </c>
      <c r="C2785" s="6" t="inlineStr">
        <is>
          <t>Kerala</t>
        </is>
      </c>
      <c r="D2785" s="7" t="inlineStr">
        <is>
          <t>KL01AV2701</t>
        </is>
      </c>
      <c r="E2785" s="7" t="inlineStr">
        <is>
          <t>MARUTI SUZUKI</t>
        </is>
      </c>
      <c r="F2785" s="7" t="inlineStr">
        <is>
          <t>SX4</t>
        </is>
      </c>
      <c r="G2785" s="7" t="inlineStr">
        <is>
          <t>POPULAR MARUTI</t>
        </is>
      </c>
      <c r="H2785" s="7" t="inlineStr">
        <is>
          <t>Non-Captive</t>
        </is>
      </c>
      <c r="I2785" s="7" t="inlineStr">
        <is>
          <t>RAFEEK T A</t>
        </is>
      </c>
      <c r="J2785" s="8" t="n">
        <v>2009</v>
      </c>
      <c r="K2785" s="9" t="n">
        <v>96578</v>
      </c>
      <c r="L2785" s="10" t="n">
        <v>70000</v>
      </c>
      <c r="M2785" s="10" t="n">
        <v>8474.58</v>
      </c>
      <c r="N2785" s="11">
        <f>IF(M2785="","",ROUND(M2785*1.18,2))</f>
        <v/>
      </c>
      <c r="O2785" s="12">
        <f>IF(M2785="","",ROUND(N2785-M2785,2))</f>
        <v/>
      </c>
      <c r="P2785" s="13">
        <f>IF(AND(A2785&lt;&gt;"",B2785&lt;&gt;""), A2785&amp;" · "&amp;B2785, "")</f>
        <v/>
      </c>
    </row>
    <row r="2786">
      <c r="A2786" s="6" t="inlineStr">
        <is>
          <t>FY27</t>
        </is>
      </c>
      <c r="B2786" s="6" t="inlineStr">
        <is>
          <t>Jul</t>
        </is>
      </c>
      <c r="C2786" s="6" t="inlineStr">
        <is>
          <t>Kerala</t>
        </is>
      </c>
      <c r="D2786" s="7" t="inlineStr">
        <is>
          <t>KL01BF4051</t>
        </is>
      </c>
      <c r="E2786" s="7" t="inlineStr">
        <is>
          <t>MARUTI SUZUKI</t>
        </is>
      </c>
      <c r="F2786" s="7" t="inlineStr">
        <is>
          <t>Zen Estilo</t>
        </is>
      </c>
      <c r="G2786" s="7" t="inlineStr">
        <is>
          <t>POPULAR MARUTI</t>
        </is>
      </c>
      <c r="H2786" s="7" t="inlineStr">
        <is>
          <t>Non-Captive</t>
        </is>
      </c>
      <c r="I2786" s="7" t="inlineStr">
        <is>
          <t>GS USED CAR</t>
        </is>
      </c>
      <c r="J2786" s="8" t="n">
        <v>2012</v>
      </c>
      <c r="K2786" s="9" t="n">
        <v>39000</v>
      </c>
      <c r="L2786" s="10" t="n">
        <v>120000</v>
      </c>
      <c r="M2786" s="10" t="n">
        <v>12711.86</v>
      </c>
      <c r="N2786" s="11">
        <f>IF(M2786="","",ROUND(M2786*1.18,2))</f>
        <v/>
      </c>
      <c r="O2786" s="12">
        <f>IF(M2786="","",ROUND(N2786-M2786,2))</f>
        <v/>
      </c>
      <c r="P2786" s="13">
        <f>IF(AND(A2786&lt;&gt;"",B2786&lt;&gt;""), A2786&amp;" · "&amp;B2786, "")</f>
        <v/>
      </c>
    </row>
    <row r="2787">
      <c r="A2787" s="6" t="inlineStr">
        <is>
          <t>FY27</t>
        </is>
      </c>
      <c r="B2787" s="6" t="inlineStr">
        <is>
          <t>Jul</t>
        </is>
      </c>
      <c r="C2787" s="6" t="inlineStr">
        <is>
          <t>Kerala</t>
        </is>
      </c>
      <c r="D2787" s="7" t="inlineStr">
        <is>
          <t>KL01BG5614</t>
        </is>
      </c>
      <c r="E2787" s="7" t="inlineStr">
        <is>
          <t>SKODA</t>
        </is>
      </c>
      <c r="F2787" s="7" t="inlineStr">
        <is>
          <t>Fabia</t>
        </is>
      </c>
      <c r="G2787" s="7" t="inlineStr">
        <is>
          <t>EVM CITROEN</t>
        </is>
      </c>
      <c r="H2787" s="7" t="inlineStr">
        <is>
          <t>Non-Captive</t>
        </is>
      </c>
      <c r="I2787" s="7" t="inlineStr">
        <is>
          <t>PRAJOD</t>
        </is>
      </c>
      <c r="J2787" s="8" t="n">
        <v>2012</v>
      </c>
      <c r="K2787" s="9" t="n">
        <v>179000</v>
      </c>
      <c r="L2787" s="10" t="n">
        <v>57000</v>
      </c>
      <c r="M2787" s="10" t="n">
        <v>5932.2</v>
      </c>
      <c r="N2787" s="11">
        <f>IF(M2787="","",ROUND(M2787*1.18,2))</f>
        <v/>
      </c>
      <c r="O2787" s="12">
        <f>IF(M2787="","",ROUND(N2787-M2787,2))</f>
        <v/>
      </c>
      <c r="P2787" s="13">
        <f>IF(AND(A2787&lt;&gt;"",B2787&lt;&gt;""), A2787&amp;" · "&amp;B2787, "")</f>
        <v/>
      </c>
    </row>
    <row r="2788">
      <c r="A2788" s="6" t="inlineStr">
        <is>
          <t>FY27</t>
        </is>
      </c>
      <c r="B2788" s="6" t="inlineStr">
        <is>
          <t>Jul</t>
        </is>
      </c>
      <c r="C2788" s="6" t="inlineStr">
        <is>
          <t>Kerala</t>
        </is>
      </c>
      <c r="D2788" s="7" t="inlineStr">
        <is>
          <t>KL01BQ3104</t>
        </is>
      </c>
      <c r="E2788" s="7" t="inlineStr">
        <is>
          <t>HYUNDAI</t>
        </is>
      </c>
      <c r="F2788" s="7" t="inlineStr">
        <is>
          <t>i10</t>
        </is>
      </c>
      <c r="G2788" s="7" t="inlineStr">
        <is>
          <t>NIPPON TOYOTA</t>
        </is>
      </c>
      <c r="H2788" s="7" t="inlineStr">
        <is>
          <t>Non-Captive</t>
        </is>
      </c>
      <c r="I2788" s="7" t="inlineStr">
        <is>
          <t>KISHORE</t>
        </is>
      </c>
      <c r="J2788" s="8" t="n">
        <v>2014</v>
      </c>
      <c r="K2788" s="9" t="n">
        <v>31000</v>
      </c>
      <c r="L2788" s="10" t="n">
        <v>208000</v>
      </c>
      <c r="M2788" s="10" t="n">
        <v>6779.66</v>
      </c>
      <c r="N2788" s="11">
        <f>IF(M2788="","",ROUND(M2788*1.18,2))</f>
        <v/>
      </c>
      <c r="O2788" s="12">
        <f>IF(M2788="","",ROUND(N2788-M2788,2))</f>
        <v/>
      </c>
      <c r="P2788" s="13">
        <f>IF(AND(A2788&lt;&gt;"",B2788&lt;&gt;""), A2788&amp;" · "&amp;B2788, "")</f>
        <v/>
      </c>
    </row>
    <row r="2789">
      <c r="A2789" s="6" t="inlineStr">
        <is>
          <t>FY27</t>
        </is>
      </c>
      <c r="B2789" s="6" t="inlineStr">
        <is>
          <t>Jul</t>
        </is>
      </c>
      <c r="C2789" s="6" t="inlineStr">
        <is>
          <t>Kerala</t>
        </is>
      </c>
      <c r="D2789" s="7" t="inlineStr">
        <is>
          <t>KL01BU1758</t>
        </is>
      </c>
      <c r="E2789" s="7" t="inlineStr">
        <is>
          <t>TATA</t>
        </is>
      </c>
      <c r="F2789" s="7" t="inlineStr">
        <is>
          <t>Nano</t>
        </is>
      </c>
      <c r="G2789" s="7" t="inlineStr">
        <is>
          <t>DERIK TATA</t>
        </is>
      </c>
      <c r="H2789" s="7" t="inlineStr">
        <is>
          <t>Non-Captive</t>
        </is>
      </c>
      <c r="I2789" s="7" t="inlineStr">
        <is>
          <t>KISHORE</t>
        </is>
      </c>
      <c r="J2789" s="8" t="n">
        <v>2015</v>
      </c>
      <c r="K2789" s="9" t="n">
        <v>89000</v>
      </c>
      <c r="L2789" s="10" t="n">
        <v>47000</v>
      </c>
      <c r="M2789" s="10" t="n">
        <v>5932.2</v>
      </c>
      <c r="N2789" s="11">
        <f>IF(M2789="","",ROUND(M2789*1.18,2))</f>
        <v/>
      </c>
      <c r="O2789" s="12">
        <f>IF(M2789="","",ROUND(N2789-M2789,2))</f>
        <v/>
      </c>
      <c r="P2789" s="13">
        <f>IF(AND(A2789&lt;&gt;"",B2789&lt;&gt;""), A2789&amp;" · "&amp;B2789, "")</f>
        <v/>
      </c>
    </row>
    <row r="2790">
      <c r="A2790" s="6" t="inlineStr">
        <is>
          <t>FY27</t>
        </is>
      </c>
      <c r="B2790" s="6" t="inlineStr">
        <is>
          <t>Jul</t>
        </is>
      </c>
      <c r="C2790" s="6" t="inlineStr">
        <is>
          <t>Kerala</t>
        </is>
      </c>
      <c r="D2790" s="7" t="inlineStr">
        <is>
          <t>KL01CE2488</t>
        </is>
      </c>
      <c r="E2790" s="7" t="inlineStr">
        <is>
          <t>HYUNDAI</t>
        </is>
      </c>
      <c r="F2790" s="7" t="inlineStr">
        <is>
          <t>i10</t>
        </is>
      </c>
      <c r="G2790" s="7" t="inlineStr">
        <is>
          <t>PINNACLE NISSAN</t>
        </is>
      </c>
      <c r="H2790" s="7" t="inlineStr">
        <is>
          <t>Non-Captive</t>
        </is>
      </c>
      <c r="I2790" s="7" t="inlineStr">
        <is>
          <t>SHAHAR</t>
        </is>
      </c>
      <c r="J2790" s="8" t="n">
        <v>2014</v>
      </c>
      <c r="K2790" s="9" t="n">
        <v>84000</v>
      </c>
      <c r="L2790" s="10" t="n">
        <v>138000</v>
      </c>
      <c r="M2790" s="10" t="n">
        <v>6779.66</v>
      </c>
      <c r="N2790" s="11">
        <f>IF(M2790="","",ROUND(M2790*1.18,2))</f>
        <v/>
      </c>
      <c r="O2790" s="12">
        <f>IF(M2790="","",ROUND(N2790-M2790,2))</f>
        <v/>
      </c>
      <c r="P2790" s="13">
        <f>IF(AND(A2790&lt;&gt;"",B2790&lt;&gt;""), A2790&amp;" · "&amp;B2790, "")</f>
        <v/>
      </c>
    </row>
    <row r="2791">
      <c r="A2791" s="6" t="inlineStr">
        <is>
          <t>FY27</t>
        </is>
      </c>
      <c r="B2791" s="6" t="inlineStr">
        <is>
          <t>Jul</t>
        </is>
      </c>
      <c r="C2791" s="6" t="inlineStr">
        <is>
          <t>Kerala</t>
        </is>
      </c>
      <c r="D2791" s="7" t="inlineStr">
        <is>
          <t>KL01CG4936</t>
        </is>
      </c>
      <c r="E2791" s="7" t="inlineStr">
        <is>
          <t>MARUTI SUZUKI</t>
        </is>
      </c>
      <c r="F2791" s="7" t="inlineStr">
        <is>
          <t>Wagon R</t>
        </is>
      </c>
      <c r="G2791" s="7" t="inlineStr">
        <is>
          <t>POPULAR MARUTI</t>
        </is>
      </c>
      <c r="H2791" s="7" t="inlineStr">
        <is>
          <t>Non-Captive</t>
        </is>
      </c>
      <c r="I2791" s="7" t="inlineStr">
        <is>
          <t>Varun Prakash</t>
        </is>
      </c>
      <c r="J2791" s="8" t="n">
        <v>2018</v>
      </c>
      <c r="K2791" s="9" t="n">
        <v>99000</v>
      </c>
      <c r="L2791" s="10" t="n">
        <v>227000</v>
      </c>
      <c r="M2791" s="10" t="n">
        <v>5932.2</v>
      </c>
      <c r="N2791" s="11">
        <f>IF(M2791="","",ROUND(M2791*1.18,2))</f>
        <v/>
      </c>
      <c r="O2791" s="12">
        <f>IF(M2791="","",ROUND(N2791-M2791,2))</f>
        <v/>
      </c>
      <c r="P2791" s="13">
        <f>IF(AND(A2791&lt;&gt;"",B2791&lt;&gt;""), A2791&amp;" · "&amp;B2791, "")</f>
        <v/>
      </c>
    </row>
    <row r="2792">
      <c r="A2792" s="6" t="inlineStr">
        <is>
          <t>FY27</t>
        </is>
      </c>
      <c r="B2792" s="6" t="inlineStr">
        <is>
          <t>Jul</t>
        </is>
      </c>
      <c r="C2792" s="6" t="inlineStr">
        <is>
          <t>Kerala</t>
        </is>
      </c>
      <c r="D2792" s="7" t="inlineStr">
        <is>
          <t>KL01CV2325</t>
        </is>
      </c>
      <c r="E2792" s="7" t="inlineStr">
        <is>
          <t>RENAULT</t>
        </is>
      </c>
      <c r="F2792" s="7" t="inlineStr">
        <is>
          <t>Kiger</t>
        </is>
      </c>
      <c r="G2792" s="7" t="inlineStr">
        <is>
          <t>UCD HARIS</t>
        </is>
      </c>
      <c r="H2792" s="7" t="inlineStr">
        <is>
          <t>Non-Captive</t>
        </is>
      </c>
      <c r="I2792" s="7" t="inlineStr">
        <is>
          <t>Varun B Prakash</t>
        </is>
      </c>
      <c r="J2792" s="8" t="n">
        <v>2022</v>
      </c>
      <c r="K2792" s="9" t="n">
        <v>35000</v>
      </c>
      <c r="L2792" s="10" t="n">
        <v>495000</v>
      </c>
      <c r="M2792" s="10" t="n">
        <v>8474.58</v>
      </c>
      <c r="N2792" s="11">
        <f>IF(M2792="","",ROUND(M2792*1.18,2))</f>
        <v/>
      </c>
      <c r="O2792" s="12">
        <f>IF(M2792="","",ROUND(N2792-M2792,2))</f>
        <v/>
      </c>
      <c r="P2792" s="13">
        <f>IF(AND(A2792&lt;&gt;"",B2792&lt;&gt;""), A2792&amp;" · "&amp;B2792, "")</f>
        <v/>
      </c>
    </row>
    <row r="2793">
      <c r="A2793" s="6" t="inlineStr">
        <is>
          <t>FY27</t>
        </is>
      </c>
      <c r="B2793" s="6" t="inlineStr">
        <is>
          <t>Jul</t>
        </is>
      </c>
      <c r="C2793" s="6" t="inlineStr">
        <is>
          <t>Kerala</t>
        </is>
      </c>
      <c r="D2793" s="7" t="inlineStr">
        <is>
          <t>KL02AA6406</t>
        </is>
      </c>
      <c r="E2793" s="7" t="inlineStr">
        <is>
          <t>MARUTI SUZUKI</t>
        </is>
      </c>
      <c r="F2793" s="7" t="inlineStr">
        <is>
          <t>Wagon R</t>
        </is>
      </c>
      <c r="G2793" s="7" t="inlineStr">
        <is>
          <t>LUXON TATA</t>
        </is>
      </c>
      <c r="H2793" s="7" t="inlineStr">
        <is>
          <t>Non-Captive</t>
        </is>
      </c>
      <c r="I2793" s="7" t="inlineStr">
        <is>
          <t>AKHILNATH</t>
        </is>
      </c>
      <c r="J2793" s="8" t="n">
        <v>2007</v>
      </c>
      <c r="K2793" s="9" t="n">
        <v>188000</v>
      </c>
      <c r="L2793" s="10" t="n">
        <v>60000</v>
      </c>
      <c r="M2793" s="10" t="n">
        <v>5932.2</v>
      </c>
      <c r="N2793" s="11">
        <f>IF(M2793="","",ROUND(M2793*1.18,2))</f>
        <v/>
      </c>
      <c r="O2793" s="12">
        <f>IF(M2793="","",ROUND(N2793-M2793,2))</f>
        <v/>
      </c>
      <c r="P2793" s="13">
        <f>IF(AND(A2793&lt;&gt;"",B2793&lt;&gt;""), A2793&amp;" · "&amp;B2793, "")</f>
        <v/>
      </c>
    </row>
    <row r="2794">
      <c r="A2794" s="6" t="inlineStr">
        <is>
          <t>FY27</t>
        </is>
      </c>
      <c r="B2794" s="6" t="inlineStr">
        <is>
          <t>Jul</t>
        </is>
      </c>
      <c r="C2794" s="6" t="inlineStr">
        <is>
          <t>Kerala</t>
        </is>
      </c>
      <c r="D2794" s="7" t="inlineStr">
        <is>
          <t>KL02AH8523</t>
        </is>
      </c>
      <c r="E2794" s="7" t="inlineStr">
        <is>
          <t>HYUNDAI</t>
        </is>
      </c>
      <c r="F2794" s="7" t="inlineStr">
        <is>
          <t>i10</t>
        </is>
      </c>
      <c r="G2794" s="7" t="inlineStr">
        <is>
          <t>LUXON TATA</t>
        </is>
      </c>
      <c r="H2794" s="7" t="inlineStr">
        <is>
          <t>Non-Captive</t>
        </is>
      </c>
      <c r="I2794" s="7" t="inlineStr">
        <is>
          <t>SAJIN</t>
        </is>
      </c>
      <c r="J2794" s="8" t="n">
        <v>2011</v>
      </c>
      <c r="K2794" s="9" t="n">
        <v>92266</v>
      </c>
      <c r="L2794" s="10" t="n">
        <v>87000</v>
      </c>
      <c r="M2794" s="10" t="n">
        <v>5932.2</v>
      </c>
      <c r="N2794" s="11">
        <f>IF(M2794="","",ROUND(M2794*1.18,2))</f>
        <v/>
      </c>
      <c r="O2794" s="12">
        <f>IF(M2794="","",ROUND(N2794-M2794,2))</f>
        <v/>
      </c>
      <c r="P2794" s="13">
        <f>IF(AND(A2794&lt;&gt;"",B2794&lt;&gt;""), A2794&amp;" · "&amp;B2794, "")</f>
        <v/>
      </c>
    </row>
    <row r="2795">
      <c r="A2795" s="6" t="inlineStr">
        <is>
          <t>FY27</t>
        </is>
      </c>
      <c r="B2795" s="6" t="inlineStr">
        <is>
          <t>Jul</t>
        </is>
      </c>
      <c r="C2795" s="6" t="inlineStr">
        <is>
          <t>Kerala</t>
        </is>
      </c>
      <c r="D2795" s="7" t="inlineStr">
        <is>
          <t>KL02AJ7835</t>
        </is>
      </c>
      <c r="E2795" s="7" t="inlineStr">
        <is>
          <t>HYUNDAI</t>
        </is>
      </c>
      <c r="F2795" s="7" t="inlineStr">
        <is>
          <t>i20</t>
        </is>
      </c>
      <c r="G2795" s="7" t="inlineStr">
        <is>
          <t>POPULAR MARUTI</t>
        </is>
      </c>
      <c r="H2795" s="7" t="inlineStr">
        <is>
          <t>Non-Captive</t>
        </is>
      </c>
      <c r="I2795" s="7" t="inlineStr">
        <is>
          <t>Aitos Cars</t>
        </is>
      </c>
      <c r="J2795" s="8" t="n">
        <v>2012</v>
      </c>
      <c r="K2795" s="9" t="n">
        <v>184000</v>
      </c>
      <c r="L2795" s="10" t="n">
        <v>130000</v>
      </c>
      <c r="M2795" s="10" t="n">
        <v>8474.58</v>
      </c>
      <c r="N2795" s="11">
        <f>IF(M2795="","",ROUND(M2795*1.18,2))</f>
        <v/>
      </c>
      <c r="O2795" s="12">
        <f>IF(M2795="","",ROUND(N2795-M2795,2))</f>
        <v/>
      </c>
      <c r="P2795" s="13">
        <f>IF(AND(A2795&lt;&gt;"",B2795&lt;&gt;""), A2795&amp;" · "&amp;B2795, "")</f>
        <v/>
      </c>
    </row>
    <row r="2796">
      <c r="A2796" s="6" t="inlineStr">
        <is>
          <t>FY27</t>
        </is>
      </c>
      <c r="B2796" s="6" t="inlineStr">
        <is>
          <t>Jul</t>
        </is>
      </c>
      <c r="C2796" s="6" t="inlineStr">
        <is>
          <t>Kerala</t>
        </is>
      </c>
      <c r="D2796" s="7" t="inlineStr">
        <is>
          <t>KL02AN4554</t>
        </is>
      </c>
      <c r="E2796" s="7" t="inlineStr">
        <is>
          <t>MAHINDRA</t>
        </is>
      </c>
      <c r="F2796" s="7" t="inlineStr">
        <is>
          <t>Verito</t>
        </is>
      </c>
      <c r="G2796" s="7" t="inlineStr">
        <is>
          <t>LUXON TATA</t>
        </is>
      </c>
      <c r="H2796" s="7" t="inlineStr">
        <is>
          <t>Non-Captive</t>
        </is>
      </c>
      <c r="I2796" s="7" t="inlineStr">
        <is>
          <t>MUHAMMED NASIM</t>
        </is>
      </c>
      <c r="J2796" s="8" t="n">
        <v>2013</v>
      </c>
      <c r="K2796" s="9" t="n">
        <v>153000</v>
      </c>
      <c r="L2796" s="10" t="n">
        <v>77000</v>
      </c>
      <c r="M2796" s="10" t="n">
        <v>5932.2</v>
      </c>
      <c r="N2796" s="11">
        <f>IF(M2796="","",ROUND(M2796*1.18,2))</f>
        <v/>
      </c>
      <c r="O2796" s="12">
        <f>IF(M2796="","",ROUND(N2796-M2796,2))</f>
        <v/>
      </c>
      <c r="P2796" s="13">
        <f>IF(AND(A2796&lt;&gt;"",B2796&lt;&gt;""), A2796&amp;" · "&amp;B2796, "")</f>
        <v/>
      </c>
    </row>
    <row r="2797">
      <c r="A2797" s="6" t="inlineStr">
        <is>
          <t>FY27</t>
        </is>
      </c>
      <c r="B2797" s="6" t="inlineStr">
        <is>
          <t>Jul</t>
        </is>
      </c>
      <c r="C2797" s="6" t="inlineStr">
        <is>
          <t>Kerala</t>
        </is>
      </c>
      <c r="D2797" s="7" t="inlineStr">
        <is>
          <t>KL02AV0942</t>
        </is>
      </c>
      <c r="E2797" s="7" t="inlineStr">
        <is>
          <t>MARUTI SUZUKI</t>
        </is>
      </c>
      <c r="F2797" s="7" t="inlineStr">
        <is>
          <t>Swift</t>
        </is>
      </c>
      <c r="G2797" s="7" t="inlineStr">
        <is>
          <t>INCHEON KIA</t>
        </is>
      </c>
      <c r="H2797" s="7" t="inlineStr">
        <is>
          <t>Non-Captive</t>
        </is>
      </c>
      <c r="I2797" s="7" t="inlineStr">
        <is>
          <t>FIROZ I</t>
        </is>
      </c>
      <c r="J2797" s="8" t="n">
        <v>2015</v>
      </c>
      <c r="K2797" s="9" t="n">
        <v>88000</v>
      </c>
      <c r="L2797" s="10" t="n">
        <v>320000</v>
      </c>
      <c r="M2797" s="10" t="n">
        <v>5932.2</v>
      </c>
      <c r="N2797" s="11">
        <f>IF(M2797="","",ROUND(M2797*1.18,2))</f>
        <v/>
      </c>
      <c r="O2797" s="12">
        <f>IF(M2797="","",ROUND(N2797-M2797,2))</f>
        <v/>
      </c>
      <c r="P2797" s="13">
        <f>IF(AND(A2797&lt;&gt;"",B2797&lt;&gt;""), A2797&amp;" · "&amp;B2797, "")</f>
        <v/>
      </c>
    </row>
    <row r="2798">
      <c r="A2798" s="6" t="inlineStr">
        <is>
          <t>FY27</t>
        </is>
      </c>
      <c r="B2798" s="6" t="inlineStr">
        <is>
          <t>Jul</t>
        </is>
      </c>
      <c r="C2798" s="6" t="inlineStr">
        <is>
          <t>Kerala</t>
        </is>
      </c>
      <c r="D2798" s="7" t="inlineStr">
        <is>
          <t>KL02BC5127</t>
        </is>
      </c>
      <c r="E2798" s="7" t="inlineStr">
        <is>
          <t>MARUTI SUZUKI</t>
        </is>
      </c>
      <c r="F2798" s="7" t="inlineStr">
        <is>
          <t>Alto</t>
        </is>
      </c>
      <c r="G2798" s="7" t="inlineStr">
        <is>
          <t>INCHEON KIA</t>
        </is>
      </c>
      <c r="H2798" s="7" t="inlineStr">
        <is>
          <t>Non-Captive</t>
        </is>
      </c>
      <c r="I2798" s="7" t="inlineStr">
        <is>
          <t>ARUN GOPI</t>
        </is>
      </c>
      <c r="J2798" s="8" t="n">
        <v>2017</v>
      </c>
      <c r="K2798" s="9" t="n">
        <v>16250</v>
      </c>
      <c r="L2798" s="10" t="n">
        <v>255000</v>
      </c>
      <c r="M2798" s="10" t="n">
        <v>8474.58</v>
      </c>
      <c r="N2798" s="11">
        <f>IF(M2798="","",ROUND(M2798*1.18,2))</f>
        <v/>
      </c>
      <c r="O2798" s="12">
        <f>IF(M2798="","",ROUND(N2798-M2798,2))</f>
        <v/>
      </c>
      <c r="P2798" s="13">
        <f>IF(AND(A2798&lt;&gt;"",B2798&lt;&gt;""), A2798&amp;" · "&amp;B2798, "")</f>
        <v/>
      </c>
    </row>
    <row r="2799">
      <c r="A2799" s="6" t="inlineStr">
        <is>
          <t>FY27</t>
        </is>
      </c>
      <c r="B2799" s="6" t="inlineStr">
        <is>
          <t>Jul</t>
        </is>
      </c>
      <c r="C2799" s="6" t="inlineStr">
        <is>
          <t>Kerala</t>
        </is>
      </c>
      <c r="D2799" s="7" t="inlineStr">
        <is>
          <t>KL02BK7349</t>
        </is>
      </c>
      <c r="E2799" s="7" t="inlineStr">
        <is>
          <t>RENAULT</t>
        </is>
      </c>
      <c r="F2799" s="7" t="inlineStr">
        <is>
          <t>Triber</t>
        </is>
      </c>
      <c r="G2799" s="7" t="inlineStr">
        <is>
          <t>SARATHY NEXA</t>
        </is>
      </c>
      <c r="H2799" s="7" t="inlineStr">
        <is>
          <t>Non-Captive</t>
        </is>
      </c>
      <c r="I2799" s="7" t="inlineStr">
        <is>
          <t>Clind</t>
        </is>
      </c>
      <c r="J2799" s="8" t="n">
        <v>2019</v>
      </c>
      <c r="K2799" s="9" t="n">
        <v>63445</v>
      </c>
      <c r="L2799" s="10" t="n">
        <v>300000</v>
      </c>
      <c r="M2799" s="10" t="n">
        <v>6779.66</v>
      </c>
      <c r="N2799" s="11">
        <f>IF(M2799="","",ROUND(M2799*1.18,2))</f>
        <v/>
      </c>
      <c r="O2799" s="12">
        <f>IF(M2799="","",ROUND(N2799-M2799,2))</f>
        <v/>
      </c>
      <c r="P2799" s="13">
        <f>IF(AND(A2799&lt;&gt;"",B2799&lt;&gt;""), A2799&amp;" · "&amp;B2799, "")</f>
        <v/>
      </c>
    </row>
    <row r="2800">
      <c r="A2800" s="6" t="inlineStr">
        <is>
          <t>FY27</t>
        </is>
      </c>
      <c r="B2800" s="6" t="inlineStr">
        <is>
          <t>Jul</t>
        </is>
      </c>
      <c r="C2800" s="6" t="inlineStr">
        <is>
          <t>Kerala</t>
        </is>
      </c>
      <c r="D2800" s="7" t="inlineStr">
        <is>
          <t>KL02BN7929</t>
        </is>
      </c>
      <c r="E2800" s="7" t="inlineStr">
        <is>
          <t>RENAULT</t>
        </is>
      </c>
      <c r="F2800" s="7" t="inlineStr">
        <is>
          <t>Kiger</t>
        </is>
      </c>
      <c r="G2800" s="7" t="inlineStr">
        <is>
          <t>INCHEON KIA</t>
        </is>
      </c>
      <c r="H2800" s="7" t="inlineStr">
        <is>
          <t>Non-Captive</t>
        </is>
      </c>
      <c r="I2800" s="7" t="inlineStr">
        <is>
          <t>MAXX MOTORS</t>
        </is>
      </c>
      <c r="J2800" s="8" t="n">
        <v>2021</v>
      </c>
      <c r="K2800" s="9" t="n">
        <v>15743</v>
      </c>
      <c r="L2800" s="10" t="n">
        <v>500000</v>
      </c>
      <c r="M2800" s="10" t="n">
        <v>8474.58</v>
      </c>
      <c r="N2800" s="11">
        <f>IF(M2800="","",ROUND(M2800*1.18,2))</f>
        <v/>
      </c>
      <c r="O2800" s="12">
        <f>IF(M2800="","",ROUND(N2800-M2800,2))</f>
        <v/>
      </c>
      <c r="P2800" s="13">
        <f>IF(AND(A2800&lt;&gt;"",B2800&lt;&gt;""), A2800&amp;" · "&amp;B2800, "")</f>
        <v/>
      </c>
    </row>
    <row r="2801">
      <c r="A2801" s="6" t="inlineStr">
        <is>
          <t>FY27</t>
        </is>
      </c>
      <c r="B2801" s="6" t="inlineStr">
        <is>
          <t>Jul</t>
        </is>
      </c>
      <c r="C2801" s="6" t="inlineStr">
        <is>
          <t>Kerala</t>
        </is>
      </c>
      <c r="D2801" s="7" t="inlineStr">
        <is>
          <t>KL02Z0287</t>
        </is>
      </c>
      <c r="E2801" s="7" t="inlineStr">
        <is>
          <t>MARUTI SUZUKI</t>
        </is>
      </c>
      <c r="F2801" s="7" t="inlineStr">
        <is>
          <t>Alto</t>
        </is>
      </c>
      <c r="G2801" s="7" t="inlineStr">
        <is>
          <t>MUTHOOT HONDA</t>
        </is>
      </c>
      <c r="H2801" s="7" t="inlineStr">
        <is>
          <t>Non-Captive</t>
        </is>
      </c>
      <c r="I2801" s="7" t="inlineStr">
        <is>
          <t>SHAHAR</t>
        </is>
      </c>
      <c r="J2801" s="8" t="n">
        <v>2006</v>
      </c>
      <c r="K2801" s="9" t="n">
        <v>65000</v>
      </c>
      <c r="L2801" s="10" t="n">
        <v>40000</v>
      </c>
      <c r="M2801" s="10" t="n">
        <v>8474.58</v>
      </c>
      <c r="N2801" s="11">
        <f>IF(M2801="","",ROUND(M2801*1.18,2))</f>
        <v/>
      </c>
      <c r="O2801" s="12">
        <f>IF(M2801="","",ROUND(N2801-M2801,2))</f>
        <v/>
      </c>
      <c r="P2801" s="13">
        <f>IF(AND(A2801&lt;&gt;"",B2801&lt;&gt;""), A2801&amp;" · "&amp;B2801, "")</f>
        <v/>
      </c>
    </row>
    <row r="2802">
      <c r="A2802" s="6" t="inlineStr">
        <is>
          <t>FY27</t>
        </is>
      </c>
      <c r="B2802" s="6" t="inlineStr">
        <is>
          <t>Jul</t>
        </is>
      </c>
      <c r="C2802" s="6" t="inlineStr">
        <is>
          <t>Kerala</t>
        </is>
      </c>
      <c r="D2802" s="7" t="inlineStr">
        <is>
          <t>KL04Y8457</t>
        </is>
      </c>
      <c r="E2802" s="7" t="inlineStr">
        <is>
          <t>HYUNDAI</t>
        </is>
      </c>
      <c r="F2802" s="7" t="inlineStr">
        <is>
          <t>Santro</t>
        </is>
      </c>
      <c r="G2802" s="7" t="inlineStr">
        <is>
          <t>POPULAR HYUNDAI</t>
        </is>
      </c>
      <c r="H2802" s="7" t="inlineStr">
        <is>
          <t>Non-Captive</t>
        </is>
      </c>
      <c r="I2802" s="7" t="inlineStr">
        <is>
          <t>HUSSAIN O E</t>
        </is>
      </c>
      <c r="J2802" s="8" t="n">
        <v>2009</v>
      </c>
      <c r="K2802" s="9" t="n">
        <v>109730</v>
      </c>
      <c r="L2802" s="10" t="n">
        <v>70000</v>
      </c>
      <c r="M2802" s="10" t="n">
        <v>8474.58</v>
      </c>
      <c r="N2802" s="11">
        <f>IF(M2802="","",ROUND(M2802*1.18,2))</f>
        <v/>
      </c>
      <c r="O2802" s="12">
        <f>IF(M2802="","",ROUND(N2802-M2802,2))</f>
        <v/>
      </c>
      <c r="P2802" s="13">
        <f>IF(AND(A2802&lt;&gt;"",B2802&lt;&gt;""), A2802&amp;" · "&amp;B2802, "")</f>
        <v/>
      </c>
    </row>
    <row r="2803">
      <c r="A2803" s="6" t="inlineStr">
        <is>
          <t>FY27</t>
        </is>
      </c>
      <c r="B2803" s="6" t="inlineStr">
        <is>
          <t>Jul</t>
        </is>
      </c>
      <c r="C2803" s="6" t="inlineStr">
        <is>
          <t>Kerala</t>
        </is>
      </c>
      <c r="D2803" s="7" t="inlineStr">
        <is>
          <t>KL05AE1535</t>
        </is>
      </c>
      <c r="E2803" s="7" t="inlineStr">
        <is>
          <t>MARUTI SUZUKI</t>
        </is>
      </c>
      <c r="F2803" s="7" t="inlineStr">
        <is>
          <t>Dzire</t>
        </is>
      </c>
      <c r="G2803" s="7" t="inlineStr">
        <is>
          <t>POPULAR MARUTI</t>
        </is>
      </c>
      <c r="H2803" s="7" t="inlineStr">
        <is>
          <t>Non-Captive</t>
        </is>
      </c>
      <c r="I2803" s="7" t="inlineStr">
        <is>
          <t>SIJO THOMAS</t>
        </is>
      </c>
      <c r="J2803" s="8" t="n">
        <v>2012</v>
      </c>
      <c r="K2803" s="9" t="n">
        <v>189768</v>
      </c>
      <c r="L2803" s="10" t="n">
        <v>190000</v>
      </c>
      <c r="M2803" s="10" t="n">
        <v>12711.86</v>
      </c>
      <c r="N2803" s="11">
        <f>IF(M2803="","",ROUND(M2803*1.18,2))</f>
        <v/>
      </c>
      <c r="O2803" s="12">
        <f>IF(M2803="","",ROUND(N2803-M2803,2))</f>
        <v/>
      </c>
      <c r="P2803" s="13">
        <f>IF(AND(A2803&lt;&gt;"",B2803&lt;&gt;""), A2803&amp;" · "&amp;B2803, "")</f>
        <v/>
      </c>
    </row>
    <row r="2804">
      <c r="A2804" s="6" t="inlineStr">
        <is>
          <t>FY27</t>
        </is>
      </c>
      <c r="B2804" s="6" t="inlineStr">
        <is>
          <t>Jul</t>
        </is>
      </c>
      <c r="C2804" s="6" t="inlineStr">
        <is>
          <t>Kerala</t>
        </is>
      </c>
      <c r="D2804" s="7" t="inlineStr">
        <is>
          <t>KL05AJ6027</t>
        </is>
      </c>
      <c r="E2804" s="7" t="inlineStr">
        <is>
          <t>HYUNDAI</t>
        </is>
      </c>
      <c r="F2804" s="7" t="inlineStr">
        <is>
          <t>Eon</t>
        </is>
      </c>
      <c r="G2804" s="7" t="inlineStr">
        <is>
          <t>AMRITH V CHANDY</t>
        </is>
      </c>
      <c r="H2804" s="7" t="inlineStr">
        <is>
          <t>Non-Captive</t>
        </is>
      </c>
      <c r="I2804" s="7" t="inlineStr">
        <is>
          <t>Albin Jose</t>
        </is>
      </c>
      <c r="J2804" s="8" t="n">
        <v>2014</v>
      </c>
      <c r="K2804" s="9" t="n">
        <v>86767</v>
      </c>
      <c r="L2804" s="10" t="n">
        <v>135000</v>
      </c>
      <c r="M2804" s="10" t="n">
        <v>8474.58</v>
      </c>
      <c r="N2804" s="11">
        <f>IF(M2804="","",ROUND(M2804*1.18,2))</f>
        <v/>
      </c>
      <c r="O2804" s="12">
        <f>IF(M2804="","",ROUND(N2804-M2804,2))</f>
        <v/>
      </c>
      <c r="P2804" s="13">
        <f>IF(AND(A2804&lt;&gt;"",B2804&lt;&gt;""), A2804&amp;" · "&amp;B2804, "")</f>
        <v/>
      </c>
    </row>
    <row r="2805">
      <c r="A2805" s="6" t="inlineStr">
        <is>
          <t>FY27</t>
        </is>
      </c>
      <c r="B2805" s="6" t="inlineStr">
        <is>
          <t>Jul</t>
        </is>
      </c>
      <c r="C2805" s="6" t="inlineStr">
        <is>
          <t>Kerala</t>
        </is>
      </c>
      <c r="D2805" s="7" t="inlineStr">
        <is>
          <t>KL05AY7677</t>
        </is>
      </c>
      <c r="E2805" s="7" t="inlineStr">
        <is>
          <t>TATA</t>
        </is>
      </c>
      <c r="F2805" s="7" t="inlineStr">
        <is>
          <t>Punch</t>
        </is>
      </c>
      <c r="G2805" s="7" t="inlineStr">
        <is>
          <t>DREAM DRIVE</t>
        </is>
      </c>
      <c r="H2805" s="7" t="inlineStr">
        <is>
          <t>Non-Captive</t>
        </is>
      </c>
      <c r="I2805" s="7" t="inlineStr">
        <is>
          <t>ALBIN</t>
        </is>
      </c>
      <c r="J2805" s="8" t="n">
        <v>2022</v>
      </c>
      <c r="K2805" s="9" t="n">
        <v>72752</v>
      </c>
      <c r="L2805" s="10" t="n">
        <v>533000</v>
      </c>
      <c r="M2805" s="10" t="n">
        <v>11016.95</v>
      </c>
      <c r="N2805" s="11">
        <f>IF(M2805="","",ROUND(M2805*1.18,2))</f>
        <v/>
      </c>
      <c r="O2805" s="12">
        <f>IF(M2805="","",ROUND(N2805-M2805,2))</f>
        <v/>
      </c>
      <c r="P2805" s="13">
        <f>IF(AND(A2805&lt;&gt;"",B2805&lt;&gt;""), A2805&amp;" · "&amp;B2805, "")</f>
        <v/>
      </c>
    </row>
    <row r="2806">
      <c r="A2806" s="6" t="inlineStr">
        <is>
          <t>FY27</t>
        </is>
      </c>
      <c r="B2806" s="6" t="inlineStr">
        <is>
          <t>Jul</t>
        </is>
      </c>
      <c r="C2806" s="6" t="inlineStr">
        <is>
          <t>Kerala</t>
        </is>
      </c>
      <c r="D2806" s="7" t="inlineStr">
        <is>
          <t>KL05X2433</t>
        </is>
      </c>
      <c r="E2806" s="7" t="inlineStr">
        <is>
          <t>HYUNDAI</t>
        </is>
      </c>
      <c r="F2806" s="7" t="inlineStr">
        <is>
          <t>Santro</t>
        </is>
      </c>
      <c r="G2806" s="7" t="inlineStr">
        <is>
          <t>KUNJU MOIDEEN</t>
        </is>
      </c>
      <c r="H2806" s="7" t="inlineStr">
        <is>
          <t>Non-Captive</t>
        </is>
      </c>
      <c r="I2806" s="7" t="inlineStr">
        <is>
          <t>ANAS HAMEEDKUTTY</t>
        </is>
      </c>
      <c r="J2806" s="8" t="n">
        <v>2006</v>
      </c>
      <c r="K2806" s="9" t="n">
        <v>139779</v>
      </c>
      <c r="L2806" s="10" t="n">
        <v>27000</v>
      </c>
      <c r="M2806" s="10" t="n">
        <v>10169.49</v>
      </c>
      <c r="N2806" s="11">
        <f>IF(M2806="","",ROUND(M2806*1.18,2))</f>
        <v/>
      </c>
      <c r="O2806" s="12">
        <f>IF(M2806="","",ROUND(N2806-M2806,2))</f>
        <v/>
      </c>
      <c r="P2806" s="13">
        <f>IF(AND(A2806&lt;&gt;"",B2806&lt;&gt;""), A2806&amp;" · "&amp;B2806, "")</f>
        <v/>
      </c>
    </row>
    <row r="2807">
      <c r="A2807" s="6" t="inlineStr">
        <is>
          <t>FY27</t>
        </is>
      </c>
      <c r="B2807" s="6" t="inlineStr">
        <is>
          <t>Jul</t>
        </is>
      </c>
      <c r="C2807" s="6" t="inlineStr">
        <is>
          <t>Kerala</t>
        </is>
      </c>
      <c r="D2807" s="7" t="inlineStr">
        <is>
          <t>KL05X3212</t>
        </is>
      </c>
      <c r="E2807" s="7" t="inlineStr">
        <is>
          <t>MARUTI SUZUKI</t>
        </is>
      </c>
      <c r="F2807" s="7" t="inlineStr">
        <is>
          <t>800</t>
        </is>
      </c>
      <c r="G2807" s="7" t="inlineStr">
        <is>
          <t>POPULAR MARUTI</t>
        </is>
      </c>
      <c r="H2807" s="7" t="inlineStr">
        <is>
          <t>Non-Captive</t>
        </is>
      </c>
      <c r="I2807" s="7" t="inlineStr">
        <is>
          <t>HUSSAIN O E</t>
        </is>
      </c>
      <c r="J2807" s="8" t="n">
        <v>2006</v>
      </c>
      <c r="K2807" s="9" t="n">
        <v>139000</v>
      </c>
      <c r="L2807" s="10" t="n">
        <v>23000</v>
      </c>
      <c r="M2807" s="10" t="n">
        <v>8898.309999999999</v>
      </c>
      <c r="N2807" s="11">
        <f>IF(M2807="","",ROUND(M2807*1.18,2))</f>
        <v/>
      </c>
      <c r="O2807" s="12">
        <f>IF(M2807="","",ROUND(N2807-M2807,2))</f>
        <v/>
      </c>
      <c r="P2807" s="13">
        <f>IF(AND(A2807&lt;&gt;"",B2807&lt;&gt;""), A2807&amp;" · "&amp;B2807, "")</f>
        <v/>
      </c>
    </row>
    <row r="2808">
      <c r="A2808" s="6" t="inlineStr">
        <is>
          <t>FY27</t>
        </is>
      </c>
      <c r="B2808" s="6" t="inlineStr">
        <is>
          <t>Jul</t>
        </is>
      </c>
      <c r="C2808" s="6" t="inlineStr">
        <is>
          <t>Kerala</t>
        </is>
      </c>
      <c r="D2808" s="7" t="inlineStr">
        <is>
          <t>KL05X6348</t>
        </is>
      </c>
      <c r="E2808" s="7" t="inlineStr">
        <is>
          <t>FORD</t>
        </is>
      </c>
      <c r="F2808" s="7" t="inlineStr">
        <is>
          <t>Fiesta</t>
        </is>
      </c>
      <c r="G2808" s="7" t="inlineStr">
        <is>
          <t>POPULAR HYUNDAI</t>
        </is>
      </c>
      <c r="H2808" s="7" t="inlineStr">
        <is>
          <t>Non-Captive</t>
        </is>
      </c>
      <c r="I2808" s="7" t="inlineStr">
        <is>
          <t>Clind C</t>
        </is>
      </c>
      <c r="J2808" s="8" t="n">
        <v>2007</v>
      </c>
      <c r="K2808" s="9" t="n">
        <v>85000</v>
      </c>
      <c r="L2808" s="10" t="n">
        <v>135000</v>
      </c>
      <c r="M2808" s="10" t="n">
        <v>8474.58</v>
      </c>
      <c r="N2808" s="11">
        <f>IF(M2808="","",ROUND(M2808*1.18,2))</f>
        <v/>
      </c>
      <c r="O2808" s="12">
        <f>IF(M2808="","",ROUND(N2808-M2808,2))</f>
        <v/>
      </c>
      <c r="P2808" s="13">
        <f>IF(AND(A2808&lt;&gt;"",B2808&lt;&gt;""), A2808&amp;" · "&amp;B2808, "")</f>
        <v/>
      </c>
    </row>
    <row r="2809">
      <c r="A2809" s="6" t="inlineStr">
        <is>
          <t>FY27</t>
        </is>
      </c>
      <c r="B2809" s="6" t="inlineStr">
        <is>
          <t>Jul</t>
        </is>
      </c>
      <c r="C2809" s="6" t="inlineStr">
        <is>
          <t>Kerala</t>
        </is>
      </c>
      <c r="D2809" s="7" t="inlineStr">
        <is>
          <t>KL05X8822</t>
        </is>
      </c>
      <c r="E2809" s="7" t="inlineStr">
        <is>
          <t>MARUTI SUZUKI</t>
        </is>
      </c>
      <c r="F2809" s="7" t="inlineStr">
        <is>
          <t>Zen Estilo</t>
        </is>
      </c>
      <c r="G2809" s="7" t="inlineStr">
        <is>
          <t>POPULAR MARUTI</t>
        </is>
      </c>
      <c r="H2809" s="7" t="inlineStr">
        <is>
          <t>Non-Captive</t>
        </is>
      </c>
      <c r="I2809" s="7" t="inlineStr">
        <is>
          <t>SUDHEESH K SATHEESH</t>
        </is>
      </c>
      <c r="J2809" s="8" t="n">
        <v>2007</v>
      </c>
      <c r="K2809" s="9" t="n">
        <v>56636</v>
      </c>
      <c r="L2809" s="10" t="n">
        <v>57000</v>
      </c>
      <c r="M2809" s="10" t="n">
        <v>10169.49</v>
      </c>
      <c r="N2809" s="11">
        <f>IF(M2809="","",ROUND(M2809*1.18,2))</f>
        <v/>
      </c>
      <c r="O2809" s="12">
        <f>IF(M2809="","",ROUND(N2809-M2809,2))</f>
        <v/>
      </c>
      <c r="P2809" s="13">
        <f>IF(AND(A2809&lt;&gt;"",B2809&lt;&gt;""), A2809&amp;" · "&amp;B2809, "")</f>
        <v/>
      </c>
    </row>
    <row r="2810">
      <c r="A2810" s="6" t="inlineStr">
        <is>
          <t>FY27</t>
        </is>
      </c>
      <c r="B2810" s="6" t="inlineStr">
        <is>
          <t>Jul</t>
        </is>
      </c>
      <c r="C2810" s="6" t="inlineStr">
        <is>
          <t>Kerala</t>
        </is>
      </c>
      <c r="D2810" s="7" t="inlineStr">
        <is>
          <t>KL06F0053</t>
        </is>
      </c>
      <c r="E2810" s="7" t="inlineStr">
        <is>
          <t>MARUTI SUZUKI</t>
        </is>
      </c>
      <c r="F2810" s="7" t="inlineStr">
        <is>
          <t>Zen Estilo</t>
        </is>
      </c>
      <c r="G2810" s="7" t="inlineStr">
        <is>
          <t>POPULAR MARUTI</t>
        </is>
      </c>
      <c r="H2810" s="7" t="inlineStr">
        <is>
          <t>Non-Captive</t>
        </is>
      </c>
      <c r="I2810" s="7" t="inlineStr">
        <is>
          <t>4 WHEEL DRIVE</t>
        </is>
      </c>
      <c r="J2810" s="8" t="n">
        <v>2011</v>
      </c>
      <c r="K2810" s="9" t="n">
        <v>138233</v>
      </c>
      <c r="L2810" s="10" t="n">
        <v>100000</v>
      </c>
      <c r="M2810" s="10" t="n">
        <v>8474.58</v>
      </c>
      <c r="N2810" s="11">
        <f>IF(M2810="","",ROUND(M2810*1.18,2))</f>
        <v/>
      </c>
      <c r="O2810" s="12">
        <f>IF(M2810="","",ROUND(N2810-M2810,2))</f>
        <v/>
      </c>
      <c r="P2810" s="13">
        <f>IF(AND(A2810&lt;&gt;"",B2810&lt;&gt;""), A2810&amp;" · "&amp;B2810, "")</f>
        <v/>
      </c>
    </row>
    <row r="2811">
      <c r="A2811" s="6" t="inlineStr">
        <is>
          <t>FY27</t>
        </is>
      </c>
      <c r="B2811" s="6" t="inlineStr">
        <is>
          <t>Jul</t>
        </is>
      </c>
      <c r="C2811" s="6" t="inlineStr">
        <is>
          <t>Kerala</t>
        </is>
      </c>
      <c r="D2811" s="7" t="inlineStr">
        <is>
          <t>KL07AK8512</t>
        </is>
      </c>
      <c r="E2811" s="7" t="inlineStr">
        <is>
          <t>MARUTI SUZUKI</t>
        </is>
      </c>
      <c r="F2811" s="7" t="inlineStr">
        <is>
          <t>800</t>
        </is>
      </c>
      <c r="G2811" s="7" t="inlineStr">
        <is>
          <t>POPULAR MARUTI</t>
        </is>
      </c>
      <c r="H2811" s="7" t="inlineStr">
        <is>
          <t>Non-Captive</t>
        </is>
      </c>
      <c r="I2811" s="7" t="inlineStr">
        <is>
          <t>AFSAL A(SUDHEER K H</t>
        </is>
      </c>
      <c r="J2811" s="8" t="n">
        <v>2002</v>
      </c>
      <c r="K2811" s="9" t="n">
        <v>36455</v>
      </c>
      <c r="L2811" s="10" t="n">
        <v>30000</v>
      </c>
      <c r="M2811" s="10" t="n">
        <v>8474.58</v>
      </c>
      <c r="N2811" s="11">
        <f>IF(M2811="","",ROUND(M2811*1.18,2))</f>
        <v/>
      </c>
      <c r="O2811" s="12">
        <f>IF(M2811="","",ROUND(N2811-M2811,2))</f>
        <v/>
      </c>
      <c r="P2811" s="13">
        <f>IF(AND(A2811&lt;&gt;"",B2811&lt;&gt;""), A2811&amp;" · "&amp;B2811, "")</f>
        <v/>
      </c>
    </row>
    <row r="2812">
      <c r="A2812" s="6" t="inlineStr">
        <is>
          <t>FY27</t>
        </is>
      </c>
      <c r="B2812" s="6" t="inlineStr">
        <is>
          <t>Jul</t>
        </is>
      </c>
      <c r="C2812" s="6" t="inlineStr">
        <is>
          <t>Kerala</t>
        </is>
      </c>
      <c r="D2812" s="7" t="inlineStr">
        <is>
          <t>KL07CA9845</t>
        </is>
      </c>
      <c r="E2812" s="7" t="inlineStr">
        <is>
          <t>FORD</t>
        </is>
      </c>
      <c r="F2812" s="7" t="inlineStr">
        <is>
          <t>EcoSport</t>
        </is>
      </c>
      <c r="G2812" s="7" t="inlineStr">
        <is>
          <t>POPULAR HYUNDAI</t>
        </is>
      </c>
      <c r="H2812" s="7" t="inlineStr">
        <is>
          <t>Non-Captive</t>
        </is>
      </c>
      <c r="I2812" s="7" t="inlineStr">
        <is>
          <t>HUSSAIN O E</t>
        </is>
      </c>
      <c r="J2812" s="8" t="n">
        <v>2014</v>
      </c>
      <c r="K2812" s="9" t="n">
        <v>185000</v>
      </c>
      <c r="L2812" s="10" t="n">
        <v>260000</v>
      </c>
      <c r="M2812" s="10" t="n">
        <v>8474.58</v>
      </c>
      <c r="N2812" s="11">
        <f>IF(M2812="","",ROUND(M2812*1.18,2))</f>
        <v/>
      </c>
      <c r="O2812" s="12">
        <f>IF(M2812="","",ROUND(N2812-M2812,2))</f>
        <v/>
      </c>
      <c r="P2812" s="13">
        <f>IF(AND(A2812&lt;&gt;"",B2812&lt;&gt;""), A2812&amp;" · "&amp;B2812, "")</f>
        <v/>
      </c>
    </row>
    <row r="2813">
      <c r="A2813" s="6" t="inlineStr">
        <is>
          <t>FY27</t>
        </is>
      </c>
      <c r="B2813" s="6" t="inlineStr">
        <is>
          <t>Jul</t>
        </is>
      </c>
      <c r="C2813" s="6" t="inlineStr">
        <is>
          <t>Kerala</t>
        </is>
      </c>
      <c r="D2813" s="7" t="inlineStr">
        <is>
          <t>KL07CB5642</t>
        </is>
      </c>
      <c r="E2813" s="7" t="inlineStr">
        <is>
          <t>HYUNDAI</t>
        </is>
      </c>
      <c r="F2813" s="7" t="inlineStr">
        <is>
          <t>Eon</t>
        </is>
      </c>
      <c r="G2813" s="7" t="inlineStr">
        <is>
          <t>POPULAR HYUNDAI</t>
        </is>
      </c>
      <c r="H2813" s="7" t="inlineStr">
        <is>
          <t>Non-Captive</t>
        </is>
      </c>
      <c r="I2813" s="7" t="inlineStr">
        <is>
          <t>RAFEEK T A</t>
        </is>
      </c>
      <c r="J2813" s="8" t="n">
        <v>2014</v>
      </c>
      <c r="K2813" s="9" t="n">
        <v>49677</v>
      </c>
      <c r="L2813" s="10" t="n">
        <v>130000</v>
      </c>
      <c r="M2813" s="10" t="n">
        <v>8474.58</v>
      </c>
      <c r="N2813" s="11">
        <f>IF(M2813="","",ROUND(M2813*1.18,2))</f>
        <v/>
      </c>
      <c r="O2813" s="12">
        <f>IF(M2813="","",ROUND(N2813-M2813,2))</f>
        <v/>
      </c>
      <c r="P2813" s="13">
        <f>IF(AND(A2813&lt;&gt;"",B2813&lt;&gt;""), A2813&amp;" · "&amp;B2813, "")</f>
        <v/>
      </c>
    </row>
    <row r="2814">
      <c r="A2814" s="6" t="inlineStr">
        <is>
          <t>FY27</t>
        </is>
      </c>
      <c r="B2814" s="6" t="inlineStr">
        <is>
          <t>Jul</t>
        </is>
      </c>
      <c r="C2814" s="6" t="inlineStr">
        <is>
          <t>Kerala</t>
        </is>
      </c>
      <c r="D2814" s="7" t="inlineStr">
        <is>
          <t>KL07CF9756</t>
        </is>
      </c>
      <c r="E2814" s="7" t="inlineStr">
        <is>
          <t>MARUTI SUZUKI</t>
        </is>
      </c>
      <c r="F2814" s="7" t="inlineStr">
        <is>
          <t>Baleno</t>
        </is>
      </c>
      <c r="G2814" s="7" t="inlineStr">
        <is>
          <t>INDUS MARUTI</t>
        </is>
      </c>
      <c r="H2814" s="7" t="inlineStr">
        <is>
          <t>Non-Captive</t>
        </is>
      </c>
      <c r="I2814" s="7" t="inlineStr">
        <is>
          <t>RASIK RAHIM</t>
        </is>
      </c>
      <c r="J2814" s="8" t="n">
        <v>2016</v>
      </c>
      <c r="K2814" s="9" t="n">
        <v>31771</v>
      </c>
      <c r="L2814" s="10" t="n">
        <v>435000</v>
      </c>
      <c r="M2814" s="10" t="n">
        <v>8474.58</v>
      </c>
      <c r="N2814" s="11">
        <f>IF(M2814="","",ROUND(M2814*1.18,2))</f>
        <v/>
      </c>
      <c r="O2814" s="12">
        <f>IF(M2814="","",ROUND(N2814-M2814,2))</f>
        <v/>
      </c>
      <c r="P2814" s="13">
        <f>IF(AND(A2814&lt;&gt;"",B2814&lt;&gt;""), A2814&amp;" · "&amp;B2814, "")</f>
        <v/>
      </c>
    </row>
    <row r="2815">
      <c r="A2815" s="6" t="inlineStr">
        <is>
          <t>FY27</t>
        </is>
      </c>
      <c r="B2815" s="6" t="inlineStr">
        <is>
          <t>Jul</t>
        </is>
      </c>
      <c r="C2815" s="6" t="inlineStr">
        <is>
          <t>Kerala</t>
        </is>
      </c>
      <c r="D2815" s="7" t="inlineStr">
        <is>
          <t>KL07CV0988</t>
        </is>
      </c>
      <c r="E2815" s="7" t="inlineStr">
        <is>
          <t>TATA</t>
        </is>
      </c>
      <c r="F2815" s="7" t="inlineStr">
        <is>
          <t>1112</t>
        </is>
      </c>
      <c r="G2815" s="7" t="inlineStr">
        <is>
          <t>ANWAR SADATH</t>
        </is>
      </c>
      <c r="H2815" s="7" t="inlineStr">
        <is>
          <t>Non-Captive</t>
        </is>
      </c>
      <c r="I2815" s="7" t="inlineStr">
        <is>
          <t>Ali Happy Drive</t>
        </is>
      </c>
      <c r="J2815" s="8" t="n">
        <v>2020</v>
      </c>
      <c r="K2815" s="9" t="n">
        <v>360000</v>
      </c>
      <c r="L2815" s="10" t="n">
        <v>607000</v>
      </c>
      <c r="M2815" s="10" t="n">
        <v>5932.2</v>
      </c>
      <c r="N2815" s="11">
        <f>IF(M2815="","",ROUND(M2815*1.18,2))</f>
        <v/>
      </c>
      <c r="O2815" s="12">
        <f>IF(M2815="","",ROUND(N2815-M2815,2))</f>
        <v/>
      </c>
      <c r="P2815" s="13">
        <f>IF(AND(A2815&lt;&gt;"",B2815&lt;&gt;""), A2815&amp;" · "&amp;B2815, "")</f>
        <v/>
      </c>
    </row>
    <row r="2816">
      <c r="A2816" s="6" t="inlineStr">
        <is>
          <t>FY27</t>
        </is>
      </c>
      <c r="B2816" s="6" t="inlineStr">
        <is>
          <t>Jul</t>
        </is>
      </c>
      <c r="C2816" s="6" t="inlineStr">
        <is>
          <t>Kerala</t>
        </is>
      </c>
      <c r="D2816" s="7" t="inlineStr">
        <is>
          <t>KL07CW7942</t>
        </is>
      </c>
      <c r="E2816" s="7" t="inlineStr">
        <is>
          <t>TATA</t>
        </is>
      </c>
      <c r="F2816" s="7" t="inlineStr">
        <is>
          <t>Tiago</t>
        </is>
      </c>
      <c r="G2816" s="7" t="inlineStr">
        <is>
          <t>EVM SKODA</t>
        </is>
      </c>
      <c r="H2816" s="7" t="inlineStr">
        <is>
          <t>Non-Captive</t>
        </is>
      </c>
      <c r="I2816" s="7" t="inlineStr">
        <is>
          <t>Aitos Cars</t>
        </is>
      </c>
      <c r="J2816" s="8" t="n">
        <v>2021</v>
      </c>
      <c r="K2816" s="9" t="n">
        <v>26832</v>
      </c>
      <c r="L2816" s="10" t="n">
        <v>430000</v>
      </c>
      <c r="M2816" s="10" t="n">
        <v>8474.58</v>
      </c>
      <c r="N2816" s="11">
        <f>IF(M2816="","",ROUND(M2816*1.18,2))</f>
        <v/>
      </c>
      <c r="O2816" s="12">
        <f>IF(M2816="","",ROUND(N2816-M2816,2))</f>
        <v/>
      </c>
      <c r="P2816" s="13">
        <f>IF(AND(A2816&lt;&gt;"",B2816&lt;&gt;""), A2816&amp;" · "&amp;B2816, "")</f>
        <v/>
      </c>
    </row>
    <row r="2817">
      <c r="A2817" s="6" t="inlineStr">
        <is>
          <t>FY27</t>
        </is>
      </c>
      <c r="B2817" s="6" t="inlineStr">
        <is>
          <t>Jul</t>
        </is>
      </c>
      <c r="C2817" s="6" t="inlineStr">
        <is>
          <t>Kerala</t>
        </is>
      </c>
      <c r="D2817" s="7" t="inlineStr">
        <is>
          <t>KL07CY7682</t>
        </is>
      </c>
      <c r="E2817" s="7" t="inlineStr">
        <is>
          <t>KIA</t>
        </is>
      </c>
      <c r="F2817" s="7" t="inlineStr">
        <is>
          <t>Sonet</t>
        </is>
      </c>
      <c r="G2817" s="7" t="inlineStr">
        <is>
          <t>AMPL MAHINDRA</t>
        </is>
      </c>
      <c r="H2817" s="7" t="inlineStr">
        <is>
          <t>Non-Captive</t>
        </is>
      </c>
      <c r="I2817" s="7" t="inlineStr">
        <is>
          <t>VTJ MOTORS</t>
        </is>
      </c>
      <c r="J2817" s="8" t="n">
        <v>2022</v>
      </c>
      <c r="K2817" s="9" t="n">
        <v>59684</v>
      </c>
      <c r="L2817" s="10" t="n">
        <v>650000</v>
      </c>
      <c r="M2817" s="10" t="n">
        <v>8474.58</v>
      </c>
      <c r="N2817" s="11">
        <f>IF(M2817="","",ROUND(M2817*1.18,2))</f>
        <v/>
      </c>
      <c r="O2817" s="12">
        <f>IF(M2817="","",ROUND(N2817-M2817,2))</f>
        <v/>
      </c>
      <c r="P2817" s="13">
        <f>IF(AND(A2817&lt;&gt;"",B2817&lt;&gt;""), A2817&amp;" · "&amp;B2817, "")</f>
        <v/>
      </c>
    </row>
    <row r="2818">
      <c r="A2818" s="6" t="inlineStr">
        <is>
          <t>FY27</t>
        </is>
      </c>
      <c r="B2818" s="6" t="inlineStr">
        <is>
          <t>Jul</t>
        </is>
      </c>
      <c r="C2818" s="6" t="inlineStr">
        <is>
          <t>Kerala</t>
        </is>
      </c>
      <c r="D2818" s="7" t="inlineStr">
        <is>
          <t>KL07DA2340</t>
        </is>
      </c>
      <c r="E2818" s="7" t="inlineStr">
        <is>
          <t>HONDA</t>
        </is>
      </c>
      <c r="F2818" s="7" t="inlineStr">
        <is>
          <t>Amaze</t>
        </is>
      </c>
      <c r="G2818" s="7" t="inlineStr">
        <is>
          <t>INDUS MARUTI</t>
        </is>
      </c>
      <c r="H2818" s="7" t="inlineStr">
        <is>
          <t>Non-Captive</t>
        </is>
      </c>
      <c r="I2818" s="7" t="inlineStr">
        <is>
          <t>SHAMSUDEEN C E</t>
        </is>
      </c>
      <c r="J2818" s="8" t="n">
        <v>2023</v>
      </c>
      <c r="K2818" s="9" t="n">
        <v>49221</v>
      </c>
      <c r="L2818" s="10" t="n">
        <v>630000</v>
      </c>
      <c r="M2818" s="10" t="n">
        <v>12711.86</v>
      </c>
      <c r="N2818" s="11">
        <f>IF(M2818="","",ROUND(M2818*1.18,2))</f>
        <v/>
      </c>
      <c r="O2818" s="12">
        <f>IF(M2818="","",ROUND(N2818-M2818,2))</f>
        <v/>
      </c>
      <c r="P2818" s="13">
        <f>IF(AND(A2818&lt;&gt;"",B2818&lt;&gt;""), A2818&amp;" · "&amp;B2818, "")</f>
        <v/>
      </c>
    </row>
    <row r="2819">
      <c r="A2819" s="6" t="inlineStr">
        <is>
          <t>FY27</t>
        </is>
      </c>
      <c r="B2819" s="6" t="inlineStr">
        <is>
          <t>Jul</t>
        </is>
      </c>
      <c r="C2819" s="6" t="inlineStr">
        <is>
          <t>Kerala</t>
        </is>
      </c>
      <c r="D2819" s="7" t="inlineStr">
        <is>
          <t>KL07DC8041</t>
        </is>
      </c>
      <c r="E2819" s="7" t="inlineStr">
        <is>
          <t>TATA</t>
        </is>
      </c>
      <c r="F2819" s="7" t="inlineStr">
        <is>
          <t>Punch</t>
        </is>
      </c>
      <c r="G2819" s="7" t="inlineStr">
        <is>
          <t>GOKULAM TATA</t>
        </is>
      </c>
      <c r="H2819" s="7" t="inlineStr">
        <is>
          <t>Non-Captive</t>
        </is>
      </c>
      <c r="I2819" s="7" t="inlineStr">
        <is>
          <t>FABITH</t>
        </is>
      </c>
      <c r="J2819" s="8" t="n">
        <v>2024</v>
      </c>
      <c r="K2819" s="9" t="n">
        <v>49500</v>
      </c>
      <c r="L2819" s="10" t="n">
        <v>860000</v>
      </c>
      <c r="M2819" s="10" t="n">
        <v>8474.58</v>
      </c>
      <c r="N2819" s="11">
        <f>IF(M2819="","",ROUND(M2819*1.18,2))</f>
        <v/>
      </c>
      <c r="O2819" s="12">
        <f>IF(M2819="","",ROUND(N2819-M2819,2))</f>
        <v/>
      </c>
      <c r="P2819" s="13">
        <f>IF(AND(A2819&lt;&gt;"",B2819&lt;&gt;""), A2819&amp;" · "&amp;B2819, "")</f>
        <v/>
      </c>
    </row>
    <row r="2820">
      <c r="A2820" s="6" t="inlineStr">
        <is>
          <t>FY27</t>
        </is>
      </c>
      <c r="B2820" s="6" t="inlineStr">
        <is>
          <t>Jul</t>
        </is>
      </c>
      <c r="C2820" s="6" t="inlineStr">
        <is>
          <t>Kerala</t>
        </is>
      </c>
      <c r="D2820" s="7" t="inlineStr">
        <is>
          <t>KL07DC8227</t>
        </is>
      </c>
      <c r="E2820" s="7" t="inlineStr">
        <is>
          <t>MARUTI SUZUKI</t>
        </is>
      </c>
      <c r="F2820" s="7" t="inlineStr">
        <is>
          <t>Grand Vitara</t>
        </is>
      </c>
      <c r="G2820" s="7" t="inlineStr">
        <is>
          <t>POPULAR HYUNDAI</t>
        </is>
      </c>
      <c r="H2820" s="7" t="inlineStr">
        <is>
          <t>Non-Captive</t>
        </is>
      </c>
      <c r="I2820" s="7" t="inlineStr">
        <is>
          <t>4 WHEEL DRIVE</t>
        </is>
      </c>
      <c r="J2820" s="8" t="n">
        <v>2024</v>
      </c>
      <c r="K2820" s="9" t="n">
        <v>26578</v>
      </c>
      <c r="L2820" s="10" t="n">
        <v>1215000</v>
      </c>
      <c r="M2820" s="10" t="n">
        <v>12711.86</v>
      </c>
      <c r="N2820" s="11">
        <f>IF(M2820="","",ROUND(M2820*1.18,2))</f>
        <v/>
      </c>
      <c r="O2820" s="12">
        <f>IF(M2820="","",ROUND(N2820-M2820,2))</f>
        <v/>
      </c>
      <c r="P2820" s="13">
        <f>IF(AND(A2820&lt;&gt;"",B2820&lt;&gt;""), A2820&amp;" · "&amp;B2820, "")</f>
        <v/>
      </c>
    </row>
    <row r="2821">
      <c r="A2821" s="6" t="inlineStr">
        <is>
          <t>FY27</t>
        </is>
      </c>
      <c r="B2821" s="6" t="inlineStr">
        <is>
          <t>Jul</t>
        </is>
      </c>
      <c r="C2821" s="6" t="inlineStr">
        <is>
          <t>Kerala</t>
        </is>
      </c>
      <c r="D2821" s="7" t="inlineStr">
        <is>
          <t>KL07DG4625</t>
        </is>
      </c>
      <c r="E2821" s="7" t="inlineStr">
        <is>
          <t>TOYOTA</t>
        </is>
      </c>
      <c r="F2821" s="7" t="inlineStr">
        <is>
          <t>Glanza</t>
        </is>
      </c>
      <c r="G2821" s="7" t="inlineStr">
        <is>
          <t>GOKULAM TATA</t>
        </is>
      </c>
      <c r="H2821" s="7" t="inlineStr">
        <is>
          <t>Non-Captive</t>
        </is>
      </c>
      <c r="I2821" s="7" t="inlineStr">
        <is>
          <t>SHAMSUDEEN C E</t>
        </is>
      </c>
      <c r="J2821" s="8" t="n">
        <v>2025</v>
      </c>
      <c r="K2821" s="9" t="n">
        <v>10000</v>
      </c>
      <c r="L2821" s="10" t="n">
        <v>865000</v>
      </c>
      <c r="M2821" s="10" t="n">
        <v>12711.86</v>
      </c>
      <c r="N2821" s="11">
        <f>IF(M2821="","",ROUND(M2821*1.18,2))</f>
        <v/>
      </c>
      <c r="O2821" s="12">
        <f>IF(M2821="","",ROUND(N2821-M2821,2))</f>
        <v/>
      </c>
      <c r="P2821" s="13">
        <f>IF(AND(A2821&lt;&gt;"",B2821&lt;&gt;""), A2821&amp;" · "&amp;B2821, "")</f>
        <v/>
      </c>
    </row>
    <row r="2822">
      <c r="A2822" s="6" t="inlineStr">
        <is>
          <t>FY27</t>
        </is>
      </c>
      <c r="B2822" s="6" t="inlineStr">
        <is>
          <t>Jul</t>
        </is>
      </c>
      <c r="C2822" s="6" t="inlineStr">
        <is>
          <t>Kerala</t>
        </is>
      </c>
      <c r="D2822" s="7" t="inlineStr">
        <is>
          <t>KL08AL5533</t>
        </is>
      </c>
      <c r="E2822" s="7" t="inlineStr">
        <is>
          <t>HYUNDAI</t>
        </is>
      </c>
      <c r="F2822" s="7" t="inlineStr">
        <is>
          <t>Santro</t>
        </is>
      </c>
      <c r="G2822" s="7" t="inlineStr">
        <is>
          <t>POPULAR MARUTI</t>
        </is>
      </c>
      <c r="H2822" s="7" t="inlineStr">
        <is>
          <t>Non-Captive</t>
        </is>
      </c>
      <c r="I2822" s="7" t="inlineStr">
        <is>
          <t>AFSAL A</t>
        </is>
      </c>
      <c r="J2822" s="8" t="n">
        <v>2006</v>
      </c>
      <c r="K2822" s="9" t="n">
        <v>145000</v>
      </c>
      <c r="L2822" s="10" t="n">
        <v>45000</v>
      </c>
      <c r="M2822" s="10" t="n">
        <v>8474.58</v>
      </c>
      <c r="N2822" s="11">
        <f>IF(M2822="","",ROUND(M2822*1.18,2))</f>
        <v/>
      </c>
      <c r="O2822" s="12">
        <f>IF(M2822="","",ROUND(N2822-M2822,2))</f>
        <v/>
      </c>
      <c r="P2822" s="13">
        <f>IF(AND(A2822&lt;&gt;"",B2822&lt;&gt;""), A2822&amp;" · "&amp;B2822, "")</f>
        <v/>
      </c>
    </row>
    <row r="2823">
      <c r="A2823" s="6" t="inlineStr">
        <is>
          <t>FY27</t>
        </is>
      </c>
      <c r="B2823" s="6" t="inlineStr">
        <is>
          <t>Jul</t>
        </is>
      </c>
      <c r="C2823" s="6" t="inlineStr">
        <is>
          <t>Kerala</t>
        </is>
      </c>
      <c r="D2823" s="7" t="inlineStr">
        <is>
          <t>KL08AM5898</t>
        </is>
      </c>
      <c r="E2823" s="7" t="inlineStr">
        <is>
          <t>TATA</t>
        </is>
      </c>
      <c r="F2823" s="7" t="inlineStr">
        <is>
          <t>Indica</t>
        </is>
      </c>
      <c r="G2823" s="7" t="inlineStr">
        <is>
          <t>POPULAR MARUTI</t>
        </is>
      </c>
      <c r="H2823" s="7" t="inlineStr">
        <is>
          <t>Non-Captive</t>
        </is>
      </c>
      <c r="I2823" s="7" t="inlineStr">
        <is>
          <t>AFSAL A(SUDHEER K H</t>
        </is>
      </c>
      <c r="J2823" s="8" t="n">
        <v>2007</v>
      </c>
      <c r="K2823" s="9" t="n">
        <v>132372</v>
      </c>
      <c r="L2823" s="10" t="n">
        <v>30000</v>
      </c>
      <c r="M2823" s="10" t="n">
        <v>8474.58</v>
      </c>
      <c r="N2823" s="11">
        <f>IF(M2823="","",ROUND(M2823*1.18,2))</f>
        <v/>
      </c>
      <c r="O2823" s="12">
        <f>IF(M2823="","",ROUND(N2823-M2823,2))</f>
        <v/>
      </c>
      <c r="P2823" s="13">
        <f>IF(AND(A2823&lt;&gt;"",B2823&lt;&gt;""), A2823&amp;" · "&amp;B2823, "")</f>
        <v/>
      </c>
    </row>
    <row r="2824">
      <c r="A2824" s="6" t="inlineStr">
        <is>
          <t>FY27</t>
        </is>
      </c>
      <c r="B2824" s="6" t="inlineStr">
        <is>
          <t>Jul</t>
        </is>
      </c>
      <c r="C2824" s="6" t="inlineStr">
        <is>
          <t>Kerala</t>
        </is>
      </c>
      <c r="D2824" s="7" t="inlineStr">
        <is>
          <t>KL08AN2830</t>
        </is>
      </c>
      <c r="E2824" s="7" t="inlineStr">
        <is>
          <t>MARUTI SUZUKI</t>
        </is>
      </c>
      <c r="F2824" s="7" t="inlineStr">
        <is>
          <t>Wagon R</t>
        </is>
      </c>
      <c r="G2824" s="7" t="inlineStr">
        <is>
          <t>POPULAR MARUTI</t>
        </is>
      </c>
      <c r="H2824" s="7" t="inlineStr">
        <is>
          <t>Non-Captive</t>
        </is>
      </c>
      <c r="I2824" s="7" t="inlineStr">
        <is>
          <t>FATHIMA HUSSAIN</t>
        </is>
      </c>
      <c r="J2824" s="8" t="n">
        <v>2007</v>
      </c>
      <c r="K2824" s="9" t="n">
        <v>119687</v>
      </c>
      <c r="L2824" s="10" t="n">
        <v>60000</v>
      </c>
      <c r="M2824" s="10" t="n">
        <v>8474.58</v>
      </c>
      <c r="N2824" s="11">
        <f>IF(M2824="","",ROUND(M2824*1.18,2))</f>
        <v/>
      </c>
      <c r="O2824" s="12">
        <f>IF(M2824="","",ROUND(N2824-M2824,2))</f>
        <v/>
      </c>
      <c r="P2824" s="13">
        <f>IF(AND(A2824&lt;&gt;"",B2824&lt;&gt;""), A2824&amp;" · "&amp;B2824, "")</f>
        <v/>
      </c>
    </row>
    <row r="2825">
      <c r="A2825" s="6" t="inlineStr">
        <is>
          <t>FY27</t>
        </is>
      </c>
      <c r="B2825" s="6" t="inlineStr">
        <is>
          <t>Jul</t>
        </is>
      </c>
      <c r="C2825" s="6" t="inlineStr">
        <is>
          <t>Kerala</t>
        </is>
      </c>
      <c r="D2825" s="7" t="inlineStr">
        <is>
          <t>KL08AT2809</t>
        </is>
      </c>
      <c r="E2825" s="7" t="inlineStr">
        <is>
          <t>MARUTI SUZUKI</t>
        </is>
      </c>
      <c r="F2825" s="7" t="inlineStr">
        <is>
          <t>Wagon R</t>
        </is>
      </c>
      <c r="G2825" s="7" t="inlineStr">
        <is>
          <t>POPULAR MARUTI</t>
        </is>
      </c>
      <c r="H2825" s="7" t="inlineStr">
        <is>
          <t>Non-Captive</t>
        </is>
      </c>
      <c r="I2825" s="7" t="inlineStr">
        <is>
          <t>Aitos Cars</t>
        </is>
      </c>
      <c r="J2825" s="8" t="n">
        <v>2010</v>
      </c>
      <c r="K2825" s="9" t="n">
        <v>48838</v>
      </c>
      <c r="L2825" s="10" t="n">
        <v>170000</v>
      </c>
      <c r="M2825" s="10" t="n">
        <v>8474.58</v>
      </c>
      <c r="N2825" s="11">
        <f>IF(M2825="","",ROUND(M2825*1.18,2))</f>
        <v/>
      </c>
      <c r="O2825" s="12">
        <f>IF(M2825="","",ROUND(N2825-M2825,2))</f>
        <v/>
      </c>
      <c r="P2825" s="13">
        <f>IF(AND(A2825&lt;&gt;"",B2825&lt;&gt;""), A2825&amp;" · "&amp;B2825, "")</f>
        <v/>
      </c>
    </row>
    <row r="2826">
      <c r="A2826" s="6" t="inlineStr">
        <is>
          <t>FY27</t>
        </is>
      </c>
      <c r="B2826" s="6" t="inlineStr">
        <is>
          <t>Jul</t>
        </is>
      </c>
      <c r="C2826" s="6" t="inlineStr">
        <is>
          <t>Kerala</t>
        </is>
      </c>
      <c r="D2826" s="7" t="inlineStr">
        <is>
          <t>KL08BZ9881</t>
        </is>
      </c>
      <c r="E2826" s="7" t="inlineStr">
        <is>
          <t>MARUTI SUZUKI</t>
        </is>
      </c>
      <c r="F2826" s="7" t="inlineStr">
        <is>
          <t>Vitara Brezza</t>
        </is>
      </c>
      <c r="G2826" s="7" t="inlineStr">
        <is>
          <t>INCHEON KIA</t>
        </is>
      </c>
      <c r="H2826" s="7" t="inlineStr">
        <is>
          <t>Non-Captive</t>
        </is>
      </c>
      <c r="I2826" s="7" t="inlineStr">
        <is>
          <t>Aitos Cars</t>
        </is>
      </c>
      <c r="J2826" s="8" t="n">
        <v>2023</v>
      </c>
      <c r="K2826" s="9" t="n">
        <v>48546</v>
      </c>
      <c r="L2826" s="10" t="n">
        <v>860000</v>
      </c>
      <c r="M2826" s="10" t="n">
        <v>8474.58</v>
      </c>
      <c r="N2826" s="11">
        <f>IF(M2826="","",ROUND(M2826*1.18,2))</f>
        <v/>
      </c>
      <c r="O2826" s="12">
        <f>IF(M2826="","",ROUND(N2826-M2826,2))</f>
        <v/>
      </c>
      <c r="P2826" s="13">
        <f>IF(AND(A2826&lt;&gt;"",B2826&lt;&gt;""), A2826&amp;" · "&amp;B2826, "")</f>
        <v/>
      </c>
    </row>
    <row r="2827">
      <c r="A2827" s="6" t="inlineStr">
        <is>
          <t>FY27</t>
        </is>
      </c>
      <c r="B2827" s="6" t="inlineStr">
        <is>
          <t>Jul</t>
        </is>
      </c>
      <c r="C2827" s="6" t="inlineStr">
        <is>
          <t>Kerala</t>
        </is>
      </c>
      <c r="D2827" s="7" t="inlineStr">
        <is>
          <t>KL10AA2775</t>
        </is>
      </c>
      <c r="E2827" s="7" t="inlineStr">
        <is>
          <t>MARUTI SUZUKI</t>
        </is>
      </c>
      <c r="F2827" s="7" t="inlineStr">
        <is>
          <t>800</t>
        </is>
      </c>
      <c r="G2827" s="7" t="inlineStr">
        <is>
          <t>POPULAR MARUTI</t>
        </is>
      </c>
      <c r="H2827" s="7" t="inlineStr">
        <is>
          <t>Non-Captive</t>
        </is>
      </c>
      <c r="I2827" s="7" t="inlineStr">
        <is>
          <t>AUTOTRUST</t>
        </is>
      </c>
      <c r="J2827" s="8" t="n">
        <v>2007</v>
      </c>
      <c r="K2827" s="9" t="n">
        <v>200000</v>
      </c>
      <c r="L2827" s="10" t="n">
        <v>14000</v>
      </c>
      <c r="M2827" s="10" t="n">
        <v>5084.75</v>
      </c>
      <c r="N2827" s="11">
        <f>IF(M2827="","",ROUND(M2827*1.18,2))</f>
        <v/>
      </c>
      <c r="O2827" s="12">
        <f>IF(M2827="","",ROUND(N2827-M2827,2))</f>
        <v/>
      </c>
      <c r="P2827" s="13">
        <f>IF(AND(A2827&lt;&gt;"",B2827&lt;&gt;""), A2827&amp;" · "&amp;B2827, "")</f>
        <v/>
      </c>
    </row>
    <row r="2828">
      <c r="A2828" s="6" t="inlineStr">
        <is>
          <t>FY27</t>
        </is>
      </c>
      <c r="B2828" s="6" t="inlineStr">
        <is>
          <t>Jul</t>
        </is>
      </c>
      <c r="C2828" s="6" t="inlineStr">
        <is>
          <t>Kerala</t>
        </is>
      </c>
      <c r="D2828" s="7" t="inlineStr">
        <is>
          <t>KL10AR5599</t>
        </is>
      </c>
      <c r="E2828" s="7" t="inlineStr">
        <is>
          <t>MARUTI SUZUKI</t>
        </is>
      </c>
      <c r="F2828" s="7" t="inlineStr">
        <is>
          <t>Alto 800</t>
        </is>
      </c>
      <c r="G2828" s="7" t="inlineStr">
        <is>
          <t>KVR TATA</t>
        </is>
      </c>
      <c r="H2828" s="7" t="inlineStr">
        <is>
          <t>Non-Captive</t>
        </is>
      </c>
      <c r="I2828" s="7" t="inlineStr">
        <is>
          <t>AFSAL P ASARAF</t>
        </is>
      </c>
      <c r="J2828" s="8" t="n">
        <v>2014</v>
      </c>
      <c r="K2828" s="9" t="n">
        <v>51200</v>
      </c>
      <c r="L2828" s="10" t="n">
        <v>165000</v>
      </c>
      <c r="M2828" s="10" t="n">
        <v>4237.29</v>
      </c>
      <c r="N2828" s="11">
        <f>IF(M2828="","",ROUND(M2828*1.18,2))</f>
        <v/>
      </c>
      <c r="O2828" s="12">
        <f>IF(M2828="","",ROUND(N2828-M2828,2))</f>
        <v/>
      </c>
      <c r="P2828" s="13">
        <f>IF(AND(A2828&lt;&gt;"",B2828&lt;&gt;""), A2828&amp;" · "&amp;B2828, "")</f>
        <v/>
      </c>
    </row>
    <row r="2829">
      <c r="A2829" s="6" t="inlineStr">
        <is>
          <t>FY27</t>
        </is>
      </c>
      <c r="B2829" s="6" t="inlineStr">
        <is>
          <t>Jul</t>
        </is>
      </c>
      <c r="C2829" s="6" t="inlineStr">
        <is>
          <t>Kerala</t>
        </is>
      </c>
      <c r="D2829" s="7" t="inlineStr">
        <is>
          <t>KL11AB3087</t>
        </is>
      </c>
      <c r="E2829" s="7" t="inlineStr">
        <is>
          <t>HYUNDAI</t>
        </is>
      </c>
      <c r="F2829" s="7" t="inlineStr">
        <is>
          <t>i10</t>
        </is>
      </c>
      <c r="G2829" s="7" t="inlineStr">
        <is>
          <t>EVM CITROEN</t>
        </is>
      </c>
      <c r="H2829" s="7" t="inlineStr">
        <is>
          <t>Non-Captive</t>
        </is>
      </c>
      <c r="I2829" s="7" t="inlineStr">
        <is>
          <t>HAMSA</t>
        </is>
      </c>
      <c r="J2829" s="8" t="n">
        <v>2008</v>
      </c>
      <c r="K2829" s="9" t="n">
        <v>68000</v>
      </c>
      <c r="L2829" s="10" t="n">
        <v>52000</v>
      </c>
      <c r="M2829" s="10" t="n">
        <v>5932.2</v>
      </c>
      <c r="N2829" s="11">
        <f>IF(M2829="","",ROUND(M2829*1.18,2))</f>
        <v/>
      </c>
      <c r="O2829" s="12">
        <f>IF(M2829="","",ROUND(N2829-M2829,2))</f>
        <v/>
      </c>
      <c r="P2829" s="13">
        <f>IF(AND(A2829&lt;&gt;"",B2829&lt;&gt;""), A2829&amp;" · "&amp;B2829, "")</f>
        <v/>
      </c>
    </row>
    <row r="2830">
      <c r="A2830" s="6" t="inlineStr">
        <is>
          <t>FY27</t>
        </is>
      </c>
      <c r="B2830" s="6" t="inlineStr">
        <is>
          <t>Jul</t>
        </is>
      </c>
      <c r="C2830" s="6" t="inlineStr">
        <is>
          <t>Kerala</t>
        </is>
      </c>
      <c r="D2830" s="7" t="inlineStr">
        <is>
          <t>KL11AE7538</t>
        </is>
      </c>
      <c r="E2830" s="7" t="inlineStr">
        <is>
          <t>MARUTI SUZUKI</t>
        </is>
      </c>
      <c r="F2830" s="7" t="inlineStr">
        <is>
          <t>Swift</t>
        </is>
      </c>
      <c r="G2830" s="7" t="inlineStr">
        <is>
          <t>POPULAR MARUTI</t>
        </is>
      </c>
      <c r="H2830" s="7" t="inlineStr">
        <is>
          <t>Non-Captive</t>
        </is>
      </c>
      <c r="I2830" s="7" t="inlineStr">
        <is>
          <t>P M Hakkeem</t>
        </is>
      </c>
      <c r="J2830" s="8" t="n">
        <v>2010</v>
      </c>
      <c r="K2830" s="9" t="n">
        <v>120000</v>
      </c>
      <c r="L2830" s="10" t="n">
        <v>132000</v>
      </c>
      <c r="M2830" s="10" t="n">
        <v>5932.2</v>
      </c>
      <c r="N2830" s="11">
        <f>IF(M2830="","",ROUND(M2830*1.18,2))</f>
        <v/>
      </c>
      <c r="O2830" s="12">
        <f>IF(M2830="","",ROUND(N2830-M2830,2))</f>
        <v/>
      </c>
      <c r="P2830" s="13">
        <f>IF(AND(A2830&lt;&gt;"",B2830&lt;&gt;""), A2830&amp;" · "&amp;B2830, "")</f>
        <v/>
      </c>
    </row>
    <row r="2831">
      <c r="A2831" s="6" t="inlineStr">
        <is>
          <t>FY27</t>
        </is>
      </c>
      <c r="B2831" s="6" t="inlineStr">
        <is>
          <t>Jul</t>
        </is>
      </c>
      <c r="C2831" s="6" t="inlineStr">
        <is>
          <t>Kerala</t>
        </is>
      </c>
      <c r="D2831" s="7" t="inlineStr">
        <is>
          <t>KL11AK9779</t>
        </is>
      </c>
      <c r="E2831" s="7" t="inlineStr">
        <is>
          <t>HYUNDAI</t>
        </is>
      </c>
      <c r="F2831" s="7" t="inlineStr">
        <is>
          <t>i20</t>
        </is>
      </c>
      <c r="G2831" s="7" t="inlineStr">
        <is>
          <t>POPULAR MARUTI</t>
        </is>
      </c>
      <c r="H2831" s="7" t="inlineStr">
        <is>
          <t>Non-Captive</t>
        </is>
      </c>
      <c r="I2831" s="7" t="inlineStr">
        <is>
          <t>HUSSAIN O E</t>
        </is>
      </c>
      <c r="J2831" s="8" t="n">
        <v>2012</v>
      </c>
      <c r="K2831" s="9" t="n">
        <v>131655</v>
      </c>
      <c r="L2831" s="10" t="n">
        <v>90000</v>
      </c>
      <c r="M2831" s="10" t="n">
        <v>12711.86</v>
      </c>
      <c r="N2831" s="11">
        <f>IF(M2831="","",ROUND(M2831*1.18,2))</f>
        <v/>
      </c>
      <c r="O2831" s="12">
        <f>IF(M2831="","",ROUND(N2831-M2831,2))</f>
        <v/>
      </c>
      <c r="P2831" s="13">
        <f>IF(AND(A2831&lt;&gt;"",B2831&lt;&gt;""), A2831&amp;" · "&amp;B2831, "")</f>
        <v/>
      </c>
    </row>
    <row r="2832">
      <c r="A2832" s="6" t="inlineStr">
        <is>
          <t>FY27</t>
        </is>
      </c>
      <c r="B2832" s="6" t="inlineStr">
        <is>
          <t>Jul</t>
        </is>
      </c>
      <c r="C2832" s="6" t="inlineStr">
        <is>
          <t>Kerala</t>
        </is>
      </c>
      <c r="D2832" s="7" t="inlineStr">
        <is>
          <t>KL11AX3449</t>
        </is>
      </c>
      <c r="E2832" s="7" t="inlineStr">
        <is>
          <t>MARUTI SUZUKI</t>
        </is>
      </c>
      <c r="F2832" s="7" t="inlineStr">
        <is>
          <t>Wagon R</t>
        </is>
      </c>
      <c r="G2832" s="7" t="inlineStr">
        <is>
          <t>POPULAR MARUTI</t>
        </is>
      </c>
      <c r="H2832" s="7" t="inlineStr">
        <is>
          <t>Non-Captive</t>
        </is>
      </c>
      <c r="I2832" s="7" t="inlineStr">
        <is>
          <t>MUHAMMED NISAB</t>
        </is>
      </c>
      <c r="J2832" s="8" t="n">
        <v>2014</v>
      </c>
      <c r="K2832" s="9" t="n">
        <v>102000</v>
      </c>
      <c r="L2832" s="10" t="n">
        <v>222000</v>
      </c>
      <c r="M2832" s="10" t="n">
        <v>5932.2</v>
      </c>
      <c r="N2832" s="11">
        <f>IF(M2832="","",ROUND(M2832*1.18,2))</f>
        <v/>
      </c>
      <c r="O2832" s="12">
        <f>IF(M2832="","",ROUND(N2832-M2832,2))</f>
        <v/>
      </c>
      <c r="P2832" s="13">
        <f>IF(AND(A2832&lt;&gt;"",B2832&lt;&gt;""), A2832&amp;" · "&amp;B2832, "")</f>
        <v/>
      </c>
    </row>
    <row r="2833">
      <c r="A2833" s="6" t="inlineStr">
        <is>
          <t>FY27</t>
        </is>
      </c>
      <c r="B2833" s="6" t="inlineStr">
        <is>
          <t>Jul</t>
        </is>
      </c>
      <c r="C2833" s="6" t="inlineStr">
        <is>
          <t>Kerala</t>
        </is>
      </c>
      <c r="D2833" s="7" t="inlineStr">
        <is>
          <t>KL11AY9733</t>
        </is>
      </c>
      <c r="E2833" s="7" t="inlineStr">
        <is>
          <t>MARUTI SUZUKI</t>
        </is>
      </c>
      <c r="F2833" s="7" t="inlineStr">
        <is>
          <t>Celerio</t>
        </is>
      </c>
      <c r="G2833" s="7" t="inlineStr">
        <is>
          <t>AMANA TOYOTA</t>
        </is>
      </c>
      <c r="H2833" s="7" t="inlineStr">
        <is>
          <t>Non-Captive</t>
        </is>
      </c>
      <c r="I2833" s="7" t="inlineStr">
        <is>
          <t>MUHAMMED NISAB</t>
        </is>
      </c>
      <c r="J2833" s="8" t="n">
        <v>2015</v>
      </c>
      <c r="K2833" s="9" t="n">
        <v>56000</v>
      </c>
      <c r="L2833" s="10" t="n">
        <v>290000</v>
      </c>
      <c r="M2833" s="10" t="n">
        <v>4237.29</v>
      </c>
      <c r="N2833" s="11">
        <f>IF(M2833="","",ROUND(M2833*1.18,2))</f>
        <v/>
      </c>
      <c r="O2833" s="12">
        <f>IF(M2833="","",ROUND(N2833-M2833,2))</f>
        <v/>
      </c>
      <c r="P2833" s="13">
        <f>IF(AND(A2833&lt;&gt;"",B2833&lt;&gt;""), A2833&amp;" · "&amp;B2833, "")</f>
        <v/>
      </c>
    </row>
    <row r="2834">
      <c r="A2834" s="6" t="inlineStr">
        <is>
          <t>FY27</t>
        </is>
      </c>
      <c r="B2834" s="6" t="inlineStr">
        <is>
          <t>Jul</t>
        </is>
      </c>
      <c r="C2834" s="6" t="inlineStr">
        <is>
          <t>Kerala</t>
        </is>
      </c>
      <c r="D2834" s="7" t="inlineStr">
        <is>
          <t>KL11BG8602</t>
        </is>
      </c>
      <c r="E2834" s="7" t="inlineStr">
        <is>
          <t>RENAULT</t>
        </is>
      </c>
      <c r="F2834" s="7" t="inlineStr">
        <is>
          <t>Kwid</t>
        </is>
      </c>
      <c r="G2834" s="7" t="inlineStr">
        <is>
          <t>EVM MG</t>
        </is>
      </c>
      <c r="H2834" s="7" t="inlineStr">
        <is>
          <t>Non-Captive</t>
        </is>
      </c>
      <c r="I2834" s="7" t="inlineStr">
        <is>
          <t>LATHEESH K</t>
        </is>
      </c>
      <c r="J2834" s="8" t="n">
        <v>2017</v>
      </c>
      <c r="K2834" s="9" t="n">
        <v>28000</v>
      </c>
      <c r="L2834" s="10" t="n">
        <v>250000</v>
      </c>
      <c r="M2834" s="10" t="n">
        <v>8474.58</v>
      </c>
      <c r="N2834" s="11">
        <f>IF(M2834="","",ROUND(M2834*1.18,2))</f>
        <v/>
      </c>
      <c r="O2834" s="12">
        <f>IF(M2834="","",ROUND(N2834-M2834,2))</f>
        <v/>
      </c>
      <c r="P2834" s="13">
        <f>IF(AND(A2834&lt;&gt;"",B2834&lt;&gt;""), A2834&amp;" · "&amp;B2834, "")</f>
        <v/>
      </c>
    </row>
    <row r="2835">
      <c r="A2835" s="6" t="inlineStr">
        <is>
          <t>FY27</t>
        </is>
      </c>
      <c r="B2835" s="6" t="inlineStr">
        <is>
          <t>Jul</t>
        </is>
      </c>
      <c r="C2835" s="6" t="inlineStr">
        <is>
          <t>Kerala</t>
        </is>
      </c>
      <c r="D2835" s="7" t="inlineStr">
        <is>
          <t>KL11X8727</t>
        </is>
      </c>
      <c r="E2835" s="7" t="inlineStr">
        <is>
          <t>HYUNDAI</t>
        </is>
      </c>
      <c r="F2835" s="7" t="inlineStr">
        <is>
          <t>Santro</t>
        </is>
      </c>
      <c r="G2835" s="7" t="inlineStr">
        <is>
          <t>BIMAL</t>
        </is>
      </c>
      <c r="H2835" s="7" t="inlineStr">
        <is>
          <t>Non-Captive</t>
        </is>
      </c>
      <c r="I2835" s="7" t="inlineStr">
        <is>
          <t>SOORAJ PK</t>
        </is>
      </c>
      <c r="J2835" s="8" t="n">
        <v>2006</v>
      </c>
      <c r="K2835" s="9" t="n">
        <v>88000</v>
      </c>
      <c r="L2835" s="10" t="n">
        <v>56000</v>
      </c>
      <c r="M2835" s="10" t="n">
        <v>5084.75</v>
      </c>
      <c r="N2835" s="11">
        <f>IF(M2835="","",ROUND(M2835*1.18,2))</f>
        <v/>
      </c>
      <c r="O2835" s="12">
        <f>IF(M2835="","",ROUND(N2835-M2835,2))</f>
        <v/>
      </c>
      <c r="P2835" s="13">
        <f>IF(AND(A2835&lt;&gt;"",B2835&lt;&gt;""), A2835&amp;" · "&amp;B2835, "")</f>
        <v/>
      </c>
    </row>
    <row r="2836">
      <c r="A2836" s="6" t="inlineStr">
        <is>
          <t>FY27</t>
        </is>
      </c>
      <c r="B2836" s="6" t="inlineStr">
        <is>
          <t>Jul</t>
        </is>
      </c>
      <c r="C2836" s="6" t="inlineStr">
        <is>
          <t>Kerala</t>
        </is>
      </c>
      <c r="D2836" s="7" t="inlineStr">
        <is>
          <t>KL11Y8689</t>
        </is>
      </c>
      <c r="E2836" s="7" t="inlineStr">
        <is>
          <t>MARUTI SUZUKI</t>
        </is>
      </c>
      <c r="F2836" s="7" t="inlineStr">
        <is>
          <t>Alto</t>
        </is>
      </c>
      <c r="G2836" s="7" t="inlineStr">
        <is>
          <t>EVM CITROEN</t>
        </is>
      </c>
      <c r="H2836" s="7" t="inlineStr">
        <is>
          <t>Non-Captive</t>
        </is>
      </c>
      <c r="I2836" s="7" t="inlineStr">
        <is>
          <t>AFSAL A</t>
        </is>
      </c>
      <c r="J2836" s="8" t="n">
        <v>2006</v>
      </c>
      <c r="K2836" s="9" t="n">
        <v>75458</v>
      </c>
      <c r="L2836" s="10" t="n">
        <v>35000</v>
      </c>
      <c r="M2836" s="10" t="n">
        <v>8474.58</v>
      </c>
      <c r="N2836" s="11">
        <f>IF(M2836="","",ROUND(M2836*1.18,2))</f>
        <v/>
      </c>
      <c r="O2836" s="12">
        <f>IF(M2836="","",ROUND(N2836-M2836,2))</f>
        <v/>
      </c>
      <c r="P2836" s="13">
        <f>IF(AND(A2836&lt;&gt;"",B2836&lt;&gt;""), A2836&amp;" · "&amp;B2836, "")</f>
        <v/>
      </c>
    </row>
    <row r="2837">
      <c r="A2837" s="6" t="inlineStr">
        <is>
          <t>FY27</t>
        </is>
      </c>
      <c r="B2837" s="6" t="inlineStr">
        <is>
          <t>Jul</t>
        </is>
      </c>
      <c r="C2837" s="6" t="inlineStr">
        <is>
          <t>Kerala</t>
        </is>
      </c>
      <c r="D2837" s="7" t="inlineStr">
        <is>
          <t>KL12G7850</t>
        </is>
      </c>
      <c r="E2837" s="7" t="inlineStr">
        <is>
          <t>MARUTI SUZUKI</t>
        </is>
      </c>
      <c r="F2837" s="7" t="inlineStr">
        <is>
          <t>Dzire</t>
        </is>
      </c>
      <c r="G2837" s="7" t="inlineStr">
        <is>
          <t>POPULAR HYUNDAI</t>
        </is>
      </c>
      <c r="H2837" s="7" t="inlineStr">
        <is>
          <t>Non-Captive</t>
        </is>
      </c>
      <c r="I2837" s="7" t="inlineStr">
        <is>
          <t>Asharaf T A</t>
        </is>
      </c>
      <c r="J2837" s="8" t="n">
        <v>2012</v>
      </c>
      <c r="K2837" s="9" t="n">
        <v>128976</v>
      </c>
      <c r="L2837" s="10" t="n">
        <v>230000</v>
      </c>
      <c r="M2837" s="10" t="n">
        <v>8474.58</v>
      </c>
      <c r="N2837" s="11">
        <f>IF(M2837="","",ROUND(M2837*1.18,2))</f>
        <v/>
      </c>
      <c r="O2837" s="12">
        <f>IF(M2837="","",ROUND(N2837-M2837,2))</f>
        <v/>
      </c>
      <c r="P2837" s="13">
        <f>IF(AND(A2837&lt;&gt;"",B2837&lt;&gt;""), A2837&amp;" · "&amp;B2837, "")</f>
        <v/>
      </c>
    </row>
    <row r="2838">
      <c r="A2838" s="6" t="inlineStr">
        <is>
          <t>FY27</t>
        </is>
      </c>
      <c r="B2838" s="6" t="inlineStr">
        <is>
          <t>Jul</t>
        </is>
      </c>
      <c r="C2838" s="6" t="inlineStr">
        <is>
          <t>Kerala</t>
        </is>
      </c>
      <c r="D2838" s="7" t="inlineStr">
        <is>
          <t>KL13AA2604</t>
        </is>
      </c>
      <c r="E2838" s="7" t="inlineStr">
        <is>
          <t>MARUTI SUZUKI</t>
        </is>
      </c>
      <c r="F2838" s="7" t="inlineStr">
        <is>
          <t>Dzire</t>
        </is>
      </c>
      <c r="G2838" s="7" t="inlineStr">
        <is>
          <t>POPULAR MARUTI</t>
        </is>
      </c>
      <c r="H2838" s="7" t="inlineStr">
        <is>
          <t>Non-Captive</t>
        </is>
      </c>
      <c r="I2838" s="7" t="inlineStr">
        <is>
          <t>AFSAL P ASARAF</t>
        </is>
      </c>
      <c r="J2838" s="8" t="n">
        <v>2013</v>
      </c>
      <c r="K2838" s="9" t="n">
        <v>176000</v>
      </c>
      <c r="L2838" s="10" t="n">
        <v>220000</v>
      </c>
      <c r="M2838" s="10" t="n">
        <v>8474.58</v>
      </c>
      <c r="N2838" s="11">
        <f>IF(M2838="","",ROUND(M2838*1.18,2))</f>
        <v/>
      </c>
      <c r="O2838" s="12">
        <f>IF(M2838="","",ROUND(N2838-M2838,2))</f>
        <v/>
      </c>
      <c r="P2838" s="13">
        <f>IF(AND(A2838&lt;&gt;"",B2838&lt;&gt;""), A2838&amp;" · "&amp;B2838, "")</f>
        <v/>
      </c>
    </row>
    <row r="2839">
      <c r="A2839" s="6" t="inlineStr">
        <is>
          <t>FY27</t>
        </is>
      </c>
      <c r="B2839" s="6" t="inlineStr">
        <is>
          <t>Jul</t>
        </is>
      </c>
      <c r="C2839" s="6" t="inlineStr">
        <is>
          <t>Kerala</t>
        </is>
      </c>
      <c r="D2839" s="7" t="inlineStr">
        <is>
          <t>KL13AH022</t>
        </is>
      </c>
      <c r="E2839" s="7" t="inlineStr">
        <is>
          <t>MARUTI SUZUKI</t>
        </is>
      </c>
      <c r="F2839" s="7" t="inlineStr">
        <is>
          <t>Baleno</t>
        </is>
      </c>
      <c r="G2839" s="7" t="inlineStr">
        <is>
          <t>KVR MARUTI</t>
        </is>
      </c>
      <c r="H2839" s="7" t="inlineStr">
        <is>
          <t>Non-Captive</t>
        </is>
      </c>
      <c r="I2839" s="7" t="inlineStr">
        <is>
          <t>SURAJ PK</t>
        </is>
      </c>
      <c r="J2839" s="8" t="n">
        <v>2016</v>
      </c>
      <c r="K2839" s="9" t="n">
        <v>21000</v>
      </c>
      <c r="L2839" s="10" t="n">
        <v>466000</v>
      </c>
      <c r="M2839" s="10" t="n">
        <v>5084.75</v>
      </c>
      <c r="N2839" s="11">
        <f>IF(M2839="","",ROUND(M2839*1.18,2))</f>
        <v/>
      </c>
      <c r="O2839" s="12">
        <f>IF(M2839="","",ROUND(N2839-M2839,2))</f>
        <v/>
      </c>
      <c r="P2839" s="13">
        <f>IF(AND(A2839&lt;&gt;"",B2839&lt;&gt;""), A2839&amp;" · "&amp;B2839, "")</f>
        <v/>
      </c>
    </row>
    <row r="2840">
      <c r="A2840" s="6" t="inlineStr">
        <is>
          <t>FY27</t>
        </is>
      </c>
      <c r="B2840" s="6" t="inlineStr">
        <is>
          <t>Jul</t>
        </is>
      </c>
      <c r="C2840" s="6" t="inlineStr">
        <is>
          <t>Kerala</t>
        </is>
      </c>
      <c r="D2840" s="7" t="inlineStr">
        <is>
          <t>KL13AJ155</t>
        </is>
      </c>
      <c r="E2840" s="7" t="inlineStr">
        <is>
          <t>TOYOTA</t>
        </is>
      </c>
      <c r="F2840" s="7" t="inlineStr">
        <is>
          <t>Etios Liva</t>
        </is>
      </c>
      <c r="G2840" s="7" t="inlineStr">
        <is>
          <t>ERAM MAHINDRA</t>
        </is>
      </c>
      <c r="H2840" s="7" t="inlineStr">
        <is>
          <t>Non-Captive</t>
        </is>
      </c>
      <c r="I2840" s="7" t="inlineStr">
        <is>
          <t>Varun B Prakash</t>
        </is>
      </c>
      <c r="J2840" s="8" t="n">
        <v>2017</v>
      </c>
      <c r="K2840" s="9" t="n">
        <v>77000</v>
      </c>
      <c r="L2840" s="10" t="n">
        <v>425000</v>
      </c>
      <c r="M2840" s="10" t="n">
        <v>5932.2</v>
      </c>
      <c r="N2840" s="11">
        <f>IF(M2840="","",ROUND(M2840*1.18,2))</f>
        <v/>
      </c>
      <c r="O2840" s="12">
        <f>IF(M2840="","",ROUND(N2840-M2840,2))</f>
        <v/>
      </c>
      <c r="P2840" s="13">
        <f>IF(AND(A2840&lt;&gt;"",B2840&lt;&gt;""), A2840&amp;" · "&amp;B2840, "")</f>
        <v/>
      </c>
    </row>
    <row r="2841">
      <c r="A2841" s="6" t="inlineStr">
        <is>
          <t>FY27</t>
        </is>
      </c>
      <c r="B2841" s="6" t="inlineStr">
        <is>
          <t>Jul</t>
        </is>
      </c>
      <c r="C2841" s="6" t="inlineStr">
        <is>
          <t>Kerala</t>
        </is>
      </c>
      <c r="D2841" s="7" t="inlineStr">
        <is>
          <t>KL13AM9805</t>
        </is>
      </c>
      <c r="E2841" s="7" t="inlineStr">
        <is>
          <t>MARUTI SUZUKI</t>
        </is>
      </c>
      <c r="F2841" s="7" t="inlineStr">
        <is>
          <t>Wagon R</t>
        </is>
      </c>
      <c r="G2841" s="7" t="inlineStr">
        <is>
          <t>AUTOBOT</t>
        </is>
      </c>
      <c r="H2841" s="7" t="inlineStr">
        <is>
          <t>Non-Captive</t>
        </is>
      </c>
      <c r="I2841" s="7" t="inlineStr">
        <is>
          <t>Varun B Prakash</t>
        </is>
      </c>
      <c r="J2841" s="8" t="n">
        <v>2018</v>
      </c>
      <c r="K2841" s="9" t="n">
        <v>67000</v>
      </c>
      <c r="L2841" s="10" t="n">
        <v>306000</v>
      </c>
      <c r="M2841" s="10" t="n">
        <v>4237.29</v>
      </c>
      <c r="N2841" s="11">
        <f>IF(M2841="","",ROUND(M2841*1.18,2))</f>
        <v/>
      </c>
      <c r="O2841" s="12">
        <f>IF(M2841="","",ROUND(N2841-M2841,2))</f>
        <v/>
      </c>
      <c r="P2841" s="13">
        <f>IF(AND(A2841&lt;&gt;"",B2841&lt;&gt;""), A2841&amp;" · "&amp;B2841, "")</f>
        <v/>
      </c>
    </row>
    <row r="2842">
      <c r="A2842" s="6" t="inlineStr">
        <is>
          <t>FY27</t>
        </is>
      </c>
      <c r="B2842" s="6" t="inlineStr">
        <is>
          <t>Jul</t>
        </is>
      </c>
      <c r="C2842" s="6" t="inlineStr">
        <is>
          <t>Kerala</t>
        </is>
      </c>
      <c r="D2842" s="7" t="inlineStr">
        <is>
          <t>KL13AR2516</t>
        </is>
      </c>
      <c r="E2842" s="7" t="inlineStr">
        <is>
          <t>RENAULT</t>
        </is>
      </c>
      <c r="F2842" s="7" t="inlineStr">
        <is>
          <t>Kwid</t>
        </is>
      </c>
      <c r="G2842" s="7" t="inlineStr">
        <is>
          <t>VARUN UCD</t>
        </is>
      </c>
      <c r="H2842" s="7" t="inlineStr">
        <is>
          <t>Non-Captive</t>
        </is>
      </c>
      <c r="I2842" s="7" t="inlineStr">
        <is>
          <t>SANOOP</t>
        </is>
      </c>
      <c r="J2842" s="8" t="n">
        <v>2020</v>
      </c>
      <c r="K2842" s="9" t="n">
        <v>14000</v>
      </c>
      <c r="L2842" s="10" t="n">
        <v>225000</v>
      </c>
      <c r="M2842" s="10" t="n">
        <v>4237.29</v>
      </c>
      <c r="N2842" s="11">
        <f>IF(M2842="","",ROUND(M2842*1.18,2))</f>
        <v/>
      </c>
      <c r="O2842" s="12">
        <f>IF(M2842="","",ROUND(N2842-M2842,2))</f>
        <v/>
      </c>
      <c r="P2842" s="13">
        <f>IF(AND(A2842&lt;&gt;"",B2842&lt;&gt;""), A2842&amp;" · "&amp;B2842, "")</f>
        <v/>
      </c>
    </row>
    <row r="2843">
      <c r="A2843" s="6" t="inlineStr">
        <is>
          <t>FY27</t>
        </is>
      </c>
      <c r="B2843" s="6" t="inlineStr">
        <is>
          <t>Jul</t>
        </is>
      </c>
      <c r="C2843" s="6" t="inlineStr">
        <is>
          <t>Kerala</t>
        </is>
      </c>
      <c r="D2843" s="7" t="inlineStr">
        <is>
          <t>KL13BW8304</t>
        </is>
      </c>
      <c r="E2843" s="7" t="inlineStr">
        <is>
          <t>MAHINDRA</t>
        </is>
      </c>
      <c r="F2843" s="7" t="inlineStr">
        <is>
          <t>XUV500</t>
        </is>
      </c>
      <c r="G2843" s="7" t="inlineStr">
        <is>
          <t>EVM</t>
        </is>
      </c>
      <c r="H2843" s="7" t="inlineStr">
        <is>
          <t>Non-Captive</t>
        </is>
      </c>
      <c r="I2843" s="7" t="inlineStr">
        <is>
          <t>ADERSH MAY BACK MOTORS</t>
        </is>
      </c>
      <c r="J2843" s="8" t="n">
        <v>2022</v>
      </c>
      <c r="K2843" s="9" t="n">
        <v>89000</v>
      </c>
      <c r="L2843" s="10" t="n">
        <v>990000</v>
      </c>
      <c r="M2843" s="10" t="n">
        <v>8474.58</v>
      </c>
      <c r="N2843" s="11">
        <f>IF(M2843="","",ROUND(M2843*1.18,2))</f>
        <v/>
      </c>
      <c r="O2843" s="12">
        <f>IF(M2843="","",ROUND(N2843-M2843,2))</f>
        <v/>
      </c>
      <c r="P2843" s="13">
        <f>IF(AND(A2843&lt;&gt;"",B2843&lt;&gt;""), A2843&amp;" · "&amp;B2843, "")</f>
        <v/>
      </c>
    </row>
    <row r="2844">
      <c r="A2844" s="6" t="inlineStr">
        <is>
          <t>FY27</t>
        </is>
      </c>
      <c r="B2844" s="6" t="inlineStr">
        <is>
          <t>Jul</t>
        </is>
      </c>
      <c r="C2844" s="6" t="inlineStr">
        <is>
          <t>Kerala</t>
        </is>
      </c>
      <c r="D2844" s="7" t="inlineStr">
        <is>
          <t>KL13S0183</t>
        </is>
      </c>
      <c r="E2844" s="7" t="inlineStr">
        <is>
          <t>MARUTI SUZUKI</t>
        </is>
      </c>
      <c r="F2844" s="7" t="inlineStr">
        <is>
          <t>Alto</t>
        </is>
      </c>
      <c r="G2844" s="7" t="inlineStr">
        <is>
          <t>POPULAR MARUTI</t>
        </is>
      </c>
      <c r="H2844" s="7" t="inlineStr">
        <is>
          <t>Non-Captive</t>
        </is>
      </c>
      <c r="I2844" s="7" t="inlineStr">
        <is>
          <t>ABDUL BASHEER</t>
        </is>
      </c>
      <c r="J2844" s="8" t="n">
        <v>2007</v>
      </c>
      <c r="K2844" s="9" t="n">
        <v>189000</v>
      </c>
      <c r="L2844" s="10" t="n">
        <v>20000</v>
      </c>
      <c r="M2844" s="10" t="n">
        <v>8474.58</v>
      </c>
      <c r="N2844" s="11">
        <f>IF(M2844="","",ROUND(M2844*1.18,2))</f>
        <v/>
      </c>
      <c r="O2844" s="12">
        <f>IF(M2844="","",ROUND(N2844-M2844,2))</f>
        <v/>
      </c>
      <c r="P2844" s="13">
        <f>IF(AND(A2844&lt;&gt;"",B2844&lt;&gt;""), A2844&amp;" · "&amp;B2844, "")</f>
        <v/>
      </c>
    </row>
    <row r="2845">
      <c r="A2845" s="6" t="inlineStr">
        <is>
          <t>FY27</t>
        </is>
      </c>
      <c r="B2845" s="6" t="inlineStr">
        <is>
          <t>Jul</t>
        </is>
      </c>
      <c r="C2845" s="6" t="inlineStr">
        <is>
          <t>Kerala</t>
        </is>
      </c>
      <c r="D2845" s="7" t="inlineStr">
        <is>
          <t>KL13S0524</t>
        </is>
      </c>
      <c r="E2845" s="7" t="inlineStr">
        <is>
          <t>MARUTI SUZUKI</t>
        </is>
      </c>
      <c r="F2845" s="7" t="inlineStr">
        <is>
          <t>Alto</t>
        </is>
      </c>
      <c r="G2845" s="7" t="inlineStr">
        <is>
          <t>POPULAR MARUTI</t>
        </is>
      </c>
      <c r="H2845" s="7" t="inlineStr">
        <is>
          <t>Non-Captive</t>
        </is>
      </c>
      <c r="I2845" s="7" t="inlineStr">
        <is>
          <t>ABDUL BASHEER</t>
        </is>
      </c>
      <c r="J2845" s="8" t="n">
        <v>2007</v>
      </c>
      <c r="K2845" s="9" t="n">
        <v>45000</v>
      </c>
      <c r="L2845" s="10" t="n">
        <v>55000</v>
      </c>
      <c r="M2845" s="10" t="n">
        <v>8474.58</v>
      </c>
      <c r="N2845" s="11">
        <f>IF(M2845="","",ROUND(M2845*1.18,2))</f>
        <v/>
      </c>
      <c r="O2845" s="12">
        <f>IF(M2845="","",ROUND(N2845-M2845,2))</f>
        <v/>
      </c>
      <c r="P2845" s="13">
        <f>IF(AND(A2845&lt;&gt;"",B2845&lt;&gt;""), A2845&amp;" · "&amp;B2845, "")</f>
        <v/>
      </c>
    </row>
    <row r="2846">
      <c r="A2846" s="6" t="inlineStr">
        <is>
          <t>FY27</t>
        </is>
      </c>
      <c r="B2846" s="6" t="inlineStr">
        <is>
          <t>Jul</t>
        </is>
      </c>
      <c r="C2846" s="6" t="inlineStr">
        <is>
          <t>Kerala</t>
        </is>
      </c>
      <c r="D2846" s="7" t="inlineStr">
        <is>
          <t>KL13S5953</t>
        </is>
      </c>
      <c r="E2846" s="7" t="inlineStr">
        <is>
          <t>HYUNDAI</t>
        </is>
      </c>
      <c r="F2846" s="7" t="inlineStr">
        <is>
          <t>Santro</t>
        </is>
      </c>
      <c r="G2846" s="7" t="inlineStr">
        <is>
          <t>APCO HYUNDAI</t>
        </is>
      </c>
      <c r="H2846" s="7" t="inlineStr">
        <is>
          <t>Non-Captive</t>
        </is>
      </c>
      <c r="I2846" s="7" t="inlineStr">
        <is>
          <t>ANOOP AUGUSTINE</t>
        </is>
      </c>
      <c r="J2846" s="8" t="n">
        <v>2008</v>
      </c>
      <c r="K2846" s="9" t="n">
        <v>86000</v>
      </c>
      <c r="L2846" s="10" t="n">
        <v>60000</v>
      </c>
      <c r="M2846" s="10" t="n">
        <v>4237.29</v>
      </c>
      <c r="N2846" s="11">
        <f>IF(M2846="","",ROUND(M2846*1.18,2))</f>
        <v/>
      </c>
      <c r="O2846" s="12">
        <f>IF(M2846="","",ROUND(N2846-M2846,2))</f>
        <v/>
      </c>
      <c r="P2846" s="13">
        <f>IF(AND(A2846&lt;&gt;"",B2846&lt;&gt;""), A2846&amp;" · "&amp;B2846, "")</f>
        <v/>
      </c>
    </row>
    <row r="2847">
      <c r="A2847" s="6" t="inlineStr">
        <is>
          <t>FY27</t>
        </is>
      </c>
      <c r="B2847" s="6" t="inlineStr">
        <is>
          <t>Jul</t>
        </is>
      </c>
      <c r="C2847" s="6" t="inlineStr">
        <is>
          <t>Kerala</t>
        </is>
      </c>
      <c r="D2847" s="7" t="inlineStr">
        <is>
          <t>KL13V0376</t>
        </is>
      </c>
      <c r="E2847" s="7" t="inlineStr">
        <is>
          <t>TATA</t>
        </is>
      </c>
      <c r="F2847" s="7" t="inlineStr">
        <is>
          <t>Indigo</t>
        </is>
      </c>
      <c r="G2847" s="7" t="inlineStr">
        <is>
          <t>APCO HYUNDAI</t>
        </is>
      </c>
      <c r="H2847" s="7" t="inlineStr">
        <is>
          <t>Non-Captive</t>
        </is>
      </c>
      <c r="I2847" s="7" t="inlineStr">
        <is>
          <t>AUTOTRUST</t>
        </is>
      </c>
      <c r="J2847" s="8" t="n">
        <v>2010</v>
      </c>
      <c r="K2847" s="9" t="n">
        <v>83000</v>
      </c>
      <c r="L2847" s="10" t="n">
        <v>40000</v>
      </c>
      <c r="M2847" s="10" t="n">
        <v>5932.2</v>
      </c>
      <c r="N2847" s="11">
        <f>IF(M2847="","",ROUND(M2847*1.18,2))</f>
        <v/>
      </c>
      <c r="O2847" s="12">
        <f>IF(M2847="","",ROUND(N2847-M2847,2))</f>
        <v/>
      </c>
      <c r="P2847" s="13">
        <f>IF(AND(A2847&lt;&gt;"",B2847&lt;&gt;""), A2847&amp;" · "&amp;B2847, "")</f>
        <v/>
      </c>
    </row>
    <row r="2848">
      <c r="A2848" s="6" t="inlineStr">
        <is>
          <t>FY27</t>
        </is>
      </c>
      <c r="B2848" s="6" t="inlineStr">
        <is>
          <t>Jul</t>
        </is>
      </c>
      <c r="C2848" s="6" t="inlineStr">
        <is>
          <t>Kerala</t>
        </is>
      </c>
      <c r="D2848" s="7" t="inlineStr">
        <is>
          <t>KL13Y0324</t>
        </is>
      </c>
      <c r="E2848" s="7" t="inlineStr">
        <is>
          <t>MARUTI SUZUKI</t>
        </is>
      </c>
      <c r="F2848" s="7" t="inlineStr">
        <is>
          <t>Alto</t>
        </is>
      </c>
      <c r="G2848" s="7" t="inlineStr">
        <is>
          <t>POPULAR MARUTI</t>
        </is>
      </c>
      <c r="H2848" s="7" t="inlineStr">
        <is>
          <t>Non-Captive</t>
        </is>
      </c>
      <c r="I2848" s="7" t="inlineStr">
        <is>
          <t>KC SHUKUR</t>
        </is>
      </c>
      <c r="J2848" s="8" t="n">
        <v>2012</v>
      </c>
      <c r="K2848" s="9" t="n">
        <v>95000</v>
      </c>
      <c r="L2848" s="10" t="n">
        <v>60000</v>
      </c>
      <c r="M2848" s="10" t="n">
        <v>8474.58</v>
      </c>
      <c r="N2848" s="11">
        <f>IF(M2848="","",ROUND(M2848*1.18,2))</f>
        <v/>
      </c>
      <c r="O2848" s="12">
        <f>IF(M2848="","",ROUND(N2848-M2848,2))</f>
        <v/>
      </c>
      <c r="P2848" s="13">
        <f>IF(AND(A2848&lt;&gt;"",B2848&lt;&gt;""), A2848&amp;" · "&amp;B2848, "")</f>
        <v/>
      </c>
    </row>
    <row r="2849">
      <c r="A2849" s="6" t="inlineStr">
        <is>
          <t>FY27</t>
        </is>
      </c>
      <c r="B2849" s="6" t="inlineStr">
        <is>
          <t>Jul</t>
        </is>
      </c>
      <c r="C2849" s="6" t="inlineStr">
        <is>
          <t>Kerala</t>
        </is>
      </c>
      <c r="D2849" s="7" t="inlineStr">
        <is>
          <t>KL13Z1718</t>
        </is>
      </c>
      <c r="E2849" s="7" t="inlineStr">
        <is>
          <t>RENAULT</t>
        </is>
      </c>
      <c r="F2849" s="7" t="inlineStr">
        <is>
          <t>Duster</t>
        </is>
      </c>
      <c r="G2849" s="7" t="inlineStr">
        <is>
          <t>EVM SKODA</t>
        </is>
      </c>
      <c r="H2849" s="7" t="inlineStr">
        <is>
          <t>Non-Captive</t>
        </is>
      </c>
      <c r="I2849" s="7" t="inlineStr">
        <is>
          <t>Illiyas Aboobacker</t>
        </is>
      </c>
      <c r="J2849" s="8" t="n">
        <v>2012</v>
      </c>
      <c r="K2849" s="9" t="n">
        <v>171000</v>
      </c>
      <c r="L2849" s="10" t="n">
        <v>165000</v>
      </c>
      <c r="M2849" s="10" t="n">
        <v>4237.29</v>
      </c>
      <c r="N2849" s="11">
        <f>IF(M2849="","",ROUND(M2849*1.18,2))</f>
        <v/>
      </c>
      <c r="O2849" s="12">
        <f>IF(M2849="","",ROUND(N2849-M2849,2))</f>
        <v/>
      </c>
      <c r="P2849" s="13">
        <f>IF(AND(A2849&lt;&gt;"",B2849&lt;&gt;""), A2849&amp;" · "&amp;B2849, "")</f>
        <v/>
      </c>
    </row>
    <row r="2850">
      <c r="A2850" s="6" t="inlineStr">
        <is>
          <t>FY27</t>
        </is>
      </c>
      <c r="B2850" s="6" t="inlineStr">
        <is>
          <t>Jul</t>
        </is>
      </c>
      <c r="C2850" s="6" t="inlineStr">
        <is>
          <t>Kerala</t>
        </is>
      </c>
      <c r="D2850" s="7" t="inlineStr">
        <is>
          <t>KL14G1970</t>
        </is>
      </c>
      <c r="E2850" s="7" t="inlineStr">
        <is>
          <t>HYUNDAI</t>
        </is>
      </c>
      <c r="F2850" s="7" t="inlineStr">
        <is>
          <t>Santro</t>
        </is>
      </c>
      <c r="G2850" s="7" t="inlineStr">
        <is>
          <t>MAIJO MARUTI</t>
        </is>
      </c>
      <c r="H2850" s="7" t="inlineStr">
        <is>
          <t>Non-Captive</t>
        </is>
      </c>
      <c r="I2850" s="7" t="inlineStr">
        <is>
          <t>HUSSAIN O E</t>
        </is>
      </c>
      <c r="J2850" s="8" t="n">
        <v>2006</v>
      </c>
      <c r="K2850" s="9" t="n">
        <v>126739</v>
      </c>
      <c r="L2850" s="10" t="n">
        <v>40000</v>
      </c>
      <c r="M2850" s="10" t="n">
        <v>8474.58</v>
      </c>
      <c r="N2850" s="11">
        <f>IF(M2850="","",ROUND(M2850*1.18,2))</f>
        <v/>
      </c>
      <c r="O2850" s="12">
        <f>IF(M2850="","",ROUND(N2850-M2850,2))</f>
        <v/>
      </c>
      <c r="P2850" s="13">
        <f>IF(AND(A2850&lt;&gt;"",B2850&lt;&gt;""), A2850&amp;" · "&amp;B2850, "")</f>
        <v/>
      </c>
    </row>
    <row r="2851">
      <c r="A2851" s="6" t="inlineStr">
        <is>
          <t>FY27</t>
        </is>
      </c>
      <c r="B2851" s="6" t="inlineStr">
        <is>
          <t>Jul</t>
        </is>
      </c>
      <c r="C2851" s="6" t="inlineStr">
        <is>
          <t>Kerala</t>
        </is>
      </c>
      <c r="D2851" s="7" t="inlineStr">
        <is>
          <t>KL14N8255</t>
        </is>
      </c>
      <c r="E2851" s="7" t="inlineStr">
        <is>
          <t>HONDA</t>
        </is>
      </c>
      <c r="F2851" s="7" t="inlineStr">
        <is>
          <t>Amaze</t>
        </is>
      </c>
      <c r="G2851" s="7" t="inlineStr">
        <is>
          <t>KVR</t>
        </is>
      </c>
      <c r="H2851" s="7" t="inlineStr">
        <is>
          <t>Non-Captive</t>
        </is>
      </c>
      <c r="I2851" s="7" t="inlineStr">
        <is>
          <t>BIMAL</t>
        </is>
      </c>
      <c r="J2851" s="8" t="n">
        <v>2013</v>
      </c>
      <c r="K2851" s="9" t="n">
        <v>141000</v>
      </c>
      <c r="L2851" s="10" t="n">
        <v>280000</v>
      </c>
      <c r="M2851" s="10" t="n">
        <v>8474.58</v>
      </c>
      <c r="N2851" s="11">
        <f>IF(M2851="","",ROUND(M2851*1.18,2))</f>
        <v/>
      </c>
      <c r="O2851" s="12">
        <f>IF(M2851="","",ROUND(N2851-M2851,2))</f>
        <v/>
      </c>
      <c r="P2851" s="13">
        <f>IF(AND(A2851&lt;&gt;"",B2851&lt;&gt;""), A2851&amp;" · "&amp;B2851, "")</f>
        <v/>
      </c>
    </row>
    <row r="2852">
      <c r="A2852" s="6" t="inlineStr">
        <is>
          <t>FY27</t>
        </is>
      </c>
      <c r="B2852" s="6" t="inlineStr">
        <is>
          <t>Jul</t>
        </is>
      </c>
      <c r="C2852" s="6" t="inlineStr">
        <is>
          <t>Kerala</t>
        </is>
      </c>
      <c r="D2852" s="7" t="inlineStr">
        <is>
          <t>KL14R0721</t>
        </is>
      </c>
      <c r="E2852" s="7" t="inlineStr">
        <is>
          <t>MARUTI SUZUKI</t>
        </is>
      </c>
      <c r="F2852" s="7" t="inlineStr">
        <is>
          <t>Alto K10</t>
        </is>
      </c>
      <c r="G2852" s="7" t="inlineStr">
        <is>
          <t>POPULAR MARUTI</t>
        </is>
      </c>
      <c r="H2852" s="7" t="inlineStr">
        <is>
          <t>Non-Captive</t>
        </is>
      </c>
      <c r="I2852" s="7" t="inlineStr">
        <is>
          <t>Muhammed Ashique K</t>
        </is>
      </c>
      <c r="J2852" s="8" t="n">
        <v>2015</v>
      </c>
      <c r="K2852" s="9" t="n">
        <v>70000</v>
      </c>
      <c r="L2852" s="10" t="n">
        <v>170000</v>
      </c>
      <c r="M2852" s="10" t="n">
        <v>8474.58</v>
      </c>
      <c r="N2852" s="11">
        <f>IF(M2852="","",ROUND(M2852*1.18,2))</f>
        <v/>
      </c>
      <c r="O2852" s="12">
        <f>IF(M2852="","",ROUND(N2852-M2852,2))</f>
        <v/>
      </c>
      <c r="P2852" s="13">
        <f>IF(AND(A2852&lt;&gt;"",B2852&lt;&gt;""), A2852&amp;" · "&amp;B2852, "")</f>
        <v/>
      </c>
    </row>
    <row r="2853">
      <c r="A2853" s="6" t="inlineStr">
        <is>
          <t>FY27</t>
        </is>
      </c>
      <c r="B2853" s="6" t="inlineStr">
        <is>
          <t>Jul</t>
        </is>
      </c>
      <c r="C2853" s="6" t="inlineStr">
        <is>
          <t>Kerala</t>
        </is>
      </c>
      <c r="D2853" s="7" t="inlineStr">
        <is>
          <t>KL16F3924</t>
        </is>
      </c>
      <c r="E2853" s="7" t="inlineStr">
        <is>
          <t>MARUTI SUZUKI</t>
        </is>
      </c>
      <c r="F2853" s="7" t="inlineStr">
        <is>
          <t>Alto</t>
        </is>
      </c>
      <c r="G2853" s="7" t="inlineStr">
        <is>
          <t>POPULAR MARUTI</t>
        </is>
      </c>
      <c r="H2853" s="7" t="inlineStr">
        <is>
          <t>Non-Captive</t>
        </is>
      </c>
      <c r="I2853" s="7" t="inlineStr">
        <is>
          <t>MAXX MOTORS</t>
        </is>
      </c>
      <c r="J2853" s="8" t="n">
        <v>2010</v>
      </c>
      <c r="K2853" s="9" t="n">
        <v>58772</v>
      </c>
      <c r="L2853" s="10" t="n">
        <v>117000</v>
      </c>
      <c r="M2853" s="10" t="n">
        <v>10169.49</v>
      </c>
      <c r="N2853" s="11">
        <f>IF(M2853="","",ROUND(M2853*1.18,2))</f>
        <v/>
      </c>
      <c r="O2853" s="12">
        <f>IF(M2853="","",ROUND(N2853-M2853,2))</f>
        <v/>
      </c>
      <c r="P2853" s="13">
        <f>IF(AND(A2853&lt;&gt;"",B2853&lt;&gt;""), A2853&amp;" · "&amp;B2853, "")</f>
        <v/>
      </c>
    </row>
    <row r="2854">
      <c r="A2854" s="6" t="inlineStr">
        <is>
          <t>FY27</t>
        </is>
      </c>
      <c r="B2854" s="6" t="inlineStr">
        <is>
          <t>Jul</t>
        </is>
      </c>
      <c r="C2854" s="6" t="inlineStr">
        <is>
          <t>Kerala</t>
        </is>
      </c>
      <c r="D2854" s="7" t="inlineStr">
        <is>
          <t>KL16H8433</t>
        </is>
      </c>
      <c r="E2854" s="7" t="inlineStr">
        <is>
          <t>MARUTI SUZUKI</t>
        </is>
      </c>
      <c r="F2854" s="7" t="inlineStr">
        <is>
          <t>Alto</t>
        </is>
      </c>
      <c r="G2854" s="7" t="inlineStr">
        <is>
          <t>LUXON TATA</t>
        </is>
      </c>
      <c r="H2854" s="7" t="inlineStr">
        <is>
          <t>Non-Captive</t>
        </is>
      </c>
      <c r="I2854" s="7" t="inlineStr">
        <is>
          <t>ATHUL RAJ</t>
        </is>
      </c>
      <c r="J2854" s="8" t="n">
        <v>2012</v>
      </c>
      <c r="K2854" s="9" t="n">
        <v>70765</v>
      </c>
      <c r="L2854" s="10" t="n">
        <v>78000</v>
      </c>
      <c r="M2854" s="10" t="n">
        <v>6779.66</v>
      </c>
      <c r="N2854" s="11">
        <f>IF(M2854="","",ROUND(M2854*1.18,2))</f>
        <v/>
      </c>
      <c r="O2854" s="12">
        <f>IF(M2854="","",ROUND(N2854-M2854,2))</f>
        <v/>
      </c>
      <c r="P2854" s="13">
        <f>IF(AND(A2854&lt;&gt;"",B2854&lt;&gt;""), A2854&amp;" · "&amp;B2854, "")</f>
        <v/>
      </c>
    </row>
    <row r="2855">
      <c r="A2855" s="6" t="inlineStr">
        <is>
          <t>FY27</t>
        </is>
      </c>
      <c r="B2855" s="6" t="inlineStr">
        <is>
          <t>Jul</t>
        </is>
      </c>
      <c r="C2855" s="6" t="inlineStr">
        <is>
          <t>Kerala</t>
        </is>
      </c>
      <c r="D2855" s="7" t="inlineStr">
        <is>
          <t>KL16J5696</t>
        </is>
      </c>
      <c r="E2855" s="7" t="inlineStr">
        <is>
          <t>MAHINDRA</t>
        </is>
      </c>
      <c r="F2855" s="7" t="inlineStr">
        <is>
          <t>XUV500</t>
        </is>
      </c>
      <c r="G2855" s="7" t="inlineStr">
        <is>
          <t>POPULAR MARUTI</t>
        </is>
      </c>
      <c r="H2855" s="7" t="inlineStr">
        <is>
          <t>Non-Captive</t>
        </is>
      </c>
      <c r="I2855" s="7" t="inlineStr">
        <is>
          <t>CARLINK</t>
        </is>
      </c>
      <c r="J2855" s="8" t="n">
        <v>2012</v>
      </c>
      <c r="K2855" s="9" t="n">
        <v>155000</v>
      </c>
      <c r="L2855" s="10" t="n">
        <v>260000</v>
      </c>
      <c r="M2855" s="10" t="n">
        <v>8474.58</v>
      </c>
      <c r="N2855" s="11">
        <f>IF(M2855="","",ROUND(M2855*1.18,2))</f>
        <v/>
      </c>
      <c r="O2855" s="12">
        <f>IF(M2855="","",ROUND(N2855-M2855,2))</f>
        <v/>
      </c>
      <c r="P2855" s="13">
        <f>IF(AND(A2855&lt;&gt;"",B2855&lt;&gt;""), A2855&amp;" · "&amp;B2855, "")</f>
        <v/>
      </c>
    </row>
    <row r="2856">
      <c r="A2856" s="6" t="inlineStr">
        <is>
          <t>FY27</t>
        </is>
      </c>
      <c r="B2856" s="6" t="inlineStr">
        <is>
          <t>Jul</t>
        </is>
      </c>
      <c r="C2856" s="6" t="inlineStr">
        <is>
          <t>Kerala</t>
        </is>
      </c>
      <c r="D2856" s="7" t="inlineStr">
        <is>
          <t>KL16W8477</t>
        </is>
      </c>
      <c r="E2856" s="7" t="inlineStr">
        <is>
          <t>HYUNDAI</t>
        </is>
      </c>
      <c r="F2856" s="7" t="inlineStr">
        <is>
          <t>i10</t>
        </is>
      </c>
      <c r="G2856" s="7" t="inlineStr">
        <is>
          <t>LUXON TATA</t>
        </is>
      </c>
      <c r="H2856" s="7" t="inlineStr">
        <is>
          <t>Non-Captive</t>
        </is>
      </c>
      <c r="I2856" s="7" t="inlineStr">
        <is>
          <t>MAXX MOTORS</t>
        </is>
      </c>
      <c r="J2856" s="8" t="n">
        <v>2019</v>
      </c>
      <c r="K2856" s="9" t="n">
        <v>17000</v>
      </c>
      <c r="L2856" s="10" t="n">
        <v>370000</v>
      </c>
      <c r="M2856" s="10" t="n">
        <v>8474.58</v>
      </c>
      <c r="N2856" s="11">
        <f>IF(M2856="","",ROUND(M2856*1.18,2))</f>
        <v/>
      </c>
      <c r="O2856" s="12">
        <f>IF(M2856="","",ROUND(N2856-M2856,2))</f>
        <v/>
      </c>
      <c r="P2856" s="13">
        <f>IF(AND(A2856&lt;&gt;"",B2856&lt;&gt;""), A2856&amp;" · "&amp;B2856, "")</f>
        <v/>
      </c>
    </row>
    <row r="2857">
      <c r="A2857" s="6" t="inlineStr">
        <is>
          <t>FY27</t>
        </is>
      </c>
      <c r="B2857" s="6" t="inlineStr">
        <is>
          <t>Jul</t>
        </is>
      </c>
      <c r="C2857" s="6" t="inlineStr">
        <is>
          <t>Kerala</t>
        </is>
      </c>
      <c r="D2857" s="7" t="inlineStr">
        <is>
          <t>KL18C0223</t>
        </is>
      </c>
      <c r="E2857" s="7" t="inlineStr">
        <is>
          <t>MARUTI SUZUKI</t>
        </is>
      </c>
      <c r="F2857" s="7" t="inlineStr">
        <is>
          <t>800</t>
        </is>
      </c>
      <c r="G2857" s="7" t="inlineStr">
        <is>
          <t>UCD MUHAMMED</t>
        </is>
      </c>
      <c r="H2857" s="7" t="inlineStr">
        <is>
          <t>Non-Captive</t>
        </is>
      </c>
      <c r="I2857" s="7" t="inlineStr">
        <is>
          <t>AUTOTRUST</t>
        </is>
      </c>
      <c r="J2857" s="8" t="n">
        <v>2006</v>
      </c>
      <c r="K2857" s="9" t="n">
        <v>200671</v>
      </c>
      <c r="L2857" s="10" t="n">
        <v>30000</v>
      </c>
      <c r="M2857" s="10" t="n">
        <v>6779.66</v>
      </c>
      <c r="N2857" s="11">
        <f>IF(M2857="","",ROUND(M2857*1.18,2))</f>
        <v/>
      </c>
      <c r="O2857" s="12">
        <f>IF(M2857="","",ROUND(N2857-M2857,2))</f>
        <v/>
      </c>
      <c r="P2857" s="13">
        <f>IF(AND(A2857&lt;&gt;"",B2857&lt;&gt;""), A2857&amp;" · "&amp;B2857, "")</f>
        <v/>
      </c>
    </row>
    <row r="2858">
      <c r="A2858" s="6" t="inlineStr">
        <is>
          <t>FY27</t>
        </is>
      </c>
      <c r="B2858" s="6" t="inlineStr">
        <is>
          <t>Jul</t>
        </is>
      </c>
      <c r="C2858" s="6" t="inlineStr">
        <is>
          <t>Kerala</t>
        </is>
      </c>
      <c r="D2858" s="7" t="inlineStr">
        <is>
          <t>KL18L9224</t>
        </is>
      </c>
      <c r="E2858" s="7" t="inlineStr">
        <is>
          <t>MARUTI SUZUKI</t>
        </is>
      </c>
      <c r="F2858" s="7" t="inlineStr">
        <is>
          <t>Wagon R</t>
        </is>
      </c>
      <c r="G2858" s="7" t="inlineStr">
        <is>
          <t>POPULAR MARUTI</t>
        </is>
      </c>
      <c r="H2858" s="7" t="inlineStr">
        <is>
          <t>Non-Captive</t>
        </is>
      </c>
      <c r="I2858" s="7" t="inlineStr">
        <is>
          <t>NISAB</t>
        </is>
      </c>
      <c r="J2858" s="8" t="n">
        <v>2013</v>
      </c>
      <c r="K2858" s="9" t="n">
        <v>61000</v>
      </c>
      <c r="L2858" s="10" t="n">
        <v>240000</v>
      </c>
      <c r="M2858" s="10" t="n">
        <v>8474.58</v>
      </c>
      <c r="N2858" s="11">
        <f>IF(M2858="","",ROUND(M2858*1.18,2))</f>
        <v/>
      </c>
      <c r="O2858" s="12">
        <f>IF(M2858="","",ROUND(N2858-M2858,2))</f>
        <v/>
      </c>
      <c r="P2858" s="13">
        <f>IF(AND(A2858&lt;&gt;"",B2858&lt;&gt;""), A2858&amp;" · "&amp;B2858, "")</f>
        <v/>
      </c>
    </row>
    <row r="2859">
      <c r="A2859" s="6" t="inlineStr">
        <is>
          <t>FY27</t>
        </is>
      </c>
      <c r="B2859" s="6" t="inlineStr">
        <is>
          <t>Jul</t>
        </is>
      </c>
      <c r="C2859" s="6" t="inlineStr">
        <is>
          <t>Kerala</t>
        </is>
      </c>
      <c r="D2859" s="7" t="inlineStr">
        <is>
          <t>KL18N1771</t>
        </is>
      </c>
      <c r="E2859" s="7" t="inlineStr">
        <is>
          <t>MARUTI SUZUKI</t>
        </is>
      </c>
      <c r="F2859" s="7" t="inlineStr">
        <is>
          <t>Celerio</t>
        </is>
      </c>
      <c r="G2859" s="7" t="inlineStr">
        <is>
          <t>POPULAR MARUTI</t>
        </is>
      </c>
      <c r="H2859" s="7" t="inlineStr">
        <is>
          <t>Non-Captive</t>
        </is>
      </c>
      <c r="I2859" s="7" t="inlineStr">
        <is>
          <t>ARSHEENA TV</t>
        </is>
      </c>
      <c r="J2859" s="8" t="n">
        <v>2014</v>
      </c>
      <c r="K2859" s="9" t="n">
        <v>88000</v>
      </c>
      <c r="L2859" s="10" t="n">
        <v>273000</v>
      </c>
      <c r="M2859" s="10" t="n">
        <v>6779.66</v>
      </c>
      <c r="N2859" s="11">
        <f>IF(M2859="","",ROUND(M2859*1.18,2))</f>
        <v/>
      </c>
      <c r="O2859" s="12">
        <f>IF(M2859="","",ROUND(N2859-M2859,2))</f>
        <v/>
      </c>
      <c r="P2859" s="13">
        <f>IF(AND(A2859&lt;&gt;"",B2859&lt;&gt;""), A2859&amp;" · "&amp;B2859, "")</f>
        <v/>
      </c>
    </row>
    <row r="2860">
      <c r="A2860" s="6" t="inlineStr">
        <is>
          <t>FY27</t>
        </is>
      </c>
      <c r="B2860" s="6" t="inlineStr">
        <is>
          <t>Jul</t>
        </is>
      </c>
      <c r="C2860" s="6" t="inlineStr">
        <is>
          <t>Kerala</t>
        </is>
      </c>
      <c r="D2860" s="7" t="inlineStr">
        <is>
          <t>KL205359</t>
        </is>
      </c>
      <c r="E2860" s="7" t="inlineStr">
        <is>
          <t>MARUTI SUZUKI</t>
        </is>
      </c>
      <c r="F2860" s="7" t="inlineStr">
        <is>
          <t>Alto</t>
        </is>
      </c>
      <c r="G2860" s="7" t="inlineStr">
        <is>
          <t>POPULAR MARUTI</t>
        </is>
      </c>
      <c r="H2860" s="7" t="inlineStr">
        <is>
          <t>Non-Captive</t>
        </is>
      </c>
      <c r="I2860" s="7" t="inlineStr">
        <is>
          <t>PRAJOD</t>
        </is>
      </c>
      <c r="J2860" s="8" t="n">
        <v>2007</v>
      </c>
      <c r="K2860" s="9" t="n">
        <v>110000</v>
      </c>
      <c r="L2860" s="10" t="n">
        <v>25000</v>
      </c>
      <c r="M2860" s="10" t="n">
        <v>4237.29</v>
      </c>
      <c r="N2860" s="11">
        <f>IF(M2860="","",ROUND(M2860*1.18,2))</f>
        <v/>
      </c>
      <c r="O2860" s="12">
        <f>IF(M2860="","",ROUND(N2860-M2860,2))</f>
        <v/>
      </c>
      <c r="P2860" s="13">
        <f>IF(AND(A2860&lt;&gt;"",B2860&lt;&gt;""), A2860&amp;" · "&amp;B2860, "")</f>
        <v/>
      </c>
    </row>
    <row r="2861">
      <c r="A2861" s="6" t="inlineStr">
        <is>
          <t>FY27</t>
        </is>
      </c>
      <c r="B2861" s="6" t="inlineStr">
        <is>
          <t>Jul</t>
        </is>
      </c>
      <c r="C2861" s="6" t="inlineStr">
        <is>
          <t>Kerala</t>
        </is>
      </c>
      <c r="D2861" s="7" t="inlineStr">
        <is>
          <t>KL20J7855</t>
        </is>
      </c>
      <c r="E2861" s="7" t="inlineStr">
        <is>
          <t>FORD</t>
        </is>
      </c>
      <c r="F2861" s="7" t="inlineStr">
        <is>
          <t>Figo</t>
        </is>
      </c>
      <c r="G2861" s="7" t="inlineStr">
        <is>
          <t>OLX</t>
        </is>
      </c>
      <c r="H2861" s="7" t="inlineStr">
        <is>
          <t>Non-Captive</t>
        </is>
      </c>
      <c r="I2861" s="7" t="inlineStr">
        <is>
          <t>DINESH P S</t>
        </is>
      </c>
      <c r="J2861" s="8" t="n">
        <v>2016</v>
      </c>
      <c r="K2861" s="9" t="n">
        <v>125984</v>
      </c>
      <c r="L2861" s="10" t="n">
        <v>260000</v>
      </c>
      <c r="M2861" s="10" t="n">
        <v>8474.58</v>
      </c>
      <c r="N2861" s="11">
        <f>IF(M2861="","",ROUND(M2861*1.18,2))</f>
        <v/>
      </c>
      <c r="O2861" s="12">
        <f>IF(M2861="","",ROUND(N2861-M2861,2))</f>
        <v/>
      </c>
      <c r="P2861" s="13">
        <f>IF(AND(A2861&lt;&gt;"",B2861&lt;&gt;""), A2861&amp;" · "&amp;B2861, "")</f>
        <v/>
      </c>
    </row>
    <row r="2862">
      <c r="A2862" s="6" t="inlineStr">
        <is>
          <t>FY27</t>
        </is>
      </c>
      <c r="B2862" s="6" t="inlineStr">
        <is>
          <t>Jul</t>
        </is>
      </c>
      <c r="C2862" s="6" t="inlineStr">
        <is>
          <t>Kerala</t>
        </is>
      </c>
      <c r="D2862" s="7" t="inlineStr">
        <is>
          <t>KL20L9663</t>
        </is>
      </c>
      <c r="E2862" s="7" t="inlineStr">
        <is>
          <t>RENAULT</t>
        </is>
      </c>
      <c r="F2862" s="7" t="inlineStr">
        <is>
          <t>Kwid</t>
        </is>
      </c>
      <c r="G2862" s="7" t="inlineStr">
        <is>
          <t>LUXON MOTORS</t>
        </is>
      </c>
      <c r="H2862" s="7" t="inlineStr">
        <is>
          <t>Non-Captive</t>
        </is>
      </c>
      <c r="I2862" s="7" t="inlineStr">
        <is>
          <t>ABHISHEK</t>
        </is>
      </c>
      <c r="J2862" s="8" t="n">
        <v>2017</v>
      </c>
      <c r="K2862" s="9" t="n">
        <v>58200</v>
      </c>
      <c r="L2862" s="10" t="n">
        <v>176000</v>
      </c>
      <c r="M2862" s="10" t="n">
        <v>5084.75</v>
      </c>
      <c r="N2862" s="11">
        <f>IF(M2862="","",ROUND(M2862*1.18,2))</f>
        <v/>
      </c>
      <c r="O2862" s="12">
        <f>IF(M2862="","",ROUND(N2862-M2862,2))</f>
        <v/>
      </c>
      <c r="P2862" s="13">
        <f>IF(AND(A2862&lt;&gt;"",B2862&lt;&gt;""), A2862&amp;" · "&amp;B2862, "")</f>
        <v/>
      </c>
    </row>
    <row r="2863">
      <c r="A2863" s="6" t="inlineStr">
        <is>
          <t>FY27</t>
        </is>
      </c>
      <c r="B2863" s="6" t="inlineStr">
        <is>
          <t>Jul</t>
        </is>
      </c>
      <c r="C2863" s="6" t="inlineStr">
        <is>
          <t>Kerala</t>
        </is>
      </c>
      <c r="D2863" s="7" t="inlineStr">
        <is>
          <t>KL21D2962</t>
        </is>
      </c>
      <c r="E2863" s="7" t="inlineStr">
        <is>
          <t>MARUTI SUZUKI</t>
        </is>
      </c>
      <c r="F2863" s="7" t="inlineStr">
        <is>
          <t>Alto K10</t>
        </is>
      </c>
      <c r="G2863" s="7" t="inlineStr">
        <is>
          <t>POPULAR MARUTI</t>
        </is>
      </c>
      <c r="H2863" s="7" t="inlineStr">
        <is>
          <t>Non-Captive</t>
        </is>
      </c>
      <c r="I2863" s="7" t="inlineStr">
        <is>
          <t>GS USED CAR</t>
        </is>
      </c>
      <c r="J2863" s="8" t="n">
        <v>2011</v>
      </c>
      <c r="K2863" s="9" t="n">
        <v>108000</v>
      </c>
      <c r="L2863" s="10" t="n">
        <v>92000</v>
      </c>
      <c r="M2863" s="10" t="n">
        <v>5932.2</v>
      </c>
      <c r="N2863" s="11">
        <f>IF(M2863="","",ROUND(M2863*1.18,2))</f>
        <v/>
      </c>
      <c r="O2863" s="12">
        <f>IF(M2863="","",ROUND(N2863-M2863,2))</f>
        <v/>
      </c>
      <c r="P2863" s="13">
        <f>IF(AND(A2863&lt;&gt;"",B2863&lt;&gt;""), A2863&amp;" · "&amp;B2863, "")</f>
        <v/>
      </c>
    </row>
    <row r="2864">
      <c r="A2864" s="6" t="inlineStr">
        <is>
          <t>FY27</t>
        </is>
      </c>
      <c r="B2864" s="6" t="inlineStr">
        <is>
          <t>Jul</t>
        </is>
      </c>
      <c r="C2864" s="6" t="inlineStr">
        <is>
          <t>Kerala</t>
        </is>
      </c>
      <c r="D2864" s="7" t="inlineStr">
        <is>
          <t>KL21F5587</t>
        </is>
      </c>
      <c r="E2864" s="7" t="inlineStr">
        <is>
          <t>MARUTI SUZUKI</t>
        </is>
      </c>
      <c r="F2864" s="7" t="inlineStr">
        <is>
          <t>Alto K10</t>
        </is>
      </c>
      <c r="G2864" s="7" t="inlineStr">
        <is>
          <t>POPULAR MARUTI</t>
        </is>
      </c>
      <c r="H2864" s="7" t="inlineStr">
        <is>
          <t>Non-Captive</t>
        </is>
      </c>
      <c r="I2864" s="7" t="inlineStr">
        <is>
          <t>GS USED CAR</t>
        </is>
      </c>
      <c r="J2864" s="8" t="n">
        <v>2012</v>
      </c>
      <c r="K2864" s="9" t="n">
        <v>58200</v>
      </c>
      <c r="L2864" s="10" t="n">
        <v>108000</v>
      </c>
      <c r="M2864" s="10" t="n">
        <v>6779.66</v>
      </c>
      <c r="N2864" s="11">
        <f>IF(M2864="","",ROUND(M2864*1.18,2))</f>
        <v/>
      </c>
      <c r="O2864" s="12">
        <f>IF(M2864="","",ROUND(N2864-M2864,2))</f>
        <v/>
      </c>
      <c r="P2864" s="13">
        <f>IF(AND(A2864&lt;&gt;"",B2864&lt;&gt;""), A2864&amp;" · "&amp;B2864, "")</f>
        <v/>
      </c>
    </row>
    <row r="2865">
      <c r="A2865" s="6" t="inlineStr">
        <is>
          <t>FY27</t>
        </is>
      </c>
      <c r="B2865" s="6" t="inlineStr">
        <is>
          <t>Jul</t>
        </is>
      </c>
      <c r="C2865" s="6" t="inlineStr">
        <is>
          <t>Kerala</t>
        </is>
      </c>
      <c r="D2865" s="7" t="inlineStr">
        <is>
          <t>KL22E8839</t>
        </is>
      </c>
      <c r="E2865" s="7" t="inlineStr">
        <is>
          <t>MARUTI SUZUKI</t>
        </is>
      </c>
      <c r="F2865" s="7" t="inlineStr">
        <is>
          <t>Alto</t>
        </is>
      </c>
      <c r="G2865" s="7" t="inlineStr">
        <is>
          <t>INCHEON KIA</t>
        </is>
      </c>
      <c r="H2865" s="7" t="inlineStr">
        <is>
          <t>Non-Captive</t>
        </is>
      </c>
      <c r="I2865" s="7" t="inlineStr">
        <is>
          <t>SUDINA</t>
        </is>
      </c>
      <c r="J2865" s="8" t="n">
        <v>2013</v>
      </c>
      <c r="K2865" s="9" t="n">
        <v>89776</v>
      </c>
      <c r="L2865" s="10" t="n">
        <v>82000</v>
      </c>
      <c r="M2865" s="10" t="n">
        <v>5932.2</v>
      </c>
      <c r="N2865" s="11">
        <f>IF(M2865="","",ROUND(M2865*1.18,2))</f>
        <v/>
      </c>
      <c r="O2865" s="12">
        <f>IF(M2865="","",ROUND(N2865-M2865,2))</f>
        <v/>
      </c>
      <c r="P2865" s="13">
        <f>IF(AND(A2865&lt;&gt;"",B2865&lt;&gt;""), A2865&amp;" · "&amp;B2865, "")</f>
        <v/>
      </c>
    </row>
    <row r="2866">
      <c r="A2866" s="6" t="inlineStr">
        <is>
          <t>FY27</t>
        </is>
      </c>
      <c r="B2866" s="6" t="inlineStr">
        <is>
          <t>Jul</t>
        </is>
      </c>
      <c r="C2866" s="6" t="inlineStr">
        <is>
          <t>Kerala</t>
        </is>
      </c>
      <c r="D2866" s="7" t="inlineStr">
        <is>
          <t>KL22M3049</t>
        </is>
      </c>
      <c r="E2866" s="7" t="inlineStr">
        <is>
          <t>MAHINDRA</t>
        </is>
      </c>
      <c r="F2866" s="7" t="inlineStr">
        <is>
          <t>KUV100</t>
        </is>
      </c>
      <c r="G2866" s="7" t="inlineStr">
        <is>
          <t>MAXX MOTORS</t>
        </is>
      </c>
      <c r="H2866" s="7" t="inlineStr">
        <is>
          <t>Non-Captive</t>
        </is>
      </c>
      <c r="I2866" s="7" t="inlineStr">
        <is>
          <t>SANTHOSH</t>
        </is>
      </c>
      <c r="J2866" s="8" t="n">
        <v>2018</v>
      </c>
      <c r="K2866" s="9" t="n">
        <v>122500</v>
      </c>
      <c r="L2866" s="10" t="n">
        <v>195000</v>
      </c>
      <c r="M2866" s="10" t="n">
        <v>4237.29</v>
      </c>
      <c r="N2866" s="11">
        <f>IF(M2866="","",ROUND(M2866*1.18,2))</f>
        <v/>
      </c>
      <c r="O2866" s="12">
        <f>IF(M2866="","",ROUND(N2866-M2866,2))</f>
        <v/>
      </c>
      <c r="P2866" s="13">
        <f>IF(AND(A2866&lt;&gt;"",B2866&lt;&gt;""), A2866&amp;" · "&amp;B2866, "")</f>
        <v/>
      </c>
    </row>
    <row r="2867">
      <c r="A2867" s="6" t="inlineStr">
        <is>
          <t>FY27</t>
        </is>
      </c>
      <c r="B2867" s="6" t="inlineStr">
        <is>
          <t>Jul</t>
        </is>
      </c>
      <c r="C2867" s="6" t="inlineStr">
        <is>
          <t>Kerala</t>
        </is>
      </c>
      <c r="D2867" s="7" t="inlineStr">
        <is>
          <t>KL22N3055</t>
        </is>
      </c>
      <c r="E2867" s="7" t="inlineStr">
        <is>
          <t>TATA</t>
        </is>
      </c>
      <c r="F2867" s="7" t="inlineStr">
        <is>
          <t>Tiago</t>
        </is>
      </c>
      <c r="G2867" s="7" t="inlineStr">
        <is>
          <t>GOKULAM TATA</t>
        </is>
      </c>
      <c r="H2867" s="7" t="inlineStr">
        <is>
          <t>Non-Captive</t>
        </is>
      </c>
      <c r="I2867" s="7" t="inlineStr">
        <is>
          <t>RASIK RAHIM</t>
        </is>
      </c>
      <c r="J2867" s="8" t="n">
        <v>2019</v>
      </c>
      <c r="K2867" s="9" t="n">
        <v>63787</v>
      </c>
      <c r="L2867" s="10" t="n">
        <v>250000</v>
      </c>
      <c r="M2867" s="10" t="n">
        <v>8474.58</v>
      </c>
      <c r="N2867" s="11">
        <f>IF(M2867="","",ROUND(M2867*1.18,2))</f>
        <v/>
      </c>
      <c r="O2867" s="12">
        <f>IF(M2867="","",ROUND(N2867-M2867,2))</f>
        <v/>
      </c>
      <c r="P2867" s="13">
        <f>IF(AND(A2867&lt;&gt;"",B2867&lt;&gt;""), A2867&amp;" · "&amp;B2867, "")</f>
        <v/>
      </c>
    </row>
    <row r="2868">
      <c r="A2868" s="6" t="inlineStr">
        <is>
          <t>FY27</t>
        </is>
      </c>
      <c r="B2868" s="6" t="inlineStr">
        <is>
          <t>Jul</t>
        </is>
      </c>
      <c r="C2868" s="6" t="inlineStr">
        <is>
          <t>Kerala</t>
        </is>
      </c>
      <c r="D2868" s="7" t="inlineStr">
        <is>
          <t>KL23B1578</t>
        </is>
      </c>
      <c r="E2868" s="7" t="inlineStr">
        <is>
          <t>MARUTI SUZUKI</t>
        </is>
      </c>
      <c r="F2868" s="7" t="inlineStr">
        <is>
          <t>Alto</t>
        </is>
      </c>
      <c r="G2868" s="7" t="inlineStr">
        <is>
          <t>POPULAR MARUTI</t>
        </is>
      </c>
      <c r="H2868" s="7" t="inlineStr">
        <is>
          <t>Non-Captive</t>
        </is>
      </c>
      <c r="I2868" s="7" t="inlineStr">
        <is>
          <t>Arun Sugunan</t>
        </is>
      </c>
      <c r="J2868" s="8" t="n">
        <v>2009</v>
      </c>
      <c r="K2868" s="9" t="n">
        <v>101154</v>
      </c>
      <c r="L2868" s="10" t="n">
        <v>65000</v>
      </c>
      <c r="M2868" s="10" t="n">
        <v>8474.58</v>
      </c>
      <c r="N2868" s="11">
        <f>IF(M2868="","",ROUND(M2868*1.18,2))</f>
        <v/>
      </c>
      <c r="O2868" s="12">
        <f>IF(M2868="","",ROUND(N2868-M2868,2))</f>
        <v/>
      </c>
      <c r="P2868" s="13">
        <f>IF(AND(A2868&lt;&gt;"",B2868&lt;&gt;""), A2868&amp;" · "&amp;B2868, "")</f>
        <v/>
      </c>
    </row>
    <row r="2869">
      <c r="A2869" s="6" t="inlineStr">
        <is>
          <t>FY27</t>
        </is>
      </c>
      <c r="B2869" s="6" t="inlineStr">
        <is>
          <t>Jul</t>
        </is>
      </c>
      <c r="C2869" s="6" t="inlineStr">
        <is>
          <t>Kerala</t>
        </is>
      </c>
      <c r="D2869" s="7" t="inlineStr">
        <is>
          <t>KL23G2785</t>
        </is>
      </c>
      <c r="E2869" s="7" t="inlineStr">
        <is>
          <t>MARUTI SUZUKI</t>
        </is>
      </c>
      <c r="F2869" s="7" t="inlineStr">
        <is>
          <t>Dzire</t>
        </is>
      </c>
      <c r="G2869" s="7" t="inlineStr">
        <is>
          <t>POPULAR MARUTI</t>
        </is>
      </c>
      <c r="H2869" s="7" t="inlineStr">
        <is>
          <t>Non-Captive</t>
        </is>
      </c>
      <c r="I2869" s="7" t="inlineStr">
        <is>
          <t>MAXX MOTORS</t>
        </is>
      </c>
      <c r="J2869" s="8" t="n">
        <v>2012</v>
      </c>
      <c r="K2869" s="9" t="n">
        <v>51332</v>
      </c>
      <c r="L2869" s="10" t="n">
        <v>295000</v>
      </c>
      <c r="M2869" s="10" t="n">
        <v>8474.58</v>
      </c>
      <c r="N2869" s="11">
        <f>IF(M2869="","",ROUND(M2869*1.18,2))</f>
        <v/>
      </c>
      <c r="O2869" s="12">
        <f>IF(M2869="","",ROUND(N2869-M2869,2))</f>
        <v/>
      </c>
      <c r="P2869" s="13">
        <f>IF(AND(A2869&lt;&gt;"",B2869&lt;&gt;""), A2869&amp;" · "&amp;B2869, "")</f>
        <v/>
      </c>
    </row>
    <row r="2870">
      <c r="A2870" s="6" t="inlineStr">
        <is>
          <t>FY27</t>
        </is>
      </c>
      <c r="B2870" s="6" t="inlineStr">
        <is>
          <t>Jul</t>
        </is>
      </c>
      <c r="C2870" s="6" t="inlineStr">
        <is>
          <t>Kerala</t>
        </is>
      </c>
      <c r="D2870" s="7" t="inlineStr">
        <is>
          <t>KL24F1272</t>
        </is>
      </c>
      <c r="E2870" s="7" t="inlineStr">
        <is>
          <t>HYUNDAI</t>
        </is>
      </c>
      <c r="F2870" s="7" t="inlineStr">
        <is>
          <t>i10</t>
        </is>
      </c>
      <c r="G2870" s="7" t="inlineStr">
        <is>
          <t>INDUS MARUTI</t>
        </is>
      </c>
      <c r="H2870" s="7" t="inlineStr">
        <is>
          <t>Non-Captive</t>
        </is>
      </c>
      <c r="I2870" s="7" t="inlineStr">
        <is>
          <t>Renjith SJ</t>
        </is>
      </c>
      <c r="J2870" s="8" t="n">
        <v>2012</v>
      </c>
      <c r="K2870" s="9" t="n">
        <v>84000</v>
      </c>
      <c r="L2870" s="10" t="n">
        <v>76000</v>
      </c>
      <c r="M2870" s="10" t="n">
        <v>5084.75</v>
      </c>
      <c r="N2870" s="11">
        <f>IF(M2870="","",ROUND(M2870*1.18,2))</f>
        <v/>
      </c>
      <c r="O2870" s="12">
        <f>IF(M2870="","",ROUND(N2870-M2870,2))</f>
        <v/>
      </c>
      <c r="P2870" s="13">
        <f>IF(AND(A2870&lt;&gt;"",B2870&lt;&gt;""), A2870&amp;" · "&amp;B2870, "")</f>
        <v/>
      </c>
    </row>
    <row r="2871">
      <c r="A2871" s="6" t="inlineStr">
        <is>
          <t>FY27</t>
        </is>
      </c>
      <c r="B2871" s="6" t="inlineStr">
        <is>
          <t>Jul</t>
        </is>
      </c>
      <c r="C2871" s="6" t="inlineStr">
        <is>
          <t>Kerala</t>
        </is>
      </c>
      <c r="D2871" s="7" t="inlineStr">
        <is>
          <t>KL24V2533</t>
        </is>
      </c>
      <c r="E2871" s="7" t="inlineStr">
        <is>
          <t>VOLKSWAGEN</t>
        </is>
      </c>
      <c r="F2871" s="7" t="inlineStr">
        <is>
          <t>Taigun</t>
        </is>
      </c>
      <c r="G2871" s="7" t="inlineStr">
        <is>
          <t>POPULAR MAHINDRA</t>
        </is>
      </c>
      <c r="H2871" s="7" t="inlineStr">
        <is>
          <t>Non-Captive</t>
        </is>
      </c>
      <c r="I2871" s="7" t="inlineStr">
        <is>
          <t>SANOOB V A</t>
        </is>
      </c>
      <c r="J2871" s="8" t="n">
        <v>2021</v>
      </c>
      <c r="K2871" s="9" t="n">
        <v>74232</v>
      </c>
      <c r="L2871" s="10" t="n">
        <v>745000</v>
      </c>
      <c r="M2871" s="10" t="n">
        <v>8474.58</v>
      </c>
      <c r="N2871" s="11">
        <f>IF(M2871="","",ROUND(M2871*1.18,2))</f>
        <v/>
      </c>
      <c r="O2871" s="12">
        <f>IF(M2871="","",ROUND(N2871-M2871,2))</f>
        <v/>
      </c>
      <c r="P2871" s="13">
        <f>IF(AND(A2871&lt;&gt;"",B2871&lt;&gt;""), A2871&amp;" · "&amp;B2871, "")</f>
        <v/>
      </c>
    </row>
    <row r="2872">
      <c r="A2872" s="6" t="inlineStr">
        <is>
          <t>FY27</t>
        </is>
      </c>
      <c r="B2872" s="6" t="inlineStr">
        <is>
          <t>Jul</t>
        </is>
      </c>
      <c r="C2872" s="6" t="inlineStr">
        <is>
          <t>Kerala</t>
        </is>
      </c>
      <c r="D2872" s="7" t="inlineStr">
        <is>
          <t>KL25F5739</t>
        </is>
      </c>
      <c r="E2872" s="7" t="inlineStr">
        <is>
          <t>HONDA</t>
        </is>
      </c>
      <c r="F2872" s="7" t="inlineStr">
        <is>
          <t>City</t>
        </is>
      </c>
      <c r="G2872" s="7" t="inlineStr">
        <is>
          <t>SARATHY NEXA</t>
        </is>
      </c>
      <c r="H2872" s="7" t="inlineStr">
        <is>
          <t>Non-Captive</t>
        </is>
      </c>
      <c r="I2872" s="7" t="inlineStr">
        <is>
          <t>Renjith SJ</t>
        </is>
      </c>
      <c r="J2872" s="8" t="n">
        <v>2014</v>
      </c>
      <c r="K2872" s="9" t="n">
        <v>101435</v>
      </c>
      <c r="L2872" s="10" t="n">
        <v>418500</v>
      </c>
      <c r="M2872" s="10" t="n">
        <v>7203.39</v>
      </c>
      <c r="N2872" s="11">
        <f>IF(M2872="","",ROUND(M2872*1.18,2))</f>
        <v/>
      </c>
      <c r="O2872" s="12">
        <f>IF(M2872="","",ROUND(N2872-M2872,2))</f>
        <v/>
      </c>
      <c r="P2872" s="13">
        <f>IF(AND(A2872&lt;&gt;"",B2872&lt;&gt;""), A2872&amp;" · "&amp;B2872, "")</f>
        <v/>
      </c>
    </row>
    <row r="2873">
      <c r="A2873" s="6" t="inlineStr">
        <is>
          <t>FY27</t>
        </is>
      </c>
      <c r="B2873" s="6" t="inlineStr">
        <is>
          <t>Jul</t>
        </is>
      </c>
      <c r="C2873" s="6" t="inlineStr">
        <is>
          <t>Kerala</t>
        </is>
      </c>
      <c r="D2873" s="7" t="inlineStr">
        <is>
          <t>KL26C3999</t>
        </is>
      </c>
      <c r="E2873" s="7" t="inlineStr">
        <is>
          <t>TOYOTA</t>
        </is>
      </c>
      <c r="F2873" s="7" t="inlineStr">
        <is>
          <t>Etios</t>
        </is>
      </c>
      <c r="G2873" s="7" t="inlineStr">
        <is>
          <t>EVM CITROEN</t>
        </is>
      </c>
      <c r="H2873" s="7" t="inlineStr">
        <is>
          <t>Non-Captive</t>
        </is>
      </c>
      <c r="I2873" s="7" t="inlineStr">
        <is>
          <t>PRAJOD</t>
        </is>
      </c>
      <c r="J2873" s="8" t="n">
        <v>2012</v>
      </c>
      <c r="K2873" s="9" t="n">
        <v>144000</v>
      </c>
      <c r="L2873" s="10" t="n">
        <v>130000</v>
      </c>
      <c r="M2873" s="10" t="n">
        <v>8474.58</v>
      </c>
      <c r="N2873" s="11">
        <f>IF(M2873="","",ROUND(M2873*1.18,2))</f>
        <v/>
      </c>
      <c r="O2873" s="12">
        <f>IF(M2873="","",ROUND(N2873-M2873,2))</f>
        <v/>
      </c>
      <c r="P2873" s="13">
        <f>IF(AND(A2873&lt;&gt;"",B2873&lt;&gt;""), A2873&amp;" · "&amp;B2873, "")</f>
        <v/>
      </c>
    </row>
    <row r="2874">
      <c r="A2874" s="6" t="inlineStr">
        <is>
          <t>FY27</t>
        </is>
      </c>
      <c r="B2874" s="6" t="inlineStr">
        <is>
          <t>Jul</t>
        </is>
      </c>
      <c r="C2874" s="6" t="inlineStr">
        <is>
          <t>Kerala</t>
        </is>
      </c>
      <c r="D2874" s="7" t="inlineStr">
        <is>
          <t>KL26L9267</t>
        </is>
      </c>
      <c r="E2874" s="7" t="inlineStr">
        <is>
          <t>MARUTI SUZUKI</t>
        </is>
      </c>
      <c r="F2874" s="7" t="inlineStr">
        <is>
          <t>Alto</t>
        </is>
      </c>
      <c r="G2874" s="7" t="inlineStr">
        <is>
          <t>BIMAL</t>
        </is>
      </c>
      <c r="H2874" s="7" t="inlineStr">
        <is>
          <t>Non-Captive</t>
        </is>
      </c>
      <c r="I2874" s="7" t="inlineStr">
        <is>
          <t>ANEESH</t>
        </is>
      </c>
      <c r="J2874" s="8" t="n">
        <v>2021</v>
      </c>
      <c r="K2874" s="9" t="n">
        <v>43000</v>
      </c>
      <c r="L2874" s="10" t="n">
        <v>324000</v>
      </c>
      <c r="M2874" s="10" t="n">
        <v>8474.58</v>
      </c>
      <c r="N2874" s="11">
        <f>IF(M2874="","",ROUND(M2874*1.18,2))</f>
        <v/>
      </c>
      <c r="O2874" s="12">
        <f>IF(M2874="","",ROUND(N2874-M2874,2))</f>
        <v/>
      </c>
      <c r="P2874" s="13">
        <f>IF(AND(A2874&lt;&gt;"",B2874&lt;&gt;""), A2874&amp;" · "&amp;B2874, "")</f>
        <v/>
      </c>
    </row>
    <row r="2875">
      <c r="A2875" s="6" t="inlineStr">
        <is>
          <t>FY27</t>
        </is>
      </c>
      <c r="B2875" s="6" t="inlineStr">
        <is>
          <t>Jul</t>
        </is>
      </c>
      <c r="C2875" s="6" t="inlineStr">
        <is>
          <t>Kerala</t>
        </is>
      </c>
      <c r="D2875" s="7" t="inlineStr">
        <is>
          <t>KL271349</t>
        </is>
      </c>
      <c r="E2875" s="7" t="inlineStr">
        <is>
          <t>HYUNDAI</t>
        </is>
      </c>
      <c r="F2875" s="7" t="inlineStr">
        <is>
          <t>Santro</t>
        </is>
      </c>
      <c r="G2875" s="7" t="inlineStr">
        <is>
          <t>AMRITH V CHANDY</t>
        </is>
      </c>
      <c r="H2875" s="7" t="inlineStr">
        <is>
          <t>Non-Captive</t>
        </is>
      </c>
      <c r="I2875" s="7" t="inlineStr">
        <is>
          <t>ANAS HAMEEDKUTTY</t>
        </is>
      </c>
      <c r="J2875" s="8" t="n">
        <v>2006</v>
      </c>
      <c r="K2875" s="9" t="n">
        <v>154667</v>
      </c>
      <c r="L2875" s="10" t="n">
        <v>25000</v>
      </c>
      <c r="M2875" s="10" t="n">
        <v>8474.58</v>
      </c>
      <c r="N2875" s="11">
        <f>IF(M2875="","",ROUND(M2875*1.18,2))</f>
        <v/>
      </c>
      <c r="O2875" s="12">
        <f>IF(M2875="","",ROUND(N2875-M2875,2))</f>
        <v/>
      </c>
      <c r="P2875" s="13">
        <f>IF(AND(A2875&lt;&gt;"",B2875&lt;&gt;""), A2875&amp;" · "&amp;B2875, "")</f>
        <v/>
      </c>
    </row>
    <row r="2876">
      <c r="A2876" s="6" t="inlineStr">
        <is>
          <t>FY27</t>
        </is>
      </c>
      <c r="B2876" s="6" t="inlineStr">
        <is>
          <t>Jul</t>
        </is>
      </c>
      <c r="C2876" s="6" t="inlineStr">
        <is>
          <t>Kerala</t>
        </is>
      </c>
      <c r="D2876" s="7" t="inlineStr">
        <is>
          <t>KL27L6033</t>
        </is>
      </c>
      <c r="E2876" s="7" t="inlineStr">
        <is>
          <t>MARUTI SUZUKI</t>
        </is>
      </c>
      <c r="F2876" s="7" t="inlineStr">
        <is>
          <t>S-Presso</t>
        </is>
      </c>
      <c r="G2876" s="7" t="inlineStr">
        <is>
          <t>INCHEON KIA</t>
        </is>
      </c>
      <c r="H2876" s="7" t="inlineStr">
        <is>
          <t>Non-Captive</t>
        </is>
      </c>
      <c r="I2876" s="7" t="inlineStr">
        <is>
          <t>Autobot</t>
        </is>
      </c>
      <c r="J2876" s="8" t="n">
        <v>2022</v>
      </c>
      <c r="K2876" s="9" t="n">
        <v>58000</v>
      </c>
      <c r="L2876" s="10" t="n">
        <v>350000</v>
      </c>
      <c r="M2876" s="10" t="n">
        <v>8474.58</v>
      </c>
      <c r="N2876" s="11">
        <f>IF(M2876="","",ROUND(M2876*1.18,2))</f>
        <v/>
      </c>
      <c r="O2876" s="12">
        <f>IF(M2876="","",ROUND(N2876-M2876,2))</f>
        <v/>
      </c>
      <c r="P2876" s="13">
        <f>IF(AND(A2876&lt;&gt;"",B2876&lt;&gt;""), A2876&amp;" · "&amp;B2876, "")</f>
        <v/>
      </c>
    </row>
    <row r="2877">
      <c r="A2877" s="6" t="inlineStr">
        <is>
          <t>FY27</t>
        </is>
      </c>
      <c r="B2877" s="6" t="inlineStr">
        <is>
          <t>Jul</t>
        </is>
      </c>
      <c r="C2877" s="6" t="inlineStr">
        <is>
          <t>Kerala</t>
        </is>
      </c>
      <c r="D2877" s="7" t="inlineStr">
        <is>
          <t>KL31B7587</t>
        </is>
      </c>
      <c r="E2877" s="7" t="inlineStr">
        <is>
          <t>MARUTI SUZUKI</t>
        </is>
      </c>
      <c r="F2877" s="7" t="inlineStr">
        <is>
          <t>Wagon R</t>
        </is>
      </c>
      <c r="G2877" s="7" t="inlineStr">
        <is>
          <t>MAXX MOTORS</t>
        </is>
      </c>
      <c r="H2877" s="7" t="inlineStr">
        <is>
          <t>Non-Captive</t>
        </is>
      </c>
      <c r="I2877" s="7" t="inlineStr">
        <is>
          <t>KISHORE</t>
        </is>
      </c>
      <c r="J2877" s="8" t="n">
        <v>2010</v>
      </c>
      <c r="K2877" s="9" t="n">
        <v>79830</v>
      </c>
      <c r="L2877" s="10" t="n">
        <v>116000</v>
      </c>
      <c r="M2877" s="10" t="n">
        <v>5084.75</v>
      </c>
      <c r="N2877" s="11">
        <f>IF(M2877="","",ROUND(M2877*1.18,2))</f>
        <v/>
      </c>
      <c r="O2877" s="12">
        <f>IF(M2877="","",ROUND(N2877-M2877,2))</f>
        <v/>
      </c>
      <c r="P2877" s="13">
        <f>IF(AND(A2877&lt;&gt;"",B2877&lt;&gt;""), A2877&amp;" · "&amp;B2877, "")</f>
        <v/>
      </c>
    </row>
    <row r="2878">
      <c r="A2878" s="6" t="inlineStr">
        <is>
          <t>FY27</t>
        </is>
      </c>
      <c r="B2878" s="6" t="inlineStr">
        <is>
          <t>Jul</t>
        </is>
      </c>
      <c r="C2878" s="6" t="inlineStr">
        <is>
          <t>Kerala</t>
        </is>
      </c>
      <c r="D2878" s="7" t="inlineStr">
        <is>
          <t>KL31M1598</t>
        </is>
      </c>
      <c r="E2878" s="7" t="inlineStr">
        <is>
          <t>MARUTI SUZUKI</t>
        </is>
      </c>
      <c r="F2878" s="7" t="inlineStr">
        <is>
          <t>Wagon R</t>
        </is>
      </c>
      <c r="G2878" s="7" t="inlineStr">
        <is>
          <t>JISHNU PRIYAN</t>
        </is>
      </c>
      <c r="H2878" s="7" t="inlineStr">
        <is>
          <t>Non-Captive</t>
        </is>
      </c>
      <c r="I2878" s="7" t="inlineStr">
        <is>
          <t>Aitos Cars</t>
        </is>
      </c>
      <c r="J2878" s="8" t="n">
        <v>2018</v>
      </c>
      <c r="K2878" s="9" t="n">
        <v>48000</v>
      </c>
      <c r="L2878" s="10" t="n">
        <v>345000</v>
      </c>
      <c r="M2878" s="10" t="n">
        <v>8474.58</v>
      </c>
      <c r="N2878" s="11">
        <f>IF(M2878="","",ROUND(M2878*1.18,2))</f>
        <v/>
      </c>
      <c r="O2878" s="12">
        <f>IF(M2878="","",ROUND(N2878-M2878,2))</f>
        <v/>
      </c>
      <c r="P2878" s="13">
        <f>IF(AND(A2878&lt;&gt;"",B2878&lt;&gt;""), A2878&amp;" · "&amp;B2878, "")</f>
        <v/>
      </c>
    </row>
    <row r="2879">
      <c r="A2879" s="6" t="inlineStr">
        <is>
          <t>FY27</t>
        </is>
      </c>
      <c r="B2879" s="6" t="inlineStr">
        <is>
          <t>Jul</t>
        </is>
      </c>
      <c r="C2879" s="6" t="inlineStr">
        <is>
          <t>Kerala</t>
        </is>
      </c>
      <c r="D2879" s="7" t="inlineStr">
        <is>
          <t>KL32D3062</t>
        </is>
      </c>
      <c r="E2879" s="7" t="inlineStr">
        <is>
          <t>MARUTI SUZUKI</t>
        </is>
      </c>
      <c r="F2879" s="7" t="inlineStr">
        <is>
          <t>Alto</t>
        </is>
      </c>
      <c r="G2879" s="7" t="inlineStr">
        <is>
          <t>POPULAR MARUTI</t>
        </is>
      </c>
      <c r="H2879" s="7" t="inlineStr">
        <is>
          <t>Non-Captive</t>
        </is>
      </c>
      <c r="I2879" s="7" t="inlineStr">
        <is>
          <t>HUSSAIN O E</t>
        </is>
      </c>
      <c r="J2879" s="8" t="n">
        <v>2012</v>
      </c>
      <c r="K2879" s="9" t="n">
        <v>10533</v>
      </c>
      <c r="L2879" s="10" t="n">
        <v>50000</v>
      </c>
      <c r="M2879" s="10" t="n">
        <v>11016.95</v>
      </c>
      <c r="N2879" s="11">
        <f>IF(M2879="","",ROUND(M2879*1.18,2))</f>
        <v/>
      </c>
      <c r="O2879" s="12">
        <f>IF(M2879="","",ROUND(N2879-M2879,2))</f>
        <v/>
      </c>
      <c r="P2879" s="13">
        <f>IF(AND(A2879&lt;&gt;"",B2879&lt;&gt;""), A2879&amp;" · "&amp;B2879, "")</f>
        <v/>
      </c>
    </row>
    <row r="2880">
      <c r="A2880" s="6" t="inlineStr">
        <is>
          <t>FY27</t>
        </is>
      </c>
      <c r="B2880" s="6" t="inlineStr">
        <is>
          <t>Jul</t>
        </is>
      </c>
      <c r="C2880" s="6" t="inlineStr">
        <is>
          <t>Kerala</t>
        </is>
      </c>
      <c r="D2880" s="7" t="inlineStr">
        <is>
          <t>KL33F1371</t>
        </is>
      </c>
      <c r="E2880" s="7" t="inlineStr">
        <is>
          <t>HYUNDAI</t>
        </is>
      </c>
      <c r="F2880" s="7" t="inlineStr">
        <is>
          <t>Grand i10</t>
        </is>
      </c>
      <c r="G2880" s="7" t="inlineStr">
        <is>
          <t>POPULAR MARUTI</t>
        </is>
      </c>
      <c r="H2880" s="7" t="inlineStr">
        <is>
          <t>Non-Captive</t>
        </is>
      </c>
      <c r="I2880" s="7" t="inlineStr">
        <is>
          <t>SAIF RASHEED</t>
        </is>
      </c>
      <c r="J2880" s="8" t="n">
        <v>2014</v>
      </c>
      <c r="K2880" s="9" t="n">
        <v>193543</v>
      </c>
      <c r="L2880" s="10" t="n">
        <v>162000</v>
      </c>
      <c r="M2880" s="10" t="n">
        <v>10169.49</v>
      </c>
      <c r="N2880" s="11">
        <f>IF(M2880="","",ROUND(M2880*1.18,2))</f>
        <v/>
      </c>
      <c r="O2880" s="12">
        <f>IF(M2880="","",ROUND(N2880-M2880,2))</f>
        <v/>
      </c>
      <c r="P2880" s="13">
        <f>IF(AND(A2880&lt;&gt;"",B2880&lt;&gt;""), A2880&amp;" · "&amp;B2880, "")</f>
        <v/>
      </c>
    </row>
    <row r="2881">
      <c r="A2881" s="6" t="inlineStr">
        <is>
          <t>FY27</t>
        </is>
      </c>
      <c r="B2881" s="6" t="inlineStr">
        <is>
          <t>Jul</t>
        </is>
      </c>
      <c r="C2881" s="6" t="inlineStr">
        <is>
          <t>Kerala</t>
        </is>
      </c>
      <c r="D2881" s="7" t="inlineStr">
        <is>
          <t>KL33G3965</t>
        </is>
      </c>
      <c r="E2881" s="7" t="inlineStr">
        <is>
          <t>MARUTI SUZUKI</t>
        </is>
      </c>
      <c r="F2881" s="7" t="inlineStr">
        <is>
          <t>Ritz</t>
        </is>
      </c>
      <c r="G2881" s="7" t="inlineStr">
        <is>
          <t>INDUS MARUTI</t>
        </is>
      </c>
      <c r="H2881" s="7" t="inlineStr">
        <is>
          <t>Non-Captive</t>
        </is>
      </c>
      <c r="I2881" s="7" t="inlineStr">
        <is>
          <t>RAJEEV A C</t>
        </is>
      </c>
      <c r="J2881" s="8" t="n">
        <v>2015</v>
      </c>
      <c r="K2881" s="9" t="n">
        <v>85591</v>
      </c>
      <c r="L2881" s="10" t="n">
        <v>245000</v>
      </c>
      <c r="M2881" s="10" t="n">
        <v>12711.86</v>
      </c>
      <c r="N2881" s="11">
        <f>IF(M2881="","",ROUND(M2881*1.18,2))</f>
        <v/>
      </c>
      <c r="O2881" s="12">
        <f>IF(M2881="","",ROUND(N2881-M2881,2))</f>
        <v/>
      </c>
      <c r="P2881" s="13">
        <f>IF(AND(A2881&lt;&gt;"",B2881&lt;&gt;""), A2881&amp;" · "&amp;B2881, "")</f>
        <v/>
      </c>
    </row>
    <row r="2882">
      <c r="A2882" s="6" t="inlineStr">
        <is>
          <t>FY27</t>
        </is>
      </c>
      <c r="B2882" s="6" t="inlineStr">
        <is>
          <t>Jul</t>
        </is>
      </c>
      <c r="C2882" s="6" t="inlineStr">
        <is>
          <t>Kerala</t>
        </is>
      </c>
      <c r="D2882" s="7" t="inlineStr">
        <is>
          <t>KL346813</t>
        </is>
      </c>
      <c r="E2882" s="7" t="inlineStr">
        <is>
          <t>FORD</t>
        </is>
      </c>
      <c r="F2882" s="7" t="inlineStr">
        <is>
          <t>Fiesta</t>
        </is>
      </c>
      <c r="G2882" s="7" t="inlineStr">
        <is>
          <t>OLX</t>
        </is>
      </c>
      <c r="H2882" s="7" t="inlineStr">
        <is>
          <t>Non-Captive</t>
        </is>
      </c>
      <c r="I2882" s="7" t="inlineStr">
        <is>
          <t>DINESH P S</t>
        </is>
      </c>
      <c r="J2882" s="8" t="n">
        <v>2008</v>
      </c>
      <c r="K2882" s="9" t="n">
        <v>161890</v>
      </c>
      <c r="L2882" s="10" t="n">
        <v>70000</v>
      </c>
      <c r="M2882" s="10" t="n">
        <v>12711.86</v>
      </c>
      <c r="N2882" s="11">
        <f>IF(M2882="","",ROUND(M2882*1.18,2))</f>
        <v/>
      </c>
      <c r="O2882" s="12">
        <f>IF(M2882="","",ROUND(N2882-M2882,2))</f>
        <v/>
      </c>
      <c r="P2882" s="13">
        <f>IF(AND(A2882&lt;&gt;"",B2882&lt;&gt;""), A2882&amp;" · "&amp;B2882, "")</f>
        <v/>
      </c>
    </row>
    <row r="2883">
      <c r="A2883" s="6" t="inlineStr">
        <is>
          <t>FY27</t>
        </is>
      </c>
      <c r="B2883" s="6" t="inlineStr">
        <is>
          <t>Jul</t>
        </is>
      </c>
      <c r="C2883" s="6" t="inlineStr">
        <is>
          <t>Kerala</t>
        </is>
      </c>
      <c r="D2883" s="7" t="inlineStr">
        <is>
          <t>KL34H0873</t>
        </is>
      </c>
      <c r="E2883" s="7" t="inlineStr">
        <is>
          <t>HYUNDAI</t>
        </is>
      </c>
      <c r="F2883" s="7" t="inlineStr">
        <is>
          <t>Santro</t>
        </is>
      </c>
      <c r="G2883" s="7" t="inlineStr">
        <is>
          <t>EVM NISSAN</t>
        </is>
      </c>
      <c r="H2883" s="7" t="inlineStr">
        <is>
          <t>Non-Captive</t>
        </is>
      </c>
      <c r="I2883" s="7" t="inlineStr">
        <is>
          <t>DREAM DRIVE</t>
        </is>
      </c>
      <c r="J2883" s="8" t="n">
        <v>2022</v>
      </c>
      <c r="K2883" s="9" t="n">
        <v>12987</v>
      </c>
      <c r="L2883" s="10" t="n">
        <v>350000</v>
      </c>
      <c r="M2883" s="10" t="n">
        <v>8474.58</v>
      </c>
      <c r="N2883" s="11">
        <f>IF(M2883="","",ROUND(M2883*1.18,2))</f>
        <v/>
      </c>
      <c r="O2883" s="12">
        <f>IF(M2883="","",ROUND(N2883-M2883,2))</f>
        <v/>
      </c>
      <c r="P2883" s="13">
        <f>IF(AND(A2883&lt;&gt;"",B2883&lt;&gt;""), A2883&amp;" · "&amp;B2883, "")</f>
        <v/>
      </c>
    </row>
    <row r="2884">
      <c r="A2884" s="6" t="inlineStr">
        <is>
          <t>FY27</t>
        </is>
      </c>
      <c r="B2884" s="6" t="inlineStr">
        <is>
          <t>Jul</t>
        </is>
      </c>
      <c r="C2884" s="6" t="inlineStr">
        <is>
          <t>Kerala</t>
        </is>
      </c>
      <c r="D2884" s="7" t="inlineStr">
        <is>
          <t>KL34H5945</t>
        </is>
      </c>
      <c r="E2884" s="7" t="inlineStr">
        <is>
          <t>KIA</t>
        </is>
      </c>
      <c r="F2884" s="7" t="inlineStr">
        <is>
          <t>Sonet</t>
        </is>
      </c>
      <c r="G2884" s="7" t="inlineStr">
        <is>
          <t>ALBIN</t>
        </is>
      </c>
      <c r="H2884" s="7" t="inlineStr">
        <is>
          <t>Non-Captive</t>
        </is>
      </c>
      <c r="I2884" s="7" t="inlineStr">
        <is>
          <t>SANOOB V A</t>
        </is>
      </c>
      <c r="J2884" s="8" t="n">
        <v>2023</v>
      </c>
      <c r="K2884" s="9" t="n">
        <v>105000</v>
      </c>
      <c r="L2884" s="10" t="n">
        <v>720000</v>
      </c>
      <c r="M2884" s="10" t="n">
        <v>8474.58</v>
      </c>
      <c r="N2884" s="11">
        <f>IF(M2884="","",ROUND(M2884*1.18,2))</f>
        <v/>
      </c>
      <c r="O2884" s="12">
        <f>IF(M2884="","",ROUND(N2884-M2884,2))</f>
        <v/>
      </c>
      <c r="P2884" s="13">
        <f>IF(AND(A2884&lt;&gt;"",B2884&lt;&gt;""), A2884&amp;" · "&amp;B2884, "")</f>
        <v/>
      </c>
    </row>
    <row r="2885">
      <c r="A2885" s="6" t="inlineStr">
        <is>
          <t>FY27</t>
        </is>
      </c>
      <c r="B2885" s="6" t="inlineStr">
        <is>
          <t>Jul</t>
        </is>
      </c>
      <c r="C2885" s="6" t="inlineStr">
        <is>
          <t>Kerala</t>
        </is>
      </c>
      <c r="D2885" s="7" t="inlineStr">
        <is>
          <t>KL38J5463</t>
        </is>
      </c>
      <c r="E2885" s="7" t="inlineStr">
        <is>
          <t>TATA</t>
        </is>
      </c>
      <c r="F2885" s="7" t="inlineStr">
        <is>
          <t>Nexon</t>
        </is>
      </c>
      <c r="G2885" s="7" t="inlineStr">
        <is>
          <t>INCHEON KIA</t>
        </is>
      </c>
      <c r="H2885" s="7" t="inlineStr">
        <is>
          <t>Non-Captive</t>
        </is>
      </c>
      <c r="I2885" s="7" t="inlineStr">
        <is>
          <t>RASIK RAHIM</t>
        </is>
      </c>
      <c r="J2885" s="8" t="n">
        <v>2021</v>
      </c>
      <c r="K2885" s="9" t="n">
        <v>1183101</v>
      </c>
      <c r="L2885" s="10" t="n">
        <v>510000</v>
      </c>
      <c r="M2885" s="10" t="n">
        <v>8474.58</v>
      </c>
      <c r="N2885" s="11">
        <f>IF(M2885="","",ROUND(M2885*1.18,2))</f>
        <v/>
      </c>
      <c r="O2885" s="12">
        <f>IF(M2885="","",ROUND(N2885-M2885,2))</f>
        <v/>
      </c>
      <c r="P2885" s="13">
        <f>IF(AND(A2885&lt;&gt;"",B2885&lt;&gt;""), A2885&amp;" · "&amp;B2885, "")</f>
        <v/>
      </c>
    </row>
    <row r="2886">
      <c r="A2886" s="6" t="inlineStr">
        <is>
          <t>FY27</t>
        </is>
      </c>
      <c r="B2886" s="6" t="inlineStr">
        <is>
          <t>Jul</t>
        </is>
      </c>
      <c r="C2886" s="6" t="inlineStr">
        <is>
          <t>Kerala</t>
        </is>
      </c>
      <c r="D2886" s="7" t="inlineStr">
        <is>
          <t>KL39B4640</t>
        </is>
      </c>
      <c r="E2886" s="7" t="inlineStr">
        <is>
          <t>MARUTI SUZUKI</t>
        </is>
      </c>
      <c r="F2886" s="7" t="inlineStr">
        <is>
          <t>Dzire</t>
        </is>
      </c>
      <c r="G2886" s="7" t="inlineStr">
        <is>
          <t>POPULAR MARUTI</t>
        </is>
      </c>
      <c r="H2886" s="7" t="inlineStr">
        <is>
          <t>Non-Captive</t>
        </is>
      </c>
      <c r="I2886" s="7" t="inlineStr">
        <is>
          <t>DREAM DRIVE</t>
        </is>
      </c>
      <c r="J2886" s="8" t="n">
        <v>2009</v>
      </c>
      <c r="K2886" s="9" t="n">
        <v>112300</v>
      </c>
      <c r="L2886" s="10" t="n">
        <v>125000</v>
      </c>
      <c r="M2886" s="10" t="n">
        <v>12711.86</v>
      </c>
      <c r="N2886" s="11">
        <f>IF(M2886="","",ROUND(M2886*1.18,2))</f>
        <v/>
      </c>
      <c r="O2886" s="12">
        <f>IF(M2886="","",ROUND(N2886-M2886,2))</f>
        <v/>
      </c>
      <c r="P2886" s="13">
        <f>IF(AND(A2886&lt;&gt;"",B2886&lt;&gt;""), A2886&amp;" · "&amp;B2886, "")</f>
        <v/>
      </c>
    </row>
    <row r="2887">
      <c r="A2887" s="6" t="inlineStr">
        <is>
          <t>FY27</t>
        </is>
      </c>
      <c r="B2887" s="6" t="inlineStr">
        <is>
          <t>Jul</t>
        </is>
      </c>
      <c r="C2887" s="6" t="inlineStr">
        <is>
          <t>Kerala</t>
        </is>
      </c>
      <c r="D2887" s="7" t="inlineStr">
        <is>
          <t>KL39E7013</t>
        </is>
      </c>
      <c r="E2887" s="7" t="inlineStr">
        <is>
          <t>FORD</t>
        </is>
      </c>
      <c r="F2887" s="7" t="inlineStr">
        <is>
          <t>Figo</t>
        </is>
      </c>
      <c r="G2887" s="7" t="inlineStr">
        <is>
          <t>CARS24</t>
        </is>
      </c>
      <c r="H2887" s="7" t="inlineStr">
        <is>
          <t>Non-Captive</t>
        </is>
      </c>
      <c r="I2887" s="7" t="inlineStr">
        <is>
          <t>RAFEEK T A</t>
        </is>
      </c>
      <c r="J2887" s="8" t="n">
        <v>2013</v>
      </c>
      <c r="K2887" s="9" t="n">
        <v>75570</v>
      </c>
      <c r="L2887" s="10" t="n">
        <v>110000</v>
      </c>
      <c r="M2887" s="10" t="n">
        <v>8474.58</v>
      </c>
      <c r="N2887" s="11">
        <f>IF(M2887="","",ROUND(M2887*1.18,2))</f>
        <v/>
      </c>
      <c r="O2887" s="12">
        <f>IF(M2887="","",ROUND(N2887-M2887,2))</f>
        <v/>
      </c>
      <c r="P2887" s="13">
        <f>IF(AND(A2887&lt;&gt;"",B2887&lt;&gt;""), A2887&amp;" · "&amp;B2887, "")</f>
        <v/>
      </c>
    </row>
    <row r="2888">
      <c r="A2888" s="6" t="inlineStr">
        <is>
          <t>FY27</t>
        </is>
      </c>
      <c r="B2888" s="6" t="inlineStr">
        <is>
          <t>Jul</t>
        </is>
      </c>
      <c r="C2888" s="6" t="inlineStr">
        <is>
          <t>Kerala</t>
        </is>
      </c>
      <c r="D2888" s="7" t="inlineStr">
        <is>
          <t>KL39M0124</t>
        </is>
      </c>
      <c r="E2888" s="7" t="inlineStr">
        <is>
          <t>MARUTI SUZUKI</t>
        </is>
      </c>
      <c r="F2888" s="7" t="inlineStr">
        <is>
          <t>Dzire</t>
        </is>
      </c>
      <c r="G2888" s="7" t="inlineStr">
        <is>
          <t>AMRITH V CHANDY</t>
        </is>
      </c>
      <c r="H2888" s="7" t="inlineStr">
        <is>
          <t>Non-Captive</t>
        </is>
      </c>
      <c r="I2888" s="7" t="inlineStr">
        <is>
          <t>Ananthu Suneesh</t>
        </is>
      </c>
      <c r="J2888" s="8" t="n">
        <v>2017</v>
      </c>
      <c r="K2888" s="9" t="n">
        <v>142344</v>
      </c>
      <c r="L2888" s="10" t="n">
        <v>410000</v>
      </c>
      <c r="M2888" s="10" t="n">
        <v>12711.86</v>
      </c>
      <c r="N2888" s="11">
        <f>IF(M2888="","",ROUND(M2888*1.18,2))</f>
        <v/>
      </c>
      <c r="O2888" s="12">
        <f>IF(M2888="","",ROUND(N2888-M2888,2))</f>
        <v/>
      </c>
      <c r="P2888" s="13">
        <f>IF(AND(A2888&lt;&gt;"",B2888&lt;&gt;""), A2888&amp;" · "&amp;B2888, "")</f>
        <v/>
      </c>
    </row>
    <row r="2889">
      <c r="A2889" s="6" t="inlineStr">
        <is>
          <t>FY27</t>
        </is>
      </c>
      <c r="B2889" s="6" t="inlineStr">
        <is>
          <t>Jul</t>
        </is>
      </c>
      <c r="C2889" s="6" t="inlineStr">
        <is>
          <t>Kerala</t>
        </is>
      </c>
      <c r="D2889" s="7" t="inlineStr">
        <is>
          <t>KL39T6945</t>
        </is>
      </c>
      <c r="E2889" s="7" t="inlineStr">
        <is>
          <t>MARUTI SUZUKI</t>
        </is>
      </c>
      <c r="F2889" s="7" t="inlineStr">
        <is>
          <t>Swift</t>
        </is>
      </c>
      <c r="G2889" s="7" t="inlineStr">
        <is>
          <t>INDUS MARUTI</t>
        </is>
      </c>
      <c r="H2889" s="7" t="inlineStr">
        <is>
          <t>Non-Captive</t>
        </is>
      </c>
      <c r="I2889" s="7" t="inlineStr">
        <is>
          <t>HAVEN MOTORS</t>
        </is>
      </c>
      <c r="J2889" s="8" t="n">
        <v>2023</v>
      </c>
      <c r="K2889" s="9" t="n">
        <v>27000</v>
      </c>
      <c r="L2889" s="10" t="n">
        <v>670000</v>
      </c>
      <c r="M2889" s="10" t="n">
        <v>16949.15</v>
      </c>
      <c r="N2889" s="11">
        <f>IF(M2889="","",ROUND(M2889*1.18,2))</f>
        <v/>
      </c>
      <c r="O2889" s="12">
        <f>IF(M2889="","",ROUND(N2889-M2889,2))</f>
        <v/>
      </c>
      <c r="P2889" s="13">
        <f>IF(AND(A2889&lt;&gt;"",B2889&lt;&gt;""), A2889&amp;" · "&amp;B2889, "")</f>
        <v/>
      </c>
    </row>
    <row r="2890">
      <c r="A2890" s="6" t="inlineStr">
        <is>
          <t>FY27</t>
        </is>
      </c>
      <c r="B2890" s="6" t="inlineStr">
        <is>
          <t>Jul</t>
        </is>
      </c>
      <c r="C2890" s="6" t="inlineStr">
        <is>
          <t>Kerala</t>
        </is>
      </c>
      <c r="D2890" s="7" t="inlineStr">
        <is>
          <t>KL39T9199</t>
        </is>
      </c>
      <c r="E2890" s="7" t="inlineStr">
        <is>
          <t>NISSAN</t>
        </is>
      </c>
      <c r="F2890" s="7" t="inlineStr">
        <is>
          <t>Magnite</t>
        </is>
      </c>
      <c r="G2890" s="7" t="inlineStr">
        <is>
          <t>EVM NISSAN</t>
        </is>
      </c>
      <c r="H2890" s="7" t="inlineStr">
        <is>
          <t>Non-Captive</t>
        </is>
      </c>
      <c r="I2890" s="7" t="inlineStr">
        <is>
          <t>HAVEN MOTORS</t>
        </is>
      </c>
      <c r="J2890" s="8" t="n">
        <v>2023</v>
      </c>
      <c r="K2890" s="9" t="n">
        <v>36269</v>
      </c>
      <c r="L2890" s="10" t="n">
        <v>670000</v>
      </c>
      <c r="M2890" s="10" t="n">
        <v>16949.15</v>
      </c>
      <c r="N2890" s="11">
        <f>IF(M2890="","",ROUND(M2890*1.18,2))</f>
        <v/>
      </c>
      <c r="O2890" s="12">
        <f>IF(M2890="","",ROUND(N2890-M2890,2))</f>
        <v/>
      </c>
      <c r="P2890" s="13">
        <f>IF(AND(A2890&lt;&gt;"",B2890&lt;&gt;""), A2890&amp;" · "&amp;B2890, "")</f>
        <v/>
      </c>
    </row>
    <row r="2891">
      <c r="A2891" s="6" t="inlineStr">
        <is>
          <t>FY27</t>
        </is>
      </c>
      <c r="B2891" s="6" t="inlineStr">
        <is>
          <t>Jul</t>
        </is>
      </c>
      <c r="C2891" s="6" t="inlineStr">
        <is>
          <t>Kerala</t>
        </is>
      </c>
      <c r="D2891" s="7" t="inlineStr">
        <is>
          <t>KL40X0721</t>
        </is>
      </c>
      <c r="E2891" s="7" t="inlineStr">
        <is>
          <t>TOYOTA</t>
        </is>
      </c>
      <c r="F2891" s="7" t="inlineStr">
        <is>
          <t>Glanza</t>
        </is>
      </c>
      <c r="G2891" s="7" t="inlineStr">
        <is>
          <t>GOKULAM TATA</t>
        </is>
      </c>
      <c r="H2891" s="7" t="inlineStr">
        <is>
          <t>Non-Captive</t>
        </is>
      </c>
      <c r="I2891" s="7" t="inlineStr">
        <is>
          <t>Autobot</t>
        </is>
      </c>
      <c r="J2891" s="8" t="n">
        <v>2025</v>
      </c>
      <c r="K2891" s="9" t="n">
        <v>12689</v>
      </c>
      <c r="L2891" s="10" t="n">
        <v>910000</v>
      </c>
      <c r="M2891" s="10" t="n">
        <v>8474.58</v>
      </c>
      <c r="N2891" s="11">
        <f>IF(M2891="","",ROUND(M2891*1.18,2))</f>
        <v/>
      </c>
      <c r="O2891" s="12">
        <f>IF(M2891="","",ROUND(N2891-M2891,2))</f>
        <v/>
      </c>
      <c r="P2891" s="13">
        <f>IF(AND(A2891&lt;&gt;"",B2891&lt;&gt;""), A2891&amp;" · "&amp;B2891, "")</f>
        <v/>
      </c>
    </row>
    <row r="2892">
      <c r="A2892" s="6" t="inlineStr">
        <is>
          <t>FY27</t>
        </is>
      </c>
      <c r="B2892" s="6" t="inlineStr">
        <is>
          <t>Jul</t>
        </is>
      </c>
      <c r="C2892" s="6" t="inlineStr">
        <is>
          <t>Kerala</t>
        </is>
      </c>
      <c r="D2892" s="7" t="inlineStr">
        <is>
          <t>KL41D0980</t>
        </is>
      </c>
      <c r="E2892" s="7" t="inlineStr">
        <is>
          <t>MARUTI SUZUKI</t>
        </is>
      </c>
      <c r="F2892" s="7" t="inlineStr">
        <is>
          <t>Wagon R</t>
        </is>
      </c>
      <c r="G2892" s="7" t="inlineStr">
        <is>
          <t>POPULAR MARUTI</t>
        </is>
      </c>
      <c r="H2892" s="7" t="inlineStr">
        <is>
          <t>Non-Captive</t>
        </is>
      </c>
      <c r="I2892" s="7" t="inlineStr">
        <is>
          <t>HUSSAIN O E</t>
        </is>
      </c>
      <c r="J2892" s="8" t="n">
        <v>2010</v>
      </c>
      <c r="K2892" s="9" t="n">
        <v>190000</v>
      </c>
      <c r="L2892" s="10" t="n">
        <v>115000</v>
      </c>
      <c r="M2892" s="10" t="n">
        <v>12711.86</v>
      </c>
      <c r="N2892" s="11">
        <f>IF(M2892="","",ROUND(M2892*1.18,2))</f>
        <v/>
      </c>
      <c r="O2892" s="12">
        <f>IF(M2892="","",ROUND(N2892-M2892,2))</f>
        <v/>
      </c>
      <c r="P2892" s="13">
        <f>IF(AND(A2892&lt;&gt;"",B2892&lt;&gt;""), A2892&amp;" · "&amp;B2892, "")</f>
        <v/>
      </c>
    </row>
    <row r="2893">
      <c r="A2893" s="6" t="inlineStr">
        <is>
          <t>FY27</t>
        </is>
      </c>
      <c r="B2893" s="6" t="inlineStr">
        <is>
          <t>Jul</t>
        </is>
      </c>
      <c r="C2893" s="6" t="inlineStr">
        <is>
          <t>Kerala</t>
        </is>
      </c>
      <c r="D2893" s="7" t="inlineStr">
        <is>
          <t>KL41E4581</t>
        </is>
      </c>
      <c r="E2893" s="7" t="inlineStr">
        <is>
          <t>MARUTI SUZUKI</t>
        </is>
      </c>
      <c r="F2893" s="7" t="inlineStr">
        <is>
          <t>Alto</t>
        </is>
      </c>
      <c r="G2893" s="7" t="inlineStr">
        <is>
          <t>POPULAR MARUTI</t>
        </is>
      </c>
      <c r="H2893" s="7" t="inlineStr">
        <is>
          <t>Non-Captive</t>
        </is>
      </c>
      <c r="I2893" s="7" t="inlineStr">
        <is>
          <t>JIMMY</t>
        </is>
      </c>
      <c r="J2893" s="8" t="n">
        <v>2011</v>
      </c>
      <c r="K2893" s="9" t="n">
        <v>129000</v>
      </c>
      <c r="L2893" s="10" t="n">
        <v>50000</v>
      </c>
      <c r="M2893" s="10" t="n">
        <v>8474.58</v>
      </c>
      <c r="N2893" s="11">
        <f>IF(M2893="","",ROUND(M2893*1.18,2))</f>
        <v/>
      </c>
      <c r="O2893" s="12">
        <f>IF(M2893="","",ROUND(N2893-M2893,2))</f>
        <v/>
      </c>
      <c r="P2893" s="13">
        <f>IF(AND(A2893&lt;&gt;"",B2893&lt;&gt;""), A2893&amp;" · "&amp;B2893, "")</f>
        <v/>
      </c>
    </row>
    <row r="2894">
      <c r="A2894" s="6" t="inlineStr">
        <is>
          <t>FY27</t>
        </is>
      </c>
      <c r="B2894" s="6" t="inlineStr">
        <is>
          <t>Jul</t>
        </is>
      </c>
      <c r="C2894" s="6" t="inlineStr">
        <is>
          <t>Kerala</t>
        </is>
      </c>
      <c r="D2894" s="7" t="inlineStr">
        <is>
          <t>KL41E6611</t>
        </is>
      </c>
      <c r="E2894" s="7" t="inlineStr">
        <is>
          <t>HYUNDAI</t>
        </is>
      </c>
      <c r="F2894" s="7" t="inlineStr">
        <is>
          <t>Eon</t>
        </is>
      </c>
      <c r="G2894" s="7" t="inlineStr">
        <is>
          <t>POPULAR HYUNDAI</t>
        </is>
      </c>
      <c r="H2894" s="7" t="inlineStr">
        <is>
          <t>Non-Captive</t>
        </is>
      </c>
      <c r="I2894" s="7" t="inlineStr">
        <is>
          <t>VTJ</t>
        </is>
      </c>
      <c r="J2894" s="8" t="n">
        <v>2011</v>
      </c>
      <c r="K2894" s="9" t="n">
        <v>70845</v>
      </c>
      <c r="L2894" s="10" t="n">
        <v>85000</v>
      </c>
      <c r="M2894" s="10" t="n">
        <v>8474.58</v>
      </c>
      <c r="N2894" s="11">
        <f>IF(M2894="","",ROUND(M2894*1.18,2))</f>
        <v/>
      </c>
      <c r="O2894" s="12">
        <f>IF(M2894="","",ROUND(N2894-M2894,2))</f>
        <v/>
      </c>
      <c r="P2894" s="13">
        <f>IF(AND(A2894&lt;&gt;"",B2894&lt;&gt;""), A2894&amp;" · "&amp;B2894, "")</f>
        <v/>
      </c>
    </row>
    <row r="2895">
      <c r="A2895" s="6" t="inlineStr">
        <is>
          <t>FY27</t>
        </is>
      </c>
      <c r="B2895" s="6" t="inlineStr">
        <is>
          <t>Jul</t>
        </is>
      </c>
      <c r="C2895" s="6" t="inlineStr">
        <is>
          <t>Kerala</t>
        </is>
      </c>
      <c r="D2895" s="7" t="inlineStr">
        <is>
          <t>KL41J2993</t>
        </is>
      </c>
      <c r="E2895" s="7" t="inlineStr">
        <is>
          <t>MARUTI SUZUKI</t>
        </is>
      </c>
      <c r="F2895" s="7" t="inlineStr">
        <is>
          <t>Wagon R</t>
        </is>
      </c>
      <c r="G2895" s="7" t="inlineStr">
        <is>
          <t>POPULAR MARUTI</t>
        </is>
      </c>
      <c r="H2895" s="7" t="inlineStr">
        <is>
          <t>Non-Captive</t>
        </is>
      </c>
      <c r="I2895" s="7" t="inlineStr">
        <is>
          <t>JAYAPRAKSH</t>
        </is>
      </c>
      <c r="J2895" s="8" t="n">
        <v>2014</v>
      </c>
      <c r="K2895" s="9" t="n">
        <v>123713</v>
      </c>
      <c r="L2895" s="10" t="n">
        <v>215000</v>
      </c>
      <c r="M2895" s="10" t="n">
        <v>12711.86</v>
      </c>
      <c r="N2895" s="11">
        <f>IF(M2895="","",ROUND(M2895*1.18,2))</f>
        <v/>
      </c>
      <c r="O2895" s="12">
        <f>IF(M2895="","",ROUND(N2895-M2895,2))</f>
        <v/>
      </c>
      <c r="P2895" s="13">
        <f>IF(AND(A2895&lt;&gt;"",B2895&lt;&gt;""), A2895&amp;" · "&amp;B2895, "")</f>
        <v/>
      </c>
    </row>
    <row r="2896">
      <c r="A2896" s="6" t="inlineStr">
        <is>
          <t>FY27</t>
        </is>
      </c>
      <c r="B2896" s="6" t="inlineStr">
        <is>
          <t>Jul</t>
        </is>
      </c>
      <c r="C2896" s="6" t="inlineStr">
        <is>
          <t>Kerala</t>
        </is>
      </c>
      <c r="D2896" s="7" t="inlineStr">
        <is>
          <t>KL41N0044</t>
        </is>
      </c>
      <c r="E2896" s="7" t="inlineStr">
        <is>
          <t>RENAULT</t>
        </is>
      </c>
      <c r="F2896" s="7" t="inlineStr">
        <is>
          <t>Kwid</t>
        </is>
      </c>
      <c r="G2896" s="7" t="inlineStr">
        <is>
          <t>INDUS MARUTI</t>
        </is>
      </c>
      <c r="H2896" s="7" t="inlineStr">
        <is>
          <t>Non-Captive</t>
        </is>
      </c>
      <c r="I2896" s="7" t="inlineStr">
        <is>
          <t>RASIK RAHIM</t>
        </is>
      </c>
      <c r="J2896" s="8" t="n">
        <v>2017</v>
      </c>
      <c r="K2896" s="9" t="n">
        <v>80000</v>
      </c>
      <c r="L2896" s="10" t="n">
        <v>180000</v>
      </c>
      <c r="M2896" s="10" t="n">
        <v>11016.95</v>
      </c>
      <c r="N2896" s="11">
        <f>IF(M2896="","",ROUND(M2896*1.18,2))</f>
        <v/>
      </c>
      <c r="O2896" s="12">
        <f>IF(M2896="","",ROUND(N2896-M2896,2))</f>
        <v/>
      </c>
      <c r="P2896" s="13">
        <f>IF(AND(A2896&lt;&gt;"",B2896&lt;&gt;""), A2896&amp;" · "&amp;B2896, "")</f>
        <v/>
      </c>
    </row>
    <row r="2897">
      <c r="A2897" s="6" t="inlineStr">
        <is>
          <t>FY27</t>
        </is>
      </c>
      <c r="B2897" s="6" t="inlineStr">
        <is>
          <t>Jul</t>
        </is>
      </c>
      <c r="C2897" s="6" t="inlineStr">
        <is>
          <t>Kerala</t>
        </is>
      </c>
      <c r="D2897" s="7" t="inlineStr">
        <is>
          <t>KL41U2030</t>
        </is>
      </c>
      <c r="E2897" s="7" t="inlineStr">
        <is>
          <t>TOYOTA</t>
        </is>
      </c>
      <c r="F2897" s="7" t="inlineStr">
        <is>
          <t>Glanza</t>
        </is>
      </c>
      <c r="G2897" s="7" t="inlineStr">
        <is>
          <t>ERAM MOTORS</t>
        </is>
      </c>
      <c r="H2897" s="7" t="inlineStr">
        <is>
          <t>Non-Captive</t>
        </is>
      </c>
      <c r="I2897" s="7" t="inlineStr">
        <is>
          <t>Aitos Cars</t>
        </is>
      </c>
      <c r="J2897" s="8" t="n">
        <v>2023</v>
      </c>
      <c r="K2897" s="9" t="n">
        <v>33081</v>
      </c>
      <c r="L2897" s="10" t="n">
        <v>547500</v>
      </c>
      <c r="M2897" s="10" t="n">
        <v>10593.22</v>
      </c>
      <c r="N2897" s="11">
        <f>IF(M2897="","",ROUND(M2897*1.18,2))</f>
        <v/>
      </c>
      <c r="O2897" s="12">
        <f>IF(M2897="","",ROUND(N2897-M2897,2))</f>
        <v/>
      </c>
      <c r="P2897" s="13">
        <f>IF(AND(A2897&lt;&gt;"",B2897&lt;&gt;""), A2897&amp;" · "&amp;B2897, "")</f>
        <v/>
      </c>
    </row>
    <row r="2898">
      <c r="A2898" s="6" t="inlineStr">
        <is>
          <t>FY27</t>
        </is>
      </c>
      <c r="B2898" s="6" t="inlineStr">
        <is>
          <t>Jul</t>
        </is>
      </c>
      <c r="C2898" s="6" t="inlineStr">
        <is>
          <t>Kerala</t>
        </is>
      </c>
      <c r="D2898" s="7" t="inlineStr">
        <is>
          <t>KL42C0007</t>
        </is>
      </c>
      <c r="E2898" s="7" t="inlineStr">
        <is>
          <t>MARUTI SUZUKI</t>
        </is>
      </c>
      <c r="F2898" s="7" t="inlineStr">
        <is>
          <t>Swift</t>
        </is>
      </c>
      <c r="G2898" s="7" t="inlineStr">
        <is>
          <t>EVM CITROEN</t>
        </is>
      </c>
      <c r="H2898" s="7" t="inlineStr">
        <is>
          <t>Non-Captive</t>
        </is>
      </c>
      <c r="I2898" s="7" t="inlineStr">
        <is>
          <t>DREAM DRIVE</t>
        </is>
      </c>
      <c r="J2898" s="8" t="n">
        <v>2009</v>
      </c>
      <c r="K2898" s="9" t="n">
        <v>147403</v>
      </c>
      <c r="L2898" s="10" t="n">
        <v>125000</v>
      </c>
      <c r="M2898" s="10" t="n">
        <v>8474.58</v>
      </c>
      <c r="N2898" s="11">
        <f>IF(M2898="","",ROUND(M2898*1.18,2))</f>
        <v/>
      </c>
      <c r="O2898" s="12">
        <f>IF(M2898="","",ROUND(N2898-M2898,2))</f>
        <v/>
      </c>
      <c r="P2898" s="13">
        <f>IF(AND(A2898&lt;&gt;"",B2898&lt;&gt;""), A2898&amp;" · "&amp;B2898, "")</f>
        <v/>
      </c>
    </row>
    <row r="2899">
      <c r="A2899" s="6" t="inlineStr">
        <is>
          <t>FY27</t>
        </is>
      </c>
      <c r="B2899" s="6" t="inlineStr">
        <is>
          <t>Jul</t>
        </is>
      </c>
      <c r="C2899" s="6" t="inlineStr">
        <is>
          <t>Kerala</t>
        </is>
      </c>
      <c r="D2899" s="7" t="inlineStr">
        <is>
          <t>KL42J2536</t>
        </is>
      </c>
      <c r="E2899" s="7" t="inlineStr">
        <is>
          <t>DATSUN</t>
        </is>
      </c>
      <c r="F2899" s="7" t="inlineStr">
        <is>
          <t>Go</t>
        </is>
      </c>
      <c r="G2899" s="7" t="inlineStr">
        <is>
          <t>POPULAR MARUTI</t>
        </is>
      </c>
      <c r="H2899" s="7" t="inlineStr">
        <is>
          <t>Non-Captive</t>
        </is>
      </c>
      <c r="I2899" s="7" t="inlineStr">
        <is>
          <t>CARNIVAL CARS</t>
        </is>
      </c>
      <c r="J2899" s="8" t="n">
        <v>2014</v>
      </c>
      <c r="K2899" s="9" t="n">
        <v>109808</v>
      </c>
      <c r="L2899" s="10" t="n">
        <v>85000</v>
      </c>
      <c r="M2899" s="10" t="n">
        <v>12711.86</v>
      </c>
      <c r="N2899" s="11">
        <f>IF(M2899="","",ROUND(M2899*1.18,2))</f>
        <v/>
      </c>
      <c r="O2899" s="12">
        <f>IF(M2899="","",ROUND(N2899-M2899,2))</f>
        <v/>
      </c>
      <c r="P2899" s="13">
        <f>IF(AND(A2899&lt;&gt;"",B2899&lt;&gt;""), A2899&amp;" · "&amp;B2899, "")</f>
        <v/>
      </c>
    </row>
    <row r="2900">
      <c r="A2900" s="6" t="inlineStr">
        <is>
          <t>FY27</t>
        </is>
      </c>
      <c r="B2900" s="6" t="inlineStr">
        <is>
          <t>Jul</t>
        </is>
      </c>
      <c r="C2900" s="6" t="inlineStr">
        <is>
          <t>Kerala</t>
        </is>
      </c>
      <c r="D2900" s="7" t="inlineStr">
        <is>
          <t>KL43A3536</t>
        </is>
      </c>
      <c r="E2900" s="7" t="inlineStr">
        <is>
          <t>TATA</t>
        </is>
      </c>
      <c r="F2900" s="7" t="inlineStr">
        <is>
          <t>Indica</t>
        </is>
      </c>
      <c r="G2900" s="7" t="inlineStr">
        <is>
          <t>POPULAR MARUTI</t>
        </is>
      </c>
      <c r="H2900" s="7" t="inlineStr">
        <is>
          <t>Non-Captive</t>
        </is>
      </c>
      <c r="I2900" s="7" t="inlineStr">
        <is>
          <t>RAFEEK T A</t>
        </is>
      </c>
      <c r="J2900" s="8" t="n">
        <v>2008</v>
      </c>
      <c r="K2900" s="9" t="n">
        <v>116450</v>
      </c>
      <c r="L2900" s="10" t="n">
        <v>185000</v>
      </c>
      <c r="M2900" s="10" t="n">
        <v>8474.58</v>
      </c>
      <c r="N2900" s="11">
        <f>IF(M2900="","",ROUND(M2900*1.18,2))</f>
        <v/>
      </c>
      <c r="O2900" s="12">
        <f>IF(M2900="","",ROUND(N2900-M2900,2))</f>
        <v/>
      </c>
      <c r="P2900" s="13">
        <f>IF(AND(A2900&lt;&gt;"",B2900&lt;&gt;""), A2900&amp;" · "&amp;B2900, "")</f>
        <v/>
      </c>
    </row>
    <row r="2901">
      <c r="A2901" s="6" t="inlineStr">
        <is>
          <t>FY27</t>
        </is>
      </c>
      <c r="B2901" s="6" t="inlineStr">
        <is>
          <t>Jul</t>
        </is>
      </c>
      <c r="C2901" s="6" t="inlineStr">
        <is>
          <t>Kerala</t>
        </is>
      </c>
      <c r="D2901" s="7" t="inlineStr">
        <is>
          <t>KL43M8844</t>
        </is>
      </c>
      <c r="E2901" s="7" t="inlineStr">
        <is>
          <t>HONDA</t>
        </is>
      </c>
      <c r="F2901" s="7" t="inlineStr">
        <is>
          <t>Amaze</t>
        </is>
      </c>
      <c r="G2901" s="7" t="inlineStr">
        <is>
          <t>MAIJO MARUTI</t>
        </is>
      </c>
      <c r="H2901" s="7" t="inlineStr">
        <is>
          <t>Non-Captive</t>
        </is>
      </c>
      <c r="I2901" s="7" t="inlineStr">
        <is>
          <t>VTJ</t>
        </is>
      </c>
      <c r="J2901" s="8" t="n">
        <v>2020</v>
      </c>
      <c r="K2901" s="9" t="n">
        <v>35890</v>
      </c>
      <c r="L2901" s="10" t="n">
        <v>435000</v>
      </c>
      <c r="M2901" s="10" t="n">
        <v>12711.86</v>
      </c>
      <c r="N2901" s="11">
        <f>IF(M2901="","",ROUND(M2901*1.18,2))</f>
        <v/>
      </c>
      <c r="O2901" s="12">
        <f>IF(M2901="","",ROUND(N2901-M2901,2))</f>
        <v/>
      </c>
      <c r="P2901" s="13">
        <f>IF(AND(A2901&lt;&gt;"",B2901&lt;&gt;""), A2901&amp;" · "&amp;B2901, "")</f>
        <v/>
      </c>
    </row>
    <row r="2902">
      <c r="A2902" s="6" t="inlineStr">
        <is>
          <t>FY27</t>
        </is>
      </c>
      <c r="B2902" s="6" t="inlineStr">
        <is>
          <t>Jul</t>
        </is>
      </c>
      <c r="C2902" s="6" t="inlineStr">
        <is>
          <t>Kerala</t>
        </is>
      </c>
      <c r="D2902" s="7" t="inlineStr">
        <is>
          <t>KL45C1124</t>
        </is>
      </c>
      <c r="E2902" s="7" t="inlineStr">
        <is>
          <t>HYUNDAI</t>
        </is>
      </c>
      <c r="F2902" s="7" t="inlineStr">
        <is>
          <t>i10</t>
        </is>
      </c>
      <c r="G2902" s="7" t="inlineStr">
        <is>
          <t>RATHEESH</t>
        </is>
      </c>
      <c r="H2902" s="7" t="inlineStr">
        <is>
          <t>Non-Captive</t>
        </is>
      </c>
      <c r="I2902" s="7" t="inlineStr">
        <is>
          <t>SANTHOSH</t>
        </is>
      </c>
      <c r="J2902" s="8" t="n">
        <v>2008</v>
      </c>
      <c r="K2902" s="9" t="n">
        <v>140000</v>
      </c>
      <c r="L2902" s="10" t="n">
        <v>55000</v>
      </c>
      <c r="M2902" s="10" t="n">
        <v>4237.29</v>
      </c>
      <c r="N2902" s="11">
        <f>IF(M2902="","",ROUND(M2902*1.18,2))</f>
        <v/>
      </c>
      <c r="O2902" s="12">
        <f>IF(M2902="","",ROUND(N2902-M2902,2))</f>
        <v/>
      </c>
      <c r="P2902" s="13">
        <f>IF(AND(A2902&lt;&gt;"",B2902&lt;&gt;""), A2902&amp;" · "&amp;B2902, "")</f>
        <v/>
      </c>
    </row>
    <row r="2903">
      <c r="A2903" s="6" t="inlineStr">
        <is>
          <t>FY27</t>
        </is>
      </c>
      <c r="B2903" s="6" t="inlineStr">
        <is>
          <t>Jul</t>
        </is>
      </c>
      <c r="C2903" s="6" t="inlineStr">
        <is>
          <t>Kerala</t>
        </is>
      </c>
      <c r="D2903" s="7" t="inlineStr">
        <is>
          <t>KL45D0472</t>
        </is>
      </c>
      <c r="E2903" s="7" t="inlineStr">
        <is>
          <t>CHEVROLET</t>
        </is>
      </c>
      <c r="F2903" s="7" t="inlineStr">
        <is>
          <t>Spark</t>
        </is>
      </c>
      <c r="G2903" s="7" t="inlineStr">
        <is>
          <t>POPULAR MARUTI</t>
        </is>
      </c>
      <c r="H2903" s="7" t="inlineStr">
        <is>
          <t>Non-Captive</t>
        </is>
      </c>
      <c r="I2903" s="7" t="inlineStr">
        <is>
          <t>AFSAL A</t>
        </is>
      </c>
      <c r="J2903" s="8" t="n">
        <v>2009</v>
      </c>
      <c r="K2903" s="9" t="n">
        <v>79107</v>
      </c>
      <c r="L2903" s="10" t="n">
        <v>45000</v>
      </c>
      <c r="M2903" s="10" t="n">
        <v>8474.58</v>
      </c>
      <c r="N2903" s="11">
        <f>IF(M2903="","",ROUND(M2903*1.18,2))</f>
        <v/>
      </c>
      <c r="O2903" s="12">
        <f>IF(M2903="","",ROUND(N2903-M2903,2))</f>
        <v/>
      </c>
      <c r="P2903" s="13">
        <f>IF(AND(A2903&lt;&gt;"",B2903&lt;&gt;""), A2903&amp;" · "&amp;B2903, "")</f>
        <v/>
      </c>
    </row>
    <row r="2904">
      <c r="A2904" s="6" t="inlineStr">
        <is>
          <t>FY27</t>
        </is>
      </c>
      <c r="B2904" s="6" t="inlineStr">
        <is>
          <t>Jul</t>
        </is>
      </c>
      <c r="C2904" s="6" t="inlineStr">
        <is>
          <t>Kerala</t>
        </is>
      </c>
      <c r="D2904" s="7" t="inlineStr">
        <is>
          <t>KL45R1575</t>
        </is>
      </c>
      <c r="E2904" s="7" t="inlineStr">
        <is>
          <t>RENAULT</t>
        </is>
      </c>
      <c r="F2904" s="7" t="inlineStr">
        <is>
          <t>Kwid</t>
        </is>
      </c>
      <c r="G2904" s="7" t="inlineStr">
        <is>
          <t>POPULAR HYUNDAI</t>
        </is>
      </c>
      <c r="H2904" s="7" t="inlineStr">
        <is>
          <t>Non-Captive</t>
        </is>
      </c>
      <c r="I2904" s="7" t="inlineStr">
        <is>
          <t>Umesh Kumar T U</t>
        </is>
      </c>
      <c r="J2904" s="8" t="n">
        <v>2018</v>
      </c>
      <c r="K2904" s="9" t="n">
        <v>36264</v>
      </c>
      <c r="L2904" s="10" t="n">
        <v>262500</v>
      </c>
      <c r="M2904" s="10" t="n">
        <v>10593.22</v>
      </c>
      <c r="N2904" s="11">
        <f>IF(M2904="","",ROUND(M2904*1.18,2))</f>
        <v/>
      </c>
      <c r="O2904" s="12">
        <f>IF(M2904="","",ROUND(N2904-M2904,2))</f>
        <v/>
      </c>
      <c r="P2904" s="13">
        <f>IF(AND(A2904&lt;&gt;"",B2904&lt;&gt;""), A2904&amp;" · "&amp;B2904, "")</f>
        <v/>
      </c>
    </row>
    <row r="2905">
      <c r="A2905" s="6" t="inlineStr">
        <is>
          <t>FY27</t>
        </is>
      </c>
      <c r="B2905" s="6" t="inlineStr">
        <is>
          <t>Jul</t>
        </is>
      </c>
      <c r="C2905" s="6" t="inlineStr">
        <is>
          <t>Kerala</t>
        </is>
      </c>
      <c r="D2905" s="7" t="inlineStr">
        <is>
          <t>KL45R5121</t>
        </is>
      </c>
      <c r="E2905" s="7" t="inlineStr">
        <is>
          <t>TATA</t>
        </is>
      </c>
      <c r="F2905" s="7" t="inlineStr">
        <is>
          <t>Tiago</t>
        </is>
      </c>
      <c r="G2905" s="7" t="inlineStr">
        <is>
          <t>ERAM MOTORS</t>
        </is>
      </c>
      <c r="H2905" s="7" t="inlineStr">
        <is>
          <t>Non-Captive</t>
        </is>
      </c>
      <c r="I2905" s="7" t="inlineStr">
        <is>
          <t>JAMSHEER</t>
        </is>
      </c>
      <c r="J2905" s="8" t="n">
        <v>2018</v>
      </c>
      <c r="K2905" s="9" t="n">
        <v>72000</v>
      </c>
      <c r="L2905" s="10" t="n">
        <v>305000</v>
      </c>
      <c r="M2905" s="10" t="n">
        <v>8474.58</v>
      </c>
      <c r="N2905" s="11">
        <f>IF(M2905="","",ROUND(M2905*1.18,2))</f>
        <v/>
      </c>
      <c r="O2905" s="12">
        <f>IF(M2905="","",ROUND(N2905-M2905,2))</f>
        <v/>
      </c>
      <c r="P2905" s="13">
        <f>IF(AND(A2905&lt;&gt;"",B2905&lt;&gt;""), A2905&amp;" · "&amp;B2905, "")</f>
        <v/>
      </c>
    </row>
    <row r="2906">
      <c r="A2906" s="6" t="inlineStr">
        <is>
          <t>FY27</t>
        </is>
      </c>
      <c r="B2906" s="6" t="inlineStr">
        <is>
          <t>Jul</t>
        </is>
      </c>
      <c r="C2906" s="6" t="inlineStr">
        <is>
          <t>Kerala</t>
        </is>
      </c>
      <c r="D2906" s="7" t="inlineStr">
        <is>
          <t>KL45X8811</t>
        </is>
      </c>
      <c r="E2906" s="7" t="inlineStr">
        <is>
          <t>MARUTI SUZUKI</t>
        </is>
      </c>
      <c r="F2906" s="7" t="inlineStr">
        <is>
          <t>Swift</t>
        </is>
      </c>
      <c r="G2906" s="7" t="inlineStr">
        <is>
          <t>ERAM MOTORS</t>
        </is>
      </c>
      <c r="H2906" s="7" t="inlineStr">
        <is>
          <t>Non-Captive</t>
        </is>
      </c>
      <c r="I2906" s="7" t="inlineStr">
        <is>
          <t>Autobot</t>
        </is>
      </c>
      <c r="J2906" s="8" t="n">
        <v>2024</v>
      </c>
      <c r="K2906" s="9" t="n">
        <v>43368</v>
      </c>
      <c r="L2906" s="10" t="n">
        <v>712500</v>
      </c>
      <c r="M2906" s="10" t="n">
        <v>10593.22</v>
      </c>
      <c r="N2906" s="11">
        <f>IF(M2906="","",ROUND(M2906*1.18,2))</f>
        <v/>
      </c>
      <c r="O2906" s="12">
        <f>IF(M2906="","",ROUND(N2906-M2906,2))</f>
        <v/>
      </c>
      <c r="P2906" s="13">
        <f>IF(AND(A2906&lt;&gt;"",B2906&lt;&gt;""), A2906&amp;" · "&amp;B2906, "")</f>
        <v/>
      </c>
    </row>
    <row r="2907">
      <c r="A2907" s="6" t="inlineStr">
        <is>
          <t>FY27</t>
        </is>
      </c>
      <c r="B2907" s="6" t="inlineStr">
        <is>
          <t>Jul</t>
        </is>
      </c>
      <c r="C2907" s="6" t="inlineStr">
        <is>
          <t>Kerala</t>
        </is>
      </c>
      <c r="D2907" s="7" t="inlineStr">
        <is>
          <t>KL467277</t>
        </is>
      </c>
      <c r="E2907" s="7" t="inlineStr">
        <is>
          <t>MARUTI SUZUKI</t>
        </is>
      </c>
      <c r="F2907" s="7" t="inlineStr">
        <is>
          <t>Alto</t>
        </is>
      </c>
      <c r="G2907" s="7" t="inlineStr">
        <is>
          <t>POPULAR MARUTI</t>
        </is>
      </c>
      <c r="H2907" s="7" t="inlineStr">
        <is>
          <t>Non-Captive</t>
        </is>
      </c>
      <c r="I2907" s="7" t="inlineStr">
        <is>
          <t>AFSAL A</t>
        </is>
      </c>
      <c r="J2907" s="8" t="n">
        <v>2007</v>
      </c>
      <c r="K2907" s="9" t="n">
        <v>96463</v>
      </c>
      <c r="L2907" s="10" t="n">
        <v>42500</v>
      </c>
      <c r="M2907" s="10" t="n">
        <v>10593.22</v>
      </c>
      <c r="N2907" s="11">
        <f>IF(M2907="","",ROUND(M2907*1.18,2))</f>
        <v/>
      </c>
      <c r="O2907" s="12">
        <f>IF(M2907="","",ROUND(N2907-M2907,2))</f>
        <v/>
      </c>
      <c r="P2907" s="13">
        <f>IF(AND(A2907&lt;&gt;"",B2907&lt;&gt;""), A2907&amp;" · "&amp;B2907, "")</f>
        <v/>
      </c>
    </row>
    <row r="2908">
      <c r="A2908" s="6" t="inlineStr">
        <is>
          <t>FY27</t>
        </is>
      </c>
      <c r="B2908" s="6" t="inlineStr">
        <is>
          <t>Jul</t>
        </is>
      </c>
      <c r="C2908" s="6" t="inlineStr">
        <is>
          <t>Kerala</t>
        </is>
      </c>
      <c r="D2908" s="7" t="inlineStr">
        <is>
          <t>KL46J1117</t>
        </is>
      </c>
      <c r="E2908" s="7" t="inlineStr">
        <is>
          <t>NISSAN</t>
        </is>
      </c>
      <c r="F2908" s="7" t="inlineStr">
        <is>
          <t>Sunny</t>
        </is>
      </c>
      <c r="G2908" s="7" t="inlineStr">
        <is>
          <t>POPULAR MARUTI</t>
        </is>
      </c>
      <c r="H2908" s="7" t="inlineStr">
        <is>
          <t>Non-Captive</t>
        </is>
      </c>
      <c r="I2908" s="7" t="inlineStr">
        <is>
          <t>Aitos Cars</t>
        </is>
      </c>
      <c r="J2908" s="8" t="n">
        <v>2013</v>
      </c>
      <c r="K2908" s="9" t="n">
        <v>108371</v>
      </c>
      <c r="L2908" s="10" t="n">
        <v>160000</v>
      </c>
      <c r="M2908" s="10" t="n">
        <v>8474.58</v>
      </c>
      <c r="N2908" s="11">
        <f>IF(M2908="","",ROUND(M2908*1.18,2))</f>
        <v/>
      </c>
      <c r="O2908" s="12">
        <f>IF(M2908="","",ROUND(N2908-M2908,2))</f>
        <v/>
      </c>
      <c r="P2908" s="13">
        <f>IF(AND(A2908&lt;&gt;"",B2908&lt;&gt;""), A2908&amp;" · "&amp;B2908, "")</f>
        <v/>
      </c>
    </row>
    <row r="2909">
      <c r="A2909" s="6" t="inlineStr">
        <is>
          <t>FY27</t>
        </is>
      </c>
      <c r="B2909" s="6" t="inlineStr">
        <is>
          <t>Jul</t>
        </is>
      </c>
      <c r="C2909" s="6" t="inlineStr">
        <is>
          <t>Kerala</t>
        </is>
      </c>
      <c r="D2909" s="7" t="inlineStr">
        <is>
          <t>KL46V4688</t>
        </is>
      </c>
      <c r="E2909" s="7" t="inlineStr">
        <is>
          <t>MARUTI SUZUKI</t>
        </is>
      </c>
      <c r="F2909" s="7" t="inlineStr">
        <is>
          <t>Swift</t>
        </is>
      </c>
      <c r="G2909" s="7" t="inlineStr">
        <is>
          <t>POPULAR HYUNDAI</t>
        </is>
      </c>
      <c r="H2909" s="7" t="inlineStr">
        <is>
          <t>Non-Captive</t>
        </is>
      </c>
      <c r="I2909" s="7" t="inlineStr">
        <is>
          <t>Aitos Cars</t>
        </is>
      </c>
      <c r="J2909" s="8" t="n">
        <v>2020</v>
      </c>
      <c r="K2909" s="9" t="n">
        <v>71354</v>
      </c>
      <c r="L2909" s="10" t="n">
        <v>462500</v>
      </c>
      <c r="M2909" s="10" t="n">
        <v>10593.22</v>
      </c>
      <c r="N2909" s="11">
        <f>IF(M2909="","",ROUND(M2909*1.18,2))</f>
        <v/>
      </c>
      <c r="O2909" s="12">
        <f>IF(M2909="","",ROUND(N2909-M2909,2))</f>
        <v/>
      </c>
      <c r="P2909" s="13">
        <f>IF(AND(A2909&lt;&gt;"",B2909&lt;&gt;""), A2909&amp;" · "&amp;B2909, "")</f>
        <v/>
      </c>
    </row>
    <row r="2910">
      <c r="A2910" s="6" t="inlineStr">
        <is>
          <t>FY27</t>
        </is>
      </c>
      <c r="B2910" s="6" t="inlineStr">
        <is>
          <t>Jul</t>
        </is>
      </c>
      <c r="C2910" s="6" t="inlineStr">
        <is>
          <t>Kerala</t>
        </is>
      </c>
      <c r="D2910" s="7" t="inlineStr">
        <is>
          <t>KL48D0395</t>
        </is>
      </c>
      <c r="E2910" s="7" t="inlineStr">
        <is>
          <t>HYUNDAI</t>
        </is>
      </c>
      <c r="F2910" s="7" t="inlineStr">
        <is>
          <t>Eon</t>
        </is>
      </c>
      <c r="G2910" s="7" t="inlineStr">
        <is>
          <t>POPULAR MARUTI</t>
        </is>
      </c>
      <c r="H2910" s="7" t="inlineStr">
        <is>
          <t>Non-Captive</t>
        </is>
      </c>
      <c r="I2910" s="7" t="inlineStr">
        <is>
          <t>SOORAJ PK</t>
        </is>
      </c>
      <c r="J2910" s="8" t="n">
        <v>2011</v>
      </c>
      <c r="K2910" s="9" t="n">
        <v>89000</v>
      </c>
      <c r="L2910" s="10" t="n">
        <v>68000</v>
      </c>
      <c r="M2910" s="10" t="n">
        <v>6779.66</v>
      </c>
      <c r="N2910" s="11">
        <f>IF(M2910="","",ROUND(M2910*1.18,2))</f>
        <v/>
      </c>
      <c r="O2910" s="12">
        <f>IF(M2910="","",ROUND(N2910-M2910,2))</f>
        <v/>
      </c>
      <c r="P2910" s="13">
        <f>IF(AND(A2910&lt;&gt;"",B2910&lt;&gt;""), A2910&amp;" · "&amp;B2910, "")</f>
        <v/>
      </c>
    </row>
    <row r="2911">
      <c r="A2911" s="6" t="inlineStr">
        <is>
          <t>FY27</t>
        </is>
      </c>
      <c r="B2911" s="6" t="inlineStr">
        <is>
          <t>Jul</t>
        </is>
      </c>
      <c r="C2911" s="6" t="inlineStr">
        <is>
          <t>Kerala</t>
        </is>
      </c>
      <c r="D2911" s="7" t="inlineStr">
        <is>
          <t>KL48G7160</t>
        </is>
      </c>
      <c r="E2911" s="7" t="inlineStr">
        <is>
          <t>MAHINDRA</t>
        </is>
      </c>
      <c r="F2911" s="7" t="inlineStr">
        <is>
          <t>Load King</t>
        </is>
      </c>
      <c r="G2911" s="7" t="inlineStr">
        <is>
          <t>KUNJU MOIDEEN</t>
        </is>
      </c>
      <c r="H2911" s="7" t="inlineStr">
        <is>
          <t>Non-Captive</t>
        </is>
      </c>
      <c r="I2911" s="7" t="inlineStr">
        <is>
          <t>Alikunju Happy Drive</t>
        </is>
      </c>
      <c r="J2911" s="8" t="n">
        <v>2015</v>
      </c>
      <c r="K2911" s="9" t="n">
        <v>230000</v>
      </c>
      <c r="L2911" s="10" t="n">
        <v>406000</v>
      </c>
      <c r="M2911" s="10" t="n">
        <v>5084.75</v>
      </c>
      <c r="N2911" s="11">
        <f>IF(M2911="","",ROUND(M2911*1.18,2))</f>
        <v/>
      </c>
      <c r="O2911" s="12">
        <f>IF(M2911="","",ROUND(N2911-M2911,2))</f>
        <v/>
      </c>
      <c r="P2911" s="13">
        <f>IF(AND(A2911&lt;&gt;"",B2911&lt;&gt;""), A2911&amp;" · "&amp;B2911, "")</f>
        <v/>
      </c>
    </row>
    <row r="2912">
      <c r="A2912" s="6" t="inlineStr">
        <is>
          <t>FY27</t>
        </is>
      </c>
      <c r="B2912" s="6" t="inlineStr">
        <is>
          <t>Jul</t>
        </is>
      </c>
      <c r="C2912" s="6" t="inlineStr">
        <is>
          <t>Kerala</t>
        </is>
      </c>
      <c r="D2912" s="7" t="inlineStr">
        <is>
          <t>KL48P4824</t>
        </is>
      </c>
      <c r="E2912" s="7" t="inlineStr">
        <is>
          <t>TATA</t>
        </is>
      </c>
      <c r="F2912" s="7" t="inlineStr">
        <is>
          <t>Nexon</t>
        </is>
      </c>
      <c r="G2912" s="7" t="inlineStr">
        <is>
          <t>POPULAR HYUNDAI</t>
        </is>
      </c>
      <c r="H2912" s="7" t="inlineStr">
        <is>
          <t>Non-Captive</t>
        </is>
      </c>
      <c r="I2912" s="7" t="inlineStr">
        <is>
          <t>Aitos Cars</t>
        </is>
      </c>
      <c r="J2912" s="8" t="n">
        <v>2023</v>
      </c>
      <c r="K2912" s="9" t="n">
        <v>66243</v>
      </c>
      <c r="L2912" s="10" t="n">
        <v>487500</v>
      </c>
      <c r="M2912" s="10" t="n">
        <v>10593.22</v>
      </c>
      <c r="N2912" s="11">
        <f>IF(M2912="","",ROUND(M2912*1.18,2))</f>
        <v/>
      </c>
      <c r="O2912" s="12">
        <f>IF(M2912="","",ROUND(N2912-M2912,2))</f>
        <v/>
      </c>
      <c r="P2912" s="13">
        <f>IF(AND(A2912&lt;&gt;"",B2912&lt;&gt;""), A2912&amp;" · "&amp;B2912, "")</f>
        <v/>
      </c>
    </row>
    <row r="2913">
      <c r="A2913" s="6" t="inlineStr">
        <is>
          <t>FY27</t>
        </is>
      </c>
      <c r="B2913" s="6" t="inlineStr">
        <is>
          <t>Jul</t>
        </is>
      </c>
      <c r="C2913" s="6" t="inlineStr">
        <is>
          <t>Kerala</t>
        </is>
      </c>
      <c r="D2913" s="7" t="inlineStr">
        <is>
          <t>KL50E5722</t>
        </is>
      </c>
      <c r="E2913" s="7" t="inlineStr">
        <is>
          <t>MARUTI SUZUKI</t>
        </is>
      </c>
      <c r="F2913" s="7" t="inlineStr">
        <is>
          <t>Alto 800</t>
        </is>
      </c>
      <c r="G2913" s="7" t="inlineStr">
        <is>
          <t>UCD ANSIL</t>
        </is>
      </c>
      <c r="H2913" s="7" t="inlineStr">
        <is>
          <t>Non-Captive</t>
        </is>
      </c>
      <c r="I2913" s="7" t="inlineStr">
        <is>
          <t>VARUN</t>
        </is>
      </c>
      <c r="J2913" s="8" t="n">
        <v>2016</v>
      </c>
      <c r="K2913" s="9" t="n">
        <v>51000</v>
      </c>
      <c r="L2913" s="10" t="n">
        <v>190000</v>
      </c>
      <c r="M2913" s="10" t="n">
        <v>5932.2</v>
      </c>
      <c r="N2913" s="11">
        <f>IF(M2913="","",ROUND(M2913*1.18,2))</f>
        <v/>
      </c>
      <c r="O2913" s="12">
        <f>IF(M2913="","",ROUND(N2913-M2913,2))</f>
        <v/>
      </c>
      <c r="P2913" s="13">
        <f>IF(AND(A2913&lt;&gt;"",B2913&lt;&gt;""), A2913&amp;" · "&amp;B2913, "")</f>
        <v/>
      </c>
    </row>
    <row r="2914">
      <c r="A2914" s="6" t="inlineStr">
        <is>
          <t>FY27</t>
        </is>
      </c>
      <c r="B2914" s="6" t="inlineStr">
        <is>
          <t>Jul</t>
        </is>
      </c>
      <c r="C2914" s="6" t="inlineStr">
        <is>
          <t>Kerala</t>
        </is>
      </c>
      <c r="D2914" s="7" t="inlineStr">
        <is>
          <t>KL52B8421</t>
        </is>
      </c>
      <c r="E2914" s="7" t="inlineStr">
        <is>
          <t>MARUTI SUZUKI</t>
        </is>
      </c>
      <c r="F2914" s="7" t="inlineStr">
        <is>
          <t>Wagon R</t>
        </is>
      </c>
      <c r="G2914" s="7" t="inlineStr">
        <is>
          <t>POPULAR MARUTI</t>
        </is>
      </c>
      <c r="H2914" s="7" t="inlineStr">
        <is>
          <t>Non-Captive</t>
        </is>
      </c>
      <c r="I2914" s="7" t="inlineStr">
        <is>
          <t>TOKYO CARS</t>
        </is>
      </c>
      <c r="J2914" s="8" t="n">
        <v>2010</v>
      </c>
      <c r="K2914" s="9" t="n">
        <v>120000</v>
      </c>
      <c r="L2914" s="10" t="n">
        <v>132000</v>
      </c>
      <c r="M2914" s="10" t="n">
        <v>5932.2</v>
      </c>
      <c r="N2914" s="11">
        <f>IF(M2914="","",ROUND(M2914*1.18,2))</f>
        <v/>
      </c>
      <c r="O2914" s="12">
        <f>IF(M2914="","",ROUND(N2914-M2914,2))</f>
        <v/>
      </c>
      <c r="P2914" s="13">
        <f>IF(AND(A2914&lt;&gt;"",B2914&lt;&gt;""), A2914&amp;" · "&amp;B2914, "")</f>
        <v/>
      </c>
    </row>
    <row r="2915">
      <c r="A2915" s="6" t="inlineStr">
        <is>
          <t>FY27</t>
        </is>
      </c>
      <c r="B2915" s="6" t="inlineStr">
        <is>
          <t>Jul</t>
        </is>
      </c>
      <c r="C2915" s="6" t="inlineStr">
        <is>
          <t>Kerala</t>
        </is>
      </c>
      <c r="D2915" s="7" t="inlineStr">
        <is>
          <t>KL53G5084</t>
        </is>
      </c>
      <c r="E2915" s="7" t="inlineStr">
        <is>
          <t>MARUTI SUZUKI</t>
        </is>
      </c>
      <c r="F2915" s="7" t="inlineStr">
        <is>
          <t>Alto K10</t>
        </is>
      </c>
      <c r="G2915" s="7" t="inlineStr">
        <is>
          <t>ANANDHU SURESH</t>
        </is>
      </c>
      <c r="H2915" s="7" t="inlineStr">
        <is>
          <t>Non-Captive</t>
        </is>
      </c>
      <c r="I2915" s="7" t="inlineStr">
        <is>
          <t>DREAM DRIVE</t>
        </is>
      </c>
      <c r="J2915" s="8" t="n">
        <v>2014</v>
      </c>
      <c r="K2915" s="9" t="n">
        <v>88954</v>
      </c>
      <c r="L2915" s="10" t="n">
        <v>135000</v>
      </c>
      <c r="M2915" s="10" t="n">
        <v>8474.58</v>
      </c>
      <c r="N2915" s="11">
        <f>IF(M2915="","",ROUND(M2915*1.18,2))</f>
        <v/>
      </c>
      <c r="O2915" s="12">
        <f>IF(M2915="","",ROUND(N2915-M2915,2))</f>
        <v/>
      </c>
      <c r="P2915" s="13">
        <f>IF(AND(A2915&lt;&gt;"",B2915&lt;&gt;""), A2915&amp;" · "&amp;B2915, "")</f>
        <v/>
      </c>
    </row>
    <row r="2916">
      <c r="A2916" s="6" t="inlineStr">
        <is>
          <t>FY27</t>
        </is>
      </c>
      <c r="B2916" s="6" t="inlineStr">
        <is>
          <t>Jul</t>
        </is>
      </c>
      <c r="C2916" s="6" t="inlineStr">
        <is>
          <t>Kerala</t>
        </is>
      </c>
      <c r="D2916" s="7" t="inlineStr">
        <is>
          <t>KL53K2118</t>
        </is>
      </c>
      <c r="E2916" s="7" t="inlineStr">
        <is>
          <t>MARUTI SUZUKI</t>
        </is>
      </c>
      <c r="F2916" s="7" t="inlineStr">
        <is>
          <t>Celerio</t>
        </is>
      </c>
      <c r="G2916" s="7" t="inlineStr">
        <is>
          <t>POPULAR HYUNDAI</t>
        </is>
      </c>
      <c r="H2916" s="7" t="inlineStr">
        <is>
          <t>Non-Captive</t>
        </is>
      </c>
      <c r="I2916" s="7" t="inlineStr">
        <is>
          <t>Umesh Kumar T U</t>
        </is>
      </c>
      <c r="J2916" s="8" t="n">
        <v>2016</v>
      </c>
      <c r="K2916" s="9" t="n">
        <v>48924</v>
      </c>
      <c r="L2916" s="10" t="n">
        <v>375000</v>
      </c>
      <c r="M2916" s="10" t="n">
        <v>8474.58</v>
      </c>
      <c r="N2916" s="11">
        <f>IF(M2916="","",ROUND(M2916*1.18,2))</f>
        <v/>
      </c>
      <c r="O2916" s="12">
        <f>IF(M2916="","",ROUND(N2916-M2916,2))</f>
        <v/>
      </c>
      <c r="P2916" s="13">
        <f>IF(AND(A2916&lt;&gt;"",B2916&lt;&gt;""), A2916&amp;" · "&amp;B2916, "")</f>
        <v/>
      </c>
    </row>
    <row r="2917">
      <c r="A2917" s="6" t="inlineStr">
        <is>
          <t>FY27</t>
        </is>
      </c>
      <c r="B2917" s="6" t="inlineStr">
        <is>
          <t>Jul</t>
        </is>
      </c>
      <c r="C2917" s="6" t="inlineStr">
        <is>
          <t>Kerala</t>
        </is>
      </c>
      <c r="D2917" s="7" t="inlineStr">
        <is>
          <t>KL54M8401</t>
        </is>
      </c>
      <c r="E2917" s="7" t="inlineStr">
        <is>
          <t>MARUTI SUZUKI</t>
        </is>
      </c>
      <c r="F2917" s="7" t="inlineStr">
        <is>
          <t>Ritz</t>
        </is>
      </c>
      <c r="G2917" s="7" t="inlineStr">
        <is>
          <t>KVR TATA</t>
        </is>
      </c>
      <c r="H2917" s="7" t="inlineStr">
        <is>
          <t>Non-Captive</t>
        </is>
      </c>
      <c r="I2917" s="7" t="inlineStr">
        <is>
          <t>Aitos Cars</t>
        </is>
      </c>
      <c r="J2917" s="8" t="n">
        <v>2010</v>
      </c>
      <c r="K2917" s="9" t="n">
        <v>95039</v>
      </c>
      <c r="L2917" s="10" t="n">
        <v>162500</v>
      </c>
      <c r="M2917" s="10" t="n">
        <v>10593.22</v>
      </c>
      <c r="N2917" s="11">
        <f>IF(M2917="","",ROUND(M2917*1.18,2))</f>
        <v/>
      </c>
      <c r="O2917" s="12">
        <f>IF(M2917="","",ROUND(N2917-M2917,2))</f>
        <v/>
      </c>
      <c r="P2917" s="13">
        <f>IF(AND(A2917&lt;&gt;"",B2917&lt;&gt;""), A2917&amp;" · "&amp;B2917, "")</f>
        <v/>
      </c>
    </row>
    <row r="2918">
      <c r="A2918" s="6" t="inlineStr">
        <is>
          <t>FY27</t>
        </is>
      </c>
      <c r="B2918" s="6" t="inlineStr">
        <is>
          <t>Jul</t>
        </is>
      </c>
      <c r="C2918" s="6" t="inlineStr">
        <is>
          <t>Kerala</t>
        </is>
      </c>
      <c r="D2918" s="7" t="inlineStr">
        <is>
          <t>KL55Y2930</t>
        </is>
      </c>
      <c r="E2918" s="7" t="inlineStr">
        <is>
          <t>RENAULT</t>
        </is>
      </c>
      <c r="F2918" s="7" t="inlineStr">
        <is>
          <t>Kwid</t>
        </is>
      </c>
      <c r="G2918" s="7" t="inlineStr">
        <is>
          <t>BIMAL</t>
        </is>
      </c>
      <c r="H2918" s="7" t="inlineStr">
        <is>
          <t>Non-Captive</t>
        </is>
      </c>
      <c r="I2918" s="7" t="inlineStr">
        <is>
          <t>KANNUR PLATINUM</t>
        </is>
      </c>
      <c r="J2918" s="8" t="n">
        <v>2018</v>
      </c>
      <c r="K2918" s="9" t="n">
        <v>21000</v>
      </c>
      <c r="L2918" s="10" t="n">
        <v>267000</v>
      </c>
      <c r="M2918" s="10" t="n">
        <v>5932.2</v>
      </c>
      <c r="N2918" s="11">
        <f>IF(M2918="","",ROUND(M2918*1.18,2))</f>
        <v/>
      </c>
      <c r="O2918" s="12">
        <f>IF(M2918="","",ROUND(N2918-M2918,2))</f>
        <v/>
      </c>
      <c r="P2918" s="13">
        <f>IF(AND(A2918&lt;&gt;"",B2918&lt;&gt;""), A2918&amp;" · "&amp;B2918, "")</f>
        <v/>
      </c>
    </row>
    <row r="2919">
      <c r="A2919" s="6" t="inlineStr">
        <is>
          <t>FY27</t>
        </is>
      </c>
      <c r="B2919" s="6" t="inlineStr">
        <is>
          <t>Jul</t>
        </is>
      </c>
      <c r="C2919" s="6" t="inlineStr">
        <is>
          <t>Kerala</t>
        </is>
      </c>
      <c r="D2919" s="7" t="inlineStr">
        <is>
          <t>KL56A4544</t>
        </is>
      </c>
      <c r="E2919" s="7" t="inlineStr">
        <is>
          <t>MARUTI SUZUKI</t>
        </is>
      </c>
      <c r="F2919" s="7" t="inlineStr">
        <is>
          <t>Wagon R</t>
        </is>
      </c>
      <c r="G2919" s="7" t="inlineStr">
        <is>
          <t>EVM SKODA</t>
        </is>
      </c>
      <c r="H2919" s="7" t="inlineStr">
        <is>
          <t>Non-Captive</t>
        </is>
      </c>
      <c r="I2919" s="7" t="inlineStr">
        <is>
          <t>TOKYO CARS</t>
        </is>
      </c>
      <c r="J2919" s="8" t="n">
        <v>2008</v>
      </c>
      <c r="K2919" s="9" t="n">
        <v>105000</v>
      </c>
      <c r="L2919" s="10" t="n">
        <v>65000</v>
      </c>
      <c r="M2919" s="10" t="n">
        <v>4237.29</v>
      </c>
      <c r="N2919" s="11">
        <f>IF(M2919="","",ROUND(M2919*1.18,2))</f>
        <v/>
      </c>
      <c r="O2919" s="12">
        <f>IF(M2919="","",ROUND(N2919-M2919,2))</f>
        <v/>
      </c>
      <c r="P2919" s="13">
        <f>IF(AND(A2919&lt;&gt;"",B2919&lt;&gt;""), A2919&amp;" · "&amp;B2919, "")</f>
        <v/>
      </c>
    </row>
    <row r="2920">
      <c r="A2920" s="6" t="inlineStr">
        <is>
          <t>FY27</t>
        </is>
      </c>
      <c r="B2920" s="6" t="inlineStr">
        <is>
          <t>Jul</t>
        </is>
      </c>
      <c r="C2920" s="6" t="inlineStr">
        <is>
          <t>Kerala</t>
        </is>
      </c>
      <c r="D2920" s="7" t="inlineStr">
        <is>
          <t>KL57F7789</t>
        </is>
      </c>
      <c r="E2920" s="7" t="inlineStr">
        <is>
          <t>MARUTI SUZUKI</t>
        </is>
      </c>
      <c r="F2920" s="7" t="inlineStr">
        <is>
          <t>Dzire</t>
        </is>
      </c>
      <c r="G2920" s="7" t="inlineStr">
        <is>
          <t>POPULAR MARUTI</t>
        </is>
      </c>
      <c r="H2920" s="7" t="inlineStr">
        <is>
          <t>Non-Captive</t>
        </is>
      </c>
      <c r="I2920" s="7" t="inlineStr">
        <is>
          <t>Mahesh Shankar</t>
        </is>
      </c>
      <c r="J2920" s="8" t="n">
        <v>2012</v>
      </c>
      <c r="K2920" s="9" t="n">
        <v>87000</v>
      </c>
      <c r="L2920" s="10" t="n">
        <v>291500</v>
      </c>
      <c r="M2920" s="10" t="n">
        <v>9745.76</v>
      </c>
      <c r="N2920" s="11">
        <f>IF(M2920="","",ROUND(M2920*1.18,2))</f>
        <v/>
      </c>
      <c r="O2920" s="12">
        <f>IF(M2920="","",ROUND(N2920-M2920,2))</f>
        <v/>
      </c>
      <c r="P2920" s="13">
        <f>IF(AND(A2920&lt;&gt;"",B2920&lt;&gt;""), A2920&amp;" · "&amp;B2920, "")</f>
        <v/>
      </c>
    </row>
    <row r="2921">
      <c r="A2921" s="6" t="inlineStr">
        <is>
          <t>FY27</t>
        </is>
      </c>
      <c r="B2921" s="6" t="inlineStr">
        <is>
          <t>Jul</t>
        </is>
      </c>
      <c r="C2921" s="6" t="inlineStr">
        <is>
          <t>Kerala</t>
        </is>
      </c>
      <c r="D2921" s="7" t="inlineStr">
        <is>
          <t>KL57N3753</t>
        </is>
      </c>
      <c r="E2921" s="7" t="inlineStr">
        <is>
          <t>HYUNDAI</t>
        </is>
      </c>
      <c r="F2921" s="7" t="inlineStr">
        <is>
          <t>Grand i10</t>
        </is>
      </c>
      <c r="G2921" s="7" t="inlineStr">
        <is>
          <t>UCD PRAJOSH</t>
        </is>
      </c>
      <c r="H2921" s="7" t="inlineStr">
        <is>
          <t>Non-Captive</t>
        </is>
      </c>
      <c r="I2921" s="7" t="inlineStr">
        <is>
          <t>IRFAN</t>
        </is>
      </c>
      <c r="J2921" s="8" t="n">
        <v>2016</v>
      </c>
      <c r="K2921" s="9" t="n">
        <v>48000</v>
      </c>
      <c r="L2921" s="10" t="n">
        <v>260000</v>
      </c>
      <c r="M2921" s="10" t="n">
        <v>4237.29</v>
      </c>
      <c r="N2921" s="11">
        <f>IF(M2921="","",ROUND(M2921*1.18,2))</f>
        <v/>
      </c>
      <c r="O2921" s="12">
        <f>IF(M2921="","",ROUND(N2921-M2921,2))</f>
        <v/>
      </c>
      <c r="P2921" s="13">
        <f>IF(AND(A2921&lt;&gt;"",B2921&lt;&gt;""), A2921&amp;" · "&amp;B2921, "")</f>
        <v/>
      </c>
    </row>
    <row r="2922">
      <c r="A2922" s="6" t="inlineStr">
        <is>
          <t>FY27</t>
        </is>
      </c>
      <c r="B2922" s="6" t="inlineStr">
        <is>
          <t>Jul</t>
        </is>
      </c>
      <c r="C2922" s="6" t="inlineStr">
        <is>
          <t>Kerala</t>
        </is>
      </c>
      <c r="D2922" s="7" t="inlineStr">
        <is>
          <t>KL58AD183</t>
        </is>
      </c>
      <c r="E2922" s="7" t="inlineStr">
        <is>
          <t>MARUTI SUZUKI</t>
        </is>
      </c>
      <c r="F2922" s="7" t="inlineStr">
        <is>
          <t>Alto</t>
        </is>
      </c>
      <c r="G2922" s="7" t="inlineStr">
        <is>
          <t>INDUS MARUTI</t>
        </is>
      </c>
      <c r="H2922" s="7" t="inlineStr">
        <is>
          <t>Non-Captive</t>
        </is>
      </c>
      <c r="I2922" s="7" t="inlineStr">
        <is>
          <t>Hiba Nasrin</t>
        </is>
      </c>
      <c r="J2922" s="8" t="n">
        <v>2007</v>
      </c>
      <c r="K2922" s="9" t="n">
        <v>135000</v>
      </c>
      <c r="L2922" s="10" t="n">
        <v>55000</v>
      </c>
      <c r="M2922" s="10" t="n">
        <v>4237.29</v>
      </c>
      <c r="N2922" s="11">
        <f>IF(M2922="","",ROUND(M2922*1.18,2))</f>
        <v/>
      </c>
      <c r="O2922" s="12">
        <f>IF(M2922="","",ROUND(N2922-M2922,2))</f>
        <v/>
      </c>
      <c r="P2922" s="13">
        <f>IF(AND(A2922&lt;&gt;"",B2922&lt;&gt;""), A2922&amp;" · "&amp;B2922, "")</f>
        <v/>
      </c>
    </row>
    <row r="2923">
      <c r="A2923" s="6" t="inlineStr">
        <is>
          <t>FY27</t>
        </is>
      </c>
      <c r="B2923" s="6" t="inlineStr">
        <is>
          <t>Jul</t>
        </is>
      </c>
      <c r="C2923" s="6" t="inlineStr">
        <is>
          <t>Kerala</t>
        </is>
      </c>
      <c r="D2923" s="7" t="inlineStr">
        <is>
          <t>KL58AE3108</t>
        </is>
      </c>
      <c r="E2923" s="7" t="inlineStr">
        <is>
          <t>TATA</t>
        </is>
      </c>
      <c r="F2923" s="7" t="inlineStr">
        <is>
          <t>Tiago</t>
        </is>
      </c>
      <c r="G2923" s="7" t="inlineStr">
        <is>
          <t>KVR TATA</t>
        </is>
      </c>
      <c r="H2923" s="7" t="inlineStr">
        <is>
          <t>Non-Captive</t>
        </is>
      </c>
      <c r="I2923" s="7" t="inlineStr">
        <is>
          <t>Muhammed Yasin</t>
        </is>
      </c>
      <c r="J2923" s="8" t="n">
        <v>2021</v>
      </c>
      <c r="K2923" s="9" t="n">
        <v>52000</v>
      </c>
      <c r="L2923" s="10" t="n">
        <v>255000</v>
      </c>
      <c r="M2923" s="10" t="n">
        <v>4237.29</v>
      </c>
      <c r="N2923" s="11">
        <f>IF(M2923="","",ROUND(M2923*1.18,2))</f>
        <v/>
      </c>
      <c r="O2923" s="12">
        <f>IF(M2923="","",ROUND(N2923-M2923,2))</f>
        <v/>
      </c>
      <c r="P2923" s="13">
        <f>IF(AND(A2923&lt;&gt;"",B2923&lt;&gt;""), A2923&amp;" · "&amp;B2923, "")</f>
        <v/>
      </c>
    </row>
    <row r="2924">
      <c r="A2924" s="6" t="inlineStr">
        <is>
          <t>FY27</t>
        </is>
      </c>
      <c r="B2924" s="6" t="inlineStr">
        <is>
          <t>Jul</t>
        </is>
      </c>
      <c r="C2924" s="6" t="inlineStr">
        <is>
          <t>Kerala</t>
        </is>
      </c>
      <c r="D2924" s="7" t="inlineStr">
        <is>
          <t>KL58J405</t>
        </is>
      </c>
      <c r="E2924" s="7" t="inlineStr">
        <is>
          <t>MARUTI SUZUKI</t>
        </is>
      </c>
      <c r="F2924" s="7" t="inlineStr">
        <is>
          <t>Zen Estilo</t>
        </is>
      </c>
      <c r="G2924" s="7" t="inlineStr">
        <is>
          <t>KVR TATA</t>
        </is>
      </c>
      <c r="H2924" s="7" t="inlineStr">
        <is>
          <t>Non-Captive</t>
        </is>
      </c>
      <c r="I2924" s="7" t="inlineStr">
        <is>
          <t>JIMMY THOMAS</t>
        </is>
      </c>
      <c r="J2924" s="8" t="n">
        <v>2012</v>
      </c>
      <c r="K2924" s="9" t="n">
        <v>207651</v>
      </c>
      <c r="L2924" s="10" t="n">
        <v>80000</v>
      </c>
      <c r="M2924" s="10" t="n">
        <v>8474.58</v>
      </c>
      <c r="N2924" s="11">
        <f>IF(M2924="","",ROUND(M2924*1.18,2))</f>
        <v/>
      </c>
      <c r="O2924" s="12">
        <f>IF(M2924="","",ROUND(N2924-M2924,2))</f>
        <v/>
      </c>
      <c r="P2924" s="13">
        <f>IF(AND(A2924&lt;&gt;"",B2924&lt;&gt;""), A2924&amp;" · "&amp;B2924, "")</f>
        <v/>
      </c>
    </row>
    <row r="2925">
      <c r="A2925" s="6" t="inlineStr">
        <is>
          <t>FY27</t>
        </is>
      </c>
      <c r="B2925" s="6" t="inlineStr">
        <is>
          <t>Jul</t>
        </is>
      </c>
      <c r="C2925" s="6" t="inlineStr">
        <is>
          <t>Kerala</t>
        </is>
      </c>
      <c r="D2925" s="7" t="inlineStr">
        <is>
          <t>KL58J6969</t>
        </is>
      </c>
      <c r="E2925" s="7" t="inlineStr">
        <is>
          <t>HONDA</t>
        </is>
      </c>
      <c r="F2925" s="7" t="inlineStr">
        <is>
          <t>Civic</t>
        </is>
      </c>
      <c r="G2925" s="7" t="inlineStr">
        <is>
          <t>POPULAR MARUTI</t>
        </is>
      </c>
      <c r="H2925" s="7" t="inlineStr">
        <is>
          <t>Non-Captive</t>
        </is>
      </c>
      <c r="I2925" s="7" t="inlineStr">
        <is>
          <t>CARNIVAL CARS</t>
        </is>
      </c>
      <c r="J2925" s="8" t="n">
        <v>2013</v>
      </c>
      <c r="K2925" s="9" t="n">
        <v>41463</v>
      </c>
      <c r="L2925" s="10" t="n">
        <v>275000</v>
      </c>
      <c r="M2925" s="10" t="n">
        <v>12711.86</v>
      </c>
      <c r="N2925" s="11">
        <f>IF(M2925="","",ROUND(M2925*1.18,2))</f>
        <v/>
      </c>
      <c r="O2925" s="12">
        <f>IF(M2925="","",ROUND(N2925-M2925,2))</f>
        <v/>
      </c>
      <c r="P2925" s="13">
        <f>IF(AND(A2925&lt;&gt;"",B2925&lt;&gt;""), A2925&amp;" · "&amp;B2925, "")</f>
        <v/>
      </c>
    </row>
    <row r="2926">
      <c r="A2926" s="6" t="inlineStr">
        <is>
          <t>FY27</t>
        </is>
      </c>
      <c r="B2926" s="6" t="inlineStr">
        <is>
          <t>Jul</t>
        </is>
      </c>
      <c r="C2926" s="6" t="inlineStr">
        <is>
          <t>Kerala</t>
        </is>
      </c>
      <c r="D2926" s="7" t="inlineStr">
        <is>
          <t>KL58K9644</t>
        </is>
      </c>
      <c r="E2926" s="7" t="inlineStr">
        <is>
          <t>HYUNDAI</t>
        </is>
      </c>
      <c r="F2926" s="7" t="inlineStr">
        <is>
          <t>Eon</t>
        </is>
      </c>
      <c r="G2926" s="7" t="inlineStr">
        <is>
          <t>UCD VARUN</t>
        </is>
      </c>
      <c r="H2926" s="7" t="inlineStr">
        <is>
          <t>Non-Captive</t>
        </is>
      </c>
      <c r="I2926" s="7" t="inlineStr">
        <is>
          <t>RATHEESH V</t>
        </is>
      </c>
      <c r="J2926" s="8" t="n">
        <v>2013</v>
      </c>
      <c r="K2926" s="9" t="n">
        <v>99000</v>
      </c>
      <c r="L2926" s="10" t="n">
        <v>85000</v>
      </c>
      <c r="M2926" s="10" t="n">
        <v>5932.2</v>
      </c>
      <c r="N2926" s="11">
        <f>IF(M2926="","",ROUND(M2926*1.18,2))</f>
        <v/>
      </c>
      <c r="O2926" s="12">
        <f>IF(M2926="","",ROUND(N2926-M2926,2))</f>
        <v/>
      </c>
      <c r="P2926" s="13">
        <f>IF(AND(A2926&lt;&gt;"",B2926&lt;&gt;""), A2926&amp;" · "&amp;B2926, "")</f>
        <v/>
      </c>
    </row>
    <row r="2927">
      <c r="A2927" s="6" t="inlineStr">
        <is>
          <t>FY27</t>
        </is>
      </c>
      <c r="B2927" s="6" t="inlineStr">
        <is>
          <t>Jul</t>
        </is>
      </c>
      <c r="C2927" s="6" t="inlineStr">
        <is>
          <t>Kerala</t>
        </is>
      </c>
      <c r="D2927" s="7" t="inlineStr">
        <is>
          <t>KL58L8592</t>
        </is>
      </c>
      <c r="E2927" s="7" t="inlineStr">
        <is>
          <t>TATA</t>
        </is>
      </c>
      <c r="F2927" s="7" t="inlineStr">
        <is>
          <t>Indica</t>
        </is>
      </c>
      <c r="G2927" s="7" t="inlineStr">
        <is>
          <t>POPULAR MARUTI</t>
        </is>
      </c>
      <c r="H2927" s="7" t="inlineStr">
        <is>
          <t>Non-Captive</t>
        </is>
      </c>
      <c r="I2927" s="7" t="inlineStr">
        <is>
          <t>RATEESH V</t>
        </is>
      </c>
      <c r="J2927" s="8" t="n">
        <v>2014</v>
      </c>
      <c r="K2927" s="9" t="n">
        <v>67000</v>
      </c>
      <c r="L2927" s="10" t="n">
        <v>122000</v>
      </c>
      <c r="M2927" s="10" t="n">
        <v>5932.2</v>
      </c>
      <c r="N2927" s="11">
        <f>IF(M2927="","",ROUND(M2927*1.18,2))</f>
        <v/>
      </c>
      <c r="O2927" s="12">
        <f>IF(M2927="","",ROUND(N2927-M2927,2))</f>
        <v/>
      </c>
      <c r="P2927" s="13">
        <f>IF(AND(A2927&lt;&gt;"",B2927&lt;&gt;""), A2927&amp;" · "&amp;B2927, "")</f>
        <v/>
      </c>
    </row>
    <row r="2928">
      <c r="A2928" s="6" t="inlineStr">
        <is>
          <t>FY27</t>
        </is>
      </c>
      <c r="B2928" s="6" t="inlineStr">
        <is>
          <t>Jul</t>
        </is>
      </c>
      <c r="C2928" s="6" t="inlineStr">
        <is>
          <t>Kerala</t>
        </is>
      </c>
      <c r="D2928" s="7" t="inlineStr">
        <is>
          <t>KL58Q5887</t>
        </is>
      </c>
      <c r="E2928" s="7" t="inlineStr">
        <is>
          <t>MARUTI SUZUKI</t>
        </is>
      </c>
      <c r="F2928" s="7" t="inlineStr">
        <is>
          <t>Wagon R</t>
        </is>
      </c>
      <c r="G2928" s="7" t="inlineStr">
        <is>
          <t>APCO HYUNDAI</t>
        </is>
      </c>
      <c r="H2928" s="7" t="inlineStr">
        <is>
          <t>Non-Captive</t>
        </is>
      </c>
      <c r="I2928" s="7" t="inlineStr">
        <is>
          <t>Prajosh A M</t>
        </is>
      </c>
      <c r="J2928" s="8" t="n">
        <v>2015</v>
      </c>
      <c r="K2928" s="9" t="n">
        <v>80000</v>
      </c>
      <c r="L2928" s="10" t="n">
        <v>245000</v>
      </c>
      <c r="M2928" s="10" t="n">
        <v>4237.29</v>
      </c>
      <c r="N2928" s="11">
        <f>IF(M2928="","",ROUND(M2928*1.18,2))</f>
        <v/>
      </c>
      <c r="O2928" s="12">
        <f>IF(M2928="","",ROUND(N2928-M2928,2))</f>
        <v/>
      </c>
      <c r="P2928" s="13">
        <f>IF(AND(A2928&lt;&gt;"",B2928&lt;&gt;""), A2928&amp;" · "&amp;B2928, "")</f>
        <v/>
      </c>
    </row>
    <row r="2929">
      <c r="A2929" s="6" t="inlineStr">
        <is>
          <t>FY27</t>
        </is>
      </c>
      <c r="B2929" s="6" t="inlineStr">
        <is>
          <t>Jul</t>
        </is>
      </c>
      <c r="C2929" s="6" t="inlineStr">
        <is>
          <t>Kerala</t>
        </is>
      </c>
      <c r="D2929" s="7" t="inlineStr">
        <is>
          <t>KL58S2682</t>
        </is>
      </c>
      <c r="E2929" s="7" t="inlineStr">
        <is>
          <t>HYUNDAI</t>
        </is>
      </c>
      <c r="F2929" s="7" t="inlineStr">
        <is>
          <t>i10</t>
        </is>
      </c>
      <c r="G2929" s="7" t="inlineStr">
        <is>
          <t>AUTOTRUST</t>
        </is>
      </c>
      <c r="H2929" s="7" t="inlineStr">
        <is>
          <t>Non-Captive</t>
        </is>
      </c>
      <c r="I2929" s="7" t="inlineStr">
        <is>
          <t>MUHAMMED NISAB</t>
        </is>
      </c>
      <c r="J2929" s="8" t="n">
        <v>2016</v>
      </c>
      <c r="K2929" s="9" t="n">
        <v>92000</v>
      </c>
      <c r="L2929" s="10" t="n">
        <v>215000</v>
      </c>
      <c r="M2929" s="10" t="n">
        <v>4237.29</v>
      </c>
      <c r="N2929" s="11">
        <f>IF(M2929="","",ROUND(M2929*1.18,2))</f>
        <v/>
      </c>
      <c r="O2929" s="12">
        <f>IF(M2929="","",ROUND(N2929-M2929,2))</f>
        <v/>
      </c>
      <c r="P2929" s="13">
        <f>IF(AND(A2929&lt;&gt;"",B2929&lt;&gt;""), A2929&amp;" · "&amp;B2929, "")</f>
        <v/>
      </c>
    </row>
    <row r="2930">
      <c r="A2930" s="6" t="inlineStr">
        <is>
          <t>FY27</t>
        </is>
      </c>
      <c r="B2930" s="6" t="inlineStr">
        <is>
          <t>Jul</t>
        </is>
      </c>
      <c r="C2930" s="6" t="inlineStr">
        <is>
          <t>Kerala</t>
        </is>
      </c>
      <c r="D2930" s="7" t="inlineStr">
        <is>
          <t>KL58T1465</t>
        </is>
      </c>
      <c r="E2930" s="7" t="inlineStr">
        <is>
          <t>MARUTI SUZUKI</t>
        </is>
      </c>
      <c r="F2930" s="7" t="inlineStr">
        <is>
          <t>Alto</t>
        </is>
      </c>
      <c r="G2930" s="7" t="inlineStr">
        <is>
          <t>KVR TATA</t>
        </is>
      </c>
      <c r="H2930" s="7" t="inlineStr">
        <is>
          <t>Non-Captive</t>
        </is>
      </c>
      <c r="I2930" s="7" t="inlineStr">
        <is>
          <t>Varun B Prakash</t>
        </is>
      </c>
      <c r="J2930" s="8" t="n">
        <v>2016</v>
      </c>
      <c r="K2930" s="9" t="n">
        <v>115000</v>
      </c>
      <c r="L2930" s="10" t="n">
        <v>189000</v>
      </c>
      <c r="M2930" s="10" t="n">
        <v>5084.75</v>
      </c>
      <c r="N2930" s="11">
        <f>IF(M2930="","",ROUND(M2930*1.18,2))</f>
        <v/>
      </c>
      <c r="O2930" s="12">
        <f>IF(M2930="","",ROUND(N2930-M2930,2))</f>
        <v/>
      </c>
      <c r="P2930" s="13">
        <f>IF(AND(A2930&lt;&gt;"",B2930&lt;&gt;""), A2930&amp;" · "&amp;B2930, "")</f>
        <v/>
      </c>
    </row>
    <row r="2931">
      <c r="A2931" s="6" t="inlineStr">
        <is>
          <t>FY27</t>
        </is>
      </c>
      <c r="B2931" s="6" t="inlineStr">
        <is>
          <t>Jul</t>
        </is>
      </c>
      <c r="C2931" s="6" t="inlineStr">
        <is>
          <t>Kerala</t>
        </is>
      </c>
      <c r="D2931" s="7" t="inlineStr">
        <is>
          <t>KL58T6048</t>
        </is>
      </c>
      <c r="E2931" s="7" t="inlineStr">
        <is>
          <t>MARUTI SUZUKI</t>
        </is>
      </c>
      <c r="F2931" s="7" t="inlineStr">
        <is>
          <t>Celerio</t>
        </is>
      </c>
      <c r="G2931" s="7" t="inlineStr">
        <is>
          <t>KESHVIN HYUNDAI</t>
        </is>
      </c>
      <c r="H2931" s="7" t="inlineStr">
        <is>
          <t>Non-Captive</t>
        </is>
      </c>
      <c r="I2931" s="7" t="inlineStr">
        <is>
          <t>VISHNU M S</t>
        </is>
      </c>
      <c r="J2931" s="8" t="n">
        <v>2016</v>
      </c>
      <c r="K2931" s="9" t="n">
        <v>68144</v>
      </c>
      <c r="L2931" s="10" t="n">
        <v>310000</v>
      </c>
      <c r="M2931" s="10" t="n">
        <v>8474.58</v>
      </c>
      <c r="N2931" s="11">
        <f>IF(M2931="","",ROUND(M2931*1.18,2))</f>
        <v/>
      </c>
      <c r="O2931" s="12">
        <f>IF(M2931="","",ROUND(N2931-M2931,2))</f>
        <v/>
      </c>
      <c r="P2931" s="13">
        <f>IF(AND(A2931&lt;&gt;"",B2931&lt;&gt;""), A2931&amp;" · "&amp;B2931, "")</f>
        <v/>
      </c>
    </row>
    <row r="2932">
      <c r="A2932" s="6" t="inlineStr">
        <is>
          <t>FY27</t>
        </is>
      </c>
      <c r="B2932" s="6" t="inlineStr">
        <is>
          <t>Jul</t>
        </is>
      </c>
      <c r="C2932" s="6" t="inlineStr">
        <is>
          <t>Kerala</t>
        </is>
      </c>
      <c r="D2932" s="7" t="inlineStr">
        <is>
          <t>KL58X9981</t>
        </is>
      </c>
      <c r="E2932" s="7" t="inlineStr">
        <is>
          <t>NISSAN</t>
        </is>
      </c>
      <c r="F2932" s="7" t="inlineStr">
        <is>
          <t>Terrano</t>
        </is>
      </c>
      <c r="G2932" s="7" t="inlineStr">
        <is>
          <t>KANNUR PLATINUM</t>
        </is>
      </c>
      <c r="H2932" s="7" t="inlineStr">
        <is>
          <t>Non-Captive</t>
        </is>
      </c>
      <c r="I2932" s="7" t="inlineStr">
        <is>
          <t>RATHEESH V</t>
        </is>
      </c>
      <c r="J2932" s="8" t="n">
        <v>2014</v>
      </c>
      <c r="K2932" s="9" t="n">
        <v>77000</v>
      </c>
      <c r="L2932" s="10" t="n">
        <v>186000</v>
      </c>
      <c r="M2932" s="10" t="n">
        <v>6779.66</v>
      </c>
      <c r="N2932" s="11">
        <f>IF(M2932="","",ROUND(M2932*1.18,2))</f>
        <v/>
      </c>
      <c r="O2932" s="12">
        <f>IF(M2932="","",ROUND(N2932-M2932,2))</f>
        <v/>
      </c>
      <c r="P2932" s="13">
        <f>IF(AND(A2932&lt;&gt;"",B2932&lt;&gt;""), A2932&amp;" · "&amp;B2932, "")</f>
        <v/>
      </c>
    </row>
    <row r="2933">
      <c r="A2933" s="6" t="inlineStr">
        <is>
          <t>FY27</t>
        </is>
      </c>
      <c r="B2933" s="6" t="inlineStr">
        <is>
          <t>Jul</t>
        </is>
      </c>
      <c r="C2933" s="6" t="inlineStr">
        <is>
          <t>Kerala</t>
        </is>
      </c>
      <c r="D2933" s="7" t="inlineStr">
        <is>
          <t>KL59B5105</t>
        </is>
      </c>
      <c r="E2933" s="7" t="inlineStr">
        <is>
          <t>MARUTI SUZUKI</t>
        </is>
      </c>
      <c r="F2933" s="7" t="inlineStr">
        <is>
          <t>Alto</t>
        </is>
      </c>
      <c r="G2933" s="7" t="inlineStr">
        <is>
          <t>POPULAR MARUTI</t>
        </is>
      </c>
      <c r="H2933" s="7" t="inlineStr">
        <is>
          <t>Non-Captive</t>
        </is>
      </c>
      <c r="I2933" s="7" t="inlineStr">
        <is>
          <t>KC SHUKUR</t>
        </is>
      </c>
      <c r="J2933" s="8" t="n">
        <v>2009</v>
      </c>
      <c r="K2933" s="9" t="n">
        <v>85000</v>
      </c>
      <c r="L2933" s="10" t="n">
        <v>70000</v>
      </c>
      <c r="M2933" s="10" t="n">
        <v>8474.58</v>
      </c>
      <c r="N2933" s="11">
        <f>IF(M2933="","",ROUND(M2933*1.18,2))</f>
        <v/>
      </c>
      <c r="O2933" s="12">
        <f>IF(M2933="","",ROUND(N2933-M2933,2))</f>
        <v/>
      </c>
      <c r="P2933" s="13">
        <f>IF(AND(A2933&lt;&gt;"",B2933&lt;&gt;""), A2933&amp;" · "&amp;B2933, "")</f>
        <v/>
      </c>
    </row>
    <row r="2934">
      <c r="A2934" s="6" t="inlineStr">
        <is>
          <t>FY27</t>
        </is>
      </c>
      <c r="B2934" s="6" t="inlineStr">
        <is>
          <t>Jul</t>
        </is>
      </c>
      <c r="C2934" s="6" t="inlineStr">
        <is>
          <t>Kerala</t>
        </is>
      </c>
      <c r="D2934" s="7" t="inlineStr">
        <is>
          <t>KL59E3511</t>
        </is>
      </c>
      <c r="E2934" s="7" t="inlineStr">
        <is>
          <t>MARUTI SUZUKI</t>
        </is>
      </c>
      <c r="F2934" s="7" t="inlineStr">
        <is>
          <t>Alto</t>
        </is>
      </c>
      <c r="G2934" s="7" t="inlineStr">
        <is>
          <t>POPULAR MARUTI</t>
        </is>
      </c>
      <c r="H2934" s="7" t="inlineStr">
        <is>
          <t>Non-Captive</t>
        </is>
      </c>
      <c r="I2934" s="7" t="inlineStr">
        <is>
          <t>AUTOTRUST</t>
        </is>
      </c>
      <c r="J2934" s="8" t="n">
        <v>2008</v>
      </c>
      <c r="K2934" s="9" t="n">
        <v>134000</v>
      </c>
      <c r="L2934" s="10" t="n">
        <v>13000</v>
      </c>
      <c r="M2934" s="10" t="n">
        <v>5084.75</v>
      </c>
      <c r="N2934" s="11">
        <f>IF(M2934="","",ROUND(M2934*1.18,2))</f>
        <v/>
      </c>
      <c r="O2934" s="12">
        <f>IF(M2934="","",ROUND(N2934-M2934,2))</f>
        <v/>
      </c>
      <c r="P2934" s="13">
        <f>IF(AND(A2934&lt;&gt;"",B2934&lt;&gt;""), A2934&amp;" · "&amp;B2934, "")</f>
        <v/>
      </c>
    </row>
    <row r="2935">
      <c r="A2935" s="6" t="inlineStr">
        <is>
          <t>FY27</t>
        </is>
      </c>
      <c r="B2935" s="6" t="inlineStr">
        <is>
          <t>Jul</t>
        </is>
      </c>
      <c r="C2935" s="6" t="inlineStr">
        <is>
          <t>Kerala</t>
        </is>
      </c>
      <c r="D2935" s="7" t="inlineStr">
        <is>
          <t>KL59G3350</t>
        </is>
      </c>
      <c r="E2935" s="7" t="inlineStr">
        <is>
          <t>MARUTI SUZUKI</t>
        </is>
      </c>
      <c r="F2935" s="7" t="inlineStr">
        <is>
          <t>Ertiga</t>
        </is>
      </c>
      <c r="G2935" s="7" t="inlineStr">
        <is>
          <t>MARVEL CARS</t>
        </is>
      </c>
      <c r="H2935" s="7" t="inlineStr">
        <is>
          <t>Non-Captive</t>
        </is>
      </c>
      <c r="I2935" s="7" t="inlineStr">
        <is>
          <t>SOORAJ POPULAR CARS</t>
        </is>
      </c>
      <c r="J2935" s="8" t="n">
        <v>2013</v>
      </c>
      <c r="K2935" s="9" t="n">
        <v>149000</v>
      </c>
      <c r="L2935" s="10" t="n">
        <v>305000</v>
      </c>
      <c r="M2935" s="10" t="n">
        <v>8474.58</v>
      </c>
      <c r="N2935" s="11">
        <f>IF(M2935="","",ROUND(M2935*1.18,2))</f>
        <v/>
      </c>
      <c r="O2935" s="12">
        <f>IF(M2935="","",ROUND(N2935-M2935,2))</f>
        <v/>
      </c>
      <c r="P2935" s="13">
        <f>IF(AND(A2935&lt;&gt;"",B2935&lt;&gt;""), A2935&amp;" · "&amp;B2935, "")</f>
        <v/>
      </c>
    </row>
    <row r="2936">
      <c r="A2936" s="6" t="inlineStr">
        <is>
          <t>FY27</t>
        </is>
      </c>
      <c r="B2936" s="6" t="inlineStr">
        <is>
          <t>Jul</t>
        </is>
      </c>
      <c r="C2936" s="6" t="inlineStr">
        <is>
          <t>Kerala</t>
        </is>
      </c>
      <c r="D2936" s="7" t="inlineStr">
        <is>
          <t>KL59G6434</t>
        </is>
      </c>
      <c r="E2936" s="7" t="inlineStr">
        <is>
          <t>MARUTI SUZUKI</t>
        </is>
      </c>
      <c r="F2936" s="7" t="inlineStr">
        <is>
          <t>Omni</t>
        </is>
      </c>
      <c r="G2936" s="7" t="inlineStr">
        <is>
          <t>BM CARS</t>
        </is>
      </c>
      <c r="H2936" s="7" t="inlineStr">
        <is>
          <t>Non-Captive</t>
        </is>
      </c>
      <c r="I2936" s="7" t="inlineStr">
        <is>
          <t>Autobot</t>
        </is>
      </c>
      <c r="J2936" s="8" t="n">
        <v>2013</v>
      </c>
      <c r="K2936" s="9" t="n">
        <v>170003</v>
      </c>
      <c r="L2936" s="10" t="n">
        <v>86000</v>
      </c>
      <c r="M2936" s="10" t="n">
        <v>5084.75</v>
      </c>
      <c r="N2936" s="11">
        <f>IF(M2936="","",ROUND(M2936*1.18,2))</f>
        <v/>
      </c>
      <c r="O2936" s="12">
        <f>IF(M2936="","",ROUND(N2936-M2936,2))</f>
        <v/>
      </c>
      <c r="P2936" s="13">
        <f>IF(AND(A2936&lt;&gt;"",B2936&lt;&gt;""), A2936&amp;" · "&amp;B2936, "")</f>
        <v/>
      </c>
    </row>
    <row r="2937">
      <c r="A2937" s="6" t="inlineStr">
        <is>
          <t>FY27</t>
        </is>
      </c>
      <c r="B2937" s="6" t="inlineStr">
        <is>
          <t>Jul</t>
        </is>
      </c>
      <c r="C2937" s="6" t="inlineStr">
        <is>
          <t>Kerala</t>
        </is>
      </c>
      <c r="D2937" s="7" t="inlineStr">
        <is>
          <t>KL59H4619</t>
        </is>
      </c>
      <c r="E2937" s="7" t="inlineStr">
        <is>
          <t>HYUNDAI</t>
        </is>
      </c>
      <c r="F2937" s="7" t="inlineStr">
        <is>
          <t>i20</t>
        </is>
      </c>
      <c r="G2937" s="7" t="inlineStr">
        <is>
          <t>MG KAIRALI</t>
        </is>
      </c>
      <c r="H2937" s="7" t="inlineStr">
        <is>
          <t>Non-Captive</t>
        </is>
      </c>
      <c r="I2937" s="7" t="inlineStr">
        <is>
          <t>ANSHWAL</t>
        </is>
      </c>
      <c r="J2937" s="8" t="n">
        <v>2013</v>
      </c>
      <c r="K2937" s="9" t="n">
        <v>172000</v>
      </c>
      <c r="L2937" s="10" t="n">
        <v>215000</v>
      </c>
      <c r="M2937" s="10" t="n">
        <v>4237.29</v>
      </c>
      <c r="N2937" s="11">
        <f>IF(M2937="","",ROUND(M2937*1.18,2))</f>
        <v/>
      </c>
      <c r="O2937" s="12">
        <f>IF(M2937="","",ROUND(N2937-M2937,2))</f>
        <v/>
      </c>
      <c r="P2937" s="13">
        <f>IF(AND(A2937&lt;&gt;"",B2937&lt;&gt;""), A2937&amp;" · "&amp;B2937, "")</f>
        <v/>
      </c>
    </row>
    <row r="2938">
      <c r="A2938" s="6" t="inlineStr">
        <is>
          <t>FY27</t>
        </is>
      </c>
      <c r="B2938" s="6" t="inlineStr">
        <is>
          <t>Jul</t>
        </is>
      </c>
      <c r="C2938" s="6" t="inlineStr">
        <is>
          <t>Kerala</t>
        </is>
      </c>
      <c r="D2938" s="7" t="inlineStr">
        <is>
          <t>KL59S9879</t>
        </is>
      </c>
      <c r="E2938" s="7" t="inlineStr">
        <is>
          <t>TATA</t>
        </is>
      </c>
      <c r="F2938" s="7" t="inlineStr">
        <is>
          <t>Tiago</t>
        </is>
      </c>
      <c r="G2938" s="7" t="inlineStr">
        <is>
          <t>KVR TATA</t>
        </is>
      </c>
      <c r="H2938" s="7" t="inlineStr">
        <is>
          <t>Non-Captive</t>
        </is>
      </c>
      <c r="I2938" s="7" t="inlineStr">
        <is>
          <t>Prajosh A M</t>
        </is>
      </c>
      <c r="J2938" s="8" t="n">
        <v>2018</v>
      </c>
      <c r="K2938" s="9" t="n">
        <v>120000</v>
      </c>
      <c r="L2938" s="10" t="n">
        <v>260000</v>
      </c>
      <c r="M2938" s="10" t="n">
        <v>4237.29</v>
      </c>
      <c r="N2938" s="11">
        <f>IF(M2938="","",ROUND(M2938*1.18,2))</f>
        <v/>
      </c>
      <c r="O2938" s="12">
        <f>IF(M2938="","",ROUND(N2938-M2938,2))</f>
        <v/>
      </c>
      <c r="P2938" s="13">
        <f>IF(AND(A2938&lt;&gt;"",B2938&lt;&gt;""), A2938&amp;" · "&amp;B2938, "")</f>
        <v/>
      </c>
    </row>
    <row r="2939">
      <c r="A2939" s="6" t="inlineStr">
        <is>
          <t>FY27</t>
        </is>
      </c>
      <c r="B2939" s="6" t="inlineStr">
        <is>
          <t>Jul</t>
        </is>
      </c>
      <c r="C2939" s="6" t="inlineStr">
        <is>
          <t>Kerala</t>
        </is>
      </c>
      <c r="D2939" s="7" t="inlineStr">
        <is>
          <t>KL59U8787</t>
        </is>
      </c>
      <c r="E2939" s="7" t="inlineStr">
        <is>
          <t>TATA</t>
        </is>
      </c>
      <c r="F2939" s="7" t="inlineStr">
        <is>
          <t>Nexon</t>
        </is>
      </c>
      <c r="G2939" s="7" t="inlineStr">
        <is>
          <t>KVR TATA</t>
        </is>
      </c>
      <c r="H2939" s="7" t="inlineStr">
        <is>
          <t>Non-Captive</t>
        </is>
      </c>
      <c r="I2939" s="7" t="inlineStr">
        <is>
          <t>SAJEEVAN CARZONE</t>
        </is>
      </c>
      <c r="J2939" s="8" t="n">
        <v>2019</v>
      </c>
      <c r="K2939" s="9" t="n">
        <v>62000</v>
      </c>
      <c r="L2939" s="10" t="n">
        <v>485000</v>
      </c>
      <c r="M2939" s="10" t="n">
        <v>8474.58</v>
      </c>
      <c r="N2939" s="11">
        <f>IF(M2939="","",ROUND(M2939*1.18,2))</f>
        <v/>
      </c>
      <c r="O2939" s="12">
        <f>IF(M2939="","",ROUND(N2939-M2939,2))</f>
        <v/>
      </c>
      <c r="P2939" s="13">
        <f>IF(AND(A2939&lt;&gt;"",B2939&lt;&gt;""), A2939&amp;" · "&amp;B2939, "")</f>
        <v/>
      </c>
    </row>
    <row r="2940">
      <c r="A2940" s="6" t="inlineStr">
        <is>
          <t>FY27</t>
        </is>
      </c>
      <c r="B2940" s="6" t="inlineStr">
        <is>
          <t>Jul</t>
        </is>
      </c>
      <c r="C2940" s="6" t="inlineStr">
        <is>
          <t>Kerala</t>
        </is>
      </c>
      <c r="D2940" s="7" t="inlineStr">
        <is>
          <t>KL600597</t>
        </is>
      </c>
      <c r="E2940" s="7" t="inlineStr">
        <is>
          <t>MAHINDRA</t>
        </is>
      </c>
      <c r="F2940" s="7" t="inlineStr">
        <is>
          <t>Scorpio</t>
        </is>
      </c>
      <c r="G2940" s="7" t="inlineStr">
        <is>
          <t>UCD KAILAS</t>
        </is>
      </c>
      <c r="H2940" s="7" t="inlineStr">
        <is>
          <t>Non-Captive</t>
        </is>
      </c>
      <c r="I2940" s="7" t="inlineStr">
        <is>
          <t>MARVEL VIJIL</t>
        </is>
      </c>
      <c r="J2940" s="8" t="n">
        <v>2006</v>
      </c>
      <c r="K2940" s="9" t="n">
        <v>190000</v>
      </c>
      <c r="L2940" s="10" t="n">
        <v>140000</v>
      </c>
      <c r="M2940" s="10" t="n">
        <v>8474.58</v>
      </c>
      <c r="N2940" s="11">
        <f>IF(M2940="","",ROUND(M2940*1.18,2))</f>
        <v/>
      </c>
      <c r="O2940" s="12">
        <f>IF(M2940="","",ROUND(N2940-M2940,2))</f>
        <v/>
      </c>
      <c r="P2940" s="13">
        <f>IF(AND(A2940&lt;&gt;"",B2940&lt;&gt;""), A2940&amp;" · "&amp;B2940, "")</f>
        <v/>
      </c>
    </row>
    <row r="2941">
      <c r="A2941" s="6" t="inlineStr">
        <is>
          <t>FY27</t>
        </is>
      </c>
      <c r="B2941" s="6" t="inlineStr">
        <is>
          <t>Jul</t>
        </is>
      </c>
      <c r="C2941" s="6" t="inlineStr">
        <is>
          <t>Kerala</t>
        </is>
      </c>
      <c r="D2941" s="7" t="inlineStr">
        <is>
          <t>KL607190</t>
        </is>
      </c>
      <c r="E2941" s="7" t="inlineStr">
        <is>
          <t>MARUTI SUZUKI</t>
        </is>
      </c>
      <c r="F2941" s="7" t="inlineStr">
        <is>
          <t>Swift</t>
        </is>
      </c>
      <c r="G2941" s="7" t="inlineStr">
        <is>
          <t>BIMAL</t>
        </is>
      </c>
      <c r="H2941" s="7" t="inlineStr">
        <is>
          <t>Non-Captive</t>
        </is>
      </c>
      <c r="I2941" s="7" t="inlineStr">
        <is>
          <t>JIMMY</t>
        </is>
      </c>
      <c r="J2941" s="8" t="n">
        <v>2007</v>
      </c>
      <c r="K2941" s="9" t="n">
        <v>190000</v>
      </c>
      <c r="L2941" s="10" t="n">
        <v>60000</v>
      </c>
      <c r="M2941" s="10" t="n">
        <v>4237.29</v>
      </c>
      <c r="N2941" s="11">
        <f>IF(M2941="","",ROUND(M2941*1.18,2))</f>
        <v/>
      </c>
      <c r="O2941" s="12">
        <f>IF(M2941="","",ROUND(N2941-M2941,2))</f>
        <v/>
      </c>
      <c r="P2941" s="13">
        <f>IF(AND(A2941&lt;&gt;"",B2941&lt;&gt;""), A2941&amp;" · "&amp;B2941, "")</f>
        <v/>
      </c>
    </row>
    <row r="2942">
      <c r="A2942" s="6" t="inlineStr">
        <is>
          <t>FY27</t>
        </is>
      </c>
      <c r="B2942" s="6" t="inlineStr">
        <is>
          <t>Jul</t>
        </is>
      </c>
      <c r="C2942" s="6" t="inlineStr">
        <is>
          <t>Kerala</t>
        </is>
      </c>
      <c r="D2942" s="7" t="inlineStr">
        <is>
          <t>KL60E1603</t>
        </is>
      </c>
      <c r="E2942" s="7" t="inlineStr">
        <is>
          <t>HYUNDAI</t>
        </is>
      </c>
      <c r="F2942" s="7" t="inlineStr">
        <is>
          <t>Eon</t>
        </is>
      </c>
      <c r="G2942" s="7" t="inlineStr">
        <is>
          <t>UCD FARIS</t>
        </is>
      </c>
      <c r="H2942" s="7" t="inlineStr">
        <is>
          <t>Non-Captive</t>
        </is>
      </c>
      <c r="I2942" s="7" t="inlineStr">
        <is>
          <t>Muhammed Vasil Mk</t>
        </is>
      </c>
      <c r="J2942" s="8" t="n">
        <v>2012</v>
      </c>
      <c r="K2942" s="9" t="n">
        <v>76000</v>
      </c>
      <c r="L2942" s="10" t="n">
        <v>91000</v>
      </c>
      <c r="M2942" s="10" t="n">
        <v>5084.75</v>
      </c>
      <c r="N2942" s="11">
        <f>IF(M2942="","",ROUND(M2942*1.18,2))</f>
        <v/>
      </c>
      <c r="O2942" s="12">
        <f>IF(M2942="","",ROUND(N2942-M2942,2))</f>
        <v/>
      </c>
      <c r="P2942" s="13">
        <f>IF(AND(A2942&lt;&gt;"",B2942&lt;&gt;""), A2942&amp;" · "&amp;B2942, "")</f>
        <v/>
      </c>
    </row>
    <row r="2943">
      <c r="A2943" s="6" t="inlineStr">
        <is>
          <t>FY27</t>
        </is>
      </c>
      <c r="B2943" s="6" t="inlineStr">
        <is>
          <t>Jul</t>
        </is>
      </c>
      <c r="C2943" s="6" t="inlineStr">
        <is>
          <t>Kerala</t>
        </is>
      </c>
      <c r="D2943" s="7" t="inlineStr">
        <is>
          <t>KL60K7137</t>
        </is>
      </c>
      <c r="E2943" s="7" t="inlineStr">
        <is>
          <t>MARUTI SUZUKI</t>
        </is>
      </c>
      <c r="F2943" s="7" t="inlineStr">
        <is>
          <t>Swift</t>
        </is>
      </c>
      <c r="G2943" s="7" t="inlineStr">
        <is>
          <t>UCD SANTHOSH</t>
        </is>
      </c>
      <c r="H2943" s="7" t="inlineStr">
        <is>
          <t>Non-Captive</t>
        </is>
      </c>
      <c r="I2943" s="7" t="inlineStr">
        <is>
          <t>NISAB</t>
        </is>
      </c>
      <c r="J2943" s="8" t="n">
        <v>2016</v>
      </c>
      <c r="K2943" s="9" t="n">
        <v>87000</v>
      </c>
      <c r="L2943" s="10" t="n">
        <v>400000</v>
      </c>
      <c r="M2943" s="10" t="n">
        <v>8474.58</v>
      </c>
      <c r="N2943" s="11">
        <f>IF(M2943="","",ROUND(M2943*1.18,2))</f>
        <v/>
      </c>
      <c r="O2943" s="12">
        <f>IF(M2943="","",ROUND(N2943-M2943,2))</f>
        <v/>
      </c>
      <c r="P2943" s="13">
        <f>IF(AND(A2943&lt;&gt;"",B2943&lt;&gt;""), A2943&amp;" · "&amp;B2943, "")</f>
        <v/>
      </c>
    </row>
    <row r="2944">
      <c r="A2944" s="6" t="inlineStr">
        <is>
          <t>FY27</t>
        </is>
      </c>
      <c r="B2944" s="6" t="inlineStr">
        <is>
          <t>Jul</t>
        </is>
      </c>
      <c r="C2944" s="6" t="inlineStr">
        <is>
          <t>Kerala</t>
        </is>
      </c>
      <c r="D2944" s="7" t="inlineStr">
        <is>
          <t>KL60L2325</t>
        </is>
      </c>
      <c r="E2944" s="7" t="inlineStr">
        <is>
          <t>FORD</t>
        </is>
      </c>
      <c r="F2944" s="7" t="inlineStr">
        <is>
          <t>Aspire</t>
        </is>
      </c>
      <c r="G2944" s="7" t="inlineStr">
        <is>
          <t>UCD HARIS</t>
        </is>
      </c>
      <c r="H2944" s="7" t="inlineStr">
        <is>
          <t>Non-Captive</t>
        </is>
      </c>
      <c r="I2944" s="7" t="inlineStr">
        <is>
          <t>SANOOP</t>
        </is>
      </c>
      <c r="J2944" s="8" t="n">
        <v>2016</v>
      </c>
      <c r="K2944" s="9" t="n">
        <v>99000</v>
      </c>
      <c r="L2944" s="10" t="n">
        <v>180000</v>
      </c>
      <c r="M2944" s="10" t="n">
        <v>4237.29</v>
      </c>
      <c r="N2944" s="11">
        <f>IF(M2944="","",ROUND(M2944*1.18,2))</f>
        <v/>
      </c>
      <c r="O2944" s="12">
        <f>IF(M2944="","",ROUND(N2944-M2944,2))</f>
        <v/>
      </c>
      <c r="P2944" s="13">
        <f>IF(AND(A2944&lt;&gt;"",B2944&lt;&gt;""), A2944&amp;" · "&amp;B2944, "")</f>
        <v/>
      </c>
    </row>
    <row r="2945">
      <c r="A2945" s="6" t="inlineStr">
        <is>
          <t>FY27</t>
        </is>
      </c>
      <c r="B2945" s="6" t="inlineStr">
        <is>
          <t>Jul</t>
        </is>
      </c>
      <c r="C2945" s="6" t="inlineStr">
        <is>
          <t>Kerala</t>
        </is>
      </c>
      <c r="D2945" s="7" t="inlineStr">
        <is>
          <t>KL60L7575</t>
        </is>
      </c>
      <c r="E2945" s="7" t="inlineStr">
        <is>
          <t>HONDA</t>
        </is>
      </c>
      <c r="F2945" s="7" t="inlineStr">
        <is>
          <t>BR-V</t>
        </is>
      </c>
      <c r="G2945" s="7" t="inlineStr">
        <is>
          <t>ERAM MAHINDRA</t>
        </is>
      </c>
      <c r="H2945" s="7" t="inlineStr">
        <is>
          <t>Non-Captive</t>
        </is>
      </c>
      <c r="I2945" s="7" t="inlineStr">
        <is>
          <t>HARIS</t>
        </is>
      </c>
      <c r="J2945" s="8" t="n">
        <v>2016</v>
      </c>
      <c r="K2945" s="9" t="n">
        <v>112000</v>
      </c>
      <c r="L2945" s="10" t="n">
        <v>520000</v>
      </c>
      <c r="M2945" s="10" t="n">
        <v>8474.58</v>
      </c>
      <c r="N2945" s="11">
        <f>IF(M2945="","",ROUND(M2945*1.18,2))</f>
        <v/>
      </c>
      <c r="O2945" s="12">
        <f>IF(M2945="","",ROUND(N2945-M2945,2))</f>
        <v/>
      </c>
      <c r="P2945" s="13">
        <f>IF(AND(A2945&lt;&gt;"",B2945&lt;&gt;""), A2945&amp;" · "&amp;B2945, "")</f>
        <v/>
      </c>
    </row>
    <row r="2946">
      <c r="A2946" s="6" t="inlineStr">
        <is>
          <t>FY27</t>
        </is>
      </c>
      <c r="B2946" s="6" t="inlineStr">
        <is>
          <t>Jul</t>
        </is>
      </c>
      <c r="C2946" s="6" t="inlineStr">
        <is>
          <t>Kerala</t>
        </is>
      </c>
      <c r="D2946" s="7" t="inlineStr">
        <is>
          <t>KL618433</t>
        </is>
      </c>
      <c r="E2946" s="7" t="inlineStr">
        <is>
          <t>MARUTI SUZUKI</t>
        </is>
      </c>
      <c r="F2946" s="7" t="inlineStr">
        <is>
          <t>Wagon R</t>
        </is>
      </c>
      <c r="G2946" s="7" t="inlineStr">
        <is>
          <t>POPULAR MARUTI</t>
        </is>
      </c>
      <c r="H2946" s="7" t="inlineStr">
        <is>
          <t>Non-Captive</t>
        </is>
      </c>
      <c r="I2946" s="7" t="inlineStr">
        <is>
          <t>GS USED CAR</t>
        </is>
      </c>
      <c r="J2946" s="8" t="n">
        <v>2013</v>
      </c>
      <c r="K2946" s="9" t="n">
        <v>195000</v>
      </c>
      <c r="L2946" s="10" t="n">
        <v>140000</v>
      </c>
      <c r="M2946" s="10" t="n">
        <v>8474.58</v>
      </c>
      <c r="N2946" s="11">
        <f>IF(M2946="","",ROUND(M2946*1.18,2))</f>
        <v/>
      </c>
      <c r="O2946" s="12">
        <f>IF(M2946="","",ROUND(N2946-M2946,2))</f>
        <v/>
      </c>
      <c r="P2946" s="13">
        <f>IF(AND(A2946&lt;&gt;"",B2946&lt;&gt;""), A2946&amp;" · "&amp;B2946, "")</f>
        <v/>
      </c>
    </row>
    <row r="2947">
      <c r="A2947" s="6" t="inlineStr">
        <is>
          <t>FY27</t>
        </is>
      </c>
      <c r="B2947" s="6" t="inlineStr">
        <is>
          <t>Jul</t>
        </is>
      </c>
      <c r="C2947" s="6" t="inlineStr">
        <is>
          <t>Kerala</t>
        </is>
      </c>
      <c r="D2947" s="7" t="inlineStr">
        <is>
          <t>KL61F7170</t>
        </is>
      </c>
      <c r="E2947" s="7" t="inlineStr">
        <is>
          <t>TATA</t>
        </is>
      </c>
      <c r="F2947" s="7" t="inlineStr">
        <is>
          <t>Tiago</t>
        </is>
      </c>
      <c r="G2947" s="7" t="inlineStr">
        <is>
          <t>LUXON TATA</t>
        </is>
      </c>
      <c r="H2947" s="7" t="inlineStr">
        <is>
          <t>Non-Captive</t>
        </is>
      </c>
      <c r="I2947" s="7" t="inlineStr">
        <is>
          <t>VIJIL</t>
        </is>
      </c>
      <c r="J2947" s="8" t="n">
        <v>2022</v>
      </c>
      <c r="K2947" s="9" t="n">
        <v>37800</v>
      </c>
      <c r="L2947" s="10" t="n">
        <v>467000</v>
      </c>
      <c r="M2947" s="10" t="n">
        <v>5933.05</v>
      </c>
      <c r="N2947" s="11">
        <f>IF(M2947="","",ROUND(M2947*1.18,2))</f>
        <v/>
      </c>
      <c r="O2947" s="12">
        <f>IF(M2947="","",ROUND(N2947-M2947,2))</f>
        <v/>
      </c>
      <c r="P2947" s="13">
        <f>IF(AND(A2947&lt;&gt;"",B2947&lt;&gt;""), A2947&amp;" · "&amp;B2947, "")</f>
        <v/>
      </c>
    </row>
    <row r="2948">
      <c r="A2948" s="6" t="inlineStr">
        <is>
          <t>FY27</t>
        </is>
      </c>
      <c r="B2948" s="6" t="inlineStr">
        <is>
          <t>Jul</t>
        </is>
      </c>
      <c r="C2948" s="6" t="inlineStr">
        <is>
          <t>Kerala</t>
        </is>
      </c>
      <c r="D2948" s="7" t="inlineStr">
        <is>
          <t>KL62B0479</t>
        </is>
      </c>
      <c r="E2948" s="7" t="inlineStr">
        <is>
          <t>MARUTI SUZUKI</t>
        </is>
      </c>
      <c r="F2948" s="7" t="inlineStr">
        <is>
          <t>Wagon R</t>
        </is>
      </c>
      <c r="G2948" s="7" t="inlineStr">
        <is>
          <t>POPULAR MARUTI</t>
        </is>
      </c>
      <c r="H2948" s="7" t="inlineStr">
        <is>
          <t>Non-Captive</t>
        </is>
      </c>
      <c r="I2948" s="7" t="inlineStr">
        <is>
          <t>SIJO THOMAS</t>
        </is>
      </c>
      <c r="J2948" s="8" t="n">
        <v>2014</v>
      </c>
      <c r="K2948" s="9" t="n">
        <v>48627</v>
      </c>
      <c r="L2948" s="10" t="n">
        <v>225000</v>
      </c>
      <c r="M2948" s="10" t="n">
        <v>12711.86</v>
      </c>
      <c r="N2948" s="11">
        <f>IF(M2948="","",ROUND(M2948*1.18,2))</f>
        <v/>
      </c>
      <c r="O2948" s="12">
        <f>IF(M2948="","",ROUND(N2948-M2948,2))</f>
        <v/>
      </c>
      <c r="P2948" s="13">
        <f>IF(AND(A2948&lt;&gt;"",B2948&lt;&gt;""), A2948&amp;" · "&amp;B2948, "")</f>
        <v/>
      </c>
    </row>
    <row r="2949">
      <c r="A2949" s="6" t="inlineStr">
        <is>
          <t>FY27</t>
        </is>
      </c>
      <c r="B2949" s="6" t="inlineStr">
        <is>
          <t>Jul</t>
        </is>
      </c>
      <c r="C2949" s="6" t="inlineStr">
        <is>
          <t>Kerala</t>
        </is>
      </c>
      <c r="D2949" s="7" t="inlineStr">
        <is>
          <t>KL64L7129</t>
        </is>
      </c>
      <c r="E2949" s="7" t="inlineStr">
        <is>
          <t>KIA</t>
        </is>
      </c>
      <c r="F2949" s="7" t="inlineStr">
        <is>
          <t>Carens</t>
        </is>
      </c>
      <c r="G2949" s="7" t="inlineStr">
        <is>
          <t>JOHNS HONDA CARS</t>
        </is>
      </c>
      <c r="H2949" s="7" t="inlineStr">
        <is>
          <t>Non-Captive</t>
        </is>
      </c>
      <c r="I2949" s="7" t="inlineStr">
        <is>
          <t>KAPS CARS</t>
        </is>
      </c>
      <c r="J2949" s="8" t="n">
        <v>2023</v>
      </c>
      <c r="K2949" s="9" t="n">
        <v>27719</v>
      </c>
      <c r="L2949" s="10" t="n">
        <v>832000</v>
      </c>
      <c r="M2949" s="10" t="n">
        <v>10169.49</v>
      </c>
      <c r="N2949" s="11">
        <f>IF(M2949="","",ROUND(M2949*1.18,2))</f>
        <v/>
      </c>
      <c r="O2949" s="12">
        <f>IF(M2949="","",ROUND(N2949-M2949,2))</f>
        <v/>
      </c>
      <c r="P2949" s="13">
        <f>IF(AND(A2949&lt;&gt;"",B2949&lt;&gt;""), A2949&amp;" · "&amp;B2949, "")</f>
        <v/>
      </c>
    </row>
    <row r="2950">
      <c r="A2950" s="6" t="inlineStr">
        <is>
          <t>FY27</t>
        </is>
      </c>
      <c r="B2950" s="6" t="inlineStr">
        <is>
          <t>Jul</t>
        </is>
      </c>
      <c r="C2950" s="6" t="inlineStr">
        <is>
          <t>Kerala</t>
        </is>
      </c>
      <c r="D2950" s="7" t="inlineStr">
        <is>
          <t>KL67A9510</t>
        </is>
      </c>
      <c r="E2950" s="7" t="inlineStr">
        <is>
          <t>RENAULT</t>
        </is>
      </c>
      <c r="F2950" s="7" t="inlineStr">
        <is>
          <t>Kwid</t>
        </is>
      </c>
      <c r="G2950" s="7" t="inlineStr">
        <is>
          <t>KESHVIN HYUNDAI</t>
        </is>
      </c>
      <c r="H2950" s="7" t="inlineStr">
        <is>
          <t>Non-Captive</t>
        </is>
      </c>
      <c r="I2950" s="7" t="inlineStr">
        <is>
          <t>ABDUL SALAM K K</t>
        </is>
      </c>
      <c r="J2950" s="8" t="n">
        <v>2017</v>
      </c>
      <c r="K2950" s="9" t="n">
        <v>59000</v>
      </c>
      <c r="L2950" s="10" t="n">
        <v>230000</v>
      </c>
      <c r="M2950" s="10" t="n">
        <v>8474.58</v>
      </c>
      <c r="N2950" s="11">
        <f>IF(M2950="","",ROUND(M2950*1.18,2))</f>
        <v/>
      </c>
      <c r="O2950" s="12">
        <f>IF(M2950="","",ROUND(N2950-M2950,2))</f>
        <v/>
      </c>
      <c r="P2950" s="13">
        <f>IF(AND(A2950&lt;&gt;"",B2950&lt;&gt;""), A2950&amp;" · "&amp;B2950, "")</f>
        <v/>
      </c>
    </row>
    <row r="2951">
      <c r="A2951" s="6" t="inlineStr">
        <is>
          <t>FY27</t>
        </is>
      </c>
      <c r="B2951" s="6" t="inlineStr">
        <is>
          <t>Jul</t>
        </is>
      </c>
      <c r="C2951" s="6" t="inlineStr">
        <is>
          <t>Kerala</t>
        </is>
      </c>
      <c r="D2951" s="7" t="inlineStr">
        <is>
          <t>KL67A9702</t>
        </is>
      </c>
      <c r="E2951" s="7" t="inlineStr">
        <is>
          <t>RENAULT</t>
        </is>
      </c>
      <c r="F2951" s="7" t="inlineStr">
        <is>
          <t>Kwid</t>
        </is>
      </c>
      <c r="G2951" s="7" t="inlineStr">
        <is>
          <t>POPULAR HYUNDAI</t>
        </is>
      </c>
      <c r="H2951" s="7" t="inlineStr">
        <is>
          <t>Non-Captive</t>
        </is>
      </c>
      <c r="I2951" s="7" t="inlineStr">
        <is>
          <t>GOOD CHOICE</t>
        </is>
      </c>
      <c r="J2951" s="8" t="n">
        <v>2017</v>
      </c>
      <c r="K2951" s="9" t="n">
        <v>61762</v>
      </c>
      <c r="L2951" s="10" t="n">
        <v>185000</v>
      </c>
      <c r="M2951" s="10" t="n">
        <v>8474.58</v>
      </c>
      <c r="N2951" s="11">
        <f>IF(M2951="","",ROUND(M2951*1.18,2))</f>
        <v/>
      </c>
      <c r="O2951" s="12">
        <f>IF(M2951="","",ROUND(N2951-M2951,2))</f>
        <v/>
      </c>
      <c r="P2951" s="13">
        <f>IF(AND(A2951&lt;&gt;"",B2951&lt;&gt;""), A2951&amp;" · "&amp;B2951, "")</f>
        <v/>
      </c>
    </row>
    <row r="2952">
      <c r="A2952" s="6" t="inlineStr">
        <is>
          <t>FY27</t>
        </is>
      </c>
      <c r="B2952" s="6" t="inlineStr">
        <is>
          <t>Jul</t>
        </is>
      </c>
      <c r="C2952" s="6" t="inlineStr">
        <is>
          <t>Kerala</t>
        </is>
      </c>
      <c r="D2952" s="7" t="inlineStr">
        <is>
          <t>KL73C6458</t>
        </is>
      </c>
      <c r="E2952" s="7" t="inlineStr">
        <is>
          <t>RENAULT</t>
        </is>
      </c>
      <c r="F2952" s="7" t="inlineStr">
        <is>
          <t>Duster</t>
        </is>
      </c>
      <c r="G2952" s="7" t="inlineStr">
        <is>
          <t>ERAM MAHINDRA</t>
        </is>
      </c>
      <c r="H2952" s="7" t="inlineStr">
        <is>
          <t>Non-Captive</t>
        </is>
      </c>
      <c r="I2952" s="7" t="inlineStr">
        <is>
          <t>RAYON</t>
        </is>
      </c>
      <c r="J2952" s="8" t="n">
        <v>2019</v>
      </c>
      <c r="K2952" s="9" t="n">
        <v>137000</v>
      </c>
      <c r="L2952" s="10" t="n">
        <v>505000</v>
      </c>
      <c r="M2952" s="10" t="n">
        <v>8474.58</v>
      </c>
      <c r="N2952" s="11">
        <f>IF(M2952="","",ROUND(M2952*1.18,2))</f>
        <v/>
      </c>
      <c r="O2952" s="12">
        <f>IF(M2952="","",ROUND(N2952-M2952,2))</f>
        <v/>
      </c>
      <c r="P2952" s="13">
        <f>IF(AND(A2952&lt;&gt;"",B2952&lt;&gt;""), A2952&amp;" · "&amp;B2952, "")</f>
        <v/>
      </c>
    </row>
    <row r="2953">
      <c r="A2953" s="6" t="inlineStr">
        <is>
          <t>FY27</t>
        </is>
      </c>
      <c r="B2953" s="6" t="inlineStr">
        <is>
          <t>Jul</t>
        </is>
      </c>
      <c r="C2953" s="6" t="inlineStr">
        <is>
          <t>Kerala</t>
        </is>
      </c>
      <c r="D2953" s="7" t="inlineStr">
        <is>
          <t>KL75B1454</t>
        </is>
      </c>
      <c r="E2953" s="7" t="inlineStr">
        <is>
          <t>MARUTI SUZUKI</t>
        </is>
      </c>
      <c r="F2953" s="7" t="inlineStr">
        <is>
          <t>Ignis</t>
        </is>
      </c>
      <c r="G2953" s="7" t="inlineStr">
        <is>
          <t>KVR TATA</t>
        </is>
      </c>
      <c r="H2953" s="7" t="inlineStr">
        <is>
          <t>Non-Captive</t>
        </is>
      </c>
      <c r="I2953" s="7" t="inlineStr">
        <is>
          <t>JAMSHEER</t>
        </is>
      </c>
      <c r="J2953" s="8" t="n">
        <v>2021</v>
      </c>
      <c r="K2953" s="9" t="n">
        <v>96402</v>
      </c>
      <c r="L2953" s="10" t="n">
        <v>410000</v>
      </c>
      <c r="M2953" s="10" t="n">
        <v>8474.58</v>
      </c>
      <c r="N2953" s="11">
        <f>IF(M2953="","",ROUND(M2953*1.18,2))</f>
        <v/>
      </c>
      <c r="O2953" s="12">
        <f>IF(M2953="","",ROUND(N2953-M2953,2))</f>
        <v/>
      </c>
      <c r="P2953" s="13">
        <f>IF(AND(A2953&lt;&gt;"",B2953&lt;&gt;""), A2953&amp;" · "&amp;B2953, "")</f>
        <v/>
      </c>
    </row>
    <row r="2954">
      <c r="A2954" s="6" t="inlineStr">
        <is>
          <t>FY27</t>
        </is>
      </c>
      <c r="B2954" s="6" t="inlineStr">
        <is>
          <t>Jul</t>
        </is>
      </c>
      <c r="C2954" s="6" t="inlineStr">
        <is>
          <t>Kerala</t>
        </is>
      </c>
      <c r="D2954" s="7" t="inlineStr">
        <is>
          <t>KL79A2987</t>
        </is>
      </c>
      <c r="E2954" s="7" t="inlineStr">
        <is>
          <t>KIA</t>
        </is>
      </c>
      <c r="F2954" s="7" t="inlineStr">
        <is>
          <t>Sonet</t>
        </is>
      </c>
      <c r="G2954" s="7" t="inlineStr">
        <is>
          <t>ERAM</t>
        </is>
      </c>
      <c r="H2954" s="7" t="inlineStr">
        <is>
          <t>Non-Captive</t>
        </is>
      </c>
      <c r="I2954" s="7" t="inlineStr">
        <is>
          <t>BASHEER</t>
        </is>
      </c>
      <c r="J2954" s="8" t="n">
        <v>2022</v>
      </c>
      <c r="K2954" s="9" t="n">
        <v>40000</v>
      </c>
      <c r="L2954" s="10" t="n">
        <v>645000</v>
      </c>
      <c r="M2954" s="10" t="n">
        <v>8474.58</v>
      </c>
      <c r="N2954" s="11">
        <f>IF(M2954="","",ROUND(M2954*1.18,2))</f>
        <v/>
      </c>
      <c r="O2954" s="12">
        <f>IF(M2954="","",ROUND(N2954-M2954,2))</f>
        <v/>
      </c>
      <c r="P2954" s="13">
        <f>IF(AND(A2954&lt;&gt;"",B2954&lt;&gt;""), A2954&amp;" · "&amp;B2954, "")</f>
        <v/>
      </c>
    </row>
    <row r="2955">
      <c r="A2955" s="6" t="inlineStr">
        <is>
          <t>FY27</t>
        </is>
      </c>
      <c r="B2955" s="6" t="inlineStr">
        <is>
          <t>Jul</t>
        </is>
      </c>
      <c r="C2955" s="6" t="inlineStr">
        <is>
          <t>Kerala</t>
        </is>
      </c>
      <c r="D2955" s="7" t="inlineStr">
        <is>
          <t>KL818016</t>
        </is>
      </c>
      <c r="E2955" s="7" t="inlineStr">
        <is>
          <t>HYUNDAI</t>
        </is>
      </c>
      <c r="F2955" s="7" t="inlineStr">
        <is>
          <t>Santro</t>
        </is>
      </c>
      <c r="G2955" s="7" t="inlineStr">
        <is>
          <t>LUXON TATA</t>
        </is>
      </c>
      <c r="H2955" s="7" t="inlineStr">
        <is>
          <t>Non-Captive</t>
        </is>
      </c>
      <c r="I2955" s="7" t="inlineStr">
        <is>
          <t>Hashir Sharafudeen</t>
        </is>
      </c>
      <c r="J2955" s="8" t="n">
        <v>2021</v>
      </c>
      <c r="K2955" s="9" t="n">
        <v>7400</v>
      </c>
      <c r="L2955" s="10" t="n">
        <v>340000</v>
      </c>
      <c r="M2955" s="10" t="n">
        <v>5932.2</v>
      </c>
      <c r="N2955" s="11">
        <f>IF(M2955="","",ROUND(M2955*1.18,2))</f>
        <v/>
      </c>
      <c r="O2955" s="12">
        <f>IF(M2955="","",ROUND(N2955-M2955,2))</f>
        <v/>
      </c>
      <c r="P2955" s="13">
        <f>IF(AND(A2955&lt;&gt;"",B2955&lt;&gt;""), A2955&amp;" · "&amp;B2955, "")</f>
        <v/>
      </c>
    </row>
    <row r="2956">
      <c r="A2956" s="6" t="inlineStr">
        <is>
          <t>FY27</t>
        </is>
      </c>
      <c r="B2956" s="6" t="inlineStr">
        <is>
          <t>Jul</t>
        </is>
      </c>
      <c r="C2956" s="6" t="inlineStr">
        <is>
          <t>Kerala</t>
        </is>
      </c>
      <c r="D2956" s="7" t="inlineStr">
        <is>
          <t>KL86B6134</t>
        </is>
      </c>
      <c r="E2956" s="7" t="inlineStr">
        <is>
          <t>RENAULT</t>
        </is>
      </c>
      <c r="F2956" s="7" t="inlineStr">
        <is>
          <t>Kiger</t>
        </is>
      </c>
      <c r="G2956" s="7" t="inlineStr">
        <is>
          <t>APCO HYUNDAI</t>
        </is>
      </c>
      <c r="H2956" s="7" t="inlineStr">
        <is>
          <t>Non-Captive</t>
        </is>
      </c>
      <c r="I2956" s="7" t="inlineStr">
        <is>
          <t>Varun B Prakash</t>
        </is>
      </c>
      <c r="J2956" s="8" t="n">
        <v>2023</v>
      </c>
      <c r="K2956" s="9" t="n">
        <v>45000</v>
      </c>
      <c r="L2956" s="10" t="n">
        <v>455000</v>
      </c>
      <c r="M2956" s="10" t="n">
        <v>4237.29</v>
      </c>
      <c r="N2956" s="11">
        <f>IF(M2956="","",ROUND(M2956*1.18,2))</f>
        <v/>
      </c>
      <c r="O2956" s="12">
        <f>IF(M2956="","",ROUND(N2956-M2956,2))</f>
        <v/>
      </c>
      <c r="P2956" s="13">
        <f>IF(AND(A2956&lt;&gt;"",B2956&lt;&gt;""), A2956&amp;" · "&amp;B2956, "")</f>
        <v/>
      </c>
    </row>
    <row r="2957">
      <c r="A2957" s="6" t="inlineStr">
        <is>
          <t>FY27</t>
        </is>
      </c>
      <c r="B2957" s="6" t="inlineStr">
        <is>
          <t>Jul</t>
        </is>
      </c>
      <c r="C2957" s="6" t="inlineStr">
        <is>
          <t>TN</t>
        </is>
      </c>
      <c r="D2957" s="7" t="inlineStr">
        <is>
          <t>GJ05JN4881</t>
        </is>
      </c>
      <c r="E2957" s="7" t="inlineStr">
        <is>
          <t>HYUNDAI</t>
        </is>
      </c>
      <c r="F2957" s="7" t="inlineStr">
        <is>
          <t>Grand i10</t>
        </is>
      </c>
      <c r="G2957" s="7" t="inlineStr">
        <is>
          <t>STEER AUTO TECHNOLOGIES PRIVATE LIMITED</t>
        </is>
      </c>
      <c r="H2957" s="7" t="inlineStr">
        <is>
          <t>Non-Captive</t>
        </is>
      </c>
      <c r="I2957" s="7" t="inlineStr">
        <is>
          <t>SK Cars Prasana</t>
        </is>
      </c>
      <c r="J2957" s="8" t="n">
        <v>2015</v>
      </c>
      <c r="K2957" s="9" t="n">
        <v>68535</v>
      </c>
      <c r="L2957" s="10" t="n">
        <v>100000</v>
      </c>
      <c r="M2957" s="10" t="n">
        <v>4238.14</v>
      </c>
      <c r="N2957" s="11">
        <f>IF(M2957="","",ROUND(M2957*1.18,2))</f>
        <v/>
      </c>
      <c r="O2957" s="12">
        <f>IF(M2957="","",ROUND(N2957-M2957,2))</f>
        <v/>
      </c>
      <c r="P2957" s="13">
        <f>IF(AND(A2957&lt;&gt;"",B2957&lt;&gt;""), A2957&amp;" · "&amp;B2957, "")</f>
        <v/>
      </c>
    </row>
    <row r="2958">
      <c r="A2958" s="6" t="inlineStr">
        <is>
          <t>FY27</t>
        </is>
      </c>
      <c r="B2958" s="6" t="inlineStr">
        <is>
          <t>Jul</t>
        </is>
      </c>
      <c r="C2958" s="6" t="inlineStr">
        <is>
          <t>TN</t>
        </is>
      </c>
      <c r="D2958" s="7" t="inlineStr">
        <is>
          <t>KA16M6012</t>
        </is>
      </c>
      <c r="E2958" s="7" t="inlineStr">
        <is>
          <t>TATA</t>
        </is>
      </c>
      <c r="F2958" s="7" t="inlineStr">
        <is>
          <t>Nano</t>
        </is>
      </c>
      <c r="G2958" s="7" t="inlineStr">
        <is>
          <t>EXCHANGE CHENNAI</t>
        </is>
      </c>
      <c r="H2958" s="7" t="inlineStr">
        <is>
          <t>Captive</t>
        </is>
      </c>
      <c r="I2958" s="7" t="inlineStr">
        <is>
          <t>Santhosh Cars</t>
        </is>
      </c>
      <c r="J2958" s="8" t="n">
        <v>2010</v>
      </c>
      <c r="K2958" s="9" t="n">
        <v>32784</v>
      </c>
      <c r="L2958" s="10" t="n">
        <v>20000</v>
      </c>
      <c r="M2958" s="10" t="n">
        <v>4237.29</v>
      </c>
      <c r="N2958" s="11">
        <f>IF(M2958="","",ROUND(M2958*1.18,2))</f>
        <v/>
      </c>
      <c r="O2958" s="12">
        <f>IF(M2958="","",ROUND(N2958-M2958,2))</f>
        <v/>
      </c>
      <c r="P2958" s="13">
        <f>IF(AND(A2958&lt;&gt;"",B2958&lt;&gt;""), A2958&amp;" · "&amp;B2958, "")</f>
        <v/>
      </c>
    </row>
    <row r="2959">
      <c r="A2959" s="6" t="inlineStr">
        <is>
          <t>FY27</t>
        </is>
      </c>
      <c r="B2959" s="6" t="inlineStr">
        <is>
          <t>Jul</t>
        </is>
      </c>
      <c r="C2959" s="6" t="inlineStr">
        <is>
          <t>TN</t>
        </is>
      </c>
      <c r="D2959" s="7" t="inlineStr">
        <is>
          <t>KA51MG1502</t>
        </is>
      </c>
      <c r="E2959" s="7" t="inlineStr">
        <is>
          <t>HONDA</t>
        </is>
      </c>
      <c r="F2959" s="7" t="inlineStr">
        <is>
          <t>City</t>
        </is>
      </c>
      <c r="G2959" s="7" t="inlineStr">
        <is>
          <t>EXCHANGE ROTN</t>
        </is>
      </c>
      <c r="H2959" s="7" t="inlineStr">
        <is>
          <t>Captive</t>
        </is>
      </c>
      <c r="I2959" s="7" t="inlineStr">
        <is>
          <t>&lt;NA&gt;</t>
        </is>
      </c>
      <c r="J2959" s="8" t="n">
        <v>2014</v>
      </c>
      <c r="K2959" s="9" t="n">
        <v>127346</v>
      </c>
      <c r="L2959" s="10" t="n">
        <v>325000</v>
      </c>
      <c r="M2959" s="10" t="n">
        <v>8474.58</v>
      </c>
      <c r="N2959" s="11">
        <f>IF(M2959="","",ROUND(M2959*1.18,2))</f>
        <v/>
      </c>
      <c r="O2959" s="12">
        <f>IF(M2959="","",ROUND(N2959-M2959,2))</f>
        <v/>
      </c>
      <c r="P2959" s="13">
        <f>IF(AND(A2959&lt;&gt;"",B2959&lt;&gt;""), A2959&amp;" · "&amp;B2959, "")</f>
        <v/>
      </c>
    </row>
    <row r="2960">
      <c r="A2960" s="6" t="inlineStr">
        <is>
          <t>FY27</t>
        </is>
      </c>
      <c r="B2960" s="6" t="inlineStr">
        <is>
          <t>Jul</t>
        </is>
      </c>
      <c r="C2960" s="6" t="inlineStr">
        <is>
          <t>TN</t>
        </is>
      </c>
      <c r="D2960" s="7" t="inlineStr">
        <is>
          <t>KA51MG3191</t>
        </is>
      </c>
      <c r="E2960" s="7" t="inlineStr">
        <is>
          <t>DATSUN</t>
        </is>
      </c>
      <c r="F2960" s="7" t="inlineStr">
        <is>
          <t>Redi-GO</t>
        </is>
      </c>
      <c r="G2960" s="7" t="inlineStr">
        <is>
          <t>THIYA CARS</t>
        </is>
      </c>
      <c r="H2960" s="7" t="inlineStr">
        <is>
          <t>Non-Captive</t>
        </is>
      </c>
      <c r="I2960" s="7" t="inlineStr">
        <is>
          <t>Kamal Cars</t>
        </is>
      </c>
      <c r="J2960" s="8" t="n">
        <v>2014</v>
      </c>
      <c r="K2960" s="9" t="n">
        <v>61074</v>
      </c>
      <c r="L2960" s="10" t="n">
        <v>120000</v>
      </c>
      <c r="M2960" s="10" t="n">
        <v>4237.29</v>
      </c>
      <c r="N2960" s="11">
        <f>IF(M2960="","",ROUND(M2960*1.18,2))</f>
        <v/>
      </c>
      <c r="O2960" s="12">
        <f>IF(M2960="","",ROUND(N2960-M2960,2))</f>
        <v/>
      </c>
      <c r="P2960" s="13">
        <f>IF(AND(A2960&lt;&gt;"",B2960&lt;&gt;""), A2960&amp;" · "&amp;B2960, "")</f>
        <v/>
      </c>
    </row>
    <row r="2961">
      <c r="A2961" s="6" t="inlineStr">
        <is>
          <t>FY27</t>
        </is>
      </c>
      <c r="B2961" s="6" t="inlineStr">
        <is>
          <t>Jul</t>
        </is>
      </c>
      <c r="C2961" s="6" t="inlineStr">
        <is>
          <t>TN</t>
        </is>
      </c>
      <c r="D2961" s="7" t="inlineStr">
        <is>
          <t>KL01CF5171</t>
        </is>
      </c>
      <c r="E2961" s="7" t="inlineStr">
        <is>
          <t>MARUTI SUZUKI</t>
        </is>
      </c>
      <c r="F2961" s="7" t="inlineStr">
        <is>
          <t>Ertiga</t>
        </is>
      </c>
      <c r="G2961" s="7" t="inlineStr">
        <is>
          <t>NIPPON TOYOTA</t>
        </is>
      </c>
      <c r="H2961" s="7" t="inlineStr">
        <is>
          <t>Non-Captive</t>
        </is>
      </c>
      <c r="I2961" s="7" t="inlineStr">
        <is>
          <t>SHAMNAD AH</t>
        </is>
      </c>
      <c r="J2961" s="8" t="n">
        <v>2018</v>
      </c>
      <c r="K2961" s="9" t="n">
        <v>198564</v>
      </c>
      <c r="L2961" s="10" t="n">
        <v>180000</v>
      </c>
      <c r="M2961" s="10" t="n">
        <v>6016.95</v>
      </c>
      <c r="N2961" s="11">
        <f>IF(M2961="","",ROUND(M2961*1.18,2))</f>
        <v/>
      </c>
      <c r="O2961" s="12">
        <f>IF(M2961="","",ROUND(N2961-M2961,2))</f>
        <v/>
      </c>
      <c r="P2961" s="13">
        <f>IF(AND(A2961&lt;&gt;"",B2961&lt;&gt;""), A2961&amp;" · "&amp;B2961, "")</f>
        <v/>
      </c>
    </row>
    <row r="2962">
      <c r="A2962" s="6" t="inlineStr">
        <is>
          <t>FY27</t>
        </is>
      </c>
      <c r="B2962" s="6" t="inlineStr">
        <is>
          <t>Jul</t>
        </is>
      </c>
      <c r="C2962" s="6" t="inlineStr">
        <is>
          <t>TN</t>
        </is>
      </c>
      <c r="D2962" s="7" t="inlineStr">
        <is>
          <t>KL01CH2061</t>
        </is>
      </c>
      <c r="E2962" s="7" t="inlineStr">
        <is>
          <t>HONDA</t>
        </is>
      </c>
      <c r="F2962" s="7" t="inlineStr">
        <is>
          <t>Amaze</t>
        </is>
      </c>
      <c r="G2962" s="7" t="inlineStr">
        <is>
          <t>NIPPON TOYOTA</t>
        </is>
      </c>
      <c r="H2962" s="7" t="inlineStr">
        <is>
          <t>Non-Captive</t>
        </is>
      </c>
      <c r="I2962" s="7" t="inlineStr">
        <is>
          <t>SHAMNAD AH</t>
        </is>
      </c>
      <c r="J2962" s="8" t="n">
        <v>2018</v>
      </c>
      <c r="K2962" s="9" t="n">
        <v>120986</v>
      </c>
      <c r="L2962" s="10" t="n">
        <v>180000</v>
      </c>
      <c r="M2962" s="10" t="n">
        <v>6779.66</v>
      </c>
      <c r="N2962" s="11">
        <f>IF(M2962="","",ROUND(M2962*1.18,2))</f>
        <v/>
      </c>
      <c r="O2962" s="12">
        <f>IF(M2962="","",ROUND(N2962-M2962,2))</f>
        <v/>
      </c>
      <c r="P2962" s="13">
        <f>IF(AND(A2962&lt;&gt;"",B2962&lt;&gt;""), A2962&amp;" · "&amp;B2962, "")</f>
        <v/>
      </c>
    </row>
    <row r="2963">
      <c r="A2963" s="6" t="inlineStr">
        <is>
          <t>FY27</t>
        </is>
      </c>
      <c r="B2963" s="6" t="inlineStr">
        <is>
          <t>Jul</t>
        </is>
      </c>
      <c r="C2963" s="6" t="inlineStr">
        <is>
          <t>TN</t>
        </is>
      </c>
      <c r="D2963" s="7" t="inlineStr">
        <is>
          <t>KL01CM6699</t>
        </is>
      </c>
      <c r="E2963" s="7" t="inlineStr">
        <is>
          <t>MARUTI SUZUKI</t>
        </is>
      </c>
      <c r="F2963" s="7" t="inlineStr">
        <is>
          <t>Dzire</t>
        </is>
      </c>
      <c r="G2963" s="7" t="inlineStr">
        <is>
          <t>NIPPON TOYOTA</t>
        </is>
      </c>
      <c r="H2963" s="7" t="inlineStr">
        <is>
          <t>Non-Captive</t>
        </is>
      </c>
      <c r="I2963" s="7" t="inlineStr">
        <is>
          <t>GENUINE CARS</t>
        </is>
      </c>
      <c r="J2963" s="8" t="n">
        <v>2019</v>
      </c>
      <c r="K2963" s="9" t="n">
        <v>68430</v>
      </c>
      <c r="L2963" s="10" t="n">
        <v>190000</v>
      </c>
      <c r="M2963" s="10" t="n">
        <v>8474.58</v>
      </c>
      <c r="N2963" s="11">
        <f>IF(M2963="","",ROUND(M2963*1.18,2))</f>
        <v/>
      </c>
      <c r="O2963" s="12">
        <f>IF(M2963="","",ROUND(N2963-M2963,2))</f>
        <v/>
      </c>
      <c r="P2963" s="13">
        <f>IF(AND(A2963&lt;&gt;"",B2963&lt;&gt;""), A2963&amp;" · "&amp;B2963, "")</f>
        <v/>
      </c>
    </row>
    <row r="2964">
      <c r="A2964" s="6" t="inlineStr">
        <is>
          <t>FY27</t>
        </is>
      </c>
      <c r="B2964" s="6" t="inlineStr">
        <is>
          <t>Jul</t>
        </is>
      </c>
      <c r="C2964" s="6" t="inlineStr">
        <is>
          <t>TN</t>
        </is>
      </c>
      <c r="D2964" s="7" t="inlineStr">
        <is>
          <t>KL01CW5415</t>
        </is>
      </c>
      <c r="E2964" s="7" t="inlineStr">
        <is>
          <t>MARUTI SUZUKI</t>
        </is>
      </c>
      <c r="F2964" s="7" t="inlineStr">
        <is>
          <t>Baleno</t>
        </is>
      </c>
      <c r="G2964" s="7" t="inlineStr">
        <is>
          <t>NIPPON TOYOTA</t>
        </is>
      </c>
      <c r="H2964" s="7" t="inlineStr">
        <is>
          <t>Non-Captive</t>
        </is>
      </c>
      <c r="I2964" s="7" t="inlineStr">
        <is>
          <t>Popular Kottayam</t>
        </is>
      </c>
      <c r="J2964" s="8" t="n">
        <v>2022</v>
      </c>
      <c r="K2964" s="9" t="n">
        <v>46858</v>
      </c>
      <c r="L2964" s="10" t="n">
        <v>190000</v>
      </c>
      <c r="M2964" s="10" t="n">
        <v>5000</v>
      </c>
      <c r="N2964" s="11">
        <f>IF(M2964="","",ROUND(M2964*1.18,2))</f>
        <v/>
      </c>
      <c r="O2964" s="12">
        <f>IF(M2964="","",ROUND(N2964-M2964,2))</f>
        <v/>
      </c>
      <c r="P2964" s="13">
        <f>IF(AND(A2964&lt;&gt;"",B2964&lt;&gt;""), A2964&amp;" · "&amp;B2964, "")</f>
        <v/>
      </c>
    </row>
    <row r="2965">
      <c r="A2965" s="6" t="inlineStr">
        <is>
          <t>FY27</t>
        </is>
      </c>
      <c r="B2965" s="6" t="inlineStr">
        <is>
          <t>Jul</t>
        </is>
      </c>
      <c r="C2965" s="6" t="inlineStr">
        <is>
          <t>TN</t>
        </is>
      </c>
      <c r="D2965" s="7" t="inlineStr">
        <is>
          <t>KL01CW9690</t>
        </is>
      </c>
      <c r="E2965" s="7" t="inlineStr">
        <is>
          <t>TATA</t>
        </is>
      </c>
      <c r="F2965" s="7" t="inlineStr">
        <is>
          <t>Punch</t>
        </is>
      </c>
      <c r="G2965" s="7" t="inlineStr">
        <is>
          <t>NIPPON TOYOTA</t>
        </is>
      </c>
      <c r="H2965" s="7" t="inlineStr">
        <is>
          <t>Non-Captive</t>
        </is>
      </c>
      <c r="I2965" s="7" t="inlineStr">
        <is>
          <t>Popular Thrissur</t>
        </is>
      </c>
      <c r="J2965" s="8" t="n">
        <v>2022</v>
      </c>
      <c r="K2965" s="9" t="n">
        <v>18221</v>
      </c>
      <c r="L2965" s="10" t="n">
        <v>155000</v>
      </c>
      <c r="M2965" s="10" t="n">
        <v>5000</v>
      </c>
      <c r="N2965" s="11">
        <f>IF(M2965="","",ROUND(M2965*1.18,2))</f>
        <v/>
      </c>
      <c r="O2965" s="12">
        <f>IF(M2965="","",ROUND(N2965-M2965,2))</f>
        <v/>
      </c>
      <c r="P2965" s="13">
        <f>IF(AND(A2965&lt;&gt;"",B2965&lt;&gt;""), A2965&amp;" · "&amp;B2965, "")</f>
        <v/>
      </c>
    </row>
    <row r="2966">
      <c r="A2966" s="6" t="inlineStr">
        <is>
          <t>FY27</t>
        </is>
      </c>
      <c r="B2966" s="6" t="inlineStr">
        <is>
          <t>Jul</t>
        </is>
      </c>
      <c r="C2966" s="6" t="inlineStr">
        <is>
          <t>TN</t>
        </is>
      </c>
      <c r="D2966" s="7" t="inlineStr">
        <is>
          <t>KL05AT8889</t>
        </is>
      </c>
      <c r="E2966" s="7" t="inlineStr">
        <is>
          <t>HYUNDAI</t>
        </is>
      </c>
      <c r="F2966" s="7" t="inlineStr">
        <is>
          <t>i20</t>
        </is>
      </c>
      <c r="G2966" s="7" t="inlineStr">
        <is>
          <t>TANIYA BASTIN</t>
        </is>
      </c>
      <c r="H2966" s="7" t="inlineStr">
        <is>
          <t>Non-Captive</t>
        </is>
      </c>
      <c r="I2966" s="7" t="inlineStr">
        <is>
          <t>SHAMNAD AH</t>
        </is>
      </c>
      <c r="J2966" s="8" t="n">
        <v>2018</v>
      </c>
      <c r="K2966" s="9" t="n">
        <v>67421</v>
      </c>
      <c r="L2966" s="10" t="n">
        <v>190000</v>
      </c>
      <c r="M2966" s="10" t="n">
        <v>6779.66</v>
      </c>
      <c r="N2966" s="11">
        <f>IF(M2966="","",ROUND(M2966*1.18,2))</f>
        <v/>
      </c>
      <c r="O2966" s="12">
        <f>IF(M2966="","",ROUND(N2966-M2966,2))</f>
        <v/>
      </c>
      <c r="P2966" s="13">
        <f>IF(AND(A2966&lt;&gt;"",B2966&lt;&gt;""), A2966&amp;" · "&amp;B2966, "")</f>
        <v/>
      </c>
    </row>
    <row r="2967">
      <c r="A2967" s="6" t="inlineStr">
        <is>
          <t>FY27</t>
        </is>
      </c>
      <c r="B2967" s="6" t="inlineStr">
        <is>
          <t>Jul</t>
        </is>
      </c>
      <c r="C2967" s="6" t="inlineStr">
        <is>
          <t>TN</t>
        </is>
      </c>
      <c r="D2967" s="7" t="inlineStr">
        <is>
          <t>KL13R0347</t>
        </is>
      </c>
      <c r="E2967" s="7" t="inlineStr">
        <is>
          <t>MARUTI SUZUKI</t>
        </is>
      </c>
      <c r="F2967" s="7" t="inlineStr">
        <is>
          <t>Innova</t>
        </is>
      </c>
      <c r="G2967" s="7" t="inlineStr">
        <is>
          <t>POPULAR ALLEPPY</t>
        </is>
      </c>
      <c r="H2967" s="7" t="inlineStr">
        <is>
          <t>Non-Captive</t>
        </is>
      </c>
      <c r="I2967" s="7" t="inlineStr">
        <is>
          <t>SHAMNAD AH</t>
        </is>
      </c>
      <c r="J2967" s="8" t="n">
        <v>2006</v>
      </c>
      <c r="K2967" s="9" t="n">
        <v>300000</v>
      </c>
      <c r="L2967" s="10" t="n">
        <v>190000</v>
      </c>
      <c r="M2967" s="10" t="n">
        <v>6779.66</v>
      </c>
      <c r="N2967" s="11">
        <f>IF(M2967="","",ROUND(M2967*1.18,2))</f>
        <v/>
      </c>
      <c r="O2967" s="12">
        <f>IF(M2967="","",ROUND(N2967-M2967,2))</f>
        <v/>
      </c>
      <c r="P2967" s="13">
        <f>IF(AND(A2967&lt;&gt;"",B2967&lt;&gt;""), A2967&amp;" · "&amp;B2967, "")</f>
        <v/>
      </c>
    </row>
    <row r="2968">
      <c r="A2968" s="6" t="inlineStr">
        <is>
          <t>FY27</t>
        </is>
      </c>
      <c r="B2968" s="6" t="inlineStr">
        <is>
          <t>Jul</t>
        </is>
      </c>
      <c r="C2968" s="6" t="inlineStr">
        <is>
          <t>TN</t>
        </is>
      </c>
      <c r="D2968" s="7" t="inlineStr">
        <is>
          <t>KL14V0039</t>
        </is>
      </c>
      <c r="E2968" s="7" t="inlineStr">
        <is>
          <t>MARUTI SUZUKI</t>
        </is>
      </c>
      <c r="F2968" s="7" t="inlineStr">
        <is>
          <t>Vitara Brezza</t>
        </is>
      </c>
      <c r="G2968" s="7" t="inlineStr">
        <is>
          <t>NIPPON TOYOTA</t>
        </is>
      </c>
      <c r="H2968" s="7" t="inlineStr">
        <is>
          <t>Non-Captive</t>
        </is>
      </c>
      <c r="I2968" s="7" t="inlineStr">
        <is>
          <t>SHAMNAD AH</t>
        </is>
      </c>
      <c r="J2968" s="8" t="n">
        <v>2017</v>
      </c>
      <c r="K2968" s="9" t="n">
        <v>156826</v>
      </c>
      <c r="L2968" s="10" t="n">
        <v>155000</v>
      </c>
      <c r="M2968" s="10" t="n">
        <v>6779.66</v>
      </c>
      <c r="N2968" s="11">
        <f>IF(M2968="","",ROUND(M2968*1.18,2))</f>
        <v/>
      </c>
      <c r="O2968" s="12">
        <f>IF(M2968="","",ROUND(N2968-M2968,2))</f>
        <v/>
      </c>
      <c r="P2968" s="13">
        <f>IF(AND(A2968&lt;&gt;"",B2968&lt;&gt;""), A2968&amp;" · "&amp;B2968, "")</f>
        <v/>
      </c>
    </row>
    <row r="2969">
      <c r="A2969" s="6" t="inlineStr">
        <is>
          <t>FY27</t>
        </is>
      </c>
      <c r="B2969" s="6" t="inlineStr">
        <is>
          <t>Jul</t>
        </is>
      </c>
      <c r="C2969" s="6" t="inlineStr">
        <is>
          <t>TN</t>
        </is>
      </c>
      <c r="D2969" s="7" t="inlineStr">
        <is>
          <t>KL16Q7456</t>
        </is>
      </c>
      <c r="E2969" s="7" t="inlineStr">
        <is>
          <t>HYUNDAI</t>
        </is>
      </c>
      <c r="F2969" s="7" t="inlineStr">
        <is>
          <t>Grand i10</t>
        </is>
      </c>
      <c r="G2969" s="7" t="inlineStr">
        <is>
          <t>POPULAR MOTORWORLD PVT LTD</t>
        </is>
      </c>
      <c r="H2969" s="7" t="inlineStr">
        <is>
          <t>Non-Captive</t>
        </is>
      </c>
      <c r="I2969" s="7" t="inlineStr">
        <is>
          <t>Popular Alleppy</t>
        </is>
      </c>
      <c r="J2969" s="8" t="n">
        <v>2016</v>
      </c>
      <c r="K2969" s="9" t="n">
        <v>47586</v>
      </c>
      <c r="L2969" s="10" t="n">
        <v>155000</v>
      </c>
      <c r="M2969" s="10" t="n">
        <v>5000</v>
      </c>
      <c r="N2969" s="11">
        <f>IF(M2969="","",ROUND(M2969*1.18,2))</f>
        <v/>
      </c>
      <c r="O2969" s="12">
        <f>IF(M2969="","",ROUND(N2969-M2969,2))</f>
        <v/>
      </c>
      <c r="P2969" s="13">
        <f>IF(AND(A2969&lt;&gt;"",B2969&lt;&gt;""), A2969&amp;" · "&amp;B2969, "")</f>
        <v/>
      </c>
    </row>
    <row r="2970">
      <c r="A2970" s="6" t="inlineStr">
        <is>
          <t>FY27</t>
        </is>
      </c>
      <c r="B2970" s="6" t="inlineStr">
        <is>
          <t>Jul</t>
        </is>
      </c>
      <c r="C2970" s="6" t="inlineStr">
        <is>
          <t>TN</t>
        </is>
      </c>
      <c r="D2970" s="7" t="inlineStr">
        <is>
          <t>KL21N2222</t>
        </is>
      </c>
      <c r="E2970" s="7" t="inlineStr">
        <is>
          <t>MARUTI SUZUKI</t>
        </is>
      </c>
      <c r="F2970" s="7" t="inlineStr">
        <is>
          <t>Ciaz</t>
        </is>
      </c>
      <c r="G2970" s="7" t="inlineStr">
        <is>
          <t>NIPPON TOYOTA</t>
        </is>
      </c>
      <c r="H2970" s="7" t="inlineStr">
        <is>
          <t>Non-Captive</t>
        </is>
      </c>
      <c r="I2970" s="7" t="inlineStr">
        <is>
          <t>SHAMNAD AH</t>
        </is>
      </c>
      <c r="J2970" s="8" t="n">
        <v>2017</v>
      </c>
      <c r="K2970" s="9" t="n">
        <v>57014</v>
      </c>
      <c r="L2970" s="10" t="n">
        <v>155000</v>
      </c>
      <c r="M2970" s="10" t="n">
        <v>6016.95</v>
      </c>
      <c r="N2970" s="11">
        <f>IF(M2970="","",ROUND(M2970*1.18,2))</f>
        <v/>
      </c>
      <c r="O2970" s="12">
        <f>IF(M2970="","",ROUND(N2970-M2970,2))</f>
        <v/>
      </c>
      <c r="P2970" s="13">
        <f>IF(AND(A2970&lt;&gt;"",B2970&lt;&gt;""), A2970&amp;" · "&amp;B2970, "")</f>
        <v/>
      </c>
    </row>
    <row r="2971">
      <c r="A2971" s="6" t="inlineStr">
        <is>
          <t>FY27</t>
        </is>
      </c>
      <c r="B2971" s="6" t="inlineStr">
        <is>
          <t>Jul</t>
        </is>
      </c>
      <c r="C2971" s="6" t="inlineStr">
        <is>
          <t>TN</t>
        </is>
      </c>
      <c r="D2971" s="7" t="inlineStr">
        <is>
          <t>KL21X7063</t>
        </is>
      </c>
      <c r="E2971" s="7" t="inlineStr">
        <is>
          <t>MARUTI SUZUKI</t>
        </is>
      </c>
      <c r="F2971" s="7" t="inlineStr">
        <is>
          <t>Wagon R</t>
        </is>
      </c>
      <c r="G2971" s="7" t="inlineStr">
        <is>
          <t>KAIRALI TOYOTA</t>
        </is>
      </c>
      <c r="H2971" s="7" t="inlineStr">
        <is>
          <t>Non-Captive</t>
        </is>
      </c>
      <c r="I2971" s="7" t="inlineStr">
        <is>
          <t>SHAMNAD AH</t>
        </is>
      </c>
      <c r="J2971" s="8" t="n">
        <v>2022</v>
      </c>
      <c r="K2971" s="9" t="n">
        <v>30701</v>
      </c>
      <c r="L2971" s="10" t="n">
        <v>190000</v>
      </c>
      <c r="M2971" s="10" t="n">
        <v>8474.58</v>
      </c>
      <c r="N2971" s="11">
        <f>IF(M2971="","",ROUND(M2971*1.18,2))</f>
        <v/>
      </c>
      <c r="O2971" s="12">
        <f>IF(M2971="","",ROUND(N2971-M2971,2))</f>
        <v/>
      </c>
      <c r="P2971" s="13">
        <f>IF(AND(A2971&lt;&gt;"",B2971&lt;&gt;""), A2971&amp;" · "&amp;B2971, "")</f>
        <v/>
      </c>
    </row>
    <row r="2972">
      <c r="A2972" s="6" t="inlineStr">
        <is>
          <t>FY27</t>
        </is>
      </c>
      <c r="B2972" s="6" t="inlineStr">
        <is>
          <t>Jul</t>
        </is>
      </c>
      <c r="C2972" s="6" t="inlineStr">
        <is>
          <t>TN</t>
        </is>
      </c>
      <c r="D2972" s="7" t="inlineStr">
        <is>
          <t>KL21Y5043</t>
        </is>
      </c>
      <c r="E2972" s="7" t="inlineStr">
        <is>
          <t>RENAULT</t>
        </is>
      </c>
      <c r="F2972" s="7" t="inlineStr">
        <is>
          <t>Triber</t>
        </is>
      </c>
      <c r="G2972" s="7" t="inlineStr">
        <is>
          <t>KAIRALI TOYOTA</t>
        </is>
      </c>
      <c r="H2972" s="7" t="inlineStr">
        <is>
          <t>Non-Captive</t>
        </is>
      </c>
      <c r="I2972" s="7" t="inlineStr">
        <is>
          <t>Popular Alleppy</t>
        </is>
      </c>
      <c r="J2972" s="8" t="n">
        <v>2023</v>
      </c>
      <c r="K2972" s="9" t="n">
        <v>36125</v>
      </c>
      <c r="L2972" s="10" t="n">
        <v>190000</v>
      </c>
      <c r="M2972" s="10" t="n">
        <v>5000</v>
      </c>
      <c r="N2972" s="11">
        <f>IF(M2972="","",ROUND(M2972*1.18,2))</f>
        <v/>
      </c>
      <c r="O2972" s="12">
        <f>IF(M2972="","",ROUND(N2972-M2972,2))</f>
        <v/>
      </c>
      <c r="P2972" s="13">
        <f>IF(AND(A2972&lt;&gt;"",B2972&lt;&gt;""), A2972&amp;" · "&amp;B2972, "")</f>
        <v/>
      </c>
    </row>
    <row r="2973">
      <c r="A2973" s="6" t="inlineStr">
        <is>
          <t>FY27</t>
        </is>
      </c>
      <c r="B2973" s="6" t="inlineStr">
        <is>
          <t>Jul</t>
        </is>
      </c>
      <c r="C2973" s="6" t="inlineStr">
        <is>
          <t>TN</t>
        </is>
      </c>
      <c r="D2973" s="7" t="inlineStr">
        <is>
          <t>KL22J5661</t>
        </is>
      </c>
      <c r="E2973" s="7" t="inlineStr">
        <is>
          <t>MARUTI SUZUKI</t>
        </is>
      </c>
      <c r="F2973" s="7" t="inlineStr">
        <is>
          <t>Eon</t>
        </is>
      </c>
      <c r="G2973" s="7" t="inlineStr">
        <is>
          <t>NIPPON TOYOTA</t>
        </is>
      </c>
      <c r="H2973" s="7" t="inlineStr">
        <is>
          <t>Non-Captive</t>
        </is>
      </c>
      <c r="I2973" s="7" t="inlineStr">
        <is>
          <t>Popular Thrissur</t>
        </is>
      </c>
      <c r="J2973" s="8" t="n">
        <v>2016</v>
      </c>
      <c r="K2973" s="9" t="n">
        <v>36851</v>
      </c>
      <c r="L2973" s="10" t="n">
        <v>190000</v>
      </c>
      <c r="M2973" s="10" t="n">
        <v>5000</v>
      </c>
      <c r="N2973" s="11">
        <f>IF(M2973="","",ROUND(M2973*1.18,2))</f>
        <v/>
      </c>
      <c r="O2973" s="12">
        <f>IF(M2973="","",ROUND(N2973-M2973,2))</f>
        <v/>
      </c>
      <c r="P2973" s="13">
        <f>IF(AND(A2973&lt;&gt;"",B2973&lt;&gt;""), A2973&amp;" · "&amp;B2973, "")</f>
        <v/>
      </c>
    </row>
    <row r="2974">
      <c r="A2974" s="6" t="inlineStr">
        <is>
          <t>FY27</t>
        </is>
      </c>
      <c r="B2974" s="6" t="inlineStr">
        <is>
          <t>Jul</t>
        </is>
      </c>
      <c r="C2974" s="6" t="inlineStr">
        <is>
          <t>TN</t>
        </is>
      </c>
      <c r="D2974" s="7" t="inlineStr">
        <is>
          <t>KL23H0045</t>
        </is>
      </c>
      <c r="E2974" s="7" t="inlineStr">
        <is>
          <t>MARUTI SUZUKI</t>
        </is>
      </c>
      <c r="F2974" s="7" t="inlineStr">
        <is>
          <t>Ertiga</t>
        </is>
      </c>
      <c r="G2974" s="7" t="inlineStr">
        <is>
          <t>LATHA CARS</t>
        </is>
      </c>
      <c r="H2974" s="7" t="inlineStr">
        <is>
          <t>Non-Captive</t>
        </is>
      </c>
      <c r="I2974" s="7" t="inlineStr">
        <is>
          <t>GENUINE CARS</t>
        </is>
      </c>
      <c r="J2974" s="8" t="n">
        <v>2016</v>
      </c>
      <c r="K2974" s="9" t="n">
        <v>67432</v>
      </c>
      <c r="L2974" s="10" t="n">
        <v>190000</v>
      </c>
      <c r="M2974" s="10" t="n">
        <v>8474.58</v>
      </c>
      <c r="N2974" s="11">
        <f>IF(M2974="","",ROUND(M2974*1.18,2))</f>
        <v/>
      </c>
      <c r="O2974" s="12">
        <f>IF(M2974="","",ROUND(N2974-M2974,2))</f>
        <v/>
      </c>
      <c r="P2974" s="13">
        <f>IF(AND(A2974&lt;&gt;"",B2974&lt;&gt;""), A2974&amp;" · "&amp;B2974, "")</f>
        <v/>
      </c>
    </row>
    <row r="2975">
      <c r="A2975" s="6" t="inlineStr">
        <is>
          <t>FY27</t>
        </is>
      </c>
      <c r="B2975" s="6" t="inlineStr">
        <is>
          <t>Jul</t>
        </is>
      </c>
      <c r="C2975" s="6" t="inlineStr">
        <is>
          <t>TN</t>
        </is>
      </c>
      <c r="D2975" s="7" t="inlineStr">
        <is>
          <t>KL24G7573</t>
        </is>
      </c>
      <c r="E2975" s="7" t="inlineStr">
        <is>
          <t>MARUTI SUZUKI</t>
        </is>
      </c>
      <c r="F2975" s="7" t="inlineStr">
        <is>
          <t>Dzire</t>
        </is>
      </c>
      <c r="G2975" s="7" t="inlineStr">
        <is>
          <t>NIPPON TOYOTA</t>
        </is>
      </c>
      <c r="H2975" s="7" t="inlineStr">
        <is>
          <t>Non-Captive</t>
        </is>
      </c>
      <c r="I2975" s="7" t="inlineStr">
        <is>
          <t>SHAMNAD AH</t>
        </is>
      </c>
      <c r="J2975" s="8" t="n">
        <v>2013</v>
      </c>
      <c r="K2975" s="9" t="n">
        <v>170565</v>
      </c>
      <c r="L2975" s="10" t="n">
        <v>155000</v>
      </c>
      <c r="M2975" s="10" t="n">
        <v>6016.95</v>
      </c>
      <c r="N2975" s="11">
        <f>IF(M2975="","",ROUND(M2975*1.18,2))</f>
        <v/>
      </c>
      <c r="O2975" s="12">
        <f>IF(M2975="","",ROUND(N2975-M2975,2))</f>
        <v/>
      </c>
      <c r="P2975" s="13">
        <f>IF(AND(A2975&lt;&gt;"",B2975&lt;&gt;""), A2975&amp;" · "&amp;B2975, "")</f>
        <v/>
      </c>
    </row>
    <row r="2976">
      <c r="A2976" s="6" t="inlineStr">
        <is>
          <t>FY27</t>
        </is>
      </c>
      <c r="B2976" s="6" t="inlineStr">
        <is>
          <t>Jul</t>
        </is>
      </c>
      <c r="C2976" s="6" t="inlineStr">
        <is>
          <t>TN</t>
        </is>
      </c>
      <c r="D2976" s="7" t="inlineStr">
        <is>
          <t>KL61E3780</t>
        </is>
      </c>
      <c r="E2976" s="7" t="inlineStr">
        <is>
          <t>MARUTI SUZUKI</t>
        </is>
      </c>
      <c r="F2976" s="7" t="inlineStr">
        <is>
          <t>S-Presso</t>
        </is>
      </c>
      <c r="G2976" s="7" t="inlineStr">
        <is>
          <t>NIPPON TOYOTA</t>
        </is>
      </c>
      <c r="H2976" s="7" t="inlineStr">
        <is>
          <t>Non-Captive</t>
        </is>
      </c>
      <c r="I2976" s="7" t="inlineStr">
        <is>
          <t>GENUINE CARS</t>
        </is>
      </c>
      <c r="J2976" s="8" t="n">
        <v>2019</v>
      </c>
      <c r="K2976" s="9" t="n">
        <v>40990</v>
      </c>
      <c r="L2976" s="10" t="n">
        <v>180000</v>
      </c>
      <c r="M2976" s="10" t="n">
        <v>8474.58</v>
      </c>
      <c r="N2976" s="11">
        <f>IF(M2976="","",ROUND(M2976*1.18,2))</f>
        <v/>
      </c>
      <c r="O2976" s="12">
        <f>IF(M2976="","",ROUND(N2976-M2976,2))</f>
        <v/>
      </c>
      <c r="P2976" s="13">
        <f>IF(AND(A2976&lt;&gt;"",B2976&lt;&gt;""), A2976&amp;" · "&amp;B2976, "")</f>
        <v/>
      </c>
    </row>
    <row r="2977">
      <c r="A2977" s="6" t="inlineStr">
        <is>
          <t>FY27</t>
        </is>
      </c>
      <c r="B2977" s="6" t="inlineStr">
        <is>
          <t>Jul</t>
        </is>
      </c>
      <c r="C2977" s="6" t="inlineStr">
        <is>
          <t>TN</t>
        </is>
      </c>
      <c r="D2977" s="7" t="inlineStr">
        <is>
          <t>KL63G3184</t>
        </is>
      </c>
      <c r="E2977" s="7" t="inlineStr">
        <is>
          <t>HYUNDAI</t>
        </is>
      </c>
      <c r="F2977" s="7" t="inlineStr">
        <is>
          <t>Grand i10</t>
        </is>
      </c>
      <c r="G2977" s="7" t="inlineStr">
        <is>
          <t>EXCHANGE ROTN</t>
        </is>
      </c>
      <c r="H2977" s="7" t="inlineStr">
        <is>
          <t>Captive</t>
        </is>
      </c>
      <c r="I2977" s="7" t="inlineStr">
        <is>
          <t>LIAKATHCARS</t>
        </is>
      </c>
      <c r="J2977" s="8" t="n">
        <v>2019</v>
      </c>
      <c r="K2977" s="9" t="n">
        <v>52766</v>
      </c>
      <c r="L2977" s="10" t="n">
        <v>200000</v>
      </c>
      <c r="M2977" s="10" t="n">
        <v>12711.86</v>
      </c>
      <c r="N2977" s="11">
        <f>IF(M2977="","",ROUND(M2977*1.18,2))</f>
        <v/>
      </c>
      <c r="O2977" s="12">
        <f>IF(M2977="","",ROUND(N2977-M2977,2))</f>
        <v/>
      </c>
      <c r="P2977" s="13">
        <f>IF(AND(A2977&lt;&gt;"",B2977&lt;&gt;""), A2977&amp;" · "&amp;B2977, "")</f>
        <v/>
      </c>
    </row>
    <row r="2978">
      <c r="A2978" s="6" t="inlineStr">
        <is>
          <t>FY27</t>
        </is>
      </c>
      <c r="B2978" s="6" t="inlineStr">
        <is>
          <t>Jul</t>
        </is>
      </c>
      <c r="C2978" s="6" t="inlineStr">
        <is>
          <t>TN</t>
        </is>
      </c>
      <c r="D2978" s="7" t="inlineStr">
        <is>
          <t>KL69B4013</t>
        </is>
      </c>
      <c r="E2978" s="7" t="inlineStr">
        <is>
          <t>MARUTI SUZUKI</t>
        </is>
      </c>
      <c r="F2978" s="7" t="inlineStr">
        <is>
          <t>Ertiga</t>
        </is>
      </c>
      <c r="G2978" s="7" t="inlineStr">
        <is>
          <t>TRUST N DRIVE</t>
        </is>
      </c>
      <c r="H2978" s="7" t="inlineStr">
        <is>
          <t>Non-Captive</t>
        </is>
      </c>
      <c r="I2978" s="7" t="inlineStr">
        <is>
          <t>Popular Alleppy</t>
        </is>
      </c>
      <c r="J2978" s="8" t="n">
        <v>2019</v>
      </c>
      <c r="K2978" s="9" t="n">
        <v>44337</v>
      </c>
      <c r="L2978" s="10" t="n">
        <v>180000</v>
      </c>
      <c r="M2978" s="10" t="n">
        <v>5000</v>
      </c>
      <c r="N2978" s="11">
        <f>IF(M2978="","",ROUND(M2978*1.18,2))</f>
        <v/>
      </c>
      <c r="O2978" s="12">
        <f>IF(M2978="","",ROUND(N2978-M2978,2))</f>
        <v/>
      </c>
      <c r="P2978" s="13">
        <f>IF(AND(A2978&lt;&gt;"",B2978&lt;&gt;""), A2978&amp;" · "&amp;B2978, "")</f>
        <v/>
      </c>
    </row>
    <row r="2979">
      <c r="A2979" s="6" t="inlineStr">
        <is>
          <t>FY27</t>
        </is>
      </c>
      <c r="B2979" s="6" t="inlineStr">
        <is>
          <t>Jul</t>
        </is>
      </c>
      <c r="C2979" s="6" t="inlineStr">
        <is>
          <t>TN</t>
        </is>
      </c>
      <c r="D2979" s="7" t="inlineStr">
        <is>
          <t>KL74D3700</t>
        </is>
      </c>
      <c r="E2979" s="7" t="inlineStr">
        <is>
          <t>HYUNDAI</t>
        </is>
      </c>
      <c r="F2979" s="7" t="inlineStr">
        <is>
          <t>Grand i10</t>
        </is>
      </c>
      <c r="G2979" s="7" t="inlineStr">
        <is>
          <t>TRUST N DRIVE</t>
        </is>
      </c>
      <c r="H2979" s="7" t="inlineStr">
        <is>
          <t>Non-Captive</t>
        </is>
      </c>
      <c r="I2979" s="7" t="inlineStr">
        <is>
          <t>SHAMNAD AH</t>
        </is>
      </c>
      <c r="J2979" s="8" t="n">
        <v>2023</v>
      </c>
      <c r="K2979" s="9" t="n">
        <v>16747</v>
      </c>
      <c r="L2979" s="10" t="n">
        <v>180000</v>
      </c>
      <c r="M2979" s="10" t="n">
        <v>8474.58</v>
      </c>
      <c r="N2979" s="11">
        <f>IF(M2979="","",ROUND(M2979*1.18,2))</f>
        <v/>
      </c>
      <c r="O2979" s="12">
        <f>IF(M2979="","",ROUND(N2979-M2979,2))</f>
        <v/>
      </c>
      <c r="P2979" s="13">
        <f>IF(AND(A2979&lt;&gt;"",B2979&lt;&gt;""), A2979&amp;" · "&amp;B2979, "")</f>
        <v/>
      </c>
    </row>
    <row r="2980">
      <c r="A2980" s="6" t="inlineStr">
        <is>
          <t>FY27</t>
        </is>
      </c>
      <c r="B2980" s="6" t="inlineStr">
        <is>
          <t>Jul</t>
        </is>
      </c>
      <c r="C2980" s="6" t="inlineStr">
        <is>
          <t>TN</t>
        </is>
      </c>
      <c r="D2980" s="7" t="inlineStr">
        <is>
          <t>TN01AC8572</t>
        </is>
      </c>
      <c r="E2980" s="7" t="inlineStr">
        <is>
          <t>HYUNDAI</t>
        </is>
      </c>
      <c r="F2980" s="7" t="inlineStr">
        <is>
          <t>Verna</t>
        </is>
      </c>
      <c r="G2980" s="7" t="inlineStr">
        <is>
          <t>SGA MOTORS INDIA PRIVATE LIMITED</t>
        </is>
      </c>
      <c r="H2980" s="7" t="inlineStr">
        <is>
          <t>Non-Captive</t>
        </is>
      </c>
      <c r="I2980" s="7" t="inlineStr">
        <is>
          <t>SRI RAJA KANAPATHY CARS</t>
        </is>
      </c>
      <c r="J2980" s="8" t="n">
        <v>2007</v>
      </c>
      <c r="K2980" s="9" t="n">
        <v>164142</v>
      </c>
      <c r="L2980" s="10" t="n">
        <v>70000</v>
      </c>
      <c r="M2980" s="10" t="n">
        <v>4237.29</v>
      </c>
      <c r="N2980" s="11">
        <f>IF(M2980="","",ROUND(M2980*1.18,2))</f>
        <v/>
      </c>
      <c r="O2980" s="12">
        <f>IF(M2980="","",ROUND(N2980-M2980,2))</f>
        <v/>
      </c>
      <c r="P2980" s="13">
        <f>IF(AND(A2980&lt;&gt;"",B2980&lt;&gt;""), A2980&amp;" · "&amp;B2980, "")</f>
        <v/>
      </c>
    </row>
    <row r="2981">
      <c r="A2981" s="6" t="inlineStr">
        <is>
          <t>FY27</t>
        </is>
      </c>
      <c r="B2981" s="6" t="inlineStr">
        <is>
          <t>Jul</t>
        </is>
      </c>
      <c r="C2981" s="6" t="inlineStr">
        <is>
          <t>TN</t>
        </is>
      </c>
      <c r="D2981" s="7" t="inlineStr">
        <is>
          <t>TN01AD0712</t>
        </is>
      </c>
      <c r="E2981" s="7" t="inlineStr">
        <is>
          <t>FORD</t>
        </is>
      </c>
      <c r="F2981" s="7" t="inlineStr">
        <is>
          <t>Ikon</t>
        </is>
      </c>
      <c r="G2981" s="7" t="inlineStr">
        <is>
          <t>AIE CARS PRIVATE LIMITED</t>
        </is>
      </c>
      <c r="H2981" s="7" t="inlineStr">
        <is>
          <t>Non-Captive</t>
        </is>
      </c>
      <c r="I2981" s="7" t="inlineStr">
        <is>
          <t>S2 MOTORZ</t>
        </is>
      </c>
      <c r="J2981" s="8" t="n">
        <v>2007</v>
      </c>
      <c r="K2981" s="9" t="n">
        <v>87847</v>
      </c>
      <c r="L2981" s="10" t="n">
        <v>86000</v>
      </c>
      <c r="M2981" s="10" t="n">
        <v>4237.29</v>
      </c>
      <c r="N2981" s="11">
        <f>IF(M2981="","",ROUND(M2981*1.18,2))</f>
        <v/>
      </c>
      <c r="O2981" s="12">
        <f>IF(M2981="","",ROUND(N2981-M2981,2))</f>
        <v/>
      </c>
      <c r="P2981" s="13">
        <f>IF(AND(A2981&lt;&gt;"",B2981&lt;&gt;""), A2981&amp;" · "&amp;B2981, "")</f>
        <v/>
      </c>
    </row>
    <row r="2982">
      <c r="A2982" s="6" t="inlineStr">
        <is>
          <t>FY27</t>
        </is>
      </c>
      <c r="B2982" s="6" t="inlineStr">
        <is>
          <t>Jul</t>
        </is>
      </c>
      <c r="C2982" s="6" t="inlineStr">
        <is>
          <t>TN</t>
        </is>
      </c>
      <c r="D2982" s="7" t="inlineStr">
        <is>
          <t>TN01AE7062</t>
        </is>
      </c>
      <c r="E2982" s="7" t="inlineStr">
        <is>
          <t>MARUTI SUZUKI</t>
        </is>
      </c>
      <c r="F2982" s="7" t="inlineStr">
        <is>
          <t>Alto</t>
        </is>
      </c>
      <c r="G2982" s="7" t="inlineStr">
        <is>
          <t>KALYANI MOTORS MARUTI</t>
        </is>
      </c>
      <c r="H2982" s="7" t="inlineStr">
        <is>
          <t>Non-Captive</t>
        </is>
      </c>
      <c r="I2982" s="7" t="inlineStr">
        <is>
          <t>Senthil Cars</t>
        </is>
      </c>
      <c r="J2982" s="8" t="n">
        <v>2007</v>
      </c>
      <c r="K2982" s="9" t="n">
        <v>126715</v>
      </c>
      <c r="L2982" s="10" t="n">
        <v>92000</v>
      </c>
      <c r="M2982" s="10" t="n">
        <v>4237.29</v>
      </c>
      <c r="N2982" s="11">
        <f>IF(M2982="","",ROUND(M2982*1.18,2))</f>
        <v/>
      </c>
      <c r="O2982" s="12">
        <f>IF(M2982="","",ROUND(N2982-M2982,2))</f>
        <v/>
      </c>
      <c r="P2982" s="13">
        <f>IF(AND(A2982&lt;&gt;"",B2982&lt;&gt;""), A2982&amp;" · "&amp;B2982, "")</f>
        <v/>
      </c>
    </row>
    <row r="2983">
      <c r="A2983" s="6" t="inlineStr">
        <is>
          <t>FY27</t>
        </is>
      </c>
      <c r="B2983" s="6" t="inlineStr">
        <is>
          <t>Jul</t>
        </is>
      </c>
      <c r="C2983" s="6" t="inlineStr">
        <is>
          <t>TN</t>
        </is>
      </c>
      <c r="D2983" s="7" t="inlineStr">
        <is>
          <t>TN01AM0546</t>
        </is>
      </c>
      <c r="E2983" s="7" t="inlineStr">
        <is>
          <t>NISSAN</t>
        </is>
      </c>
      <c r="F2983" s="7" t="inlineStr">
        <is>
          <t>Micra</t>
        </is>
      </c>
      <c r="G2983" s="7" t="inlineStr">
        <is>
          <t>VISHNU CARS PRIVATE LIMITED</t>
        </is>
      </c>
      <c r="H2983" s="7" t="inlineStr">
        <is>
          <t>Non-Captive</t>
        </is>
      </c>
      <c r="I2983" s="7" t="inlineStr">
        <is>
          <t>Pine Autos</t>
        </is>
      </c>
      <c r="J2983" s="8" t="n">
        <v>2010</v>
      </c>
      <c r="K2983" s="9" t="n">
        <v>83214</v>
      </c>
      <c r="L2983" s="10" t="n">
        <v>98000</v>
      </c>
      <c r="M2983" s="10" t="n">
        <v>4237.29</v>
      </c>
      <c r="N2983" s="11">
        <f>IF(M2983="","",ROUND(M2983*1.18,2))</f>
        <v/>
      </c>
      <c r="O2983" s="12">
        <f>IF(M2983="","",ROUND(N2983-M2983,2))</f>
        <v/>
      </c>
      <c r="P2983" s="13">
        <f>IF(AND(A2983&lt;&gt;"",B2983&lt;&gt;""), A2983&amp;" · "&amp;B2983, "")</f>
        <v/>
      </c>
    </row>
    <row r="2984">
      <c r="A2984" s="6" t="inlineStr">
        <is>
          <t>FY27</t>
        </is>
      </c>
      <c r="B2984" s="6" t="inlineStr">
        <is>
          <t>Jul</t>
        </is>
      </c>
      <c r="C2984" s="6" t="inlineStr">
        <is>
          <t>TN</t>
        </is>
      </c>
      <c r="D2984" s="7" t="inlineStr">
        <is>
          <t>TN01AP8649</t>
        </is>
      </c>
      <c r="E2984" s="7" t="inlineStr">
        <is>
          <t>MARUTI SUZUKI</t>
        </is>
      </c>
      <c r="F2984" s="7" t="inlineStr">
        <is>
          <t>A-Star</t>
        </is>
      </c>
      <c r="G2984" s="7" t="inlineStr">
        <is>
          <t>AIE CARS PRIVATE LIMITED</t>
        </is>
      </c>
      <c r="H2984" s="7" t="inlineStr">
        <is>
          <t>Non-Captive</t>
        </is>
      </c>
      <c r="I2984" s="7" t="inlineStr">
        <is>
          <t>LIAKATHCARS</t>
        </is>
      </c>
      <c r="J2984" s="8" t="n">
        <v>2010</v>
      </c>
      <c r="K2984" s="9" t="n">
        <v>25234</v>
      </c>
      <c r="L2984" s="10" t="n">
        <v>99000</v>
      </c>
      <c r="M2984" s="10" t="n">
        <v>4237.29</v>
      </c>
      <c r="N2984" s="11">
        <f>IF(M2984="","",ROUND(M2984*1.18,2))</f>
        <v/>
      </c>
      <c r="O2984" s="12">
        <f>IF(M2984="","",ROUND(N2984-M2984,2))</f>
        <v/>
      </c>
      <c r="P2984" s="13">
        <f>IF(AND(A2984&lt;&gt;"",B2984&lt;&gt;""), A2984&amp;" · "&amp;B2984, "")</f>
        <v/>
      </c>
    </row>
    <row r="2985">
      <c r="A2985" s="6" t="inlineStr">
        <is>
          <t>FY27</t>
        </is>
      </c>
      <c r="B2985" s="6" t="inlineStr">
        <is>
          <t>Jul</t>
        </is>
      </c>
      <c r="C2985" s="6" t="inlineStr">
        <is>
          <t>TN</t>
        </is>
      </c>
      <c r="D2985" s="7" t="inlineStr">
        <is>
          <t>TN01AR4519</t>
        </is>
      </c>
      <c r="E2985" s="7" t="inlineStr">
        <is>
          <t>HONDA</t>
        </is>
      </c>
      <c r="F2985" s="7" t="inlineStr">
        <is>
          <t>City</t>
        </is>
      </c>
      <c r="G2985" s="7" t="inlineStr">
        <is>
          <t>CASTLE TRADERS MARUTI</t>
        </is>
      </c>
      <c r="H2985" s="7" t="inlineStr">
        <is>
          <t>Non-Captive</t>
        </is>
      </c>
      <c r="I2985" s="7" t="inlineStr">
        <is>
          <t>Suganya Cars</t>
        </is>
      </c>
      <c r="J2985" s="8" t="n">
        <v>2012</v>
      </c>
      <c r="K2985" s="9" t="n">
        <v>65176</v>
      </c>
      <c r="L2985" s="10" t="n">
        <v>245000</v>
      </c>
      <c r="M2985" s="10" t="n">
        <v>6355.93</v>
      </c>
      <c r="N2985" s="11">
        <f>IF(M2985="","",ROUND(M2985*1.18,2))</f>
        <v/>
      </c>
      <c r="O2985" s="12">
        <f>IF(M2985="","",ROUND(N2985-M2985,2))</f>
        <v/>
      </c>
      <c r="P2985" s="13">
        <f>IF(AND(A2985&lt;&gt;"",B2985&lt;&gt;""), A2985&amp;" · "&amp;B2985, "")</f>
        <v/>
      </c>
    </row>
    <row r="2986">
      <c r="A2986" s="6" t="inlineStr">
        <is>
          <t>FY27</t>
        </is>
      </c>
      <c r="B2986" s="6" t="inlineStr">
        <is>
          <t>Jul</t>
        </is>
      </c>
      <c r="C2986" s="6" t="inlineStr">
        <is>
          <t>TN</t>
        </is>
      </c>
      <c r="D2986" s="7" t="inlineStr">
        <is>
          <t>TN01AU4088</t>
        </is>
      </c>
      <c r="E2986" s="7" t="inlineStr">
        <is>
          <t>NISSAN</t>
        </is>
      </c>
      <c r="F2986" s="7" t="inlineStr">
        <is>
          <t>Sunny</t>
        </is>
      </c>
      <c r="G2986" s="7" t="inlineStr">
        <is>
          <t>EXCHANGE CHENNAI</t>
        </is>
      </c>
      <c r="H2986" s="7" t="inlineStr">
        <is>
          <t>Captive</t>
        </is>
      </c>
      <c r="I2986" s="7" t="inlineStr">
        <is>
          <t>&lt;NA&gt;</t>
        </is>
      </c>
      <c r="J2986" s="8" t="n">
        <v>2013</v>
      </c>
      <c r="K2986" s="9" t="n">
        <v>21264</v>
      </c>
      <c r="L2986" s="10" t="n">
        <v>240000</v>
      </c>
      <c r="M2986" s="10" t="n">
        <v>8474.58</v>
      </c>
      <c r="N2986" s="11">
        <f>IF(M2986="","",ROUND(M2986*1.18,2))</f>
        <v/>
      </c>
      <c r="O2986" s="12">
        <f>IF(M2986="","",ROUND(N2986-M2986,2))</f>
        <v/>
      </c>
      <c r="P2986" s="13">
        <f>IF(AND(A2986&lt;&gt;"",B2986&lt;&gt;""), A2986&amp;" · "&amp;B2986, "")</f>
        <v/>
      </c>
    </row>
    <row r="2987">
      <c r="A2987" s="6" t="inlineStr">
        <is>
          <t>FY27</t>
        </is>
      </c>
      <c r="B2987" s="6" t="inlineStr">
        <is>
          <t>Jul</t>
        </is>
      </c>
      <c r="C2987" s="6" t="inlineStr">
        <is>
          <t>TN</t>
        </is>
      </c>
      <c r="D2987" s="7" t="inlineStr">
        <is>
          <t>TN01AV6018</t>
        </is>
      </c>
      <c r="E2987" s="7" t="inlineStr">
        <is>
          <t>HONDA</t>
        </is>
      </c>
      <c r="F2987" s="7" t="inlineStr">
        <is>
          <t>Brio</t>
        </is>
      </c>
      <c r="G2987" s="7" t="inlineStr">
        <is>
          <t>CAR HUB</t>
        </is>
      </c>
      <c r="H2987" s="7" t="inlineStr">
        <is>
          <t>Non-Captive</t>
        </is>
      </c>
      <c r="I2987" s="7" t="inlineStr">
        <is>
          <t>S2 MOTORZ</t>
        </is>
      </c>
      <c r="J2987" s="8" t="n">
        <v>2014</v>
      </c>
      <c r="K2987" s="9" t="n">
        <v>68178</v>
      </c>
      <c r="L2987" s="10" t="n">
        <v>200000</v>
      </c>
      <c r="M2987" s="10" t="n">
        <v>5084.75</v>
      </c>
      <c r="N2987" s="11">
        <f>IF(M2987="","",ROUND(M2987*1.18,2))</f>
        <v/>
      </c>
      <c r="O2987" s="12">
        <f>IF(M2987="","",ROUND(N2987-M2987,2))</f>
        <v/>
      </c>
      <c r="P2987" s="13">
        <f>IF(AND(A2987&lt;&gt;"",B2987&lt;&gt;""), A2987&amp;" · "&amp;B2987, "")</f>
        <v/>
      </c>
    </row>
    <row r="2988">
      <c r="A2988" s="6" t="inlineStr">
        <is>
          <t>FY27</t>
        </is>
      </c>
      <c r="B2988" s="6" t="inlineStr">
        <is>
          <t>Jul</t>
        </is>
      </c>
      <c r="C2988" s="6" t="inlineStr">
        <is>
          <t>TN</t>
        </is>
      </c>
      <c r="D2988" s="7" t="inlineStr">
        <is>
          <t>TN01AV6868</t>
        </is>
      </c>
      <c r="E2988" s="7" t="inlineStr">
        <is>
          <t>HONDA</t>
        </is>
      </c>
      <c r="F2988" s="7" t="inlineStr">
        <is>
          <t>City</t>
        </is>
      </c>
      <c r="G2988" s="7" t="inlineStr">
        <is>
          <t>EXCHANGE CHENNAI</t>
        </is>
      </c>
      <c r="H2988" s="7" t="inlineStr">
        <is>
          <t>Captive</t>
        </is>
      </c>
      <c r="I2988" s="7" t="inlineStr">
        <is>
          <t>&lt;NA&gt;</t>
        </is>
      </c>
      <c r="J2988" s="8" t="n">
        <v>2014</v>
      </c>
      <c r="K2988" s="9" t="n">
        <v>124417</v>
      </c>
      <c r="L2988" s="10" t="n">
        <v>450000</v>
      </c>
      <c r="M2988" s="10" t="n">
        <v>8474.58</v>
      </c>
      <c r="N2988" s="11">
        <f>IF(M2988="","",ROUND(M2988*1.18,2))</f>
        <v/>
      </c>
      <c r="O2988" s="12">
        <f>IF(M2988="","",ROUND(N2988-M2988,2))</f>
        <v/>
      </c>
      <c r="P2988" s="13">
        <f>IF(AND(A2988&lt;&gt;"",B2988&lt;&gt;""), A2988&amp;" · "&amp;B2988, "")</f>
        <v/>
      </c>
    </row>
    <row r="2989">
      <c r="A2989" s="6" t="inlineStr">
        <is>
          <t>FY27</t>
        </is>
      </c>
      <c r="B2989" s="6" t="inlineStr">
        <is>
          <t>Jul</t>
        </is>
      </c>
      <c r="C2989" s="6" t="inlineStr">
        <is>
          <t>TN</t>
        </is>
      </c>
      <c r="D2989" s="7" t="inlineStr">
        <is>
          <t>TN01AW2671</t>
        </is>
      </c>
      <c r="E2989" s="7" t="inlineStr">
        <is>
          <t>HONDA</t>
        </is>
      </c>
      <c r="F2989" s="7" t="inlineStr">
        <is>
          <t>City</t>
        </is>
      </c>
      <c r="G2989" s="7" t="inlineStr">
        <is>
          <t>EXCHANGE CHENNAI</t>
        </is>
      </c>
      <c r="H2989" s="7" t="inlineStr">
        <is>
          <t>Captive</t>
        </is>
      </c>
      <c r="I2989" s="7" t="inlineStr">
        <is>
          <t>Maruthi Industries</t>
        </is>
      </c>
      <c r="J2989" s="8" t="n">
        <v>2014</v>
      </c>
      <c r="K2989" s="9" t="n">
        <v>93755</v>
      </c>
      <c r="L2989" s="10" t="n">
        <v>360000</v>
      </c>
      <c r="M2989" s="10" t="n">
        <v>6779.66</v>
      </c>
      <c r="N2989" s="11">
        <f>IF(M2989="","",ROUND(M2989*1.18,2))</f>
        <v/>
      </c>
      <c r="O2989" s="12">
        <f>IF(M2989="","",ROUND(N2989-M2989,2))</f>
        <v/>
      </c>
      <c r="P2989" s="13">
        <f>IF(AND(A2989&lt;&gt;"",B2989&lt;&gt;""), A2989&amp;" · "&amp;B2989, "")</f>
        <v/>
      </c>
    </row>
    <row r="2990">
      <c r="A2990" s="6" t="inlineStr">
        <is>
          <t>FY27</t>
        </is>
      </c>
      <c r="B2990" s="6" t="inlineStr">
        <is>
          <t>Jul</t>
        </is>
      </c>
      <c r="C2990" s="6" t="inlineStr">
        <is>
          <t>TN</t>
        </is>
      </c>
      <c r="D2990" s="7" t="inlineStr">
        <is>
          <t>TN01AZ2588</t>
        </is>
      </c>
      <c r="E2990" s="7" t="inlineStr">
        <is>
          <t>CHEVROLET</t>
        </is>
      </c>
      <c r="F2990" s="7" t="inlineStr">
        <is>
          <t>Enjoy</t>
        </is>
      </c>
      <c r="G2990" s="7" t="inlineStr">
        <is>
          <t>CASTLE TRADERS MARUTI</t>
        </is>
      </c>
      <c r="H2990" s="7" t="inlineStr">
        <is>
          <t>Non-Captive</t>
        </is>
      </c>
      <c r="I2990" s="7" t="inlineStr">
        <is>
          <t>Senthil Cars</t>
        </is>
      </c>
      <c r="J2990" s="8" t="n">
        <v>2015</v>
      </c>
      <c r="K2990" s="9" t="n">
        <v>264852</v>
      </c>
      <c r="L2990" s="10" t="n">
        <v>90000</v>
      </c>
      <c r="M2990" s="10" t="n">
        <v>4237.29</v>
      </c>
      <c r="N2990" s="11">
        <f>IF(M2990="","",ROUND(M2990*1.18,2))</f>
        <v/>
      </c>
      <c r="O2990" s="12">
        <f>IF(M2990="","",ROUND(N2990-M2990,2))</f>
        <v/>
      </c>
      <c r="P2990" s="13">
        <f>IF(AND(A2990&lt;&gt;"",B2990&lt;&gt;""), A2990&amp;" · "&amp;B2990, "")</f>
        <v/>
      </c>
    </row>
    <row r="2991">
      <c r="A2991" s="6" t="inlineStr">
        <is>
          <t>FY27</t>
        </is>
      </c>
      <c r="B2991" s="6" t="inlineStr">
        <is>
          <t>Jul</t>
        </is>
      </c>
      <c r="C2991" s="6" t="inlineStr">
        <is>
          <t>TN</t>
        </is>
      </c>
      <c r="D2991" s="7" t="inlineStr">
        <is>
          <t>TN01BA5542</t>
        </is>
      </c>
      <c r="E2991" s="7" t="inlineStr">
        <is>
          <t>MAHINDRA</t>
        </is>
      </c>
      <c r="F2991" s="7" t="inlineStr">
        <is>
          <t>KUV100</t>
        </is>
      </c>
      <c r="G2991" s="7" t="inlineStr">
        <is>
          <t>CASTLE TRADERS MARUTI</t>
        </is>
      </c>
      <c r="H2991" s="7" t="inlineStr">
        <is>
          <t>Non-Captive</t>
        </is>
      </c>
      <c r="I2991" s="7" t="inlineStr">
        <is>
          <t>AAA Cars</t>
        </is>
      </c>
      <c r="J2991" s="8" t="n">
        <v>2016</v>
      </c>
      <c r="K2991" s="9" t="n">
        <v>120740</v>
      </c>
      <c r="L2991" s="10" t="n">
        <v>205000</v>
      </c>
      <c r="M2991" s="10" t="n">
        <v>8627.120000000001</v>
      </c>
      <c r="N2991" s="11">
        <f>IF(M2991="","",ROUND(M2991*1.18,2))</f>
        <v/>
      </c>
      <c r="O2991" s="12">
        <f>IF(M2991="","",ROUND(N2991-M2991,2))</f>
        <v/>
      </c>
      <c r="P2991" s="13">
        <f>IF(AND(A2991&lt;&gt;"",B2991&lt;&gt;""), A2991&amp;" · "&amp;B2991, "")</f>
        <v/>
      </c>
    </row>
    <row r="2992">
      <c r="A2992" s="6" t="inlineStr">
        <is>
          <t>FY27</t>
        </is>
      </c>
      <c r="B2992" s="6" t="inlineStr">
        <is>
          <t>Jul</t>
        </is>
      </c>
      <c r="C2992" s="6" t="inlineStr">
        <is>
          <t>TN</t>
        </is>
      </c>
      <c r="D2992" s="7" t="inlineStr">
        <is>
          <t>TN01BC0317</t>
        </is>
      </c>
      <c r="E2992" s="7" t="inlineStr">
        <is>
          <t>MAHINDRA</t>
        </is>
      </c>
      <c r="F2992" s="7" t="inlineStr">
        <is>
          <t>KUV100</t>
        </is>
      </c>
      <c r="G2992" s="7" t="inlineStr">
        <is>
          <t>CASTLE TRADERS MARUTI</t>
        </is>
      </c>
      <c r="H2992" s="7" t="inlineStr">
        <is>
          <t>Non-Captive</t>
        </is>
      </c>
      <c r="I2992" s="7" t="inlineStr">
        <is>
          <t>Aasim Motors</t>
        </is>
      </c>
      <c r="J2992" s="8" t="n">
        <v>2017</v>
      </c>
      <c r="K2992" s="9" t="n">
        <v>52776</v>
      </c>
      <c r="L2992" s="10" t="n">
        <v>215000</v>
      </c>
      <c r="M2992" s="10" t="n">
        <v>6355.93</v>
      </c>
      <c r="N2992" s="11">
        <f>IF(M2992="","",ROUND(M2992*1.18,2))</f>
        <v/>
      </c>
      <c r="O2992" s="12">
        <f>IF(M2992="","",ROUND(N2992-M2992,2))</f>
        <v/>
      </c>
      <c r="P2992" s="13">
        <f>IF(AND(A2992&lt;&gt;"",B2992&lt;&gt;""), A2992&amp;" · "&amp;B2992, "")</f>
        <v/>
      </c>
    </row>
    <row r="2993">
      <c r="A2993" s="6" t="inlineStr">
        <is>
          <t>FY27</t>
        </is>
      </c>
      <c r="B2993" s="6" t="inlineStr">
        <is>
          <t>Jul</t>
        </is>
      </c>
      <c r="C2993" s="6" t="inlineStr">
        <is>
          <t>TN</t>
        </is>
      </c>
      <c r="D2993" s="7" t="inlineStr">
        <is>
          <t>TN01BF3558</t>
        </is>
      </c>
      <c r="E2993" s="7" t="inlineStr">
        <is>
          <t>HYUNDAI</t>
        </is>
      </c>
      <c r="F2993" s="7" t="inlineStr">
        <is>
          <t>i20</t>
        </is>
      </c>
      <c r="G2993" s="7" t="inlineStr">
        <is>
          <t>VISHNU CARS PRIVATE LIMITED</t>
        </is>
      </c>
      <c r="H2993" s="7" t="inlineStr">
        <is>
          <t>Non-Captive</t>
        </is>
      </c>
      <c r="I2993" s="7" t="inlineStr">
        <is>
          <t>Senthil Cars</t>
        </is>
      </c>
      <c r="J2993" s="8" t="n">
        <v>2018</v>
      </c>
      <c r="K2993" s="9" t="n">
        <v>40840</v>
      </c>
      <c r="L2993" s="10" t="n">
        <v>98000</v>
      </c>
      <c r="M2993" s="10" t="n">
        <v>4237.29</v>
      </c>
      <c r="N2993" s="11">
        <f>IF(M2993="","",ROUND(M2993*1.18,2))</f>
        <v/>
      </c>
      <c r="O2993" s="12">
        <f>IF(M2993="","",ROUND(N2993-M2993,2))</f>
        <v/>
      </c>
      <c r="P2993" s="13">
        <f>IF(AND(A2993&lt;&gt;"",B2993&lt;&gt;""), A2993&amp;" · "&amp;B2993, "")</f>
        <v/>
      </c>
    </row>
    <row r="2994">
      <c r="A2994" s="6" t="inlineStr">
        <is>
          <t>FY27</t>
        </is>
      </c>
      <c r="B2994" s="6" t="inlineStr">
        <is>
          <t>Jul</t>
        </is>
      </c>
      <c r="C2994" s="6" t="inlineStr">
        <is>
          <t>TN</t>
        </is>
      </c>
      <c r="D2994" s="7" t="inlineStr">
        <is>
          <t>TN01BF3964</t>
        </is>
      </c>
      <c r="E2994" s="7" t="inlineStr">
        <is>
          <t>MARUTI SUZUKI</t>
        </is>
      </c>
      <c r="F2994" s="7" t="inlineStr">
        <is>
          <t>Baleno</t>
        </is>
      </c>
      <c r="G2994" s="7" t="inlineStr">
        <is>
          <t>VISHNU CARS PRIVATE LIMITED</t>
        </is>
      </c>
      <c r="H2994" s="7" t="inlineStr">
        <is>
          <t>Non-Captive</t>
        </is>
      </c>
      <c r="I2994" s="7" t="inlineStr">
        <is>
          <t>Senthil Cars</t>
        </is>
      </c>
      <c r="J2994" s="8" t="n">
        <v>2018</v>
      </c>
      <c r="K2994" s="9" t="n">
        <v>60155</v>
      </c>
      <c r="L2994" s="10" t="n">
        <v>89700</v>
      </c>
      <c r="M2994" s="10" t="n">
        <v>4237.29</v>
      </c>
      <c r="N2994" s="11">
        <f>IF(M2994="","",ROUND(M2994*1.18,2))</f>
        <v/>
      </c>
      <c r="O2994" s="12">
        <f>IF(M2994="","",ROUND(N2994-M2994,2))</f>
        <v/>
      </c>
      <c r="P2994" s="13">
        <f>IF(AND(A2994&lt;&gt;"",B2994&lt;&gt;""), A2994&amp;" · "&amp;B2994, "")</f>
        <v/>
      </c>
    </row>
    <row r="2995">
      <c r="A2995" s="6" t="inlineStr">
        <is>
          <t>FY27</t>
        </is>
      </c>
      <c r="B2995" s="6" t="inlineStr">
        <is>
          <t>Jul</t>
        </is>
      </c>
      <c r="C2995" s="6" t="inlineStr">
        <is>
          <t>TN</t>
        </is>
      </c>
      <c r="D2995" s="7" t="inlineStr">
        <is>
          <t>TN01BK3004</t>
        </is>
      </c>
      <c r="E2995" s="7" t="inlineStr">
        <is>
          <t>MARUTI SUZUKI</t>
        </is>
      </c>
      <c r="F2995" s="7" t="inlineStr">
        <is>
          <t>Swift</t>
        </is>
      </c>
      <c r="G2995" s="7" t="inlineStr">
        <is>
          <t>EXCHANGE ROTN</t>
        </is>
      </c>
      <c r="H2995" s="7" t="inlineStr">
        <is>
          <t>Captive</t>
        </is>
      </c>
      <c r="I2995" s="7" t="inlineStr">
        <is>
          <t>SRI RAJA KANAPATHY CARS</t>
        </is>
      </c>
      <c r="J2995" s="8" t="n">
        <v>2020</v>
      </c>
      <c r="K2995" s="9" t="n">
        <v>174231</v>
      </c>
      <c r="L2995" s="10" t="n">
        <v>315000</v>
      </c>
      <c r="M2995" s="10" t="n">
        <v>12711.86</v>
      </c>
      <c r="N2995" s="11">
        <f>IF(M2995="","",ROUND(M2995*1.18,2))</f>
        <v/>
      </c>
      <c r="O2995" s="12">
        <f>IF(M2995="","",ROUND(N2995-M2995,2))</f>
        <v/>
      </c>
      <c r="P2995" s="13">
        <f>IF(AND(A2995&lt;&gt;"",B2995&lt;&gt;""), A2995&amp;" · "&amp;B2995, "")</f>
        <v/>
      </c>
    </row>
    <row r="2996">
      <c r="A2996" s="6" t="inlineStr">
        <is>
          <t>FY27</t>
        </is>
      </c>
      <c r="B2996" s="6" t="inlineStr">
        <is>
          <t>Jul</t>
        </is>
      </c>
      <c r="C2996" s="6" t="inlineStr">
        <is>
          <t>TN</t>
        </is>
      </c>
      <c r="D2996" s="7" t="inlineStr">
        <is>
          <t>TN01BL9165</t>
        </is>
      </c>
      <c r="E2996" s="7" t="inlineStr">
        <is>
          <t>HONDA</t>
        </is>
      </c>
      <c r="F2996" s="7" t="inlineStr">
        <is>
          <t>City</t>
        </is>
      </c>
      <c r="G2996" s="7" t="inlineStr">
        <is>
          <t>EXCHANGE CHENNAI</t>
        </is>
      </c>
      <c r="H2996" s="7" t="inlineStr">
        <is>
          <t>Captive</t>
        </is>
      </c>
      <c r="I2996" s="7" t="inlineStr">
        <is>
          <t>&lt;NA&gt;</t>
        </is>
      </c>
      <c r="J2996" s="8" t="n">
        <v>2021</v>
      </c>
      <c r="K2996" s="9" t="n">
        <v>78882</v>
      </c>
      <c r="L2996" s="10" t="n">
        <v>775000</v>
      </c>
      <c r="M2996" s="10" t="n">
        <v>8474.58</v>
      </c>
      <c r="N2996" s="11">
        <f>IF(M2996="","",ROUND(M2996*1.18,2))</f>
        <v/>
      </c>
      <c r="O2996" s="12">
        <f>IF(M2996="","",ROUND(N2996-M2996,2))</f>
        <v/>
      </c>
      <c r="P2996" s="13">
        <f>IF(AND(A2996&lt;&gt;"",B2996&lt;&gt;""), A2996&amp;" · "&amp;B2996, "")</f>
        <v/>
      </c>
    </row>
    <row r="2997">
      <c r="A2997" s="6" t="inlineStr">
        <is>
          <t>FY27</t>
        </is>
      </c>
      <c r="B2997" s="6" t="inlineStr">
        <is>
          <t>Jul</t>
        </is>
      </c>
      <c r="C2997" s="6" t="inlineStr">
        <is>
          <t>TN</t>
        </is>
      </c>
      <c r="D2997" s="7" t="inlineStr">
        <is>
          <t>TN01BM4802</t>
        </is>
      </c>
      <c r="E2997" s="7" t="inlineStr">
        <is>
          <t>DATSUN</t>
        </is>
      </c>
      <c r="F2997" s="7" t="inlineStr">
        <is>
          <t>Redi-GO</t>
        </is>
      </c>
      <c r="G2997" s="7" t="inlineStr">
        <is>
          <t>RAJALAKSHMI CARS</t>
        </is>
      </c>
      <c r="H2997" s="7" t="inlineStr">
        <is>
          <t>Non-Captive</t>
        </is>
      </c>
      <c r="I2997" s="7" t="inlineStr">
        <is>
          <t>Pine Autos</t>
        </is>
      </c>
      <c r="J2997" s="8" t="n">
        <v>2021</v>
      </c>
      <c r="K2997" s="9" t="n">
        <v>24596</v>
      </c>
      <c r="L2997" s="10" t="n">
        <v>90000</v>
      </c>
      <c r="M2997" s="10" t="n">
        <v>4661.02</v>
      </c>
      <c r="N2997" s="11">
        <f>IF(M2997="","",ROUND(M2997*1.18,2))</f>
        <v/>
      </c>
      <c r="O2997" s="12">
        <f>IF(M2997="","",ROUND(N2997-M2997,2))</f>
        <v/>
      </c>
      <c r="P2997" s="13">
        <f>IF(AND(A2997&lt;&gt;"",B2997&lt;&gt;""), A2997&amp;" · "&amp;B2997, "")</f>
        <v/>
      </c>
    </row>
    <row r="2998">
      <c r="A2998" s="6" t="inlineStr">
        <is>
          <t>FY27</t>
        </is>
      </c>
      <c r="B2998" s="6" t="inlineStr">
        <is>
          <t>Jul</t>
        </is>
      </c>
      <c r="C2998" s="6" t="inlineStr">
        <is>
          <t>TN</t>
        </is>
      </c>
      <c r="D2998" s="7" t="inlineStr">
        <is>
          <t>TN01R0594</t>
        </is>
      </c>
      <c r="E2998" s="7" t="inlineStr">
        <is>
          <t>HONDA</t>
        </is>
      </c>
      <c r="F2998" s="7" t="inlineStr">
        <is>
          <t>City</t>
        </is>
      </c>
      <c r="G2998" s="7" t="inlineStr">
        <is>
          <t>AIE CARS PRIVATE LIMITED</t>
        </is>
      </c>
      <c r="H2998" s="7" t="inlineStr">
        <is>
          <t>Non-Captive</t>
        </is>
      </c>
      <c r="I2998" s="7" t="inlineStr">
        <is>
          <t>S2 MOTORZ</t>
        </is>
      </c>
      <c r="J2998" s="8" t="n">
        <v>2000</v>
      </c>
      <c r="K2998" s="9" t="n">
        <v>129411</v>
      </c>
      <c r="L2998" s="10" t="n">
        <v>92000</v>
      </c>
      <c r="M2998" s="10" t="n">
        <v>4237.29</v>
      </c>
      <c r="N2998" s="11">
        <f>IF(M2998="","",ROUND(M2998*1.18,2))</f>
        <v/>
      </c>
      <c r="O2998" s="12">
        <f>IF(M2998="","",ROUND(N2998-M2998,2))</f>
        <v/>
      </c>
      <c r="P2998" s="13">
        <f>IF(AND(A2998&lt;&gt;"",B2998&lt;&gt;""), A2998&amp;" · "&amp;B2998, "")</f>
        <v/>
      </c>
    </row>
    <row r="2999">
      <c r="A2999" s="6" t="inlineStr">
        <is>
          <t>FY27</t>
        </is>
      </c>
      <c r="B2999" s="6" t="inlineStr">
        <is>
          <t>Jul</t>
        </is>
      </c>
      <c r="C2999" s="6" t="inlineStr">
        <is>
          <t>TN</t>
        </is>
      </c>
      <c r="D2999" s="7" t="inlineStr">
        <is>
          <t>TN02AF1414</t>
        </is>
      </c>
      <c r="E2999" s="7" t="inlineStr">
        <is>
          <t>MARUTI SUZUKI</t>
        </is>
      </c>
      <c r="F2999" s="7" t="inlineStr">
        <is>
          <t>Swift</t>
        </is>
      </c>
      <c r="G2999" s="7" t="inlineStr">
        <is>
          <t>EXCHANGE ROTN</t>
        </is>
      </c>
      <c r="H2999" s="7" t="inlineStr">
        <is>
          <t>Captive</t>
        </is>
      </c>
      <c r="I2999" s="7" t="inlineStr">
        <is>
          <t>READY TO RIDE CARS</t>
        </is>
      </c>
      <c r="J2999" s="8" t="n">
        <v>2008</v>
      </c>
      <c r="K2999" s="9" t="n">
        <v>148232</v>
      </c>
      <c r="L2999" s="10" t="n">
        <v>98000</v>
      </c>
      <c r="M2999" s="10" t="n">
        <v>4237.29</v>
      </c>
      <c r="N2999" s="11">
        <f>IF(M2999="","",ROUND(M2999*1.18,2))</f>
        <v/>
      </c>
      <c r="O2999" s="12">
        <f>IF(M2999="","",ROUND(N2999-M2999,2))</f>
        <v/>
      </c>
      <c r="P2999" s="13">
        <f>IF(AND(A2999&lt;&gt;"",B2999&lt;&gt;""), A2999&amp;" · "&amp;B2999, "")</f>
        <v/>
      </c>
    </row>
    <row r="3000">
      <c r="A3000" s="6" t="inlineStr">
        <is>
          <t>FY27</t>
        </is>
      </c>
      <c r="B3000" s="6" t="inlineStr">
        <is>
          <t>Jul</t>
        </is>
      </c>
      <c r="C3000" s="6" t="inlineStr">
        <is>
          <t>TN</t>
        </is>
      </c>
      <c r="D3000" s="7" t="inlineStr">
        <is>
          <t>TN02AP4052</t>
        </is>
      </c>
      <c r="E3000" s="7" t="inlineStr">
        <is>
          <t>MARUTI SUZUKI</t>
        </is>
      </c>
      <c r="F3000" s="7" t="inlineStr">
        <is>
          <t>Alto</t>
        </is>
      </c>
      <c r="G3000" s="7" t="inlineStr">
        <is>
          <t>CARS INDIA</t>
        </is>
      </c>
      <c r="H3000" s="7" t="inlineStr">
        <is>
          <t>Non-Captive</t>
        </is>
      </c>
      <c r="I3000" s="7" t="inlineStr">
        <is>
          <t>AAA Cars</t>
        </is>
      </c>
      <c r="J3000" s="8" t="n">
        <v>2010</v>
      </c>
      <c r="K3000" s="9" t="n">
        <v>91311</v>
      </c>
      <c r="L3000" s="10" t="n">
        <v>99000</v>
      </c>
      <c r="M3000" s="10" t="n">
        <v>4237.29</v>
      </c>
      <c r="N3000" s="11">
        <f>IF(M3000="","",ROUND(M3000*1.18,2))</f>
        <v/>
      </c>
      <c r="O3000" s="12">
        <f>IF(M3000="","",ROUND(N3000-M3000,2))</f>
        <v/>
      </c>
      <c r="P3000" s="13">
        <f>IF(AND(A3000&lt;&gt;"",B3000&lt;&gt;""), A3000&amp;" · "&amp;B3000, "")</f>
        <v/>
      </c>
    </row>
    <row r="3001">
      <c r="A3001" s="6" t="inlineStr">
        <is>
          <t>FY27</t>
        </is>
      </c>
      <c r="B3001" s="6" t="inlineStr">
        <is>
          <t>Jul</t>
        </is>
      </c>
      <c r="C3001" s="6" t="inlineStr">
        <is>
          <t>TN</t>
        </is>
      </c>
      <c r="D3001" s="7" t="inlineStr">
        <is>
          <t>TN02AQ7889</t>
        </is>
      </c>
      <c r="E3001" s="7" t="inlineStr">
        <is>
          <t>SKODA</t>
        </is>
      </c>
      <c r="F3001" s="7" t="inlineStr">
        <is>
          <t>Fabia</t>
        </is>
      </c>
      <c r="G3001" s="7" t="inlineStr">
        <is>
          <t>EXCHANGE ROTN</t>
        </is>
      </c>
      <c r="H3001" s="7" t="inlineStr">
        <is>
          <t>Captive</t>
        </is>
      </c>
      <c r="I3001" s="7" t="inlineStr">
        <is>
          <t>Ayyappa Cars</t>
        </is>
      </c>
      <c r="J3001" s="8" t="n">
        <v>2011</v>
      </c>
      <c r="K3001" s="9" t="n">
        <v>115995</v>
      </c>
      <c r="L3001" s="10" t="n">
        <v>60000</v>
      </c>
      <c r="M3001" s="10" t="n">
        <v>4237.29</v>
      </c>
      <c r="N3001" s="11">
        <f>IF(M3001="","",ROUND(M3001*1.18,2))</f>
        <v/>
      </c>
      <c r="O3001" s="12">
        <f>IF(M3001="","",ROUND(N3001-M3001,2))</f>
        <v/>
      </c>
      <c r="P3001" s="13">
        <f>IF(AND(A3001&lt;&gt;"",B3001&lt;&gt;""), A3001&amp;" · "&amp;B3001, "")</f>
        <v/>
      </c>
    </row>
    <row r="3002">
      <c r="A3002" s="6" t="inlineStr">
        <is>
          <t>FY27</t>
        </is>
      </c>
      <c r="B3002" s="6" t="inlineStr">
        <is>
          <t>Jul</t>
        </is>
      </c>
      <c r="C3002" s="6" t="inlineStr">
        <is>
          <t>TN</t>
        </is>
      </c>
      <c r="D3002" s="7" t="inlineStr">
        <is>
          <t>TN02AU9104</t>
        </is>
      </c>
      <c r="E3002" s="7" t="inlineStr">
        <is>
          <t>HYUNDAI</t>
        </is>
      </c>
      <c r="F3002" s="7" t="inlineStr">
        <is>
          <t>Eon</t>
        </is>
      </c>
      <c r="G3002" s="7" t="inlineStr">
        <is>
          <t>EXCHANGE ROTN</t>
        </is>
      </c>
      <c r="H3002" s="7" t="inlineStr">
        <is>
          <t>Captive</t>
        </is>
      </c>
      <c r="I3002" s="7" t="inlineStr">
        <is>
          <t>READY TO RIDE CARS</t>
        </is>
      </c>
      <c r="J3002" s="8" t="n">
        <v>2012</v>
      </c>
      <c r="K3002" s="9" t="n">
        <v>181117</v>
      </c>
      <c r="L3002" s="10" t="n">
        <v>100000</v>
      </c>
      <c r="M3002" s="10" t="n">
        <v>12711.86</v>
      </c>
      <c r="N3002" s="11">
        <f>IF(M3002="","",ROUND(M3002*1.18,2))</f>
        <v/>
      </c>
      <c r="O3002" s="12">
        <f>IF(M3002="","",ROUND(N3002-M3002,2))</f>
        <v/>
      </c>
      <c r="P3002" s="13">
        <f>IF(AND(A3002&lt;&gt;"",B3002&lt;&gt;""), A3002&amp;" · "&amp;B3002, "")</f>
        <v/>
      </c>
    </row>
    <row r="3003">
      <c r="A3003" s="6" t="inlineStr">
        <is>
          <t>FY27</t>
        </is>
      </c>
      <c r="B3003" s="6" t="inlineStr">
        <is>
          <t>Jul</t>
        </is>
      </c>
      <c r="C3003" s="6" t="inlineStr">
        <is>
          <t>TN</t>
        </is>
      </c>
      <c r="D3003" s="7" t="inlineStr">
        <is>
          <t>TN02AV7974</t>
        </is>
      </c>
      <c r="E3003" s="7" t="inlineStr">
        <is>
          <t>MARUTI SUZUKI</t>
        </is>
      </c>
      <c r="F3003" s="7" t="inlineStr">
        <is>
          <t>Ritz</t>
        </is>
      </c>
      <c r="G3003" s="7" t="inlineStr">
        <is>
          <t>VISHNU CARS PRIVATE LIMITED</t>
        </is>
      </c>
      <c r="H3003" s="7" t="inlineStr">
        <is>
          <t>Non-Captive</t>
        </is>
      </c>
      <c r="I3003" s="7" t="inlineStr">
        <is>
          <t>Pine Autos</t>
        </is>
      </c>
      <c r="J3003" s="8" t="n">
        <v>2012</v>
      </c>
      <c r="K3003" s="9" t="n">
        <v>229984</v>
      </c>
      <c r="L3003" s="10" t="n">
        <v>93000</v>
      </c>
      <c r="M3003" s="10" t="n">
        <v>4237.29</v>
      </c>
      <c r="N3003" s="11">
        <f>IF(M3003="","",ROUND(M3003*1.18,2))</f>
        <v/>
      </c>
      <c r="O3003" s="12">
        <f>IF(M3003="","",ROUND(N3003-M3003,2))</f>
        <v/>
      </c>
      <c r="P3003" s="13">
        <f>IF(AND(A3003&lt;&gt;"",B3003&lt;&gt;""), A3003&amp;" · "&amp;B3003, "")</f>
        <v/>
      </c>
    </row>
    <row r="3004">
      <c r="A3004" s="6" t="inlineStr">
        <is>
          <t>FY27</t>
        </is>
      </c>
      <c r="B3004" s="6" t="inlineStr">
        <is>
          <t>Jul</t>
        </is>
      </c>
      <c r="C3004" s="6" t="inlineStr">
        <is>
          <t>TN</t>
        </is>
      </c>
      <c r="D3004" s="7" t="inlineStr">
        <is>
          <t>TN02BA4987</t>
        </is>
      </c>
      <c r="E3004" s="7" t="inlineStr">
        <is>
          <t>HONDA</t>
        </is>
      </c>
      <c r="F3004" s="7" t="inlineStr">
        <is>
          <t>Amaze</t>
        </is>
      </c>
      <c r="G3004" s="7" t="inlineStr">
        <is>
          <t>CAR HUB</t>
        </is>
      </c>
      <c r="H3004" s="7" t="inlineStr">
        <is>
          <t>Non-Captive</t>
        </is>
      </c>
      <c r="I3004" s="7" t="inlineStr">
        <is>
          <t>Nirmal Cars</t>
        </is>
      </c>
      <c r="J3004" s="8" t="n">
        <v>2014</v>
      </c>
      <c r="K3004" s="9" t="n">
        <v>23490</v>
      </c>
      <c r="L3004" s="10" t="n">
        <v>98000</v>
      </c>
      <c r="M3004" s="10" t="n">
        <v>4237.29</v>
      </c>
      <c r="N3004" s="11">
        <f>IF(M3004="","",ROUND(M3004*1.18,2))</f>
        <v/>
      </c>
      <c r="O3004" s="12">
        <f>IF(M3004="","",ROUND(N3004-M3004,2))</f>
        <v/>
      </c>
      <c r="P3004" s="13">
        <f>IF(AND(A3004&lt;&gt;"",B3004&lt;&gt;""), A3004&amp;" · "&amp;B3004, "")</f>
        <v/>
      </c>
    </row>
    <row r="3005">
      <c r="A3005" s="6" t="inlineStr">
        <is>
          <t>FY27</t>
        </is>
      </c>
      <c r="B3005" s="6" t="inlineStr">
        <is>
          <t>Jul</t>
        </is>
      </c>
      <c r="C3005" s="6" t="inlineStr">
        <is>
          <t>TN</t>
        </is>
      </c>
      <c r="D3005" s="7" t="inlineStr">
        <is>
          <t>TN02BA9210</t>
        </is>
      </c>
      <c r="E3005" s="7" t="inlineStr">
        <is>
          <t>HYUNDAI</t>
        </is>
      </c>
      <c r="F3005" s="7" t="inlineStr">
        <is>
          <t>Eon</t>
        </is>
      </c>
      <c r="G3005" s="7" t="inlineStr">
        <is>
          <t>VISHNU CARS PRIVATE LIMITED</t>
        </is>
      </c>
      <c r="H3005" s="7" t="inlineStr">
        <is>
          <t>Non-Captive</t>
        </is>
      </c>
      <c r="I3005" s="7" t="inlineStr">
        <is>
          <t>LIAKATHCARS</t>
        </is>
      </c>
      <c r="J3005" s="8" t="n">
        <v>2014</v>
      </c>
      <c r="K3005" s="9" t="n">
        <v>112699</v>
      </c>
      <c r="L3005" s="10" t="n">
        <v>88000</v>
      </c>
      <c r="M3005" s="10" t="n">
        <v>4237.29</v>
      </c>
      <c r="N3005" s="11">
        <f>IF(M3005="","",ROUND(M3005*1.18,2))</f>
        <v/>
      </c>
      <c r="O3005" s="12">
        <f>IF(M3005="","",ROUND(N3005-M3005,2))</f>
        <v/>
      </c>
      <c r="P3005" s="13">
        <f>IF(AND(A3005&lt;&gt;"",B3005&lt;&gt;""), A3005&amp;" · "&amp;B3005, "")</f>
        <v/>
      </c>
    </row>
    <row r="3006">
      <c r="A3006" s="6" t="inlineStr">
        <is>
          <t>FY27</t>
        </is>
      </c>
      <c r="B3006" s="6" t="inlineStr">
        <is>
          <t>Jul</t>
        </is>
      </c>
      <c r="C3006" s="6" t="inlineStr">
        <is>
          <t>TN</t>
        </is>
      </c>
      <c r="D3006" s="7" t="inlineStr">
        <is>
          <t>TN02BC7945</t>
        </is>
      </c>
      <c r="E3006" s="7" t="inlineStr">
        <is>
          <t>HONDA</t>
        </is>
      </c>
      <c r="F3006" s="7" t="inlineStr">
        <is>
          <t>Jazz</t>
        </is>
      </c>
      <c r="G3006" s="7" t="inlineStr">
        <is>
          <t>EXCHANGE CHENNAI</t>
        </is>
      </c>
      <c r="H3006" s="7" t="inlineStr">
        <is>
          <t>Captive</t>
        </is>
      </c>
      <c r="I3006" s="7" t="inlineStr">
        <is>
          <t>&lt;NA&gt;</t>
        </is>
      </c>
      <c r="J3006" s="8" t="n">
        <v>2015</v>
      </c>
      <c r="K3006" s="9" t="n">
        <v>49492</v>
      </c>
      <c r="L3006" s="10" t="n">
        <v>325000</v>
      </c>
      <c r="M3006" s="10" t="n">
        <v>8474.58</v>
      </c>
      <c r="N3006" s="11">
        <f>IF(M3006="","",ROUND(M3006*1.18,2))</f>
        <v/>
      </c>
      <c r="O3006" s="12">
        <f>IF(M3006="","",ROUND(N3006-M3006,2))</f>
        <v/>
      </c>
      <c r="P3006" s="13">
        <f>IF(AND(A3006&lt;&gt;"",B3006&lt;&gt;""), A3006&amp;" · "&amp;B3006, "")</f>
        <v/>
      </c>
    </row>
    <row r="3007">
      <c r="A3007" s="6" t="inlineStr">
        <is>
          <t>FY27</t>
        </is>
      </c>
      <c r="B3007" s="6" t="inlineStr">
        <is>
          <t>Jul</t>
        </is>
      </c>
      <c r="C3007" s="6" t="inlineStr">
        <is>
          <t>TN</t>
        </is>
      </c>
      <c r="D3007" s="7" t="inlineStr">
        <is>
          <t>TN02BJ0795</t>
        </is>
      </c>
      <c r="E3007" s="7" t="inlineStr">
        <is>
          <t>HONDA</t>
        </is>
      </c>
      <c r="F3007" s="7" t="inlineStr">
        <is>
          <t>Brio</t>
        </is>
      </c>
      <c r="G3007" s="7" t="inlineStr">
        <is>
          <t>EXCHANGE CHENNAI</t>
        </is>
      </c>
      <c r="H3007" s="7" t="inlineStr">
        <is>
          <t>Captive</t>
        </is>
      </c>
      <c r="I3007" s="7" t="inlineStr">
        <is>
          <t>&lt;NA&gt;</t>
        </is>
      </c>
      <c r="J3007" s="8" t="n">
        <v>2017</v>
      </c>
      <c r="K3007" s="9" t="n">
        <v>100594</v>
      </c>
      <c r="L3007" s="10" t="n">
        <v>310000</v>
      </c>
      <c r="M3007" s="10" t="n">
        <v>8474.58</v>
      </c>
      <c r="N3007" s="11">
        <f>IF(M3007="","",ROUND(M3007*1.18,2))</f>
        <v/>
      </c>
      <c r="O3007" s="12">
        <f>IF(M3007="","",ROUND(N3007-M3007,2))</f>
        <v/>
      </c>
      <c r="P3007" s="13">
        <f>IF(AND(A3007&lt;&gt;"",B3007&lt;&gt;""), A3007&amp;" · "&amp;B3007, "")</f>
        <v/>
      </c>
    </row>
    <row r="3008">
      <c r="A3008" s="6" t="inlineStr">
        <is>
          <t>FY27</t>
        </is>
      </c>
      <c r="B3008" s="6" t="inlineStr">
        <is>
          <t>Jul</t>
        </is>
      </c>
      <c r="C3008" s="6" t="inlineStr">
        <is>
          <t>TN</t>
        </is>
      </c>
      <c r="D3008" s="7" t="inlineStr">
        <is>
          <t>TN02BK3573</t>
        </is>
      </c>
      <c r="E3008" s="7" t="inlineStr">
        <is>
          <t>HYUNDAI</t>
        </is>
      </c>
      <c r="F3008" s="7" t="inlineStr">
        <is>
          <t>i20</t>
        </is>
      </c>
      <c r="G3008" s="7" t="inlineStr">
        <is>
          <t>EXCHANGE CHENNAI</t>
        </is>
      </c>
      <c r="H3008" s="7" t="inlineStr">
        <is>
          <t>Captive</t>
        </is>
      </c>
      <c r="I3008" s="7" t="inlineStr">
        <is>
          <t>Nirmal Cars</t>
        </is>
      </c>
      <c r="J3008" s="8" t="n">
        <v>2017</v>
      </c>
      <c r="K3008" s="9" t="n">
        <v>98244</v>
      </c>
      <c r="L3008" s="10" t="n">
        <v>450000</v>
      </c>
      <c r="M3008" s="10" t="n">
        <v>8474.58</v>
      </c>
      <c r="N3008" s="11">
        <f>IF(M3008="","",ROUND(M3008*1.18,2))</f>
        <v/>
      </c>
      <c r="O3008" s="12">
        <f>IF(M3008="","",ROUND(N3008-M3008,2))</f>
        <v/>
      </c>
      <c r="P3008" s="13">
        <f>IF(AND(A3008&lt;&gt;"",B3008&lt;&gt;""), A3008&amp;" · "&amp;B3008, "")</f>
        <v/>
      </c>
    </row>
    <row r="3009">
      <c r="A3009" s="6" t="inlineStr">
        <is>
          <t>FY27</t>
        </is>
      </c>
      <c r="B3009" s="6" t="inlineStr">
        <is>
          <t>Jul</t>
        </is>
      </c>
      <c r="C3009" s="6" t="inlineStr">
        <is>
          <t>TN</t>
        </is>
      </c>
      <c r="D3009" s="7" t="inlineStr">
        <is>
          <t>TN02BP1991</t>
        </is>
      </c>
      <c r="E3009" s="7" t="inlineStr">
        <is>
          <t>HONDA</t>
        </is>
      </c>
      <c r="F3009" s="7" t="inlineStr">
        <is>
          <t>City</t>
        </is>
      </c>
      <c r="G3009" s="7" t="inlineStr">
        <is>
          <t>EXCHANGE CHENNAI</t>
        </is>
      </c>
      <c r="H3009" s="7" t="inlineStr">
        <is>
          <t>Captive</t>
        </is>
      </c>
      <c r="I3009" s="7" t="inlineStr">
        <is>
          <t>&lt;NA&gt;</t>
        </is>
      </c>
      <c r="J3009" s="8" t="n">
        <v>2018</v>
      </c>
      <c r="K3009" s="9" t="n">
        <v>48752</v>
      </c>
      <c r="L3009" s="10" t="n">
        <v>565000</v>
      </c>
      <c r="M3009" s="10" t="n">
        <v>8474.58</v>
      </c>
      <c r="N3009" s="11">
        <f>IF(M3009="","",ROUND(M3009*1.18,2))</f>
        <v/>
      </c>
      <c r="O3009" s="12">
        <f>IF(M3009="","",ROUND(N3009-M3009,2))</f>
        <v/>
      </c>
      <c r="P3009" s="13">
        <f>IF(AND(A3009&lt;&gt;"",B3009&lt;&gt;""), A3009&amp;" · "&amp;B3009, "")</f>
        <v/>
      </c>
    </row>
    <row r="3010">
      <c r="A3010" s="6" t="inlineStr">
        <is>
          <t>FY27</t>
        </is>
      </c>
      <c r="B3010" s="6" t="inlineStr">
        <is>
          <t>Jul</t>
        </is>
      </c>
      <c r="C3010" s="6" t="inlineStr">
        <is>
          <t>TN</t>
        </is>
      </c>
      <c r="D3010" s="7" t="inlineStr">
        <is>
          <t>TN02BR0756</t>
        </is>
      </c>
      <c r="E3010" s="7" t="inlineStr">
        <is>
          <t>HYUNDAI</t>
        </is>
      </c>
      <c r="F3010" s="7" t="inlineStr">
        <is>
          <t>Creta</t>
        </is>
      </c>
      <c r="G3010" s="7" t="inlineStr">
        <is>
          <t>CASTLE TRADERS MARUTI</t>
        </is>
      </c>
      <c r="H3010" s="7" t="inlineStr">
        <is>
          <t>Non-Captive</t>
        </is>
      </c>
      <c r="I3010" s="7" t="inlineStr">
        <is>
          <t>Value Drive Tech</t>
        </is>
      </c>
      <c r="J3010" s="8" t="n">
        <v>2019</v>
      </c>
      <c r="K3010" s="9" t="n">
        <v>71588</v>
      </c>
      <c r="L3010" s="10" t="n">
        <v>710000</v>
      </c>
      <c r="M3010" s="10" t="n">
        <v>10169.49</v>
      </c>
      <c r="N3010" s="11">
        <f>IF(M3010="","",ROUND(M3010*1.18,2))</f>
        <v/>
      </c>
      <c r="O3010" s="12">
        <f>IF(M3010="","",ROUND(N3010-M3010,2))</f>
        <v/>
      </c>
      <c r="P3010" s="13">
        <f>IF(AND(A3010&lt;&gt;"",B3010&lt;&gt;""), A3010&amp;" · "&amp;B3010, "")</f>
        <v/>
      </c>
    </row>
    <row r="3011">
      <c r="A3011" s="6" t="inlineStr">
        <is>
          <t>FY27</t>
        </is>
      </c>
      <c r="B3011" s="6" t="inlineStr">
        <is>
          <t>Jul</t>
        </is>
      </c>
      <c r="C3011" s="6" t="inlineStr">
        <is>
          <t>TN</t>
        </is>
      </c>
      <c r="D3011" s="7" t="inlineStr">
        <is>
          <t>TN02BR5407</t>
        </is>
      </c>
      <c r="E3011" s="7" t="inlineStr">
        <is>
          <t>HYUNDAI</t>
        </is>
      </c>
      <c r="F3011" s="7" t="inlineStr">
        <is>
          <t>Grand i10</t>
        </is>
      </c>
      <c r="G3011" s="7" t="inlineStr">
        <is>
          <t>CASTLE TRADERS HONDA</t>
        </is>
      </c>
      <c r="H3011" s="7" t="inlineStr">
        <is>
          <t>Non-Captive</t>
        </is>
      </c>
      <c r="I3011" s="7" t="inlineStr">
        <is>
          <t>Yes Cars</t>
        </is>
      </c>
      <c r="J3011" s="8" t="n">
        <v>2019</v>
      </c>
      <c r="K3011" s="9" t="n">
        <v>86238</v>
      </c>
      <c r="L3011" s="10" t="n">
        <v>355000</v>
      </c>
      <c r="M3011" s="10" t="n">
        <v>4237.29</v>
      </c>
      <c r="N3011" s="11">
        <f>IF(M3011="","",ROUND(M3011*1.18,2))</f>
        <v/>
      </c>
      <c r="O3011" s="12">
        <f>IF(M3011="","",ROUND(N3011-M3011,2))</f>
        <v/>
      </c>
      <c r="P3011" s="13">
        <f>IF(AND(A3011&lt;&gt;"",B3011&lt;&gt;""), A3011&amp;" · "&amp;B3011, "")</f>
        <v/>
      </c>
    </row>
    <row r="3012">
      <c r="A3012" s="6" t="inlineStr">
        <is>
          <t>FY27</t>
        </is>
      </c>
      <c r="B3012" s="6" t="inlineStr">
        <is>
          <t>Jul</t>
        </is>
      </c>
      <c r="C3012" s="6" t="inlineStr">
        <is>
          <t>TN</t>
        </is>
      </c>
      <c r="D3012" s="7" t="inlineStr">
        <is>
          <t>TN02BW5708</t>
        </is>
      </c>
      <c r="E3012" s="7" t="inlineStr">
        <is>
          <t>MARUTI SUZUKI</t>
        </is>
      </c>
      <c r="F3012" s="7" t="inlineStr">
        <is>
          <t>Vitara Brezza</t>
        </is>
      </c>
      <c r="G3012" s="7" t="inlineStr">
        <is>
          <t>CRESCO CARS</t>
        </is>
      </c>
      <c r="H3012" s="7" t="inlineStr">
        <is>
          <t>Non-Captive</t>
        </is>
      </c>
      <c r="I3012" s="7" t="inlineStr">
        <is>
          <t>Maruthi Industries</t>
        </is>
      </c>
      <c r="J3012" s="8" t="n">
        <v>2022</v>
      </c>
      <c r="K3012" s="9" t="n">
        <v>70760</v>
      </c>
      <c r="L3012" s="10" t="n">
        <v>93000</v>
      </c>
      <c r="M3012" s="10" t="n">
        <v>4237.29</v>
      </c>
      <c r="N3012" s="11">
        <f>IF(M3012="","",ROUND(M3012*1.18,2))</f>
        <v/>
      </c>
      <c r="O3012" s="12">
        <f>IF(M3012="","",ROUND(N3012-M3012,2))</f>
        <v/>
      </c>
      <c r="P3012" s="13">
        <f>IF(AND(A3012&lt;&gt;"",B3012&lt;&gt;""), A3012&amp;" · "&amp;B3012, "")</f>
        <v/>
      </c>
    </row>
    <row r="3013">
      <c r="A3013" s="6" t="inlineStr">
        <is>
          <t>FY27</t>
        </is>
      </c>
      <c r="B3013" s="6" t="inlineStr">
        <is>
          <t>Jul</t>
        </is>
      </c>
      <c r="C3013" s="6" t="inlineStr">
        <is>
          <t>TN</t>
        </is>
      </c>
      <c r="D3013" s="7" t="inlineStr">
        <is>
          <t>TN02BY9015</t>
        </is>
      </c>
      <c r="E3013" s="7" t="inlineStr">
        <is>
          <t>MAHINDRA</t>
        </is>
      </c>
      <c r="F3013" s="7" t="inlineStr">
        <is>
          <t>Thar</t>
        </is>
      </c>
      <c r="G3013" s="7" t="inlineStr">
        <is>
          <t>AUTOMOTIVE MANUFACTURES PRIVATE LIMITED</t>
        </is>
      </c>
      <c r="H3013" s="7" t="inlineStr">
        <is>
          <t>Non-Captive</t>
        </is>
      </c>
      <c r="I3013" s="7" t="inlineStr">
        <is>
          <t>Maruthi Industries</t>
        </is>
      </c>
      <c r="J3013" s="8" t="n">
        <v>2020</v>
      </c>
      <c r="K3013" s="9" t="n">
        <v>36893</v>
      </c>
      <c r="L3013" s="10" t="n">
        <v>98000</v>
      </c>
      <c r="M3013" s="10" t="n">
        <v>4237.29</v>
      </c>
      <c r="N3013" s="11">
        <f>IF(M3013="","",ROUND(M3013*1.18,2))</f>
        <v/>
      </c>
      <c r="O3013" s="12">
        <f>IF(M3013="","",ROUND(N3013-M3013,2))</f>
        <v/>
      </c>
      <c r="P3013" s="13">
        <f>IF(AND(A3013&lt;&gt;"",B3013&lt;&gt;""), A3013&amp;" · "&amp;B3013, "")</f>
        <v/>
      </c>
    </row>
    <row r="3014">
      <c r="A3014" s="6" t="inlineStr">
        <is>
          <t>FY27</t>
        </is>
      </c>
      <c r="B3014" s="6" t="inlineStr">
        <is>
          <t>Jul</t>
        </is>
      </c>
      <c r="C3014" s="6" t="inlineStr">
        <is>
          <t>TN</t>
        </is>
      </c>
      <c r="D3014" s="7" t="inlineStr">
        <is>
          <t>TN02R2536</t>
        </is>
      </c>
      <c r="E3014" s="7" t="inlineStr">
        <is>
          <t>MARUTI SUZUKI</t>
        </is>
      </c>
      <c r="F3014" s="7" t="inlineStr">
        <is>
          <t>Wagon R</t>
        </is>
      </c>
      <c r="G3014" s="7" t="inlineStr">
        <is>
          <t>EXCHANGE ROTN</t>
        </is>
      </c>
      <c r="H3014" s="7" t="inlineStr">
        <is>
          <t>Captive</t>
        </is>
      </c>
      <c r="I3014" s="7" t="inlineStr">
        <is>
          <t>SRI RAJA KANAPATHY CARS</t>
        </is>
      </c>
      <c r="J3014" s="8" t="n">
        <v>2004</v>
      </c>
      <c r="K3014" s="9" t="n">
        <v>147960</v>
      </c>
      <c r="L3014" s="10" t="n">
        <v>50000</v>
      </c>
      <c r="M3014" s="10" t="n">
        <v>4237.29</v>
      </c>
      <c r="N3014" s="11">
        <f>IF(M3014="","",ROUND(M3014*1.18,2))</f>
        <v/>
      </c>
      <c r="O3014" s="12">
        <f>IF(M3014="","",ROUND(N3014-M3014,2))</f>
        <v/>
      </c>
      <c r="P3014" s="13">
        <f>IF(AND(A3014&lt;&gt;"",B3014&lt;&gt;""), A3014&amp;" · "&amp;B3014, "")</f>
        <v/>
      </c>
    </row>
    <row r="3015">
      <c r="A3015" s="6" t="inlineStr">
        <is>
          <t>FY27</t>
        </is>
      </c>
      <c r="B3015" s="6" t="inlineStr">
        <is>
          <t>Jul</t>
        </is>
      </c>
      <c r="C3015" s="6" t="inlineStr">
        <is>
          <t>TN</t>
        </is>
      </c>
      <c r="D3015" s="7" t="inlineStr">
        <is>
          <t>TN02W7938</t>
        </is>
      </c>
      <c r="E3015" s="7" t="inlineStr">
        <is>
          <t>MARUTI SUZUKI</t>
        </is>
      </c>
      <c r="F3015" s="7" t="inlineStr">
        <is>
          <t>Zen</t>
        </is>
      </c>
      <c r="G3015" s="7" t="inlineStr">
        <is>
          <t>RAJALAKSHMI CARS</t>
        </is>
      </c>
      <c r="H3015" s="7" t="inlineStr">
        <is>
          <t>Non-Captive</t>
        </is>
      </c>
      <c r="I3015" s="7" t="inlineStr">
        <is>
          <t>Senthil Cars</t>
        </is>
      </c>
      <c r="J3015" s="8" t="n">
        <v>2006</v>
      </c>
      <c r="K3015" s="9" t="n">
        <v>52033</v>
      </c>
      <c r="L3015" s="10" t="n">
        <v>94000</v>
      </c>
      <c r="M3015" s="10" t="n">
        <v>4237.29</v>
      </c>
      <c r="N3015" s="11">
        <f>IF(M3015="","",ROUND(M3015*1.18,2))</f>
        <v/>
      </c>
      <c r="O3015" s="12">
        <f>IF(M3015="","",ROUND(N3015-M3015,2))</f>
        <v/>
      </c>
      <c r="P3015" s="13">
        <f>IF(AND(A3015&lt;&gt;"",B3015&lt;&gt;""), A3015&amp;" · "&amp;B3015, "")</f>
        <v/>
      </c>
    </row>
    <row r="3016">
      <c r="A3016" s="6" t="inlineStr">
        <is>
          <t>FY27</t>
        </is>
      </c>
      <c r="B3016" s="6" t="inlineStr">
        <is>
          <t>Jul</t>
        </is>
      </c>
      <c r="C3016" s="6" t="inlineStr">
        <is>
          <t>TN</t>
        </is>
      </c>
      <c r="D3016" s="7" t="inlineStr">
        <is>
          <t>TN03D3295</t>
        </is>
      </c>
      <c r="E3016" s="7" t="inlineStr">
        <is>
          <t>FIAT</t>
        </is>
      </c>
      <c r="F3016" s="7" t="inlineStr">
        <is>
          <t>Linea</t>
        </is>
      </c>
      <c r="G3016" s="7" t="inlineStr">
        <is>
          <t>VISHNU CARS PRIVATE LIMITED</t>
        </is>
      </c>
      <c r="H3016" s="7" t="inlineStr">
        <is>
          <t>Non-Captive</t>
        </is>
      </c>
      <c r="I3016" s="7" t="inlineStr">
        <is>
          <t>LIAKATHCARS</t>
        </is>
      </c>
      <c r="J3016" s="8" t="n">
        <v>2010</v>
      </c>
      <c r="K3016" s="9" t="n">
        <v>135697</v>
      </c>
      <c r="L3016" s="10" t="n">
        <v>96000</v>
      </c>
      <c r="M3016" s="10" t="n">
        <v>4237.29</v>
      </c>
      <c r="N3016" s="11">
        <f>IF(M3016="","",ROUND(M3016*1.18,2))</f>
        <v/>
      </c>
      <c r="O3016" s="12">
        <f>IF(M3016="","",ROUND(N3016-M3016,2))</f>
        <v/>
      </c>
      <c r="P3016" s="13">
        <f>IF(AND(A3016&lt;&gt;"",B3016&lt;&gt;""), A3016&amp;" · "&amp;B3016, "")</f>
        <v/>
      </c>
    </row>
    <row r="3017">
      <c r="A3017" s="6" t="inlineStr">
        <is>
          <t>FY27</t>
        </is>
      </c>
      <c r="B3017" s="6" t="inlineStr">
        <is>
          <t>Jul</t>
        </is>
      </c>
      <c r="C3017" s="6" t="inlineStr">
        <is>
          <t>TN</t>
        </is>
      </c>
      <c r="D3017" s="7" t="inlineStr">
        <is>
          <t>TN03E9482</t>
        </is>
      </c>
      <c r="E3017" s="7" t="inlineStr">
        <is>
          <t>MARUTI SUZUKI</t>
        </is>
      </c>
      <c r="F3017" s="7" t="inlineStr">
        <is>
          <t>Dzire</t>
        </is>
      </c>
      <c r="G3017" s="7" t="inlineStr">
        <is>
          <t>AIE CARS PRIVATE LIMITED</t>
        </is>
      </c>
      <c r="H3017" s="7" t="inlineStr">
        <is>
          <t>Non-Captive</t>
        </is>
      </c>
      <c r="I3017" s="7" t="inlineStr">
        <is>
          <t>AAA Cars</t>
        </is>
      </c>
      <c r="J3017" s="8" t="n">
        <v>2011</v>
      </c>
      <c r="K3017" s="9" t="n">
        <v>100283</v>
      </c>
      <c r="L3017" s="10" t="n">
        <v>93500</v>
      </c>
      <c r="M3017" s="10" t="n">
        <v>4237.29</v>
      </c>
      <c r="N3017" s="11">
        <f>IF(M3017="","",ROUND(M3017*1.18,2))</f>
        <v/>
      </c>
      <c r="O3017" s="12">
        <f>IF(M3017="","",ROUND(N3017-M3017,2))</f>
        <v/>
      </c>
      <c r="P3017" s="13">
        <f>IF(AND(A3017&lt;&gt;"",B3017&lt;&gt;""), A3017&amp;" · "&amp;B3017, "")</f>
        <v/>
      </c>
    </row>
    <row r="3018">
      <c r="A3018" s="6" t="inlineStr">
        <is>
          <t>FY27</t>
        </is>
      </c>
      <c r="B3018" s="6" t="inlineStr">
        <is>
          <t>Jul</t>
        </is>
      </c>
      <c r="C3018" s="6" t="inlineStr">
        <is>
          <t>TN</t>
        </is>
      </c>
      <c r="D3018" s="7" t="inlineStr">
        <is>
          <t>TN03P3821</t>
        </is>
      </c>
      <c r="E3018" s="7" t="inlineStr">
        <is>
          <t>VOLKSWAGEN</t>
        </is>
      </c>
      <c r="F3018" s="7" t="inlineStr">
        <is>
          <t>Vento</t>
        </is>
      </c>
      <c r="G3018" s="7" t="inlineStr">
        <is>
          <t>AUTOMOTIVE MANUFACTURES PRIVATE LIMITED</t>
        </is>
      </c>
      <c r="H3018" s="7" t="inlineStr">
        <is>
          <t>Non-Captive</t>
        </is>
      </c>
      <c r="I3018" s="7" t="inlineStr">
        <is>
          <t>Vellore Vathiyar</t>
        </is>
      </c>
      <c r="J3018" s="8" t="n">
        <v>2014</v>
      </c>
      <c r="K3018" s="9" t="n">
        <v>104089</v>
      </c>
      <c r="L3018" s="10" t="n">
        <v>97000</v>
      </c>
      <c r="M3018" s="10" t="n">
        <v>4237.29</v>
      </c>
      <c r="N3018" s="11">
        <f>IF(M3018="","",ROUND(M3018*1.18,2))</f>
        <v/>
      </c>
      <c r="O3018" s="12">
        <f>IF(M3018="","",ROUND(N3018-M3018,2))</f>
        <v/>
      </c>
      <c r="P3018" s="13">
        <f>IF(AND(A3018&lt;&gt;"",B3018&lt;&gt;""), A3018&amp;" · "&amp;B3018, "")</f>
        <v/>
      </c>
    </row>
    <row r="3019">
      <c r="A3019" s="6" t="inlineStr">
        <is>
          <t>FY27</t>
        </is>
      </c>
      <c r="B3019" s="6" t="inlineStr">
        <is>
          <t>Jul</t>
        </is>
      </c>
      <c r="C3019" s="6" t="inlineStr">
        <is>
          <t>TN</t>
        </is>
      </c>
      <c r="D3019" s="7" t="inlineStr">
        <is>
          <t>TN04AD7511</t>
        </is>
      </c>
      <c r="E3019" s="7" t="inlineStr">
        <is>
          <t>HYUNDAI</t>
        </is>
      </c>
      <c r="F3019" s="7" t="inlineStr">
        <is>
          <t>i20</t>
        </is>
      </c>
      <c r="G3019" s="7" t="inlineStr">
        <is>
          <t>VISHNU CARS PRIVATE LIMITED</t>
        </is>
      </c>
      <c r="H3019" s="7" t="inlineStr">
        <is>
          <t>Non-Captive</t>
        </is>
      </c>
      <c r="I3019" s="7" t="inlineStr">
        <is>
          <t>Sai Cars</t>
        </is>
      </c>
      <c r="J3019" s="8" t="n">
        <v>2009</v>
      </c>
      <c r="K3019" s="9" t="n">
        <v>43501</v>
      </c>
      <c r="L3019" s="10" t="n">
        <v>92000</v>
      </c>
      <c r="M3019" s="10" t="n">
        <v>4237.29</v>
      </c>
      <c r="N3019" s="11">
        <f>IF(M3019="","",ROUND(M3019*1.18,2))</f>
        <v/>
      </c>
      <c r="O3019" s="12">
        <f>IF(M3019="","",ROUND(N3019-M3019,2))</f>
        <v/>
      </c>
      <c r="P3019" s="13">
        <f>IF(AND(A3019&lt;&gt;"",B3019&lt;&gt;""), A3019&amp;" · "&amp;B3019, "")</f>
        <v/>
      </c>
    </row>
    <row r="3020">
      <c r="A3020" s="6" t="inlineStr">
        <is>
          <t>FY27</t>
        </is>
      </c>
      <c r="B3020" s="6" t="inlineStr">
        <is>
          <t>Jul</t>
        </is>
      </c>
      <c r="C3020" s="6" t="inlineStr">
        <is>
          <t>TN</t>
        </is>
      </c>
      <c r="D3020" s="7" t="inlineStr">
        <is>
          <t>TN04AH9538</t>
        </is>
      </c>
      <c r="E3020" s="7" t="inlineStr">
        <is>
          <t>MARUTI SUZUKI</t>
        </is>
      </c>
      <c r="F3020" s="7" t="inlineStr">
        <is>
          <t>Eeco</t>
        </is>
      </c>
      <c r="G3020" s="7" t="inlineStr">
        <is>
          <t>STEER AUTO TECHNOLOGIES PRIVATE LIMITED</t>
        </is>
      </c>
      <c r="H3020" s="7" t="inlineStr">
        <is>
          <t>Non-Captive</t>
        </is>
      </c>
      <c r="I3020" s="7" t="inlineStr">
        <is>
          <t>Nirmal Cars</t>
        </is>
      </c>
      <c r="J3020" s="8" t="n">
        <v>2011</v>
      </c>
      <c r="K3020" s="9" t="n">
        <v>20314</v>
      </c>
      <c r="L3020" s="10" t="n">
        <v>398000</v>
      </c>
      <c r="M3020" s="10" t="n">
        <v>6779.66</v>
      </c>
      <c r="N3020" s="11">
        <f>IF(M3020="","",ROUND(M3020*1.18,2))</f>
        <v/>
      </c>
      <c r="O3020" s="12">
        <f>IF(M3020="","",ROUND(N3020-M3020,2))</f>
        <v/>
      </c>
      <c r="P3020" s="13">
        <f>IF(AND(A3020&lt;&gt;"",B3020&lt;&gt;""), A3020&amp;" · "&amp;B3020, "")</f>
        <v/>
      </c>
    </row>
    <row r="3021">
      <c r="A3021" s="6" t="inlineStr">
        <is>
          <t>FY27</t>
        </is>
      </c>
      <c r="B3021" s="6" t="inlineStr">
        <is>
          <t>Jul</t>
        </is>
      </c>
      <c r="C3021" s="6" t="inlineStr">
        <is>
          <t>TN</t>
        </is>
      </c>
      <c r="D3021" s="7" t="inlineStr">
        <is>
          <t>TN04AJ6487</t>
        </is>
      </c>
      <c r="E3021" s="7" t="inlineStr">
        <is>
          <t>HONDA</t>
        </is>
      </c>
      <c r="F3021" s="7" t="inlineStr">
        <is>
          <t>City</t>
        </is>
      </c>
      <c r="G3021" s="7" t="inlineStr">
        <is>
          <t>EXCHANGE CHENNAI</t>
        </is>
      </c>
      <c r="H3021" s="7" t="inlineStr">
        <is>
          <t>Captive</t>
        </is>
      </c>
      <c r="I3021" s="7" t="inlineStr">
        <is>
          <t>Santhosh Cars</t>
        </is>
      </c>
      <c r="J3021" s="8" t="n">
        <v>2012</v>
      </c>
      <c r="K3021" s="9" t="n">
        <v>12259</v>
      </c>
      <c r="L3021" s="10" t="n">
        <v>245000</v>
      </c>
      <c r="M3021" s="10" t="n">
        <v>4237.29</v>
      </c>
      <c r="N3021" s="11">
        <f>IF(M3021="","",ROUND(M3021*1.18,2))</f>
        <v/>
      </c>
      <c r="O3021" s="12">
        <f>IF(M3021="","",ROUND(N3021-M3021,2))</f>
        <v/>
      </c>
      <c r="P3021" s="13">
        <f>IF(AND(A3021&lt;&gt;"",B3021&lt;&gt;""), A3021&amp;" · "&amp;B3021, "")</f>
        <v/>
      </c>
    </row>
    <row r="3022">
      <c r="A3022" s="6" t="inlineStr">
        <is>
          <t>FY27</t>
        </is>
      </c>
      <c r="B3022" s="6" t="inlineStr">
        <is>
          <t>Jul</t>
        </is>
      </c>
      <c r="C3022" s="6" t="inlineStr">
        <is>
          <t>TN</t>
        </is>
      </c>
      <c r="D3022" s="7" t="inlineStr">
        <is>
          <t>TN04AL5721</t>
        </is>
      </c>
      <c r="E3022" s="7" t="inlineStr">
        <is>
          <t>FIAT</t>
        </is>
      </c>
      <c r="F3022" s="7" t="inlineStr">
        <is>
          <t>Punto</t>
        </is>
      </c>
      <c r="G3022" s="7" t="inlineStr">
        <is>
          <t>NIRMAL CARS</t>
        </is>
      </c>
      <c r="H3022" s="7" t="inlineStr">
        <is>
          <t>Non-Captive</t>
        </is>
      </c>
      <c r="I3022" s="7" t="inlineStr">
        <is>
          <t>Senthil Cars</t>
        </is>
      </c>
      <c r="J3022" s="8" t="n">
        <v>2013</v>
      </c>
      <c r="K3022" s="9" t="n">
        <v>108706</v>
      </c>
      <c r="L3022" s="10" t="n">
        <v>93000</v>
      </c>
      <c r="M3022" s="10" t="n">
        <v>4237.29</v>
      </c>
      <c r="N3022" s="11">
        <f>IF(M3022="","",ROUND(M3022*1.18,2))</f>
        <v/>
      </c>
      <c r="O3022" s="12">
        <f>IF(M3022="","",ROUND(N3022-M3022,2))</f>
        <v/>
      </c>
      <c r="P3022" s="13">
        <f>IF(AND(A3022&lt;&gt;"",B3022&lt;&gt;""), A3022&amp;" · "&amp;B3022, "")</f>
        <v/>
      </c>
    </row>
    <row r="3023">
      <c r="A3023" s="6" t="inlineStr">
        <is>
          <t>FY27</t>
        </is>
      </c>
      <c r="B3023" s="6" t="inlineStr">
        <is>
          <t>Jul</t>
        </is>
      </c>
      <c r="C3023" s="6" t="inlineStr">
        <is>
          <t>TN</t>
        </is>
      </c>
      <c r="D3023" s="7" t="inlineStr">
        <is>
          <t>TN04AP5142</t>
        </is>
      </c>
      <c r="E3023" s="7" t="inlineStr">
        <is>
          <t>MARUTI SUZUKI</t>
        </is>
      </c>
      <c r="F3023" s="7" t="inlineStr">
        <is>
          <t>Alto 800</t>
        </is>
      </c>
      <c r="G3023" s="7" t="inlineStr">
        <is>
          <t>CASTLE TRADERS MARUTI</t>
        </is>
      </c>
      <c r="H3023" s="7" t="inlineStr">
        <is>
          <t>Non-Captive</t>
        </is>
      </c>
      <c r="I3023" s="7" t="inlineStr">
        <is>
          <t>hahahashini cars</t>
        </is>
      </c>
      <c r="J3023" s="8" t="n">
        <v>2014</v>
      </c>
      <c r="K3023" s="9" t="n">
        <v>44710</v>
      </c>
      <c r="L3023" s="10" t="n">
        <v>175000</v>
      </c>
      <c r="M3023" s="10" t="n">
        <v>4237.29</v>
      </c>
      <c r="N3023" s="11">
        <f>IF(M3023="","",ROUND(M3023*1.18,2))</f>
        <v/>
      </c>
      <c r="O3023" s="12">
        <f>IF(M3023="","",ROUND(N3023-M3023,2))</f>
        <v/>
      </c>
      <c r="P3023" s="13">
        <f>IF(AND(A3023&lt;&gt;"",B3023&lt;&gt;""), A3023&amp;" · "&amp;B3023, "")</f>
        <v/>
      </c>
    </row>
    <row r="3024">
      <c r="A3024" s="6" t="inlineStr">
        <is>
          <t>FY27</t>
        </is>
      </c>
      <c r="B3024" s="6" t="inlineStr">
        <is>
          <t>Jul</t>
        </is>
      </c>
      <c r="C3024" s="6" t="inlineStr">
        <is>
          <t>TN</t>
        </is>
      </c>
      <c r="D3024" s="7" t="inlineStr">
        <is>
          <t>TN04AP5589</t>
        </is>
      </c>
      <c r="E3024" s="7" t="inlineStr">
        <is>
          <t>HONDA</t>
        </is>
      </c>
      <c r="F3024" s="7" t="inlineStr">
        <is>
          <t>City</t>
        </is>
      </c>
      <c r="G3024" s="7" t="inlineStr">
        <is>
          <t>CASTLE TRADERS MARUTI</t>
        </is>
      </c>
      <c r="H3024" s="7" t="inlineStr">
        <is>
          <t>Non-Captive</t>
        </is>
      </c>
      <c r="I3024" s="7" t="inlineStr">
        <is>
          <t>Cars24</t>
        </is>
      </c>
      <c r="J3024" s="8" t="n">
        <v>2015</v>
      </c>
      <c r="K3024" s="9" t="n">
        <v>96671</v>
      </c>
      <c r="L3024" s="10" t="n">
        <v>359000</v>
      </c>
      <c r="M3024" s="10" t="n">
        <v>4237.29</v>
      </c>
      <c r="N3024" s="11">
        <f>IF(M3024="","",ROUND(M3024*1.18,2))</f>
        <v/>
      </c>
      <c r="O3024" s="12">
        <f>IF(M3024="","",ROUND(N3024-M3024,2))</f>
        <v/>
      </c>
      <c r="P3024" s="13">
        <f>IF(AND(A3024&lt;&gt;"",B3024&lt;&gt;""), A3024&amp;" · "&amp;B3024, "")</f>
        <v/>
      </c>
    </row>
    <row r="3025">
      <c r="A3025" s="6" t="inlineStr">
        <is>
          <t>FY27</t>
        </is>
      </c>
      <c r="B3025" s="6" t="inlineStr">
        <is>
          <t>Jul</t>
        </is>
      </c>
      <c r="C3025" s="6" t="inlineStr">
        <is>
          <t>TN</t>
        </is>
      </c>
      <c r="D3025" s="7" t="inlineStr">
        <is>
          <t>TN04AS5186</t>
        </is>
      </c>
      <c r="E3025" s="7" t="inlineStr">
        <is>
          <t>HYUNDAI</t>
        </is>
      </c>
      <c r="F3025" s="7" t="inlineStr">
        <is>
          <t>Creta</t>
        </is>
      </c>
      <c r="G3025" s="7" t="inlineStr">
        <is>
          <t>VISHNU CARS PRIVATE LIMITED</t>
        </is>
      </c>
      <c r="H3025" s="7" t="inlineStr">
        <is>
          <t>Non-Captive</t>
        </is>
      </c>
      <c r="I3025" s="7" t="inlineStr">
        <is>
          <t>Pine Autos</t>
        </is>
      </c>
      <c r="J3025" s="8" t="n">
        <v>2017</v>
      </c>
      <c r="K3025" s="9" t="n">
        <v>41407</v>
      </c>
      <c r="L3025" s="10" t="n">
        <v>98000</v>
      </c>
      <c r="M3025" s="10" t="n">
        <v>4237.29</v>
      </c>
      <c r="N3025" s="11">
        <f>IF(M3025="","",ROUND(M3025*1.18,2))</f>
        <v/>
      </c>
      <c r="O3025" s="12">
        <f>IF(M3025="","",ROUND(N3025-M3025,2))</f>
        <v/>
      </c>
      <c r="P3025" s="13">
        <f>IF(AND(A3025&lt;&gt;"",B3025&lt;&gt;""), A3025&amp;" · "&amp;B3025, "")</f>
        <v/>
      </c>
    </row>
    <row r="3026">
      <c r="A3026" s="6" t="inlineStr">
        <is>
          <t>FY27</t>
        </is>
      </c>
      <c r="B3026" s="6" t="inlineStr">
        <is>
          <t>Jul</t>
        </is>
      </c>
      <c r="C3026" s="6" t="inlineStr">
        <is>
          <t>TN</t>
        </is>
      </c>
      <c r="D3026" s="7" t="inlineStr">
        <is>
          <t>TN04R0745</t>
        </is>
      </c>
      <c r="E3026" s="7" t="inlineStr">
        <is>
          <t>HYUNDAI</t>
        </is>
      </c>
      <c r="F3026" s="7" t="inlineStr">
        <is>
          <t>Santro</t>
        </is>
      </c>
      <c r="G3026" s="7" t="inlineStr">
        <is>
          <t>STEER AUTO TECHNOLOGIES PRIVATE LIMITED</t>
        </is>
      </c>
      <c r="H3026" s="7" t="inlineStr">
        <is>
          <t>Non-Captive</t>
        </is>
      </c>
      <c r="I3026" s="7" t="inlineStr">
        <is>
          <t>SK Cars Prasana</t>
        </is>
      </c>
      <c r="J3026" s="8" t="n">
        <v>2006</v>
      </c>
      <c r="K3026" s="9" t="n">
        <v>55456</v>
      </c>
      <c r="L3026" s="10" t="n">
        <v>95000</v>
      </c>
      <c r="M3026" s="10" t="n">
        <v>4238.14</v>
      </c>
      <c r="N3026" s="11">
        <f>IF(M3026="","",ROUND(M3026*1.18,2))</f>
        <v/>
      </c>
      <c r="O3026" s="12">
        <f>IF(M3026="","",ROUND(N3026-M3026,2))</f>
        <v/>
      </c>
      <c r="P3026" s="13">
        <f>IF(AND(A3026&lt;&gt;"",B3026&lt;&gt;""), A3026&amp;" · "&amp;B3026, "")</f>
        <v/>
      </c>
    </row>
    <row r="3027">
      <c r="A3027" s="6" t="inlineStr">
        <is>
          <t>FY27</t>
        </is>
      </c>
      <c r="B3027" s="6" t="inlineStr">
        <is>
          <t>Jul</t>
        </is>
      </c>
      <c r="C3027" s="6" t="inlineStr">
        <is>
          <t>TN</t>
        </is>
      </c>
      <c r="D3027" s="7" t="inlineStr">
        <is>
          <t>TN05AC0925</t>
        </is>
      </c>
      <c r="E3027" s="7" t="inlineStr">
        <is>
          <t>CHEVROLET</t>
        </is>
      </c>
      <c r="F3027" s="7" t="inlineStr">
        <is>
          <t>Spark</t>
        </is>
      </c>
      <c r="G3027" s="7" t="inlineStr">
        <is>
          <t>NIRMAL CARS</t>
        </is>
      </c>
      <c r="H3027" s="7" t="inlineStr">
        <is>
          <t>Non-Captive</t>
        </is>
      </c>
      <c r="I3027" s="7" t="inlineStr">
        <is>
          <t>Pine Autos</t>
        </is>
      </c>
      <c r="J3027" s="8" t="n">
        <v>2009</v>
      </c>
      <c r="K3027" s="9" t="n">
        <v>69451</v>
      </c>
      <c r="L3027" s="10" t="n">
        <v>125000</v>
      </c>
      <c r="M3027" s="10" t="n">
        <v>4238.14</v>
      </c>
      <c r="N3027" s="11">
        <f>IF(M3027="","",ROUND(M3027*1.18,2))</f>
        <v/>
      </c>
      <c r="O3027" s="12">
        <f>IF(M3027="","",ROUND(N3027-M3027,2))</f>
        <v/>
      </c>
      <c r="P3027" s="13">
        <f>IF(AND(A3027&lt;&gt;"",B3027&lt;&gt;""), A3027&amp;" · "&amp;B3027, "")</f>
        <v/>
      </c>
    </row>
    <row r="3028">
      <c r="A3028" s="6" t="inlineStr">
        <is>
          <t>FY27</t>
        </is>
      </c>
      <c r="B3028" s="6" t="inlineStr">
        <is>
          <t>Jul</t>
        </is>
      </c>
      <c r="C3028" s="6" t="inlineStr">
        <is>
          <t>TN</t>
        </is>
      </c>
      <c r="D3028" s="7" t="inlineStr">
        <is>
          <t>TN05AH1462</t>
        </is>
      </c>
      <c r="E3028" s="7" t="inlineStr">
        <is>
          <t>MARUTI SUZUKI</t>
        </is>
      </c>
      <c r="F3028" s="7" t="inlineStr">
        <is>
          <t>Wagon R</t>
        </is>
      </c>
      <c r="G3028" s="7" t="inlineStr">
        <is>
          <t>CRESCO CARS</t>
        </is>
      </c>
      <c r="H3028" s="7" t="inlineStr">
        <is>
          <t>Non-Captive</t>
        </is>
      </c>
      <c r="I3028" s="7" t="inlineStr">
        <is>
          <t>AAA Cars</t>
        </is>
      </c>
      <c r="J3028" s="8" t="n">
        <v>2010</v>
      </c>
      <c r="K3028" s="9" t="n">
        <v>77483</v>
      </c>
      <c r="L3028" s="10" t="n">
        <v>97000</v>
      </c>
      <c r="M3028" s="10" t="n">
        <v>4237.29</v>
      </c>
      <c r="N3028" s="11">
        <f>IF(M3028="","",ROUND(M3028*1.18,2))</f>
        <v/>
      </c>
      <c r="O3028" s="12">
        <f>IF(M3028="","",ROUND(N3028-M3028,2))</f>
        <v/>
      </c>
      <c r="P3028" s="13">
        <f>IF(AND(A3028&lt;&gt;"",B3028&lt;&gt;""), A3028&amp;" · "&amp;B3028, "")</f>
        <v/>
      </c>
    </row>
    <row r="3029">
      <c r="A3029" s="6" t="inlineStr">
        <is>
          <t>FY27</t>
        </is>
      </c>
      <c r="B3029" s="6" t="inlineStr">
        <is>
          <t>Jul</t>
        </is>
      </c>
      <c r="C3029" s="6" t="inlineStr">
        <is>
          <t>TN</t>
        </is>
      </c>
      <c r="D3029" s="7" t="inlineStr">
        <is>
          <t>TN05AH9401</t>
        </is>
      </c>
      <c r="E3029" s="7" t="inlineStr">
        <is>
          <t>MARUTI SUZUKI</t>
        </is>
      </c>
      <c r="F3029" s="7" t="inlineStr">
        <is>
          <t>Alto K10</t>
        </is>
      </c>
      <c r="G3029" s="7" t="inlineStr">
        <is>
          <t>RAJALAKSHMI CARS</t>
        </is>
      </c>
      <c r="H3029" s="7" t="inlineStr">
        <is>
          <t>Non-Captive</t>
        </is>
      </c>
      <c r="I3029" s="7" t="inlineStr">
        <is>
          <t>Pine Autos</t>
        </is>
      </c>
      <c r="J3029" s="8" t="n">
        <v>2011</v>
      </c>
      <c r="K3029" s="9" t="n">
        <v>42559</v>
      </c>
      <c r="L3029" s="10" t="n">
        <v>194000</v>
      </c>
      <c r="M3029" s="10" t="n">
        <v>5084.75</v>
      </c>
      <c r="N3029" s="11">
        <f>IF(M3029="","",ROUND(M3029*1.18,2))</f>
        <v/>
      </c>
      <c r="O3029" s="12">
        <f>IF(M3029="","",ROUND(N3029-M3029,2))</f>
        <v/>
      </c>
      <c r="P3029" s="13">
        <f>IF(AND(A3029&lt;&gt;"",B3029&lt;&gt;""), A3029&amp;" · "&amp;B3029, "")</f>
        <v/>
      </c>
    </row>
    <row r="3030">
      <c r="A3030" s="6" t="inlineStr">
        <is>
          <t>FY27</t>
        </is>
      </c>
      <c r="B3030" s="6" t="inlineStr">
        <is>
          <t>Jul</t>
        </is>
      </c>
      <c r="C3030" s="6" t="inlineStr">
        <is>
          <t>TN</t>
        </is>
      </c>
      <c r="D3030" s="7" t="inlineStr">
        <is>
          <t>TN05AK8822</t>
        </is>
      </c>
      <c r="E3030" s="7" t="inlineStr">
        <is>
          <t>HYUNDAI</t>
        </is>
      </c>
      <c r="F3030" s="7" t="inlineStr">
        <is>
          <t>i10</t>
        </is>
      </c>
      <c r="G3030" s="7" t="inlineStr">
        <is>
          <t>AIE CARS PRIVATE LIMITED</t>
        </is>
      </c>
      <c r="H3030" s="7" t="inlineStr">
        <is>
          <t>Non-Captive</t>
        </is>
      </c>
      <c r="I3030" s="7" t="inlineStr">
        <is>
          <t>S2 MOTORZ</t>
        </is>
      </c>
      <c r="J3030" s="8" t="n">
        <v>2011</v>
      </c>
      <c r="K3030" s="9" t="n">
        <v>92735</v>
      </c>
      <c r="L3030" s="10" t="n">
        <v>91000</v>
      </c>
      <c r="M3030" s="10" t="n">
        <v>4237.29</v>
      </c>
      <c r="N3030" s="11">
        <f>IF(M3030="","",ROUND(M3030*1.18,2))</f>
        <v/>
      </c>
      <c r="O3030" s="12">
        <f>IF(M3030="","",ROUND(N3030-M3030,2))</f>
        <v/>
      </c>
      <c r="P3030" s="13">
        <f>IF(AND(A3030&lt;&gt;"",B3030&lt;&gt;""), A3030&amp;" · "&amp;B3030, "")</f>
        <v/>
      </c>
    </row>
    <row r="3031">
      <c r="A3031" s="6" t="inlineStr">
        <is>
          <t>FY27</t>
        </is>
      </c>
      <c r="B3031" s="6" t="inlineStr">
        <is>
          <t>Jul</t>
        </is>
      </c>
      <c r="C3031" s="6" t="inlineStr">
        <is>
          <t>TN</t>
        </is>
      </c>
      <c r="D3031" s="7" t="inlineStr">
        <is>
          <t>TN05AP1696</t>
        </is>
      </c>
      <c r="E3031" s="7" t="inlineStr">
        <is>
          <t>FORD</t>
        </is>
      </c>
      <c r="F3031" s="7" t="inlineStr">
        <is>
          <t>Fiesta Classic</t>
        </is>
      </c>
      <c r="G3031" s="7" t="inlineStr">
        <is>
          <t>PRODUCTIVITY ELEMENTS PRIVATE LIMITED</t>
        </is>
      </c>
      <c r="H3031" s="7" t="inlineStr">
        <is>
          <t>Non-Captive</t>
        </is>
      </c>
      <c r="I3031" s="7" t="inlineStr">
        <is>
          <t>Pine Autos</t>
        </is>
      </c>
      <c r="J3031" s="8" t="n">
        <v>2012</v>
      </c>
      <c r="K3031" s="9" t="n">
        <v>33867</v>
      </c>
      <c r="L3031" s="10" t="n">
        <v>98000</v>
      </c>
      <c r="M3031" s="10" t="n">
        <v>4237.29</v>
      </c>
      <c r="N3031" s="11">
        <f>IF(M3031="","",ROUND(M3031*1.18,2))</f>
        <v/>
      </c>
      <c r="O3031" s="12">
        <f>IF(M3031="","",ROUND(N3031-M3031,2))</f>
        <v/>
      </c>
      <c r="P3031" s="13">
        <f>IF(AND(A3031&lt;&gt;"",B3031&lt;&gt;""), A3031&amp;" · "&amp;B3031, "")</f>
        <v/>
      </c>
    </row>
    <row r="3032">
      <c r="A3032" s="6" t="inlineStr">
        <is>
          <t>FY27</t>
        </is>
      </c>
      <c r="B3032" s="6" t="inlineStr">
        <is>
          <t>Jul</t>
        </is>
      </c>
      <c r="C3032" s="6" t="inlineStr">
        <is>
          <t>TN</t>
        </is>
      </c>
      <c r="D3032" s="7" t="inlineStr">
        <is>
          <t>TN05AP4405</t>
        </is>
      </c>
      <c r="E3032" s="7" t="inlineStr">
        <is>
          <t>CHEVROLET</t>
        </is>
      </c>
      <c r="F3032" s="7" t="inlineStr">
        <is>
          <t>Beat</t>
        </is>
      </c>
      <c r="G3032" s="7" t="inlineStr">
        <is>
          <t>CRESCO CARS</t>
        </is>
      </c>
      <c r="H3032" s="7" t="inlineStr">
        <is>
          <t>Non-Captive</t>
        </is>
      </c>
      <c r="I3032" s="7" t="inlineStr">
        <is>
          <t>Pine Autos</t>
        </is>
      </c>
      <c r="J3032" s="8" t="n">
        <v>2012</v>
      </c>
      <c r="K3032" s="9" t="n">
        <v>33666</v>
      </c>
      <c r="L3032" s="10" t="n">
        <v>193000</v>
      </c>
      <c r="M3032" s="10" t="n">
        <v>5508.47</v>
      </c>
      <c r="N3032" s="11">
        <f>IF(M3032="","",ROUND(M3032*1.18,2))</f>
        <v/>
      </c>
      <c r="O3032" s="12">
        <f>IF(M3032="","",ROUND(N3032-M3032,2))</f>
        <v/>
      </c>
      <c r="P3032" s="13">
        <f>IF(AND(A3032&lt;&gt;"",B3032&lt;&gt;""), A3032&amp;" · "&amp;B3032, "")</f>
        <v/>
      </c>
    </row>
    <row r="3033">
      <c r="A3033" s="6" t="inlineStr">
        <is>
          <t>FY27</t>
        </is>
      </c>
      <c r="B3033" s="6" t="inlineStr">
        <is>
          <t>Jul</t>
        </is>
      </c>
      <c r="C3033" s="6" t="inlineStr">
        <is>
          <t>TN</t>
        </is>
      </c>
      <c r="D3033" s="7" t="inlineStr">
        <is>
          <t>TN05AT3192</t>
        </is>
      </c>
      <c r="E3033" s="7" t="inlineStr">
        <is>
          <t>HYUNDAI</t>
        </is>
      </c>
      <c r="F3033" s="7" t="inlineStr">
        <is>
          <t>i10</t>
        </is>
      </c>
      <c r="G3033" s="7" t="inlineStr">
        <is>
          <t>CRESCO CARS</t>
        </is>
      </c>
      <c r="H3033" s="7" t="inlineStr">
        <is>
          <t>Non-Captive</t>
        </is>
      </c>
      <c r="I3033" s="7" t="inlineStr">
        <is>
          <t>Grid 33</t>
        </is>
      </c>
      <c r="J3033" s="8" t="n">
        <v>2013</v>
      </c>
      <c r="K3033" s="9" t="n">
        <v>79912</v>
      </c>
      <c r="L3033" s="10" t="n">
        <v>98000</v>
      </c>
      <c r="M3033" s="10" t="n">
        <v>4237.29</v>
      </c>
      <c r="N3033" s="11">
        <f>IF(M3033="","",ROUND(M3033*1.18,2))</f>
        <v/>
      </c>
      <c r="O3033" s="12">
        <f>IF(M3033="","",ROUND(N3033-M3033,2))</f>
        <v/>
      </c>
      <c r="P3033" s="13">
        <f>IF(AND(A3033&lt;&gt;"",B3033&lt;&gt;""), A3033&amp;" · "&amp;B3033, "")</f>
        <v/>
      </c>
    </row>
    <row r="3034">
      <c r="A3034" s="6" t="inlineStr">
        <is>
          <t>FY27</t>
        </is>
      </c>
      <c r="B3034" s="6" t="inlineStr">
        <is>
          <t>Jul</t>
        </is>
      </c>
      <c r="C3034" s="6" t="inlineStr">
        <is>
          <t>TN</t>
        </is>
      </c>
      <c r="D3034" s="7" t="inlineStr">
        <is>
          <t>TN05AU9803</t>
        </is>
      </c>
      <c r="E3034" s="7" t="inlineStr">
        <is>
          <t>MARUTI SUZUKI</t>
        </is>
      </c>
      <c r="F3034" s="7" t="inlineStr">
        <is>
          <t>Dzire</t>
        </is>
      </c>
      <c r="G3034" s="7" t="inlineStr">
        <is>
          <t>STEER AUTO TECHNOLOGIES PRIVATE LIMITED</t>
        </is>
      </c>
      <c r="H3034" s="7" t="inlineStr">
        <is>
          <t>Non-Captive</t>
        </is>
      </c>
      <c r="I3034" s="7" t="inlineStr">
        <is>
          <t>SK Cars Prasana</t>
        </is>
      </c>
      <c r="J3034" s="8" t="n">
        <v>2013</v>
      </c>
      <c r="K3034" s="9" t="n">
        <v>123632</v>
      </c>
      <c r="L3034" s="10" t="n">
        <v>80000</v>
      </c>
      <c r="M3034" s="10" t="n">
        <v>4238.14</v>
      </c>
      <c r="N3034" s="11">
        <f>IF(M3034="","",ROUND(M3034*1.18,2))</f>
        <v/>
      </c>
      <c r="O3034" s="12">
        <f>IF(M3034="","",ROUND(N3034-M3034,2))</f>
        <v/>
      </c>
      <c r="P3034" s="13">
        <f>IF(AND(A3034&lt;&gt;"",B3034&lt;&gt;""), A3034&amp;" · "&amp;B3034, "")</f>
        <v/>
      </c>
    </row>
    <row r="3035">
      <c r="A3035" s="6" t="inlineStr">
        <is>
          <t>FY27</t>
        </is>
      </c>
      <c r="B3035" s="6" t="inlineStr">
        <is>
          <t>Jul</t>
        </is>
      </c>
      <c r="C3035" s="6" t="inlineStr">
        <is>
          <t>TN</t>
        </is>
      </c>
      <c r="D3035" s="7" t="inlineStr">
        <is>
          <t>TN05AV3863</t>
        </is>
      </c>
      <c r="E3035" s="7" t="inlineStr">
        <is>
          <t>TOYOTA</t>
        </is>
      </c>
      <c r="F3035" s="7" t="inlineStr">
        <is>
          <t>Etios Liva</t>
        </is>
      </c>
      <c r="G3035" s="7" t="inlineStr">
        <is>
          <t>RAJALAKSHMI CARS</t>
        </is>
      </c>
      <c r="H3035" s="7" t="inlineStr">
        <is>
          <t>Non-Captive</t>
        </is>
      </c>
      <c r="I3035" s="7" t="inlineStr">
        <is>
          <t>Pine Autos</t>
        </is>
      </c>
      <c r="J3035" s="8" t="n">
        <v>2013</v>
      </c>
      <c r="K3035" s="9" t="n">
        <v>128430</v>
      </c>
      <c r="L3035" s="10" t="n">
        <v>198000</v>
      </c>
      <c r="M3035" s="10" t="n">
        <v>5084.75</v>
      </c>
      <c r="N3035" s="11">
        <f>IF(M3035="","",ROUND(M3035*1.18,2))</f>
        <v/>
      </c>
      <c r="O3035" s="12">
        <f>IF(M3035="","",ROUND(N3035-M3035,2))</f>
        <v/>
      </c>
      <c r="P3035" s="13">
        <f>IF(AND(A3035&lt;&gt;"",B3035&lt;&gt;""), A3035&amp;" · "&amp;B3035, "")</f>
        <v/>
      </c>
    </row>
    <row r="3036">
      <c r="A3036" s="6" t="inlineStr">
        <is>
          <t>FY27</t>
        </is>
      </c>
      <c r="B3036" s="6" t="inlineStr">
        <is>
          <t>Jul</t>
        </is>
      </c>
      <c r="C3036" s="6" t="inlineStr">
        <is>
          <t>TN</t>
        </is>
      </c>
      <c r="D3036" s="7" t="inlineStr">
        <is>
          <t>TN05AV8838</t>
        </is>
      </c>
      <c r="E3036" s="7" t="inlineStr">
        <is>
          <t>MARUTI SUZUKI</t>
        </is>
      </c>
      <c r="F3036" s="7" t="inlineStr">
        <is>
          <t>Alto 800</t>
        </is>
      </c>
      <c r="G3036" s="7" t="inlineStr">
        <is>
          <t>CASTLE TRADERS MARUTI</t>
        </is>
      </c>
      <c r="H3036" s="7" t="inlineStr">
        <is>
          <t>Non-Captive</t>
        </is>
      </c>
      <c r="I3036" s="7" t="inlineStr">
        <is>
          <t>Aasim Motors</t>
        </is>
      </c>
      <c r="J3036" s="8" t="n">
        <v>2013</v>
      </c>
      <c r="K3036" s="9" t="n">
        <v>36729</v>
      </c>
      <c r="L3036" s="10" t="n">
        <v>105000</v>
      </c>
      <c r="M3036" s="10" t="n">
        <v>4237.29</v>
      </c>
      <c r="N3036" s="11">
        <f>IF(M3036="","",ROUND(M3036*1.18,2))</f>
        <v/>
      </c>
      <c r="O3036" s="12">
        <f>IF(M3036="","",ROUND(N3036-M3036,2))</f>
        <v/>
      </c>
      <c r="P3036" s="13">
        <f>IF(AND(A3036&lt;&gt;"",B3036&lt;&gt;""), A3036&amp;" · "&amp;B3036, "")</f>
        <v/>
      </c>
    </row>
    <row r="3037">
      <c r="A3037" s="6" t="inlineStr">
        <is>
          <t>FY27</t>
        </is>
      </c>
      <c r="B3037" s="6" t="inlineStr">
        <is>
          <t>Jul</t>
        </is>
      </c>
      <c r="C3037" s="6" t="inlineStr">
        <is>
          <t>TN</t>
        </is>
      </c>
      <c r="D3037" s="7" t="inlineStr">
        <is>
          <t>TN05AW6478</t>
        </is>
      </c>
      <c r="E3037" s="7" t="inlineStr">
        <is>
          <t>HONDA</t>
        </is>
      </c>
      <c r="F3037" s="7" t="inlineStr">
        <is>
          <t>Brio</t>
        </is>
      </c>
      <c r="G3037" s="7" t="inlineStr">
        <is>
          <t>PRODUCTIVITY ELEMENTS PRIVATE LIMITED</t>
        </is>
      </c>
      <c r="H3037" s="7" t="inlineStr">
        <is>
          <t>Non-Captive</t>
        </is>
      </c>
      <c r="I3037" s="7" t="inlineStr">
        <is>
          <t>Senthil Cars</t>
        </is>
      </c>
      <c r="J3037" s="8" t="n">
        <v>2014</v>
      </c>
      <c r="K3037" s="9" t="n">
        <v>89521</v>
      </c>
      <c r="L3037" s="10" t="n">
        <v>100000</v>
      </c>
      <c r="M3037" s="10" t="n">
        <v>4237.29</v>
      </c>
      <c r="N3037" s="11">
        <f>IF(M3037="","",ROUND(M3037*1.18,2))</f>
        <v/>
      </c>
      <c r="O3037" s="12">
        <f>IF(M3037="","",ROUND(N3037-M3037,2))</f>
        <v/>
      </c>
      <c r="P3037" s="13">
        <f>IF(AND(A3037&lt;&gt;"",B3037&lt;&gt;""), A3037&amp;" · "&amp;B3037, "")</f>
        <v/>
      </c>
    </row>
    <row r="3038">
      <c r="A3038" s="6" t="inlineStr">
        <is>
          <t>FY27</t>
        </is>
      </c>
      <c r="B3038" s="6" t="inlineStr">
        <is>
          <t>Jul</t>
        </is>
      </c>
      <c r="C3038" s="6" t="inlineStr">
        <is>
          <t>TN</t>
        </is>
      </c>
      <c r="D3038" s="7" t="inlineStr">
        <is>
          <t>TN05BC2814</t>
        </is>
      </c>
      <c r="E3038" s="7" t="inlineStr">
        <is>
          <t>MARUTI SUZUKI</t>
        </is>
      </c>
      <c r="F3038" s="7" t="inlineStr">
        <is>
          <t>Eeco</t>
        </is>
      </c>
      <c r="G3038" s="7" t="inlineStr">
        <is>
          <t>STEER AUTO TECHNOLOGIES PRIVATE LIMITED</t>
        </is>
      </c>
      <c r="H3038" s="7" t="inlineStr">
        <is>
          <t>Non-Captive</t>
        </is>
      </c>
      <c r="I3038" s="7" t="inlineStr">
        <is>
          <t>Senthil Cars</t>
        </is>
      </c>
      <c r="J3038" s="8" t="n">
        <v>2015</v>
      </c>
      <c r="K3038" s="9" t="n">
        <v>114219</v>
      </c>
      <c r="L3038" s="10" t="n">
        <v>97000</v>
      </c>
      <c r="M3038" s="10" t="n">
        <v>4237.29</v>
      </c>
      <c r="N3038" s="11">
        <f>IF(M3038="","",ROUND(M3038*1.18,2))</f>
        <v/>
      </c>
      <c r="O3038" s="12">
        <f>IF(M3038="","",ROUND(N3038-M3038,2))</f>
        <v/>
      </c>
      <c r="P3038" s="13">
        <f>IF(AND(A3038&lt;&gt;"",B3038&lt;&gt;""), A3038&amp;" · "&amp;B3038, "")</f>
        <v/>
      </c>
    </row>
    <row r="3039">
      <c r="A3039" s="6" t="inlineStr">
        <is>
          <t>FY27</t>
        </is>
      </c>
      <c r="B3039" s="6" t="inlineStr">
        <is>
          <t>Jul</t>
        </is>
      </c>
      <c r="C3039" s="6" t="inlineStr">
        <is>
          <t>TN</t>
        </is>
      </c>
      <c r="D3039" s="7" t="inlineStr">
        <is>
          <t>TN05BE4520</t>
        </is>
      </c>
      <c r="E3039" s="7" t="inlineStr">
        <is>
          <t>MARUTI SUZUKI</t>
        </is>
      </c>
      <c r="F3039" s="7" t="inlineStr">
        <is>
          <t>Wagon R</t>
        </is>
      </c>
      <c r="G3039" s="7" t="inlineStr">
        <is>
          <t>STEER AUTO TECHNOLOGIES PRIVATE LIMITED</t>
        </is>
      </c>
      <c r="H3039" s="7" t="inlineStr">
        <is>
          <t>Non-Captive</t>
        </is>
      </c>
      <c r="I3039" s="7" t="inlineStr">
        <is>
          <t>SK Cars Prasana</t>
        </is>
      </c>
      <c r="J3039" s="8" t="n">
        <v>2016</v>
      </c>
      <c r="K3039" s="9" t="n">
        <v>31572</v>
      </c>
      <c r="L3039" s="10" t="n">
        <v>250000</v>
      </c>
      <c r="M3039" s="10" t="n">
        <v>6355.93</v>
      </c>
      <c r="N3039" s="11">
        <f>IF(M3039="","",ROUND(M3039*1.18,2))</f>
        <v/>
      </c>
      <c r="O3039" s="12">
        <f>IF(M3039="","",ROUND(N3039-M3039,2))</f>
        <v/>
      </c>
      <c r="P3039" s="13">
        <f>IF(AND(A3039&lt;&gt;"",B3039&lt;&gt;""), A3039&amp;" · "&amp;B3039, "")</f>
        <v/>
      </c>
    </row>
    <row r="3040">
      <c r="A3040" s="6" t="inlineStr">
        <is>
          <t>FY27</t>
        </is>
      </c>
      <c r="B3040" s="6" t="inlineStr">
        <is>
          <t>Jul</t>
        </is>
      </c>
      <c r="C3040" s="6" t="inlineStr">
        <is>
          <t>TN</t>
        </is>
      </c>
      <c r="D3040" s="7" t="inlineStr">
        <is>
          <t>TN05BJ5369</t>
        </is>
      </c>
      <c r="E3040" s="7" t="inlineStr">
        <is>
          <t>HONDA</t>
        </is>
      </c>
      <c r="F3040" s="7" t="inlineStr">
        <is>
          <t>Amaze</t>
        </is>
      </c>
      <c r="G3040" s="7" t="inlineStr">
        <is>
          <t>RAJALAKSHMI CARS</t>
        </is>
      </c>
      <c r="H3040" s="7" t="inlineStr">
        <is>
          <t>Non-Captive</t>
        </is>
      </c>
      <c r="I3040" s="7" t="inlineStr">
        <is>
          <t>Pine Autos</t>
        </is>
      </c>
      <c r="J3040" s="8" t="n">
        <v>2016</v>
      </c>
      <c r="K3040" s="9" t="n">
        <v>37374</v>
      </c>
      <c r="L3040" s="10" t="n">
        <v>180000</v>
      </c>
      <c r="M3040" s="10" t="n">
        <v>5084.75</v>
      </c>
      <c r="N3040" s="11">
        <f>IF(M3040="","",ROUND(M3040*1.18,2))</f>
        <v/>
      </c>
      <c r="O3040" s="12">
        <f>IF(M3040="","",ROUND(N3040-M3040,2))</f>
        <v/>
      </c>
      <c r="P3040" s="13">
        <f>IF(AND(A3040&lt;&gt;"",B3040&lt;&gt;""), A3040&amp;" · "&amp;B3040, "")</f>
        <v/>
      </c>
    </row>
    <row r="3041">
      <c r="A3041" s="6" t="inlineStr">
        <is>
          <t>FY27</t>
        </is>
      </c>
      <c r="B3041" s="6" t="inlineStr">
        <is>
          <t>Jul</t>
        </is>
      </c>
      <c r="C3041" s="6" t="inlineStr">
        <is>
          <t>TN</t>
        </is>
      </c>
      <c r="D3041" s="7" t="inlineStr">
        <is>
          <t>TN05BQ2968</t>
        </is>
      </c>
      <c r="E3041" s="7" t="inlineStr">
        <is>
          <t>RENAULT</t>
        </is>
      </c>
      <c r="F3041" s="7" t="inlineStr">
        <is>
          <t>Kwid</t>
        </is>
      </c>
      <c r="G3041" s="7" t="inlineStr">
        <is>
          <t>NIRMAL CARS</t>
        </is>
      </c>
      <c r="H3041" s="7" t="inlineStr">
        <is>
          <t>Non-Captive</t>
        </is>
      </c>
      <c r="I3041" s="7" t="inlineStr">
        <is>
          <t>Vijaya Cars</t>
        </is>
      </c>
      <c r="J3041" s="8" t="n">
        <v>2017</v>
      </c>
      <c r="K3041" s="9" t="n">
        <v>77603</v>
      </c>
      <c r="L3041" s="10" t="n">
        <v>190000</v>
      </c>
      <c r="M3041" s="10" t="n">
        <v>5509.32</v>
      </c>
      <c r="N3041" s="11">
        <f>IF(M3041="","",ROUND(M3041*1.18,2))</f>
        <v/>
      </c>
      <c r="O3041" s="12">
        <f>IF(M3041="","",ROUND(N3041-M3041,2))</f>
        <v/>
      </c>
      <c r="P3041" s="13">
        <f>IF(AND(A3041&lt;&gt;"",B3041&lt;&gt;""), A3041&amp;" · "&amp;B3041, "")</f>
        <v/>
      </c>
    </row>
    <row r="3042">
      <c r="A3042" s="6" t="inlineStr">
        <is>
          <t>FY27</t>
        </is>
      </c>
      <c r="B3042" s="6" t="inlineStr">
        <is>
          <t>Jul</t>
        </is>
      </c>
      <c r="C3042" s="6" t="inlineStr">
        <is>
          <t>TN</t>
        </is>
      </c>
      <c r="D3042" s="7" t="inlineStr">
        <is>
          <t>TN05CC9960</t>
        </is>
      </c>
      <c r="E3042" s="7" t="inlineStr">
        <is>
          <t>TOYOTA</t>
        </is>
      </c>
      <c r="F3042" s="7" t="inlineStr">
        <is>
          <t>Glanza</t>
        </is>
      </c>
      <c r="G3042" s="7" t="inlineStr">
        <is>
          <t>GURUDEV MOTORS LLP</t>
        </is>
      </c>
      <c r="H3042" s="7" t="inlineStr">
        <is>
          <t>Non-Captive</t>
        </is>
      </c>
      <c r="I3042" s="7" t="inlineStr">
        <is>
          <t>Vellore Vathiyar</t>
        </is>
      </c>
      <c r="J3042" s="8" t="n">
        <v>2021</v>
      </c>
      <c r="K3042" s="9" t="n">
        <v>43040</v>
      </c>
      <c r="L3042" s="10" t="n">
        <v>96000</v>
      </c>
      <c r="M3042" s="10" t="n">
        <v>4237.29</v>
      </c>
      <c r="N3042" s="11">
        <f>IF(M3042="","",ROUND(M3042*1.18,2))</f>
        <v/>
      </c>
      <c r="O3042" s="12">
        <f>IF(M3042="","",ROUND(N3042-M3042,2))</f>
        <v/>
      </c>
      <c r="P3042" s="13">
        <f>IF(AND(A3042&lt;&gt;"",B3042&lt;&gt;""), A3042&amp;" · "&amp;B3042, "")</f>
        <v/>
      </c>
    </row>
    <row r="3043">
      <c r="A3043" s="6" t="inlineStr">
        <is>
          <t>FY27</t>
        </is>
      </c>
      <c r="B3043" s="6" t="inlineStr">
        <is>
          <t>Jul</t>
        </is>
      </c>
      <c r="C3043" s="6" t="inlineStr">
        <is>
          <t>TN</t>
        </is>
      </c>
      <c r="D3043" s="7" t="inlineStr">
        <is>
          <t>TN06A6800</t>
        </is>
      </c>
      <c r="E3043" s="7" t="inlineStr">
        <is>
          <t>TOYOTA</t>
        </is>
      </c>
      <c r="F3043" s="7" t="inlineStr">
        <is>
          <t>Innova</t>
        </is>
      </c>
      <c r="G3043" s="7" t="inlineStr">
        <is>
          <t>VISHNU CARS PRIVATE LIMITED</t>
        </is>
      </c>
      <c r="H3043" s="7" t="inlineStr">
        <is>
          <t>Non-Captive</t>
        </is>
      </c>
      <c r="I3043" s="7" t="inlineStr">
        <is>
          <t>Pine Autos</t>
        </is>
      </c>
      <c r="J3043" s="8" t="n">
        <v>2010</v>
      </c>
      <c r="K3043" s="9" t="n">
        <v>205203</v>
      </c>
      <c r="L3043" s="10" t="n">
        <v>97000</v>
      </c>
      <c r="M3043" s="10" t="n">
        <v>4237.29</v>
      </c>
      <c r="N3043" s="11">
        <f>IF(M3043="","",ROUND(M3043*1.18,2))</f>
        <v/>
      </c>
      <c r="O3043" s="12">
        <f>IF(M3043="","",ROUND(N3043-M3043,2))</f>
        <v/>
      </c>
      <c r="P3043" s="13">
        <f>IF(AND(A3043&lt;&gt;"",B3043&lt;&gt;""), A3043&amp;" · "&amp;B3043, "")</f>
        <v/>
      </c>
    </row>
    <row r="3044">
      <c r="A3044" s="6" t="inlineStr">
        <is>
          <t>FY27</t>
        </is>
      </c>
      <c r="B3044" s="6" t="inlineStr">
        <is>
          <t>Jul</t>
        </is>
      </c>
      <c r="C3044" s="6" t="inlineStr">
        <is>
          <t>TN</t>
        </is>
      </c>
      <c r="D3044" s="7" t="inlineStr">
        <is>
          <t>TN06AE6322</t>
        </is>
      </c>
      <c r="E3044" s="7" t="inlineStr">
        <is>
          <t>TATA</t>
        </is>
      </c>
      <c r="F3044" s="7" t="inlineStr">
        <is>
          <t>Nexon</t>
        </is>
      </c>
      <c r="G3044" s="7" t="inlineStr">
        <is>
          <t>EXCHANGE CHENNAI</t>
        </is>
      </c>
      <c r="H3044" s="7" t="inlineStr">
        <is>
          <t>Captive</t>
        </is>
      </c>
      <c r="I3044" s="7" t="inlineStr">
        <is>
          <t>Santhosh Cars</t>
        </is>
      </c>
      <c r="J3044" s="8" t="n">
        <v>2023</v>
      </c>
      <c r="K3044" s="9" t="n">
        <v>31154</v>
      </c>
      <c r="L3044" s="10" t="n">
        <v>630000</v>
      </c>
      <c r="M3044" s="10" t="n">
        <v>7627.12</v>
      </c>
      <c r="N3044" s="11">
        <f>IF(M3044="","",ROUND(M3044*1.18,2))</f>
        <v/>
      </c>
      <c r="O3044" s="12">
        <f>IF(M3044="","",ROUND(N3044-M3044,2))</f>
        <v/>
      </c>
      <c r="P3044" s="13">
        <f>IF(AND(A3044&lt;&gt;"",B3044&lt;&gt;""), A3044&amp;" · "&amp;B3044, "")</f>
        <v/>
      </c>
    </row>
    <row r="3045">
      <c r="A3045" s="6" t="inlineStr">
        <is>
          <t>FY27</t>
        </is>
      </c>
      <c r="B3045" s="6" t="inlineStr">
        <is>
          <t>Jul</t>
        </is>
      </c>
      <c r="C3045" s="6" t="inlineStr">
        <is>
          <t>TN</t>
        </is>
      </c>
      <c r="D3045" s="7" t="inlineStr">
        <is>
          <t>TN06C0912</t>
        </is>
      </c>
      <c r="E3045" s="7" t="inlineStr">
        <is>
          <t>MARUTI SUZUKI</t>
        </is>
      </c>
      <c r="F3045" s="7" t="inlineStr">
        <is>
          <t>Swift</t>
        </is>
      </c>
      <c r="G3045" s="7" t="inlineStr">
        <is>
          <t>CRESCO CARS</t>
        </is>
      </c>
      <c r="H3045" s="7" t="inlineStr">
        <is>
          <t>Non-Captive</t>
        </is>
      </c>
      <c r="I3045" s="7" t="inlineStr">
        <is>
          <t>Senthil Cars</t>
        </is>
      </c>
      <c r="J3045" s="8" t="n">
        <v>2010</v>
      </c>
      <c r="K3045" s="9" t="n">
        <v>137153</v>
      </c>
      <c r="L3045" s="10" t="n">
        <v>95000</v>
      </c>
      <c r="M3045" s="10" t="n">
        <v>4237.29</v>
      </c>
      <c r="N3045" s="11">
        <f>IF(M3045="","",ROUND(M3045*1.18,2))</f>
        <v/>
      </c>
      <c r="O3045" s="12">
        <f>IF(M3045="","",ROUND(N3045-M3045,2))</f>
        <v/>
      </c>
      <c r="P3045" s="13">
        <f>IF(AND(A3045&lt;&gt;"",B3045&lt;&gt;""), A3045&amp;" · "&amp;B3045, "")</f>
        <v/>
      </c>
    </row>
    <row r="3046">
      <c r="A3046" s="6" t="inlineStr">
        <is>
          <t>FY27</t>
        </is>
      </c>
      <c r="B3046" s="6" t="inlineStr">
        <is>
          <t>Jul</t>
        </is>
      </c>
      <c r="C3046" s="6" t="inlineStr">
        <is>
          <t>TN</t>
        </is>
      </c>
      <c r="D3046" s="7" t="inlineStr">
        <is>
          <t>TN06E0365</t>
        </is>
      </c>
      <c r="E3046" s="7" t="inlineStr">
        <is>
          <t>TOYOTA</t>
        </is>
      </c>
      <c r="F3046" s="7" t="inlineStr">
        <is>
          <t>Etios Liva</t>
        </is>
      </c>
      <c r="G3046" s="7" t="inlineStr">
        <is>
          <t>CASTLE TRADERS MARUTI</t>
        </is>
      </c>
      <c r="H3046" s="7" t="inlineStr">
        <is>
          <t>Non-Captive</t>
        </is>
      </c>
      <c r="I3046" s="7" t="inlineStr">
        <is>
          <t>Pine Autos</t>
        </is>
      </c>
      <c r="J3046" s="8" t="n">
        <v>2011</v>
      </c>
      <c r="K3046" s="9" t="n">
        <v>42285</v>
      </c>
      <c r="L3046" s="10" t="n">
        <v>215000</v>
      </c>
      <c r="M3046" s="10" t="n">
        <v>6355.93</v>
      </c>
      <c r="N3046" s="11">
        <f>IF(M3046="","",ROUND(M3046*1.18,2))</f>
        <v/>
      </c>
      <c r="O3046" s="12">
        <f>IF(M3046="","",ROUND(N3046-M3046,2))</f>
        <v/>
      </c>
      <c r="P3046" s="13">
        <f>IF(AND(A3046&lt;&gt;"",B3046&lt;&gt;""), A3046&amp;" · "&amp;B3046, "")</f>
        <v/>
      </c>
    </row>
    <row r="3047">
      <c r="A3047" s="6" t="inlineStr">
        <is>
          <t>FY27</t>
        </is>
      </c>
      <c r="B3047" s="6" t="inlineStr">
        <is>
          <t>Jul</t>
        </is>
      </c>
      <c r="C3047" s="6" t="inlineStr">
        <is>
          <t>TN</t>
        </is>
      </c>
      <c r="D3047" s="7" t="inlineStr">
        <is>
          <t>TN06H2020</t>
        </is>
      </c>
      <c r="E3047" s="7" t="inlineStr">
        <is>
          <t>HONDA</t>
        </is>
      </c>
      <c r="F3047" s="7" t="inlineStr">
        <is>
          <t>Brio</t>
        </is>
      </c>
      <c r="G3047" s="7" t="inlineStr">
        <is>
          <t>CRESCO CARS</t>
        </is>
      </c>
      <c r="H3047" s="7" t="inlineStr">
        <is>
          <t>Non-Captive</t>
        </is>
      </c>
      <c r="I3047" s="7" t="inlineStr">
        <is>
          <t>Pine Autos</t>
        </is>
      </c>
      <c r="J3047" s="8" t="n">
        <v>2012</v>
      </c>
      <c r="K3047" s="9" t="n">
        <v>66249</v>
      </c>
      <c r="L3047" s="10" t="n">
        <v>199000</v>
      </c>
      <c r="M3047" s="10" t="n">
        <v>5084.75</v>
      </c>
      <c r="N3047" s="11">
        <f>IF(M3047="","",ROUND(M3047*1.18,2))</f>
        <v/>
      </c>
      <c r="O3047" s="12">
        <f>IF(M3047="","",ROUND(N3047-M3047,2))</f>
        <v/>
      </c>
      <c r="P3047" s="13">
        <f>IF(AND(A3047&lt;&gt;"",B3047&lt;&gt;""), A3047&amp;" · "&amp;B3047, "")</f>
        <v/>
      </c>
    </row>
    <row r="3048">
      <c r="A3048" s="6" t="inlineStr">
        <is>
          <t>FY27</t>
        </is>
      </c>
      <c r="B3048" s="6" t="inlineStr">
        <is>
          <t>Jul</t>
        </is>
      </c>
      <c r="C3048" s="6" t="inlineStr">
        <is>
          <t>TN</t>
        </is>
      </c>
      <c r="D3048" s="7" t="inlineStr">
        <is>
          <t>TN06K3082</t>
        </is>
      </c>
      <c r="E3048" s="7" t="inlineStr">
        <is>
          <t>FORD</t>
        </is>
      </c>
      <c r="F3048" s="7" t="inlineStr">
        <is>
          <t>Ikon</t>
        </is>
      </c>
      <c r="G3048" s="7" t="inlineStr">
        <is>
          <t>NIRMAL CARS</t>
        </is>
      </c>
      <c r="H3048" s="7" t="inlineStr">
        <is>
          <t>Non-Captive</t>
        </is>
      </c>
      <c r="I3048" s="7" t="inlineStr">
        <is>
          <t>Pine Autos</t>
        </is>
      </c>
      <c r="J3048" s="8" t="n">
        <v>2009</v>
      </c>
      <c r="K3048" s="9" t="n">
        <v>100044</v>
      </c>
      <c r="L3048" s="10" t="n">
        <v>135000</v>
      </c>
      <c r="M3048" s="10" t="n">
        <v>4238.14</v>
      </c>
      <c r="N3048" s="11">
        <f>IF(M3048="","",ROUND(M3048*1.18,2))</f>
        <v/>
      </c>
      <c r="O3048" s="12">
        <f>IF(M3048="","",ROUND(N3048-M3048,2))</f>
        <v/>
      </c>
      <c r="P3048" s="13">
        <f>IF(AND(A3048&lt;&gt;"",B3048&lt;&gt;""), A3048&amp;" · "&amp;B3048, "")</f>
        <v/>
      </c>
    </row>
    <row r="3049">
      <c r="A3049" s="6" t="inlineStr">
        <is>
          <t>FY27</t>
        </is>
      </c>
      <c r="B3049" s="6" t="inlineStr">
        <is>
          <t>Jul</t>
        </is>
      </c>
      <c r="C3049" s="6" t="inlineStr">
        <is>
          <t>TN</t>
        </is>
      </c>
      <c r="D3049" s="7" t="inlineStr">
        <is>
          <t>TN06R1399</t>
        </is>
      </c>
      <c r="E3049" s="7" t="inlineStr">
        <is>
          <t>HONDA</t>
        </is>
      </c>
      <c r="F3049" s="7" t="inlineStr">
        <is>
          <t>Amaze</t>
        </is>
      </c>
      <c r="G3049" s="7" t="inlineStr">
        <is>
          <t>EXCHANGE CHENNAI</t>
        </is>
      </c>
      <c r="H3049" s="7" t="inlineStr">
        <is>
          <t>Captive</t>
        </is>
      </c>
      <c r="I3049" s="7" t="inlineStr">
        <is>
          <t>Aasim Motors</t>
        </is>
      </c>
      <c r="J3049" s="8" t="n">
        <v>2016</v>
      </c>
      <c r="K3049" s="9" t="n">
        <v>79710</v>
      </c>
      <c r="L3049" s="10" t="n">
        <v>320000</v>
      </c>
      <c r="M3049" s="10" t="n">
        <v>8474.58</v>
      </c>
      <c r="N3049" s="11">
        <f>IF(M3049="","",ROUND(M3049*1.18,2))</f>
        <v/>
      </c>
      <c r="O3049" s="12">
        <f>IF(M3049="","",ROUND(N3049-M3049,2))</f>
        <v/>
      </c>
      <c r="P3049" s="13">
        <f>IF(AND(A3049&lt;&gt;"",B3049&lt;&gt;""), A3049&amp;" · "&amp;B3049, "")</f>
        <v/>
      </c>
    </row>
    <row r="3050">
      <c r="A3050" s="6" t="inlineStr">
        <is>
          <t>FY27</t>
        </is>
      </c>
      <c r="B3050" s="6" t="inlineStr">
        <is>
          <t>Jul</t>
        </is>
      </c>
      <c r="C3050" s="6" t="inlineStr">
        <is>
          <t>TN</t>
        </is>
      </c>
      <c r="D3050" s="7" t="inlineStr">
        <is>
          <t>TN06R4104</t>
        </is>
      </c>
      <c r="E3050" s="7" t="inlineStr">
        <is>
          <t>HONDA</t>
        </is>
      </c>
      <c r="F3050" s="7" t="inlineStr">
        <is>
          <t>City</t>
        </is>
      </c>
      <c r="G3050" s="7" t="inlineStr">
        <is>
          <t>EXCHANGE CHENNAI</t>
        </is>
      </c>
      <c r="H3050" s="7" t="inlineStr">
        <is>
          <t>Captive</t>
        </is>
      </c>
      <c r="I3050" s="7" t="inlineStr">
        <is>
          <t>&lt;NA&gt;</t>
        </is>
      </c>
      <c r="J3050" s="8" t="n">
        <v>2016</v>
      </c>
      <c r="K3050" s="9" t="n">
        <v>55244</v>
      </c>
      <c r="L3050" s="10" t="n">
        <v>460000</v>
      </c>
      <c r="M3050" s="10" t="n">
        <v>8474.58</v>
      </c>
      <c r="N3050" s="11">
        <f>IF(M3050="","",ROUND(M3050*1.18,2))</f>
        <v/>
      </c>
      <c r="O3050" s="12">
        <f>IF(M3050="","",ROUND(N3050-M3050,2))</f>
        <v/>
      </c>
      <c r="P3050" s="13">
        <f>IF(AND(A3050&lt;&gt;"",B3050&lt;&gt;""), A3050&amp;" · "&amp;B3050, "")</f>
        <v/>
      </c>
    </row>
    <row r="3051">
      <c r="A3051" s="6" t="inlineStr">
        <is>
          <t>FY27</t>
        </is>
      </c>
      <c r="B3051" s="6" t="inlineStr">
        <is>
          <t>Jul</t>
        </is>
      </c>
      <c r="C3051" s="6" t="inlineStr">
        <is>
          <t>TN</t>
        </is>
      </c>
      <c r="D3051" s="7" t="inlineStr">
        <is>
          <t>TN06U7281</t>
        </is>
      </c>
      <c r="E3051" s="7" t="inlineStr">
        <is>
          <t>HONDA</t>
        </is>
      </c>
      <c r="F3051" s="7" t="inlineStr">
        <is>
          <t>BR-V</t>
        </is>
      </c>
      <c r="G3051" s="7" t="inlineStr">
        <is>
          <t>CASTLE TRADERS HONDA</t>
        </is>
      </c>
      <c r="H3051" s="7" t="inlineStr">
        <is>
          <t>Non-Captive</t>
        </is>
      </c>
      <c r="I3051" s="7" t="inlineStr">
        <is>
          <t>Yes Cars</t>
        </is>
      </c>
      <c r="J3051" s="8" t="n">
        <v>2017</v>
      </c>
      <c r="K3051" s="9" t="n">
        <v>965413</v>
      </c>
      <c r="L3051" s="10" t="n">
        <v>560000</v>
      </c>
      <c r="M3051" s="10" t="n">
        <v>4237.29</v>
      </c>
      <c r="N3051" s="11">
        <f>IF(M3051="","",ROUND(M3051*1.18,2))</f>
        <v/>
      </c>
      <c r="O3051" s="12">
        <f>IF(M3051="","",ROUND(N3051-M3051,2))</f>
        <v/>
      </c>
      <c r="P3051" s="13">
        <f>IF(AND(A3051&lt;&gt;"",B3051&lt;&gt;""), A3051&amp;" · "&amp;B3051, "")</f>
        <v/>
      </c>
    </row>
    <row r="3052">
      <c r="A3052" s="6" t="inlineStr">
        <is>
          <t>FY27</t>
        </is>
      </c>
      <c r="B3052" s="6" t="inlineStr">
        <is>
          <t>Jul</t>
        </is>
      </c>
      <c r="C3052" s="6" t="inlineStr">
        <is>
          <t>TN</t>
        </is>
      </c>
      <c r="D3052" s="7" t="inlineStr">
        <is>
          <t>TN07AP5429</t>
        </is>
      </c>
      <c r="E3052" s="7" t="inlineStr">
        <is>
          <t>HYUNDAI</t>
        </is>
      </c>
      <c r="F3052" s="7" t="inlineStr">
        <is>
          <t>Santro</t>
        </is>
      </c>
      <c r="G3052" s="7" t="inlineStr">
        <is>
          <t>VISHNU CARS PRIVATE LIMITED</t>
        </is>
      </c>
      <c r="H3052" s="7" t="inlineStr">
        <is>
          <t>Non-Captive</t>
        </is>
      </c>
      <c r="I3052" s="7" t="inlineStr">
        <is>
          <t>LIAKATHCARS</t>
        </is>
      </c>
      <c r="J3052" s="8" t="n">
        <v>2007</v>
      </c>
      <c r="K3052" s="9" t="n">
        <v>108269</v>
      </c>
      <c r="L3052" s="10" t="n">
        <v>98000</v>
      </c>
      <c r="M3052" s="10" t="n">
        <v>4237.29</v>
      </c>
      <c r="N3052" s="11">
        <f>IF(M3052="","",ROUND(M3052*1.18,2))</f>
        <v/>
      </c>
      <c r="O3052" s="12">
        <f>IF(M3052="","",ROUND(N3052-M3052,2))</f>
        <v/>
      </c>
      <c r="P3052" s="13">
        <f>IF(AND(A3052&lt;&gt;"",B3052&lt;&gt;""), A3052&amp;" · "&amp;B3052, "")</f>
        <v/>
      </c>
    </row>
    <row r="3053">
      <c r="A3053" s="6" t="inlineStr">
        <is>
          <t>FY27</t>
        </is>
      </c>
      <c r="B3053" s="6" t="inlineStr">
        <is>
          <t>Jul</t>
        </is>
      </c>
      <c r="C3053" s="6" t="inlineStr">
        <is>
          <t>TN</t>
        </is>
      </c>
      <c r="D3053" s="7" t="inlineStr">
        <is>
          <t>TN07AR0138</t>
        </is>
      </c>
      <c r="E3053" s="7" t="inlineStr">
        <is>
          <t>MARUTI SUZUKI</t>
        </is>
      </c>
      <c r="F3053" s="7" t="inlineStr">
        <is>
          <t>Alto</t>
        </is>
      </c>
      <c r="G3053" s="7" t="inlineStr">
        <is>
          <t>EXCHANGE ROTN</t>
        </is>
      </c>
      <c r="H3053" s="7" t="inlineStr">
        <is>
          <t>Captive</t>
        </is>
      </c>
      <c r="I3053" s="7" t="inlineStr">
        <is>
          <t>&lt;NA&gt;</t>
        </is>
      </c>
      <c r="J3053" s="8" t="n">
        <v>2007</v>
      </c>
      <c r="K3053" s="9" t="n">
        <v>136385</v>
      </c>
      <c r="L3053" s="10" t="n">
        <v>60000</v>
      </c>
      <c r="M3053" s="10" t="n">
        <v>4237.29</v>
      </c>
      <c r="N3053" s="11">
        <f>IF(M3053="","",ROUND(M3053*1.18,2))</f>
        <v/>
      </c>
      <c r="O3053" s="12">
        <f>IF(M3053="","",ROUND(N3053-M3053,2))</f>
        <v/>
      </c>
      <c r="P3053" s="13">
        <f>IF(AND(A3053&lt;&gt;"",B3053&lt;&gt;""), A3053&amp;" · "&amp;B3053, "")</f>
        <v/>
      </c>
    </row>
    <row r="3054">
      <c r="A3054" s="6" t="inlineStr">
        <is>
          <t>FY27</t>
        </is>
      </c>
      <c r="B3054" s="6" t="inlineStr">
        <is>
          <t>Jul</t>
        </is>
      </c>
      <c r="C3054" s="6" t="inlineStr">
        <is>
          <t>TN</t>
        </is>
      </c>
      <c r="D3054" s="7" t="inlineStr">
        <is>
          <t>TN07AR7655</t>
        </is>
      </c>
      <c r="E3054" s="7" t="inlineStr">
        <is>
          <t>HYUNDAI</t>
        </is>
      </c>
      <c r="F3054" s="7" t="inlineStr">
        <is>
          <t>Santro</t>
        </is>
      </c>
      <c r="G3054" s="7" t="inlineStr">
        <is>
          <t>AIE CARS PRIVATE LIMITED</t>
        </is>
      </c>
      <c r="H3054" s="7" t="inlineStr">
        <is>
          <t>Non-Captive</t>
        </is>
      </c>
      <c r="I3054" s="7" t="inlineStr">
        <is>
          <t>AAA Cars</t>
        </is>
      </c>
      <c r="J3054" s="8" t="n">
        <v>2008</v>
      </c>
      <c r="K3054" s="9" t="n">
        <v>63299</v>
      </c>
      <c r="L3054" s="10" t="n">
        <v>99000</v>
      </c>
      <c r="M3054" s="10" t="n">
        <v>4237.29</v>
      </c>
      <c r="N3054" s="11">
        <f>IF(M3054="","",ROUND(M3054*1.18,2))</f>
        <v/>
      </c>
      <c r="O3054" s="12">
        <f>IF(M3054="","",ROUND(N3054-M3054,2))</f>
        <v/>
      </c>
      <c r="P3054" s="13">
        <f>IF(AND(A3054&lt;&gt;"",B3054&lt;&gt;""), A3054&amp;" · "&amp;B3054, "")</f>
        <v/>
      </c>
    </row>
    <row r="3055">
      <c r="A3055" s="6" t="inlineStr">
        <is>
          <t>FY27</t>
        </is>
      </c>
      <c r="B3055" s="6" t="inlineStr">
        <is>
          <t>Jul</t>
        </is>
      </c>
      <c r="C3055" s="6" t="inlineStr">
        <is>
          <t>TN</t>
        </is>
      </c>
      <c r="D3055" s="7" t="inlineStr">
        <is>
          <t>TN07AT6066</t>
        </is>
      </c>
      <c r="E3055" s="7" t="inlineStr">
        <is>
          <t>HONDA</t>
        </is>
      </c>
      <c r="F3055" s="7" t="inlineStr">
        <is>
          <t>City</t>
        </is>
      </c>
      <c r="G3055" s="7" t="inlineStr">
        <is>
          <t>VISHNU CARS PRIVATE LIMITED</t>
        </is>
      </c>
      <c r="H3055" s="7" t="inlineStr">
        <is>
          <t>Non-Captive</t>
        </is>
      </c>
      <c r="I3055" s="7" t="inlineStr">
        <is>
          <t>Thiya Cars</t>
        </is>
      </c>
      <c r="J3055" s="8" t="n">
        <v>2007</v>
      </c>
      <c r="K3055" s="9" t="n">
        <v>240307</v>
      </c>
      <c r="L3055" s="10" t="n">
        <v>94000</v>
      </c>
      <c r="M3055" s="10" t="n">
        <v>4237.29</v>
      </c>
      <c r="N3055" s="11">
        <f>IF(M3055="","",ROUND(M3055*1.18,2))</f>
        <v/>
      </c>
      <c r="O3055" s="12">
        <f>IF(M3055="","",ROUND(N3055-M3055,2))</f>
        <v/>
      </c>
      <c r="P3055" s="13">
        <f>IF(AND(A3055&lt;&gt;"",B3055&lt;&gt;""), A3055&amp;" · "&amp;B3055, "")</f>
        <v/>
      </c>
    </row>
    <row r="3056">
      <c r="A3056" s="6" t="inlineStr">
        <is>
          <t>FY27</t>
        </is>
      </c>
      <c r="B3056" s="6" t="inlineStr">
        <is>
          <t>Jul</t>
        </is>
      </c>
      <c r="C3056" s="6" t="inlineStr">
        <is>
          <t>TN</t>
        </is>
      </c>
      <c r="D3056" s="7" t="inlineStr">
        <is>
          <t>TN07BC8005</t>
        </is>
      </c>
      <c r="E3056" s="7" t="inlineStr">
        <is>
          <t>HONDA</t>
        </is>
      </c>
      <c r="F3056" s="7" t="inlineStr">
        <is>
          <t>City</t>
        </is>
      </c>
      <c r="G3056" s="7" t="inlineStr">
        <is>
          <t>EXCHANGE CHENNAI</t>
        </is>
      </c>
      <c r="H3056" s="7" t="inlineStr">
        <is>
          <t>Captive</t>
        </is>
      </c>
      <c r="I3056" s="7" t="inlineStr">
        <is>
          <t>Santhosh Cars</t>
        </is>
      </c>
      <c r="J3056" s="8" t="n">
        <v>2009</v>
      </c>
      <c r="K3056" s="9" t="n">
        <v>87591</v>
      </c>
      <c r="L3056" s="10" t="n">
        <v>165000</v>
      </c>
      <c r="M3056" s="10" t="n">
        <v>8474.58</v>
      </c>
      <c r="N3056" s="11">
        <f>IF(M3056="","",ROUND(M3056*1.18,2))</f>
        <v/>
      </c>
      <c r="O3056" s="12">
        <f>IF(M3056="","",ROUND(N3056-M3056,2))</f>
        <v/>
      </c>
      <c r="P3056" s="13">
        <f>IF(AND(A3056&lt;&gt;"",B3056&lt;&gt;""), A3056&amp;" · "&amp;B3056, "")</f>
        <v/>
      </c>
    </row>
    <row r="3057">
      <c r="A3057" s="6" t="inlineStr">
        <is>
          <t>FY27</t>
        </is>
      </c>
      <c r="B3057" s="6" t="inlineStr">
        <is>
          <t>Jul</t>
        </is>
      </c>
      <c r="C3057" s="6" t="inlineStr">
        <is>
          <t>TN</t>
        </is>
      </c>
      <c r="D3057" s="7" t="inlineStr">
        <is>
          <t>TN07BE2864</t>
        </is>
      </c>
      <c r="E3057" s="7" t="inlineStr">
        <is>
          <t>HYUNDAI</t>
        </is>
      </c>
      <c r="F3057" s="7" t="inlineStr">
        <is>
          <t>i10</t>
        </is>
      </c>
      <c r="G3057" s="7" t="inlineStr">
        <is>
          <t>CASTLE TRADERS MARUTI</t>
        </is>
      </c>
      <c r="H3057" s="7" t="inlineStr">
        <is>
          <t>Non-Captive</t>
        </is>
      </c>
      <c r="I3057" s="7" t="inlineStr">
        <is>
          <t>AAA Cars</t>
        </is>
      </c>
      <c r="J3057" s="8" t="n">
        <v>2009</v>
      </c>
      <c r="K3057" s="9" t="n">
        <v>277268</v>
      </c>
      <c r="L3057" s="10" t="n">
        <v>90000</v>
      </c>
      <c r="M3057" s="10" t="n">
        <v>4237.29</v>
      </c>
      <c r="N3057" s="11">
        <f>IF(M3057="","",ROUND(M3057*1.18,2))</f>
        <v/>
      </c>
      <c r="O3057" s="12">
        <f>IF(M3057="","",ROUND(N3057-M3057,2))</f>
        <v/>
      </c>
      <c r="P3057" s="13">
        <f>IF(AND(A3057&lt;&gt;"",B3057&lt;&gt;""), A3057&amp;" · "&amp;B3057, "")</f>
        <v/>
      </c>
    </row>
    <row r="3058">
      <c r="A3058" s="6" t="inlineStr">
        <is>
          <t>FY27</t>
        </is>
      </c>
      <c r="B3058" s="6" t="inlineStr">
        <is>
          <t>Jul</t>
        </is>
      </c>
      <c r="C3058" s="6" t="inlineStr">
        <is>
          <t>TN</t>
        </is>
      </c>
      <c r="D3058" s="7" t="inlineStr">
        <is>
          <t>TN07BE7508</t>
        </is>
      </c>
      <c r="E3058" s="7" t="inlineStr">
        <is>
          <t>MARUTI SUZUKI</t>
        </is>
      </c>
      <c r="F3058" s="7" t="inlineStr">
        <is>
          <t>SX4</t>
        </is>
      </c>
      <c r="G3058" s="7" t="inlineStr">
        <is>
          <t>CRESCO CARS</t>
        </is>
      </c>
      <c r="H3058" s="7" t="inlineStr">
        <is>
          <t>Non-Captive</t>
        </is>
      </c>
      <c r="I3058" s="7" t="inlineStr">
        <is>
          <t>Pine Autos</t>
        </is>
      </c>
      <c r="J3058" s="8" t="n">
        <v>2009</v>
      </c>
      <c r="K3058" s="9" t="n">
        <v>216223</v>
      </c>
      <c r="L3058" s="10" t="n">
        <v>95000</v>
      </c>
      <c r="M3058" s="10" t="n">
        <v>4237.29</v>
      </c>
      <c r="N3058" s="11">
        <f>IF(M3058="","",ROUND(M3058*1.18,2))</f>
        <v/>
      </c>
      <c r="O3058" s="12">
        <f>IF(M3058="","",ROUND(N3058-M3058,2))</f>
        <v/>
      </c>
      <c r="P3058" s="13">
        <f>IF(AND(A3058&lt;&gt;"",B3058&lt;&gt;""), A3058&amp;" · "&amp;B3058, "")</f>
        <v/>
      </c>
    </row>
    <row r="3059">
      <c r="A3059" s="6" t="inlineStr">
        <is>
          <t>FY27</t>
        </is>
      </c>
      <c r="B3059" s="6" t="inlineStr">
        <is>
          <t>Jul</t>
        </is>
      </c>
      <c r="C3059" s="6" t="inlineStr">
        <is>
          <t>TN</t>
        </is>
      </c>
      <c r="D3059" s="7" t="inlineStr">
        <is>
          <t>TN07BF1839</t>
        </is>
      </c>
      <c r="E3059" s="7" t="inlineStr">
        <is>
          <t>FIAT</t>
        </is>
      </c>
      <c r="F3059" s="7" t="inlineStr">
        <is>
          <t>Punto</t>
        </is>
      </c>
      <c r="G3059" s="7" t="inlineStr">
        <is>
          <t>VISHNU CARS PRIVATE LIMITED</t>
        </is>
      </c>
      <c r="H3059" s="7" t="inlineStr">
        <is>
          <t>Non-Captive</t>
        </is>
      </c>
      <c r="I3059" s="7" t="inlineStr">
        <is>
          <t>LIAKATHCARS</t>
        </is>
      </c>
      <c r="J3059" s="8" t="n">
        <v>2010</v>
      </c>
      <c r="K3059" s="9" t="n">
        <v>154000</v>
      </c>
      <c r="L3059" s="10" t="n">
        <v>95000</v>
      </c>
      <c r="M3059" s="10" t="n">
        <v>4237.29</v>
      </c>
      <c r="N3059" s="11">
        <f>IF(M3059="","",ROUND(M3059*1.18,2))</f>
        <v/>
      </c>
      <c r="O3059" s="12">
        <f>IF(M3059="","",ROUND(N3059-M3059,2))</f>
        <v/>
      </c>
      <c r="P3059" s="13">
        <f>IF(AND(A3059&lt;&gt;"",B3059&lt;&gt;""), A3059&amp;" · "&amp;B3059, "")</f>
        <v/>
      </c>
    </row>
    <row r="3060">
      <c r="A3060" s="6" t="inlineStr">
        <is>
          <t>FY27</t>
        </is>
      </c>
      <c r="B3060" s="6" t="inlineStr">
        <is>
          <t>Jul</t>
        </is>
      </c>
      <c r="C3060" s="6" t="inlineStr">
        <is>
          <t>TN</t>
        </is>
      </c>
      <c r="D3060" s="7" t="inlineStr">
        <is>
          <t>TN07BK3225</t>
        </is>
      </c>
      <c r="E3060" s="7" t="inlineStr">
        <is>
          <t>MARUTI SUZUKI</t>
        </is>
      </c>
      <c r="F3060" s="7" t="inlineStr">
        <is>
          <t>Eeco</t>
        </is>
      </c>
      <c r="G3060" s="7" t="inlineStr">
        <is>
          <t>PRODUCTIVITY ELEMENTS PRIVATE LIMITED</t>
        </is>
      </c>
      <c r="H3060" s="7" t="inlineStr">
        <is>
          <t>Non-Captive</t>
        </is>
      </c>
      <c r="I3060" s="7" t="inlineStr">
        <is>
          <t>READY TO RIDE CARS</t>
        </is>
      </c>
      <c r="J3060" s="8" t="n">
        <v>2010</v>
      </c>
      <c r="K3060" s="9" t="n">
        <v>46231</v>
      </c>
      <c r="L3060" s="10" t="n">
        <v>77000</v>
      </c>
      <c r="M3060" s="10" t="n">
        <v>4237.29</v>
      </c>
      <c r="N3060" s="11">
        <f>IF(M3060="","",ROUND(M3060*1.18,2))</f>
        <v/>
      </c>
      <c r="O3060" s="12">
        <f>IF(M3060="","",ROUND(N3060-M3060,2))</f>
        <v/>
      </c>
      <c r="P3060" s="13">
        <f>IF(AND(A3060&lt;&gt;"",B3060&lt;&gt;""), A3060&amp;" · "&amp;B3060, "")</f>
        <v/>
      </c>
    </row>
    <row r="3061">
      <c r="A3061" s="6" t="inlineStr">
        <is>
          <t>FY27</t>
        </is>
      </c>
      <c r="B3061" s="6" t="inlineStr">
        <is>
          <t>Jul</t>
        </is>
      </c>
      <c r="C3061" s="6" t="inlineStr">
        <is>
          <t>TN</t>
        </is>
      </c>
      <c r="D3061" s="7" t="inlineStr">
        <is>
          <t>TN07BL5949</t>
        </is>
      </c>
      <c r="E3061" s="7" t="inlineStr">
        <is>
          <t>NISSAN</t>
        </is>
      </c>
      <c r="F3061" s="7" t="inlineStr">
        <is>
          <t>Micra</t>
        </is>
      </c>
      <c r="G3061" s="7" t="inlineStr">
        <is>
          <t>CASTLE TRADERS MARUTI</t>
        </is>
      </c>
      <c r="H3061" s="7" t="inlineStr">
        <is>
          <t>Non-Captive</t>
        </is>
      </c>
      <c r="I3061" s="7" t="inlineStr">
        <is>
          <t>Pine Autos</t>
        </is>
      </c>
      <c r="J3061" s="8" t="n">
        <v>2011</v>
      </c>
      <c r="K3061" s="9" t="n">
        <v>45157</v>
      </c>
      <c r="L3061" s="10" t="n">
        <v>165000</v>
      </c>
      <c r="M3061" s="10" t="n">
        <v>5084.75</v>
      </c>
      <c r="N3061" s="11">
        <f>IF(M3061="","",ROUND(M3061*1.18,2))</f>
        <v/>
      </c>
      <c r="O3061" s="12">
        <f>IF(M3061="","",ROUND(N3061-M3061,2))</f>
        <v/>
      </c>
      <c r="P3061" s="13">
        <f>IF(AND(A3061&lt;&gt;"",B3061&lt;&gt;""), A3061&amp;" · "&amp;B3061, "")</f>
        <v/>
      </c>
    </row>
    <row r="3062">
      <c r="A3062" s="6" t="inlineStr">
        <is>
          <t>FY27</t>
        </is>
      </c>
      <c r="B3062" s="6" t="inlineStr">
        <is>
          <t>Jul</t>
        </is>
      </c>
      <c r="C3062" s="6" t="inlineStr">
        <is>
          <t>TN</t>
        </is>
      </c>
      <c r="D3062" s="7" t="inlineStr">
        <is>
          <t>TN07BM1994</t>
        </is>
      </c>
      <c r="E3062" s="7" t="inlineStr">
        <is>
          <t>HONDA</t>
        </is>
      </c>
      <c r="F3062" s="7" t="inlineStr">
        <is>
          <t>City</t>
        </is>
      </c>
      <c r="G3062" s="7" t="inlineStr">
        <is>
          <t>EXCHANGE CHENNAI</t>
        </is>
      </c>
      <c r="H3062" s="7" t="inlineStr">
        <is>
          <t>Captive</t>
        </is>
      </c>
      <c r="I3062" s="7" t="inlineStr">
        <is>
          <t>Santhosh Cars</t>
        </is>
      </c>
      <c r="J3062" s="8" t="n">
        <v>2011</v>
      </c>
      <c r="K3062" s="9" t="n">
        <v>97114</v>
      </c>
      <c r="L3062" s="10" t="n">
        <v>190000</v>
      </c>
      <c r="M3062" s="10" t="n">
        <v>8474.58</v>
      </c>
      <c r="N3062" s="11">
        <f>IF(M3062="","",ROUND(M3062*1.18,2))</f>
        <v/>
      </c>
      <c r="O3062" s="12">
        <f>IF(M3062="","",ROUND(N3062-M3062,2))</f>
        <v/>
      </c>
      <c r="P3062" s="13">
        <f>IF(AND(A3062&lt;&gt;"",B3062&lt;&gt;""), A3062&amp;" · "&amp;B3062, "")</f>
        <v/>
      </c>
    </row>
    <row r="3063">
      <c r="A3063" s="6" t="inlineStr">
        <is>
          <t>FY27</t>
        </is>
      </c>
      <c r="B3063" s="6" t="inlineStr">
        <is>
          <t>Jul</t>
        </is>
      </c>
      <c r="C3063" s="6" t="inlineStr">
        <is>
          <t>TN</t>
        </is>
      </c>
      <c r="D3063" s="7" t="inlineStr">
        <is>
          <t>TN07BM7330</t>
        </is>
      </c>
      <c r="E3063" s="7" t="inlineStr">
        <is>
          <t>HYUNDAI</t>
        </is>
      </c>
      <c r="F3063" s="7" t="inlineStr">
        <is>
          <t>i10</t>
        </is>
      </c>
      <c r="G3063" s="7" t="inlineStr">
        <is>
          <t>AIE CARS PRIVATE LIMITED</t>
        </is>
      </c>
      <c r="H3063" s="7" t="inlineStr">
        <is>
          <t>Non-Captive</t>
        </is>
      </c>
      <c r="I3063" s="7" t="inlineStr">
        <is>
          <t>LIAKATHCARS</t>
        </is>
      </c>
      <c r="J3063" s="8" t="n">
        <v>2011</v>
      </c>
      <c r="K3063" s="9" t="n">
        <v>26674</v>
      </c>
      <c r="L3063" s="10" t="n">
        <v>87000</v>
      </c>
      <c r="M3063" s="10" t="n">
        <v>4237.29</v>
      </c>
      <c r="N3063" s="11">
        <f>IF(M3063="","",ROUND(M3063*1.18,2))</f>
        <v/>
      </c>
      <c r="O3063" s="12">
        <f>IF(M3063="","",ROUND(N3063-M3063,2))</f>
        <v/>
      </c>
      <c r="P3063" s="13">
        <f>IF(AND(A3063&lt;&gt;"",B3063&lt;&gt;""), A3063&amp;" · "&amp;B3063, "")</f>
        <v/>
      </c>
    </row>
    <row r="3064">
      <c r="A3064" s="6" t="inlineStr">
        <is>
          <t>FY27</t>
        </is>
      </c>
      <c r="B3064" s="6" t="inlineStr">
        <is>
          <t>Jul</t>
        </is>
      </c>
      <c r="C3064" s="6" t="inlineStr">
        <is>
          <t>TN</t>
        </is>
      </c>
      <c r="D3064" s="7" t="inlineStr">
        <is>
          <t>TN07BS1972</t>
        </is>
      </c>
      <c r="E3064" s="7" t="inlineStr">
        <is>
          <t>HYUNDAI</t>
        </is>
      </c>
      <c r="F3064" s="7" t="inlineStr">
        <is>
          <t>i20</t>
        </is>
      </c>
      <c r="G3064" s="7" t="inlineStr">
        <is>
          <t>PRODUCTIVITY ELEMENTS PRIVATE LIMITED</t>
        </is>
      </c>
      <c r="H3064" s="7" t="inlineStr">
        <is>
          <t>Non-Captive</t>
        </is>
      </c>
      <c r="I3064" s="7" t="inlineStr">
        <is>
          <t>Senthil Cars</t>
        </is>
      </c>
      <c r="J3064" s="8" t="n">
        <v>2012</v>
      </c>
      <c r="K3064" s="9" t="n">
        <v>131874</v>
      </c>
      <c r="L3064" s="10" t="n">
        <v>93000</v>
      </c>
      <c r="M3064" s="10" t="n">
        <v>4237.29</v>
      </c>
      <c r="N3064" s="11">
        <f>IF(M3064="","",ROUND(M3064*1.18,2))</f>
        <v/>
      </c>
      <c r="O3064" s="12">
        <f>IF(M3064="","",ROUND(N3064-M3064,2))</f>
        <v/>
      </c>
      <c r="P3064" s="13">
        <f>IF(AND(A3064&lt;&gt;"",B3064&lt;&gt;""), A3064&amp;" · "&amp;B3064, "")</f>
        <v/>
      </c>
    </row>
    <row r="3065">
      <c r="A3065" s="6" t="inlineStr">
        <is>
          <t>FY27</t>
        </is>
      </c>
      <c r="B3065" s="6" t="inlineStr">
        <is>
          <t>Jul</t>
        </is>
      </c>
      <c r="C3065" s="6" t="inlineStr">
        <is>
          <t>TN</t>
        </is>
      </c>
      <c r="D3065" s="7" t="inlineStr">
        <is>
          <t>TN07BV4882</t>
        </is>
      </c>
      <c r="E3065" s="7" t="inlineStr">
        <is>
          <t>MARUTI SUZUKI</t>
        </is>
      </c>
      <c r="F3065" s="7" t="inlineStr">
        <is>
          <t>Zen Estilo</t>
        </is>
      </c>
      <c r="G3065" s="7" t="inlineStr">
        <is>
          <t>VISHNU CARS PRIVATE LIMITED</t>
        </is>
      </c>
      <c r="H3065" s="7" t="inlineStr">
        <is>
          <t>Non-Captive</t>
        </is>
      </c>
      <c r="I3065" s="7" t="inlineStr">
        <is>
          <t>LIAKATHCARS</t>
        </is>
      </c>
      <c r="J3065" s="8" t="n">
        <v>2013</v>
      </c>
      <c r="K3065" s="9" t="n">
        <v>57973</v>
      </c>
      <c r="L3065" s="10" t="n">
        <v>97000</v>
      </c>
      <c r="M3065" s="10" t="n">
        <v>4237.29</v>
      </c>
      <c r="N3065" s="11">
        <f>IF(M3065="","",ROUND(M3065*1.18,2))</f>
        <v/>
      </c>
      <c r="O3065" s="12">
        <f>IF(M3065="","",ROUND(N3065-M3065,2))</f>
        <v/>
      </c>
      <c r="P3065" s="13">
        <f>IF(AND(A3065&lt;&gt;"",B3065&lt;&gt;""), A3065&amp;" · "&amp;B3065, "")</f>
        <v/>
      </c>
    </row>
    <row r="3066">
      <c r="A3066" s="6" t="inlineStr">
        <is>
          <t>FY27</t>
        </is>
      </c>
      <c r="B3066" s="6" t="inlineStr">
        <is>
          <t>Jul</t>
        </is>
      </c>
      <c r="C3066" s="6" t="inlineStr">
        <is>
          <t>TN</t>
        </is>
      </c>
      <c r="D3066" s="7" t="inlineStr">
        <is>
          <t>TN07BV5775</t>
        </is>
      </c>
      <c r="E3066" s="7" t="inlineStr">
        <is>
          <t>RENAULT</t>
        </is>
      </c>
      <c r="F3066" s="7" t="inlineStr">
        <is>
          <t>Scala</t>
        </is>
      </c>
      <c r="G3066" s="7" t="inlineStr">
        <is>
          <t>PRODUCTIVITY ELEMENTS PRIVATE LIMITED</t>
        </is>
      </c>
      <c r="H3066" s="7" t="inlineStr">
        <is>
          <t>Non-Captive</t>
        </is>
      </c>
      <c r="I3066" s="7" t="inlineStr">
        <is>
          <t>Grid 33</t>
        </is>
      </c>
      <c r="J3066" s="8" t="n">
        <v>2013</v>
      </c>
      <c r="K3066" s="9" t="n">
        <v>89846</v>
      </c>
      <c r="L3066" s="10" t="n">
        <v>93000</v>
      </c>
      <c r="M3066" s="10" t="n">
        <v>4237.29</v>
      </c>
      <c r="N3066" s="11">
        <f>IF(M3066="","",ROUND(M3066*1.18,2))</f>
        <v/>
      </c>
      <c r="O3066" s="12">
        <f>IF(M3066="","",ROUND(N3066-M3066,2))</f>
        <v/>
      </c>
      <c r="P3066" s="13">
        <f>IF(AND(A3066&lt;&gt;"",B3066&lt;&gt;""), A3066&amp;" · "&amp;B3066, "")</f>
        <v/>
      </c>
    </row>
    <row r="3067">
      <c r="A3067" s="6" t="inlineStr">
        <is>
          <t>FY27</t>
        </is>
      </c>
      <c r="B3067" s="6" t="inlineStr">
        <is>
          <t>Jul</t>
        </is>
      </c>
      <c r="C3067" s="6" t="inlineStr">
        <is>
          <t>TN</t>
        </is>
      </c>
      <c r="D3067" s="7" t="inlineStr">
        <is>
          <t>TN07BY6049</t>
        </is>
      </c>
      <c r="E3067" s="7" t="inlineStr">
        <is>
          <t>HONDA</t>
        </is>
      </c>
      <c r="F3067" s="7" t="inlineStr">
        <is>
          <t>City</t>
        </is>
      </c>
      <c r="G3067" s="7" t="inlineStr">
        <is>
          <t>EXCHANGE ROTN</t>
        </is>
      </c>
      <c r="H3067" s="7" t="inlineStr">
        <is>
          <t>Captive</t>
        </is>
      </c>
      <c r="I3067" s="7" t="inlineStr">
        <is>
          <t>VIJAY CARS ERODE</t>
        </is>
      </c>
      <c r="J3067" s="8" t="n">
        <v>2014</v>
      </c>
      <c r="K3067" s="9" t="n">
        <v>171290</v>
      </c>
      <c r="L3067" s="10" t="n">
        <v>140000</v>
      </c>
      <c r="M3067" s="10" t="n">
        <v>5932.2</v>
      </c>
      <c r="N3067" s="11">
        <f>IF(M3067="","",ROUND(M3067*1.18,2))</f>
        <v/>
      </c>
      <c r="O3067" s="12">
        <f>IF(M3067="","",ROUND(N3067-M3067,2))</f>
        <v/>
      </c>
      <c r="P3067" s="13">
        <f>IF(AND(A3067&lt;&gt;"",B3067&lt;&gt;""), A3067&amp;" · "&amp;B3067, "")</f>
        <v/>
      </c>
    </row>
    <row r="3068">
      <c r="A3068" s="6" t="inlineStr">
        <is>
          <t>FY27</t>
        </is>
      </c>
      <c r="B3068" s="6" t="inlineStr">
        <is>
          <t>Jul</t>
        </is>
      </c>
      <c r="C3068" s="6" t="inlineStr">
        <is>
          <t>TN</t>
        </is>
      </c>
      <c r="D3068" s="7" t="inlineStr">
        <is>
          <t>TN07BY6997</t>
        </is>
      </c>
      <c r="E3068" s="7" t="inlineStr">
        <is>
          <t>HONDA</t>
        </is>
      </c>
      <c r="F3068" s="7" t="inlineStr">
        <is>
          <t>Amaze</t>
        </is>
      </c>
      <c r="G3068" s="7" t="inlineStr">
        <is>
          <t>EXCHANGE CHENNAI</t>
        </is>
      </c>
      <c r="H3068" s="7" t="inlineStr">
        <is>
          <t>Captive</t>
        </is>
      </c>
      <c r="I3068" s="7" t="inlineStr">
        <is>
          <t>Pine Autos</t>
        </is>
      </c>
      <c r="J3068" s="8" t="n">
        <v>2014</v>
      </c>
      <c r="K3068" s="9" t="n">
        <v>56060</v>
      </c>
      <c r="L3068" s="10" t="n">
        <v>265000</v>
      </c>
      <c r="M3068" s="10" t="n">
        <v>8474.58</v>
      </c>
      <c r="N3068" s="11">
        <f>IF(M3068="","",ROUND(M3068*1.18,2))</f>
        <v/>
      </c>
      <c r="O3068" s="12">
        <f>IF(M3068="","",ROUND(N3068-M3068,2))</f>
        <v/>
      </c>
      <c r="P3068" s="13">
        <f>IF(AND(A3068&lt;&gt;"",B3068&lt;&gt;""), A3068&amp;" · "&amp;B3068, "")</f>
        <v/>
      </c>
    </row>
    <row r="3069">
      <c r="A3069" s="6" t="inlineStr">
        <is>
          <t>FY27</t>
        </is>
      </c>
      <c r="B3069" s="6" t="inlineStr">
        <is>
          <t>Jul</t>
        </is>
      </c>
      <c r="C3069" s="6" t="inlineStr">
        <is>
          <t>TN</t>
        </is>
      </c>
      <c r="D3069" s="7" t="inlineStr">
        <is>
          <t>TN07CA7909</t>
        </is>
      </c>
      <c r="E3069" s="7" t="inlineStr">
        <is>
          <t>HYUNDAI</t>
        </is>
      </c>
      <c r="F3069" s="7" t="inlineStr">
        <is>
          <t>Grand i10</t>
        </is>
      </c>
      <c r="G3069" s="7" t="inlineStr">
        <is>
          <t>STEER AUTO TECHNOLOGIES PRIVATE LIMITED</t>
        </is>
      </c>
      <c r="H3069" s="7" t="inlineStr">
        <is>
          <t>Non-Captive</t>
        </is>
      </c>
      <c r="I3069" s="7" t="inlineStr">
        <is>
          <t>SK Cars Prasana</t>
        </is>
      </c>
      <c r="J3069" s="8" t="n">
        <v>2014</v>
      </c>
      <c r="K3069" s="9" t="n">
        <v>161076</v>
      </c>
      <c r="L3069" s="10" t="n">
        <v>85000</v>
      </c>
      <c r="M3069" s="10" t="n">
        <v>4238.14</v>
      </c>
      <c r="N3069" s="11">
        <f>IF(M3069="","",ROUND(M3069*1.18,2))</f>
        <v/>
      </c>
      <c r="O3069" s="12">
        <f>IF(M3069="","",ROUND(N3069-M3069,2))</f>
        <v/>
      </c>
      <c r="P3069" s="13">
        <f>IF(AND(A3069&lt;&gt;"",B3069&lt;&gt;""), A3069&amp;" · "&amp;B3069, "")</f>
        <v/>
      </c>
    </row>
    <row r="3070">
      <c r="A3070" s="6" t="inlineStr">
        <is>
          <t>FY27</t>
        </is>
      </c>
      <c r="B3070" s="6" t="inlineStr">
        <is>
          <t>Jul</t>
        </is>
      </c>
      <c r="C3070" s="6" t="inlineStr">
        <is>
          <t>TN</t>
        </is>
      </c>
      <c r="D3070" s="7" t="inlineStr">
        <is>
          <t>TN07CB5995</t>
        </is>
      </c>
      <c r="E3070" s="7" t="inlineStr">
        <is>
          <t>HONDA</t>
        </is>
      </c>
      <c r="F3070" s="7" t="inlineStr">
        <is>
          <t>City</t>
        </is>
      </c>
      <c r="G3070" s="7" t="inlineStr">
        <is>
          <t>EXCHANGE CHENNAI</t>
        </is>
      </c>
      <c r="H3070" s="7" t="inlineStr">
        <is>
          <t>Captive</t>
        </is>
      </c>
      <c r="I3070" s="7" t="inlineStr">
        <is>
          <t>&lt;NA&gt;</t>
        </is>
      </c>
      <c r="J3070" s="8" t="n">
        <v>2015</v>
      </c>
      <c r="K3070" s="9" t="n">
        <v>86356</v>
      </c>
      <c r="L3070" s="10" t="n">
        <v>310000</v>
      </c>
      <c r="M3070" s="10" t="n">
        <v>8474.58</v>
      </c>
      <c r="N3070" s="11">
        <f>IF(M3070="","",ROUND(M3070*1.18,2))</f>
        <v/>
      </c>
      <c r="O3070" s="12">
        <f>IF(M3070="","",ROUND(N3070-M3070,2))</f>
        <v/>
      </c>
      <c r="P3070" s="13">
        <f>IF(AND(A3070&lt;&gt;"",B3070&lt;&gt;""), A3070&amp;" · "&amp;B3070, "")</f>
        <v/>
      </c>
    </row>
    <row r="3071">
      <c r="A3071" s="6" t="inlineStr">
        <is>
          <t>FY27</t>
        </is>
      </c>
      <c r="B3071" s="6" t="inlineStr">
        <is>
          <t>Jul</t>
        </is>
      </c>
      <c r="C3071" s="6" t="inlineStr">
        <is>
          <t>TN</t>
        </is>
      </c>
      <c r="D3071" s="7" t="inlineStr">
        <is>
          <t>TN07CE0958</t>
        </is>
      </c>
      <c r="E3071" s="7" t="inlineStr">
        <is>
          <t>HONDA</t>
        </is>
      </c>
      <c r="F3071" s="7" t="inlineStr">
        <is>
          <t>Amaze</t>
        </is>
      </c>
      <c r="G3071" s="7" t="inlineStr">
        <is>
          <t>EXCHANGE CHENNAI</t>
        </is>
      </c>
      <c r="H3071" s="7" t="inlineStr">
        <is>
          <t>Captive</t>
        </is>
      </c>
      <c r="I3071" s="7" t="inlineStr">
        <is>
          <t>Santhosh Cars</t>
        </is>
      </c>
      <c r="J3071" s="8" t="n">
        <v>2015</v>
      </c>
      <c r="K3071" s="9" t="n">
        <v>70540</v>
      </c>
      <c r="L3071" s="10" t="n">
        <v>300000</v>
      </c>
      <c r="M3071" s="10" t="n">
        <v>8474.58</v>
      </c>
      <c r="N3071" s="11">
        <f>IF(M3071="","",ROUND(M3071*1.18,2))</f>
        <v/>
      </c>
      <c r="O3071" s="12">
        <f>IF(M3071="","",ROUND(N3071-M3071,2))</f>
        <v/>
      </c>
      <c r="P3071" s="13">
        <f>IF(AND(A3071&lt;&gt;"",B3071&lt;&gt;""), A3071&amp;" · "&amp;B3071, "")</f>
        <v/>
      </c>
    </row>
    <row r="3072">
      <c r="A3072" s="6" t="inlineStr">
        <is>
          <t>FY27</t>
        </is>
      </c>
      <c r="B3072" s="6" t="inlineStr">
        <is>
          <t>Jul</t>
        </is>
      </c>
      <c r="C3072" s="6" t="inlineStr">
        <is>
          <t>TN</t>
        </is>
      </c>
      <c r="D3072" s="7" t="inlineStr">
        <is>
          <t>TN07CE9963</t>
        </is>
      </c>
      <c r="E3072" s="7" t="inlineStr">
        <is>
          <t>MARUTI SUZUKI</t>
        </is>
      </c>
      <c r="F3072" s="7" t="inlineStr">
        <is>
          <t>S-Cross</t>
        </is>
      </c>
      <c r="G3072" s="7" t="inlineStr">
        <is>
          <t>CRESCO CARS</t>
        </is>
      </c>
      <c r="H3072" s="7" t="inlineStr">
        <is>
          <t>Non-Captive</t>
        </is>
      </c>
      <c r="I3072" s="7" t="inlineStr">
        <is>
          <t>Nirmal Cars</t>
        </is>
      </c>
      <c r="J3072" s="8" t="n">
        <v>2016</v>
      </c>
      <c r="K3072" s="9" t="n">
        <v>129865</v>
      </c>
      <c r="L3072" s="10" t="n">
        <v>590000</v>
      </c>
      <c r="M3072" s="10" t="n">
        <v>8474.58</v>
      </c>
      <c r="N3072" s="11">
        <f>IF(M3072="","",ROUND(M3072*1.18,2))</f>
        <v/>
      </c>
      <c r="O3072" s="12">
        <f>IF(M3072="","",ROUND(N3072-M3072,2))</f>
        <v/>
      </c>
      <c r="P3072" s="13">
        <f>IF(AND(A3072&lt;&gt;"",B3072&lt;&gt;""), A3072&amp;" · "&amp;B3072, "")</f>
        <v/>
      </c>
    </row>
    <row r="3073">
      <c r="A3073" s="6" t="inlineStr">
        <is>
          <t>FY27</t>
        </is>
      </c>
      <c r="B3073" s="6" t="inlineStr">
        <is>
          <t>Jul</t>
        </is>
      </c>
      <c r="C3073" s="6" t="inlineStr">
        <is>
          <t>TN</t>
        </is>
      </c>
      <c r="D3073" s="7" t="inlineStr">
        <is>
          <t>TN07CH1598</t>
        </is>
      </c>
      <c r="E3073" s="7" t="inlineStr">
        <is>
          <t>HONDA</t>
        </is>
      </c>
      <c r="F3073" s="7" t="inlineStr">
        <is>
          <t>Amaze</t>
        </is>
      </c>
      <c r="G3073" s="7" t="inlineStr">
        <is>
          <t>EXCHANGE CHENNAI</t>
        </is>
      </c>
      <c r="H3073" s="7" t="inlineStr">
        <is>
          <t>Captive</t>
        </is>
      </c>
      <c r="I3073" s="7" t="inlineStr">
        <is>
          <t>Santhosh Cars</t>
        </is>
      </c>
      <c r="J3073" s="8" t="n">
        <v>2016</v>
      </c>
      <c r="K3073" s="9" t="n">
        <v>143095</v>
      </c>
      <c r="L3073" s="10" t="n">
        <v>210000</v>
      </c>
      <c r="M3073" s="10" t="n">
        <v>4237.29</v>
      </c>
      <c r="N3073" s="11">
        <f>IF(M3073="","",ROUND(M3073*1.18,2))</f>
        <v/>
      </c>
      <c r="O3073" s="12">
        <f>IF(M3073="","",ROUND(N3073-M3073,2))</f>
        <v/>
      </c>
      <c r="P3073" s="13">
        <f>IF(AND(A3073&lt;&gt;"",B3073&lt;&gt;""), A3073&amp;" · "&amp;B3073, "")</f>
        <v/>
      </c>
    </row>
    <row r="3074">
      <c r="A3074" s="6" t="inlineStr">
        <is>
          <t>FY27</t>
        </is>
      </c>
      <c r="B3074" s="6" t="inlineStr">
        <is>
          <t>Jul</t>
        </is>
      </c>
      <c r="C3074" s="6" t="inlineStr">
        <is>
          <t>TN</t>
        </is>
      </c>
      <c r="D3074" s="7" t="inlineStr">
        <is>
          <t>TN07CL0402</t>
        </is>
      </c>
      <c r="E3074" s="7" t="inlineStr">
        <is>
          <t>HYUNDAI</t>
        </is>
      </c>
      <c r="F3074" s="7" t="inlineStr">
        <is>
          <t>i20</t>
        </is>
      </c>
      <c r="G3074" s="7" t="inlineStr">
        <is>
          <t>VISHNU CARS PRIVATE LIMITED</t>
        </is>
      </c>
      <c r="H3074" s="7" t="inlineStr">
        <is>
          <t>Non-Captive</t>
        </is>
      </c>
      <c r="I3074" s="7" t="inlineStr">
        <is>
          <t>Pine Autos</t>
        </is>
      </c>
      <c r="J3074" s="8" t="n">
        <v>2017</v>
      </c>
      <c r="K3074" s="9" t="n">
        <v>116474</v>
      </c>
      <c r="L3074" s="10" t="n">
        <v>92000</v>
      </c>
      <c r="M3074" s="10" t="n">
        <v>4237.29</v>
      </c>
      <c r="N3074" s="11">
        <f>IF(M3074="","",ROUND(M3074*1.18,2))</f>
        <v/>
      </c>
      <c r="O3074" s="12">
        <f>IF(M3074="","",ROUND(N3074-M3074,2))</f>
        <v/>
      </c>
      <c r="P3074" s="13">
        <f>IF(AND(A3074&lt;&gt;"",B3074&lt;&gt;""), A3074&amp;" · "&amp;B3074, "")</f>
        <v/>
      </c>
    </row>
    <row r="3075">
      <c r="A3075" s="6" t="inlineStr">
        <is>
          <t>FY27</t>
        </is>
      </c>
      <c r="B3075" s="6" t="inlineStr">
        <is>
          <t>Jul</t>
        </is>
      </c>
      <c r="C3075" s="6" t="inlineStr">
        <is>
          <t>TN</t>
        </is>
      </c>
      <c r="D3075" s="7" t="inlineStr">
        <is>
          <t>TN07CT9828</t>
        </is>
      </c>
      <c r="E3075" s="7" t="inlineStr">
        <is>
          <t>MARUTI SUZUKI</t>
        </is>
      </c>
      <c r="F3075" s="7" t="inlineStr">
        <is>
          <t>XL6</t>
        </is>
      </c>
      <c r="G3075" s="7" t="inlineStr">
        <is>
          <t>EXCHANGE CHENNAI</t>
        </is>
      </c>
      <c r="H3075" s="7" t="inlineStr">
        <is>
          <t>Captive</t>
        </is>
      </c>
      <c r="I3075" s="7" t="inlineStr">
        <is>
          <t>Maruthi Industries</t>
        </is>
      </c>
      <c r="J3075" s="8" t="n">
        <v>2019</v>
      </c>
      <c r="K3075" s="9" t="n">
        <v>86043</v>
      </c>
      <c r="L3075" s="10" t="n">
        <v>680000</v>
      </c>
      <c r="M3075" s="10" t="n">
        <v>12711.86</v>
      </c>
      <c r="N3075" s="11">
        <f>IF(M3075="","",ROUND(M3075*1.18,2))</f>
        <v/>
      </c>
      <c r="O3075" s="12">
        <f>IF(M3075="","",ROUND(N3075-M3075,2))</f>
        <v/>
      </c>
      <c r="P3075" s="13">
        <f>IF(AND(A3075&lt;&gt;"",B3075&lt;&gt;""), A3075&amp;" · "&amp;B3075, "")</f>
        <v/>
      </c>
    </row>
    <row r="3076">
      <c r="A3076" s="6" t="inlineStr">
        <is>
          <t>FY27</t>
        </is>
      </c>
      <c r="B3076" s="6" t="inlineStr">
        <is>
          <t>Jul</t>
        </is>
      </c>
      <c r="C3076" s="6" t="inlineStr">
        <is>
          <t>TN</t>
        </is>
      </c>
      <c r="D3076" s="7" t="inlineStr">
        <is>
          <t>TN07CY5008</t>
        </is>
      </c>
      <c r="E3076" s="7" t="inlineStr">
        <is>
          <t>RENAULT</t>
        </is>
      </c>
      <c r="F3076" s="7" t="inlineStr">
        <is>
          <t>Kwid</t>
        </is>
      </c>
      <c r="G3076" s="7" t="inlineStr">
        <is>
          <t>EXCHANGE CHENNAI</t>
        </is>
      </c>
      <c r="H3076" s="7" t="inlineStr">
        <is>
          <t>Captive</t>
        </is>
      </c>
      <c r="I3076" s="7" t="inlineStr">
        <is>
          <t>Thiya Cars</t>
        </is>
      </c>
      <c r="J3076" s="8" t="n">
        <v>2021</v>
      </c>
      <c r="K3076" s="9" t="n">
        <v>46578</v>
      </c>
      <c r="L3076" s="10" t="n">
        <v>350000</v>
      </c>
      <c r="M3076" s="10" t="n">
        <v>8474.58</v>
      </c>
      <c r="N3076" s="11">
        <f>IF(M3076="","",ROUND(M3076*1.18,2))</f>
        <v/>
      </c>
      <c r="O3076" s="12">
        <f>IF(M3076="","",ROUND(N3076-M3076,2))</f>
        <v/>
      </c>
      <c r="P3076" s="13">
        <f>IF(AND(A3076&lt;&gt;"",B3076&lt;&gt;""), A3076&amp;" · "&amp;B3076, "")</f>
        <v/>
      </c>
    </row>
    <row r="3077">
      <c r="A3077" s="6" t="inlineStr">
        <is>
          <t>FY27</t>
        </is>
      </c>
      <c r="B3077" s="6" t="inlineStr">
        <is>
          <t>Jul</t>
        </is>
      </c>
      <c r="C3077" s="6" t="inlineStr">
        <is>
          <t>TN</t>
        </is>
      </c>
      <c r="D3077" s="7" t="inlineStr">
        <is>
          <t>TN09AF9977</t>
        </is>
      </c>
      <c r="E3077" s="7" t="inlineStr">
        <is>
          <t>HONDA</t>
        </is>
      </c>
      <c r="F3077" s="7" t="inlineStr">
        <is>
          <t>City</t>
        </is>
      </c>
      <c r="G3077" s="7" t="inlineStr">
        <is>
          <t>VISHNU CARS PRIVATE LIMITED</t>
        </is>
      </c>
      <c r="H3077" s="7" t="inlineStr">
        <is>
          <t>Non-Captive</t>
        </is>
      </c>
      <c r="I3077" s="7" t="inlineStr">
        <is>
          <t>AAA Cars</t>
        </is>
      </c>
      <c r="J3077" s="8" t="n">
        <v>2004</v>
      </c>
      <c r="K3077" s="9" t="n">
        <v>31768</v>
      </c>
      <c r="L3077" s="10" t="n">
        <v>97000</v>
      </c>
      <c r="M3077" s="10" t="n">
        <v>4237.29</v>
      </c>
      <c r="N3077" s="11">
        <f>IF(M3077="","",ROUND(M3077*1.18,2))</f>
        <v/>
      </c>
      <c r="O3077" s="12">
        <f>IF(M3077="","",ROUND(N3077-M3077,2))</f>
        <v/>
      </c>
      <c r="P3077" s="13">
        <f>IF(AND(A3077&lt;&gt;"",B3077&lt;&gt;""), A3077&amp;" · "&amp;B3077, "")</f>
        <v/>
      </c>
    </row>
    <row r="3078">
      <c r="A3078" s="6" t="inlineStr">
        <is>
          <t>FY27</t>
        </is>
      </c>
      <c r="B3078" s="6" t="inlineStr">
        <is>
          <t>Jul</t>
        </is>
      </c>
      <c r="C3078" s="6" t="inlineStr">
        <is>
          <t>TN</t>
        </is>
      </c>
      <c r="D3078" s="7" t="inlineStr">
        <is>
          <t>TN09AH1782</t>
        </is>
      </c>
      <c r="E3078" s="7" t="inlineStr">
        <is>
          <t>FORD</t>
        </is>
      </c>
      <c r="F3078" s="7" t="inlineStr">
        <is>
          <t>Ikon</t>
        </is>
      </c>
      <c r="G3078" s="7" t="inlineStr">
        <is>
          <t>EXCHANGE ROTN</t>
        </is>
      </c>
      <c r="H3078" s="7" t="inlineStr">
        <is>
          <t>Captive</t>
        </is>
      </c>
      <c r="I3078" s="7" t="inlineStr">
        <is>
          <t>VIJAY CARS ERODE</t>
        </is>
      </c>
      <c r="J3078" s="8" t="n">
        <v>2004</v>
      </c>
      <c r="K3078" s="9" t="n">
        <v>47805</v>
      </c>
      <c r="L3078" s="10" t="n">
        <v>30000</v>
      </c>
      <c r="M3078" s="10" t="n">
        <v>4237.29</v>
      </c>
      <c r="N3078" s="11">
        <f>IF(M3078="","",ROUND(M3078*1.18,2))</f>
        <v/>
      </c>
      <c r="O3078" s="12">
        <f>IF(M3078="","",ROUND(N3078-M3078,2))</f>
        <v/>
      </c>
      <c r="P3078" s="13">
        <f>IF(AND(A3078&lt;&gt;"",B3078&lt;&gt;""), A3078&amp;" · "&amp;B3078, "")</f>
        <v/>
      </c>
    </row>
    <row r="3079">
      <c r="A3079" s="6" t="inlineStr">
        <is>
          <t>FY27</t>
        </is>
      </c>
      <c r="B3079" s="6" t="inlineStr">
        <is>
          <t>Jul</t>
        </is>
      </c>
      <c r="C3079" s="6" t="inlineStr">
        <is>
          <t>TN</t>
        </is>
      </c>
      <c r="D3079" s="7" t="inlineStr">
        <is>
          <t>TN09AY7035</t>
        </is>
      </c>
      <c r="E3079" s="7" t="inlineStr">
        <is>
          <t>FORD</t>
        </is>
      </c>
      <c r="F3079" s="7" t="inlineStr">
        <is>
          <t>Fiesta</t>
        </is>
      </c>
      <c r="G3079" s="7" t="inlineStr">
        <is>
          <t>EXCHANGE CHENNAI</t>
        </is>
      </c>
      <c r="H3079" s="7" t="inlineStr">
        <is>
          <t>Captive</t>
        </is>
      </c>
      <c r="I3079" s="7" t="inlineStr">
        <is>
          <t>Santhosh Cars</t>
        </is>
      </c>
      <c r="J3079" s="8" t="n">
        <v>2008</v>
      </c>
      <c r="K3079" s="9" t="n">
        <v>65503</v>
      </c>
      <c r="L3079" s="10" t="n">
        <v>78000</v>
      </c>
      <c r="M3079" s="10" t="n">
        <v>4237.29</v>
      </c>
      <c r="N3079" s="11">
        <f>IF(M3079="","",ROUND(M3079*1.18,2))</f>
        <v/>
      </c>
      <c r="O3079" s="12">
        <f>IF(M3079="","",ROUND(N3079-M3079,2))</f>
        <v/>
      </c>
      <c r="P3079" s="13">
        <f>IF(AND(A3079&lt;&gt;"",B3079&lt;&gt;""), A3079&amp;" · "&amp;B3079, "")</f>
        <v/>
      </c>
    </row>
    <row r="3080">
      <c r="A3080" s="6" t="inlineStr">
        <is>
          <t>FY27</t>
        </is>
      </c>
      <c r="B3080" s="6" t="inlineStr">
        <is>
          <t>Jul</t>
        </is>
      </c>
      <c r="C3080" s="6" t="inlineStr">
        <is>
          <t>TN</t>
        </is>
      </c>
      <c r="D3080" s="7" t="inlineStr">
        <is>
          <t>TN09BC3315</t>
        </is>
      </c>
      <c r="E3080" s="7" t="inlineStr">
        <is>
          <t>TATA</t>
        </is>
      </c>
      <c r="F3080" s="7" t="inlineStr">
        <is>
          <t>Nano</t>
        </is>
      </c>
      <c r="G3080" s="7" t="inlineStr">
        <is>
          <t>PRODUCTIVITY ELEMENTS PRIVATE LIMITED</t>
        </is>
      </c>
      <c r="H3080" s="7" t="inlineStr">
        <is>
          <t>Non-Captive</t>
        </is>
      </c>
      <c r="I3080" s="7" t="inlineStr">
        <is>
          <t>Senthil Cars</t>
        </is>
      </c>
      <c r="J3080" s="8" t="n">
        <v>2009</v>
      </c>
      <c r="K3080" s="9" t="n">
        <v>65623</v>
      </c>
      <c r="L3080" s="10" t="n">
        <v>97000</v>
      </c>
      <c r="M3080" s="10" t="n">
        <v>4237.29</v>
      </c>
      <c r="N3080" s="11">
        <f>IF(M3080="","",ROUND(M3080*1.18,2))</f>
        <v/>
      </c>
      <c r="O3080" s="12">
        <f>IF(M3080="","",ROUND(N3080-M3080,2))</f>
        <v/>
      </c>
      <c r="P3080" s="13">
        <f>IF(AND(A3080&lt;&gt;"",B3080&lt;&gt;""), A3080&amp;" · "&amp;B3080, "")</f>
        <v/>
      </c>
    </row>
    <row r="3081">
      <c r="A3081" s="6" t="inlineStr">
        <is>
          <t>FY27</t>
        </is>
      </c>
      <c r="B3081" s="6" t="inlineStr">
        <is>
          <t>Jul</t>
        </is>
      </c>
      <c r="C3081" s="6" t="inlineStr">
        <is>
          <t>TN</t>
        </is>
      </c>
      <c r="D3081" s="7" t="inlineStr">
        <is>
          <t>TN09BD6867</t>
        </is>
      </c>
      <c r="E3081" s="7" t="inlineStr">
        <is>
          <t>HYUNDAI</t>
        </is>
      </c>
      <c r="F3081" s="7" t="inlineStr">
        <is>
          <t>i10</t>
        </is>
      </c>
      <c r="G3081" s="7" t="inlineStr">
        <is>
          <t>VISHNU CARS PRIVATE LIMITED</t>
        </is>
      </c>
      <c r="H3081" s="7" t="inlineStr">
        <is>
          <t>Non-Captive</t>
        </is>
      </c>
      <c r="I3081" s="7" t="inlineStr">
        <is>
          <t>AAA Cars</t>
        </is>
      </c>
      <c r="J3081" s="8" t="n">
        <v>2010</v>
      </c>
      <c r="K3081" s="9" t="n">
        <v>49413</v>
      </c>
      <c r="L3081" s="10" t="n">
        <v>98000</v>
      </c>
      <c r="M3081" s="10" t="n">
        <v>4237.29</v>
      </c>
      <c r="N3081" s="11">
        <f>IF(M3081="","",ROUND(M3081*1.18,2))</f>
        <v/>
      </c>
      <c r="O3081" s="12">
        <f>IF(M3081="","",ROUND(N3081-M3081,2))</f>
        <v/>
      </c>
      <c r="P3081" s="13">
        <f>IF(AND(A3081&lt;&gt;"",B3081&lt;&gt;""), A3081&amp;" · "&amp;B3081, "")</f>
        <v/>
      </c>
    </row>
    <row r="3082">
      <c r="A3082" s="6" t="inlineStr">
        <is>
          <t>FY27</t>
        </is>
      </c>
      <c r="B3082" s="6" t="inlineStr">
        <is>
          <t>Jul</t>
        </is>
      </c>
      <c r="C3082" s="6" t="inlineStr">
        <is>
          <t>TN</t>
        </is>
      </c>
      <c r="D3082" s="7" t="inlineStr">
        <is>
          <t>TN09BJ4837</t>
        </is>
      </c>
      <c r="E3082" s="7" t="inlineStr">
        <is>
          <t>HONDA</t>
        </is>
      </c>
      <c r="F3082" s="7" t="inlineStr">
        <is>
          <t>Jazz</t>
        </is>
      </c>
      <c r="G3082" s="7" t="inlineStr">
        <is>
          <t>EXCHANGE CHENNAI</t>
        </is>
      </c>
      <c r="H3082" s="7" t="inlineStr">
        <is>
          <t>Captive</t>
        </is>
      </c>
      <c r="I3082" s="7" t="inlineStr">
        <is>
          <t>Santhosh Cars</t>
        </is>
      </c>
      <c r="J3082" s="8" t="n">
        <v>2011</v>
      </c>
      <c r="K3082" s="9" t="n">
        <v>41563</v>
      </c>
      <c r="L3082" s="10" t="n">
        <v>170000</v>
      </c>
      <c r="M3082" s="10" t="n">
        <v>4237.29</v>
      </c>
      <c r="N3082" s="11">
        <f>IF(M3082="","",ROUND(M3082*1.18,2))</f>
        <v/>
      </c>
      <c r="O3082" s="12">
        <f>IF(M3082="","",ROUND(N3082-M3082,2))</f>
        <v/>
      </c>
      <c r="P3082" s="13">
        <f>IF(AND(A3082&lt;&gt;"",B3082&lt;&gt;""), A3082&amp;" · "&amp;B3082, "")</f>
        <v/>
      </c>
    </row>
    <row r="3083">
      <c r="A3083" s="6" t="inlineStr">
        <is>
          <t>FY27</t>
        </is>
      </c>
      <c r="B3083" s="6" t="inlineStr">
        <is>
          <t>Jul</t>
        </is>
      </c>
      <c r="C3083" s="6" t="inlineStr">
        <is>
          <t>TN</t>
        </is>
      </c>
      <c r="D3083" s="7" t="inlineStr">
        <is>
          <t>TN09BP0995</t>
        </is>
      </c>
      <c r="E3083" s="7" t="inlineStr">
        <is>
          <t>NISSAN</t>
        </is>
      </c>
      <c r="F3083" s="7" t="inlineStr">
        <is>
          <t>Micra</t>
        </is>
      </c>
      <c r="G3083" s="7" t="inlineStr">
        <is>
          <t>CAR HUB</t>
        </is>
      </c>
      <c r="H3083" s="7" t="inlineStr">
        <is>
          <t>Non-Captive</t>
        </is>
      </c>
      <c r="I3083" s="7" t="inlineStr">
        <is>
          <t>S2 MOTORZ</t>
        </is>
      </c>
      <c r="J3083" s="8" t="n">
        <v>2012</v>
      </c>
      <c r="K3083" s="9" t="n">
        <v>70558</v>
      </c>
      <c r="L3083" s="10" t="n">
        <v>110000</v>
      </c>
      <c r="M3083" s="10" t="n">
        <v>4661.02</v>
      </c>
      <c r="N3083" s="11">
        <f>IF(M3083="","",ROUND(M3083*1.18,2))</f>
        <v/>
      </c>
      <c r="O3083" s="12">
        <f>IF(M3083="","",ROUND(N3083-M3083,2))</f>
        <v/>
      </c>
      <c r="P3083" s="13">
        <f>IF(AND(A3083&lt;&gt;"",B3083&lt;&gt;""), A3083&amp;" · "&amp;B3083, "")</f>
        <v/>
      </c>
    </row>
    <row r="3084">
      <c r="A3084" s="6" t="inlineStr">
        <is>
          <t>FY27</t>
        </is>
      </c>
      <c r="B3084" s="6" t="inlineStr">
        <is>
          <t>Jul</t>
        </is>
      </c>
      <c r="C3084" s="6" t="inlineStr">
        <is>
          <t>TN</t>
        </is>
      </c>
      <c r="D3084" s="7" t="inlineStr">
        <is>
          <t>TN09BY9021</t>
        </is>
      </c>
      <c r="E3084" s="7" t="inlineStr">
        <is>
          <t>TATA</t>
        </is>
      </c>
      <c r="F3084" s="7" t="inlineStr">
        <is>
          <t>Zest</t>
        </is>
      </c>
      <c r="G3084" s="7" t="inlineStr">
        <is>
          <t>VISHNU CARS PRIVATE LIMITED</t>
        </is>
      </c>
      <c r="H3084" s="7" t="inlineStr">
        <is>
          <t>Non-Captive</t>
        </is>
      </c>
      <c r="I3084" s="7" t="inlineStr">
        <is>
          <t>S2 MOTORZ</t>
        </is>
      </c>
      <c r="J3084" s="8" t="n">
        <v>2015</v>
      </c>
      <c r="K3084" s="9" t="n">
        <v>105891</v>
      </c>
      <c r="L3084" s="10" t="n">
        <v>99000</v>
      </c>
      <c r="M3084" s="10" t="n">
        <v>4237.29</v>
      </c>
      <c r="N3084" s="11">
        <f>IF(M3084="","",ROUND(M3084*1.18,2))</f>
        <v/>
      </c>
      <c r="O3084" s="12">
        <f>IF(M3084="","",ROUND(N3084-M3084,2))</f>
        <v/>
      </c>
      <c r="P3084" s="13">
        <f>IF(AND(A3084&lt;&gt;"",B3084&lt;&gt;""), A3084&amp;" · "&amp;B3084, "")</f>
        <v/>
      </c>
    </row>
    <row r="3085">
      <c r="A3085" s="6" t="inlineStr">
        <is>
          <t>FY27</t>
        </is>
      </c>
      <c r="B3085" s="6" t="inlineStr">
        <is>
          <t>Jul</t>
        </is>
      </c>
      <c r="C3085" s="6" t="inlineStr">
        <is>
          <t>TN</t>
        </is>
      </c>
      <c r="D3085" s="7" t="inlineStr">
        <is>
          <t>TN09BZ9514</t>
        </is>
      </c>
      <c r="E3085" s="7" t="inlineStr">
        <is>
          <t>VOLKSWAGEN</t>
        </is>
      </c>
      <c r="F3085" s="7" t="inlineStr">
        <is>
          <t>Vento</t>
        </is>
      </c>
      <c r="G3085" s="7" t="inlineStr">
        <is>
          <t>PLA MOTORS</t>
        </is>
      </c>
      <c r="H3085" s="7" t="inlineStr">
        <is>
          <t>Non-Captive</t>
        </is>
      </c>
      <c r="I3085" s="7" t="inlineStr">
        <is>
          <t>MADHURA CARS</t>
        </is>
      </c>
      <c r="J3085" s="8" t="n">
        <v>2015</v>
      </c>
      <c r="K3085" s="9" t="n">
        <v>132799</v>
      </c>
      <c r="L3085" s="10" t="n">
        <v>90000</v>
      </c>
      <c r="M3085" s="10" t="n">
        <v>4237.29</v>
      </c>
      <c r="N3085" s="11">
        <f>IF(M3085="","",ROUND(M3085*1.18,2))</f>
        <v/>
      </c>
      <c r="O3085" s="12">
        <f>IF(M3085="","",ROUND(N3085-M3085,2))</f>
        <v/>
      </c>
      <c r="P3085" s="13">
        <f>IF(AND(A3085&lt;&gt;"",B3085&lt;&gt;""), A3085&amp;" · "&amp;B3085, "")</f>
        <v/>
      </c>
    </row>
    <row r="3086">
      <c r="A3086" s="6" t="inlineStr">
        <is>
          <t>FY27</t>
        </is>
      </c>
      <c r="B3086" s="6" t="inlineStr">
        <is>
          <t>Jul</t>
        </is>
      </c>
      <c r="C3086" s="6" t="inlineStr">
        <is>
          <t>TN</t>
        </is>
      </c>
      <c r="D3086" s="7" t="inlineStr">
        <is>
          <t>TN09CC0142</t>
        </is>
      </c>
      <c r="E3086" s="7" t="inlineStr">
        <is>
          <t>HYUNDAI</t>
        </is>
      </c>
      <c r="F3086" s="7" t="inlineStr">
        <is>
          <t>Grand i10</t>
        </is>
      </c>
      <c r="G3086" s="7" t="inlineStr">
        <is>
          <t>EXCHANGE CHENNAI</t>
        </is>
      </c>
      <c r="H3086" s="7" t="inlineStr">
        <is>
          <t>Captive</t>
        </is>
      </c>
      <c r="I3086" s="7" t="inlineStr">
        <is>
          <t>Santhosh Cars</t>
        </is>
      </c>
      <c r="J3086" s="8" t="n">
        <v>2015</v>
      </c>
      <c r="K3086" s="9" t="n">
        <v>59358</v>
      </c>
      <c r="L3086" s="10" t="n">
        <v>260000</v>
      </c>
      <c r="M3086" s="10" t="n">
        <v>8474.58</v>
      </c>
      <c r="N3086" s="11">
        <f>IF(M3086="","",ROUND(M3086*1.18,2))</f>
        <v/>
      </c>
      <c r="O3086" s="12">
        <f>IF(M3086="","",ROUND(N3086-M3086,2))</f>
        <v/>
      </c>
      <c r="P3086" s="13">
        <f>IF(AND(A3086&lt;&gt;"",B3086&lt;&gt;""), A3086&amp;" · "&amp;B3086, "")</f>
        <v/>
      </c>
    </row>
    <row r="3087">
      <c r="A3087" s="6" t="inlineStr">
        <is>
          <t>FY27</t>
        </is>
      </c>
      <c r="B3087" s="6" t="inlineStr">
        <is>
          <t>Jul</t>
        </is>
      </c>
      <c r="C3087" s="6" t="inlineStr">
        <is>
          <t>TN</t>
        </is>
      </c>
      <c r="D3087" s="7" t="inlineStr">
        <is>
          <t>TN09CF5312</t>
        </is>
      </c>
      <c r="E3087" s="7" t="inlineStr">
        <is>
          <t>MARUTI SUZUKI</t>
        </is>
      </c>
      <c r="F3087" s="7" t="inlineStr">
        <is>
          <t>Wagon R</t>
        </is>
      </c>
      <c r="G3087" s="7" t="inlineStr">
        <is>
          <t>RAJALAKSHMI CARS</t>
        </is>
      </c>
      <c r="H3087" s="7" t="inlineStr">
        <is>
          <t>Non-Captive</t>
        </is>
      </c>
      <c r="I3087" s="7" t="inlineStr">
        <is>
          <t>Pine Autos</t>
        </is>
      </c>
      <c r="J3087" s="8" t="n">
        <v>2016</v>
      </c>
      <c r="K3087" s="9" t="n">
        <v>59429</v>
      </c>
      <c r="L3087" s="10" t="n">
        <v>87000</v>
      </c>
      <c r="M3087" s="10" t="n">
        <v>4237.29</v>
      </c>
      <c r="N3087" s="11">
        <f>IF(M3087="","",ROUND(M3087*1.18,2))</f>
        <v/>
      </c>
      <c r="O3087" s="12">
        <f>IF(M3087="","",ROUND(N3087-M3087,2))</f>
        <v/>
      </c>
      <c r="P3087" s="13">
        <f>IF(AND(A3087&lt;&gt;"",B3087&lt;&gt;""), A3087&amp;" · "&amp;B3087, "")</f>
        <v/>
      </c>
    </row>
    <row r="3088">
      <c r="A3088" s="6" t="inlineStr">
        <is>
          <t>FY27</t>
        </is>
      </c>
      <c r="B3088" s="6" t="inlineStr">
        <is>
          <t>Jul</t>
        </is>
      </c>
      <c r="C3088" s="6" t="inlineStr">
        <is>
          <t>TN</t>
        </is>
      </c>
      <c r="D3088" s="7" t="inlineStr">
        <is>
          <t>TN09CH8943</t>
        </is>
      </c>
      <c r="E3088" s="7" t="inlineStr">
        <is>
          <t>HONDA</t>
        </is>
      </c>
      <c r="F3088" s="7" t="inlineStr">
        <is>
          <t>WR-V</t>
        </is>
      </c>
      <c r="G3088" s="7" t="inlineStr">
        <is>
          <t>EXCHANGE ROTN</t>
        </is>
      </c>
      <c r="H3088" s="7" t="inlineStr">
        <is>
          <t>Captive</t>
        </is>
      </c>
      <c r="I3088" s="7" t="inlineStr">
        <is>
          <t>Gugha Cars</t>
        </is>
      </c>
      <c r="J3088" s="8" t="n">
        <v>2017</v>
      </c>
      <c r="K3088" s="9" t="n">
        <v>120435</v>
      </c>
      <c r="L3088" s="10" t="n">
        <v>330000</v>
      </c>
      <c r="M3088" s="10" t="n">
        <v>12711.86</v>
      </c>
      <c r="N3088" s="11">
        <f>IF(M3088="","",ROUND(M3088*1.18,2))</f>
        <v/>
      </c>
      <c r="O3088" s="12">
        <f>IF(M3088="","",ROUND(N3088-M3088,2))</f>
        <v/>
      </c>
      <c r="P3088" s="13">
        <f>IF(AND(A3088&lt;&gt;"",B3088&lt;&gt;""), A3088&amp;" · "&amp;B3088, "")</f>
        <v/>
      </c>
    </row>
    <row r="3089">
      <c r="A3089" s="6" t="inlineStr">
        <is>
          <t>FY27</t>
        </is>
      </c>
      <c r="B3089" s="6" t="inlineStr">
        <is>
          <t>Jul</t>
        </is>
      </c>
      <c r="C3089" s="6" t="inlineStr">
        <is>
          <t>TN</t>
        </is>
      </c>
      <c r="D3089" s="7" t="inlineStr">
        <is>
          <t>TN09CP2776</t>
        </is>
      </c>
      <c r="E3089" s="7" t="inlineStr">
        <is>
          <t>HYUNDAI</t>
        </is>
      </c>
      <c r="F3089" s="7" t="inlineStr">
        <is>
          <t>Creta</t>
        </is>
      </c>
      <c r="G3089" s="7" t="inlineStr">
        <is>
          <t>CASTLE TRADERS MARUTI</t>
        </is>
      </c>
      <c r="H3089" s="7" t="inlineStr">
        <is>
          <t>Non-Captive</t>
        </is>
      </c>
      <c r="I3089" s="7" t="inlineStr">
        <is>
          <t>Suresh cars</t>
        </is>
      </c>
      <c r="J3089" s="8" t="n">
        <v>2019</v>
      </c>
      <c r="K3089" s="9" t="n">
        <v>109567</v>
      </c>
      <c r="L3089" s="10" t="n">
        <v>620000</v>
      </c>
      <c r="M3089" s="10" t="n">
        <v>10169.49</v>
      </c>
      <c r="N3089" s="11">
        <f>IF(M3089="","",ROUND(M3089*1.18,2))</f>
        <v/>
      </c>
      <c r="O3089" s="12">
        <f>IF(M3089="","",ROUND(N3089-M3089,2))</f>
        <v/>
      </c>
      <c r="P3089" s="13">
        <f>IF(AND(A3089&lt;&gt;"",B3089&lt;&gt;""), A3089&amp;" · "&amp;B3089, "")</f>
        <v/>
      </c>
    </row>
    <row r="3090">
      <c r="A3090" s="6" t="inlineStr">
        <is>
          <t>FY27</t>
        </is>
      </c>
      <c r="B3090" s="6" t="inlineStr">
        <is>
          <t>Jul</t>
        </is>
      </c>
      <c r="C3090" s="6" t="inlineStr">
        <is>
          <t>TN</t>
        </is>
      </c>
      <c r="D3090" s="7" t="inlineStr">
        <is>
          <t>TN09CV2538</t>
        </is>
      </c>
      <c r="E3090" s="7" t="inlineStr">
        <is>
          <t>MARUTI SUZUKI</t>
        </is>
      </c>
      <c r="F3090" s="7" t="inlineStr">
        <is>
          <t>Ignis</t>
        </is>
      </c>
      <c r="G3090" s="7" t="inlineStr">
        <is>
          <t>CAR HUB</t>
        </is>
      </c>
      <c r="H3090" s="7" t="inlineStr">
        <is>
          <t>Non-Captive</t>
        </is>
      </c>
      <c r="I3090" s="7" t="inlineStr">
        <is>
          <t>Value Drive Tech</t>
        </is>
      </c>
      <c r="J3090" s="8" t="n">
        <v>2020</v>
      </c>
      <c r="K3090" s="9" t="n">
        <v>24202</v>
      </c>
      <c r="L3090" s="10" t="n">
        <v>345000</v>
      </c>
      <c r="M3090" s="10" t="n">
        <v>6355.93</v>
      </c>
      <c r="N3090" s="11">
        <f>IF(M3090="","",ROUND(M3090*1.18,2))</f>
        <v/>
      </c>
      <c r="O3090" s="12">
        <f>IF(M3090="","",ROUND(N3090-M3090,2))</f>
        <v/>
      </c>
      <c r="P3090" s="13">
        <f>IF(AND(A3090&lt;&gt;"",B3090&lt;&gt;""), A3090&amp;" · "&amp;B3090, "")</f>
        <v/>
      </c>
    </row>
    <row r="3091">
      <c r="A3091" s="6" t="inlineStr">
        <is>
          <t>FY27</t>
        </is>
      </c>
      <c r="B3091" s="6" t="inlineStr">
        <is>
          <t>Jul</t>
        </is>
      </c>
      <c r="C3091" s="6" t="inlineStr">
        <is>
          <t>TN</t>
        </is>
      </c>
      <c r="D3091" s="7" t="inlineStr">
        <is>
          <t>TN09CW2036</t>
        </is>
      </c>
      <c r="E3091" s="7" t="inlineStr">
        <is>
          <t>HONDA</t>
        </is>
      </c>
      <c r="F3091" s="7" t="inlineStr">
        <is>
          <t>City</t>
        </is>
      </c>
      <c r="G3091" s="7" t="inlineStr">
        <is>
          <t>SMAS</t>
        </is>
      </c>
      <c r="H3091" s="7" t="inlineStr">
        <is>
          <t>Non-Captive</t>
        </is>
      </c>
      <c r="I3091" s="7" t="inlineStr">
        <is>
          <t>AAA Cars</t>
        </is>
      </c>
      <c r="J3091" s="8" t="n">
        <v>2020</v>
      </c>
      <c r="K3091" s="9" t="n">
        <v>100900</v>
      </c>
      <c r="L3091" s="10" t="n">
        <v>734380</v>
      </c>
      <c r="M3091" s="10" t="n">
        <v>7627.12</v>
      </c>
      <c r="N3091" s="11">
        <f>IF(M3091="","",ROUND(M3091*1.18,2))</f>
        <v/>
      </c>
      <c r="O3091" s="12">
        <f>IF(M3091="","",ROUND(N3091-M3091,2))</f>
        <v/>
      </c>
      <c r="P3091" s="13">
        <f>IF(AND(A3091&lt;&gt;"",B3091&lt;&gt;""), A3091&amp;" · "&amp;B3091, "")</f>
        <v/>
      </c>
    </row>
    <row r="3092">
      <c r="A3092" s="6" t="inlineStr">
        <is>
          <t>FY27</t>
        </is>
      </c>
      <c r="B3092" s="6" t="inlineStr">
        <is>
          <t>Jul</t>
        </is>
      </c>
      <c r="C3092" s="6" t="inlineStr">
        <is>
          <t>TN</t>
        </is>
      </c>
      <c r="D3092" s="7" t="inlineStr">
        <is>
          <t>TN09DE7335</t>
        </is>
      </c>
      <c r="E3092" s="7" t="inlineStr">
        <is>
          <t>SKODA</t>
        </is>
      </c>
      <c r="F3092" s="7" t="inlineStr">
        <is>
          <t>Kushaq</t>
        </is>
      </c>
      <c r="G3092" s="7" t="inlineStr">
        <is>
          <t>HARSHA TOYOTA</t>
        </is>
      </c>
      <c r="H3092" s="7" t="inlineStr">
        <is>
          <t>Non-Captive</t>
        </is>
      </c>
      <c r="I3092" s="7" t="inlineStr">
        <is>
          <t>Thiyagarajan Raja Cars</t>
        </is>
      </c>
      <c r="J3092" s="8" t="n">
        <v>2023</v>
      </c>
      <c r="K3092" s="9" t="n">
        <v>26958</v>
      </c>
      <c r="L3092" s="10" t="n">
        <v>595000</v>
      </c>
      <c r="M3092" s="10" t="n">
        <v>7627.12</v>
      </c>
      <c r="N3092" s="11">
        <f>IF(M3092="","",ROUND(M3092*1.18,2))</f>
        <v/>
      </c>
      <c r="O3092" s="12">
        <f>IF(M3092="","",ROUND(N3092-M3092,2))</f>
        <v/>
      </c>
      <c r="P3092" s="13">
        <f>IF(AND(A3092&lt;&gt;"",B3092&lt;&gt;""), A3092&amp;" · "&amp;B3092, "")</f>
        <v/>
      </c>
    </row>
    <row r="3093">
      <c r="A3093" s="6" t="inlineStr">
        <is>
          <t>FY27</t>
        </is>
      </c>
      <c r="B3093" s="6" t="inlineStr">
        <is>
          <t>Jul</t>
        </is>
      </c>
      <c r="C3093" s="6" t="inlineStr">
        <is>
          <t>TN</t>
        </is>
      </c>
      <c r="D3093" s="7" t="inlineStr">
        <is>
          <t>TN09DJ0308</t>
        </is>
      </c>
      <c r="E3093" s="7" t="inlineStr">
        <is>
          <t>MARUTI SUZUKI</t>
        </is>
      </c>
      <c r="F3093" s="7" t="inlineStr">
        <is>
          <t>Baleno</t>
        </is>
      </c>
      <c r="G3093" s="7" t="inlineStr">
        <is>
          <t>CASTLE TRADERS MARUTI</t>
        </is>
      </c>
      <c r="H3093" s="7" t="inlineStr">
        <is>
          <t>Non-Captive</t>
        </is>
      </c>
      <c r="I3093" s="7" t="inlineStr">
        <is>
          <t>LANSON QCARS PRIVATE LIMITED</t>
        </is>
      </c>
      <c r="J3093" s="8" t="n">
        <v>2024</v>
      </c>
      <c r="K3093" s="9" t="n">
        <v>21905</v>
      </c>
      <c r="L3093" s="10" t="n">
        <v>641000</v>
      </c>
      <c r="M3093" s="10" t="n">
        <v>7627.12</v>
      </c>
      <c r="N3093" s="11">
        <f>IF(M3093="","",ROUND(M3093*1.18,2))</f>
        <v/>
      </c>
      <c r="O3093" s="12">
        <f>IF(M3093="","",ROUND(N3093-M3093,2))</f>
        <v/>
      </c>
      <c r="P3093" s="13">
        <f>IF(AND(A3093&lt;&gt;"",B3093&lt;&gt;""), A3093&amp;" · "&amp;B3093, "")</f>
        <v/>
      </c>
    </row>
    <row r="3094">
      <c r="A3094" s="6" t="inlineStr">
        <is>
          <t>FY27</t>
        </is>
      </c>
      <c r="B3094" s="6" t="inlineStr">
        <is>
          <t>Jul</t>
        </is>
      </c>
      <c r="C3094" s="6" t="inlineStr">
        <is>
          <t>TN</t>
        </is>
      </c>
      <c r="D3094" s="7" t="inlineStr">
        <is>
          <t>TN10AA5442</t>
        </is>
      </c>
      <c r="E3094" s="7" t="inlineStr">
        <is>
          <t>HYUNDAI</t>
        </is>
      </c>
      <c r="F3094" s="7" t="inlineStr">
        <is>
          <t>i10</t>
        </is>
      </c>
      <c r="G3094" s="7" t="inlineStr">
        <is>
          <t>RAJALAKSHMI CARS</t>
        </is>
      </c>
      <c r="H3094" s="7" t="inlineStr">
        <is>
          <t>Non-Captive</t>
        </is>
      </c>
      <c r="I3094" s="7" t="inlineStr">
        <is>
          <t>SK Cars Prasana</t>
        </is>
      </c>
      <c r="J3094" s="8" t="n">
        <v>2010</v>
      </c>
      <c r="K3094" s="9" t="n">
        <v>57427</v>
      </c>
      <c r="L3094" s="10" t="n">
        <v>193500</v>
      </c>
      <c r="M3094" s="10" t="n">
        <v>5084.75</v>
      </c>
      <c r="N3094" s="11">
        <f>IF(M3094="","",ROUND(M3094*1.18,2))</f>
        <v/>
      </c>
      <c r="O3094" s="12">
        <f>IF(M3094="","",ROUND(N3094-M3094,2))</f>
        <v/>
      </c>
      <c r="P3094" s="13">
        <f>IF(AND(A3094&lt;&gt;"",B3094&lt;&gt;""), A3094&amp;" · "&amp;B3094, "")</f>
        <v/>
      </c>
    </row>
    <row r="3095">
      <c r="A3095" s="6" t="inlineStr">
        <is>
          <t>FY27</t>
        </is>
      </c>
      <c r="B3095" s="6" t="inlineStr">
        <is>
          <t>Jul</t>
        </is>
      </c>
      <c r="C3095" s="6" t="inlineStr">
        <is>
          <t>TN</t>
        </is>
      </c>
      <c r="D3095" s="7" t="inlineStr">
        <is>
          <t>TN10AH5996</t>
        </is>
      </c>
      <c r="E3095" s="7" t="inlineStr">
        <is>
          <t>TATA</t>
        </is>
      </c>
      <c r="F3095" s="7" t="inlineStr">
        <is>
          <t>Nano</t>
        </is>
      </c>
      <c r="G3095" s="7" t="inlineStr">
        <is>
          <t>CRESCO CARS</t>
        </is>
      </c>
      <c r="H3095" s="7" t="inlineStr">
        <is>
          <t>Non-Captive</t>
        </is>
      </c>
      <c r="I3095" s="7" t="inlineStr">
        <is>
          <t>AAA Cars</t>
        </is>
      </c>
      <c r="J3095" s="8" t="n">
        <v>2012</v>
      </c>
      <c r="K3095" s="9" t="n">
        <v>88325</v>
      </c>
      <c r="L3095" s="10" t="n">
        <v>94000</v>
      </c>
      <c r="M3095" s="10" t="n">
        <v>4237.29</v>
      </c>
      <c r="N3095" s="11">
        <f>IF(M3095="","",ROUND(M3095*1.18,2))</f>
        <v/>
      </c>
      <c r="O3095" s="12">
        <f>IF(M3095="","",ROUND(N3095-M3095,2))</f>
        <v/>
      </c>
      <c r="P3095" s="13">
        <f>IF(AND(A3095&lt;&gt;"",B3095&lt;&gt;""), A3095&amp;" · "&amp;B3095, "")</f>
        <v/>
      </c>
    </row>
    <row r="3096">
      <c r="A3096" s="6" t="inlineStr">
        <is>
          <t>FY27</t>
        </is>
      </c>
      <c r="B3096" s="6" t="inlineStr">
        <is>
          <t>Jul</t>
        </is>
      </c>
      <c r="C3096" s="6" t="inlineStr">
        <is>
          <t>TN</t>
        </is>
      </c>
      <c r="D3096" s="7" t="inlineStr">
        <is>
          <t>TN10AH8949</t>
        </is>
      </c>
      <c r="E3096" s="7" t="inlineStr">
        <is>
          <t>HONDA</t>
        </is>
      </c>
      <c r="F3096" s="7" t="inlineStr">
        <is>
          <t>City</t>
        </is>
      </c>
      <c r="G3096" s="7" t="inlineStr">
        <is>
          <t>STEER AUTO TECHNOLOGIES PRIVATE LIMITED</t>
        </is>
      </c>
      <c r="H3096" s="7" t="inlineStr">
        <is>
          <t>Non-Captive</t>
        </is>
      </c>
      <c r="I3096" s="7" t="inlineStr">
        <is>
          <t>Kamal Cars</t>
        </is>
      </c>
      <c r="J3096" s="8" t="n">
        <v>2012</v>
      </c>
      <c r="K3096" s="9" t="n">
        <v>87044</v>
      </c>
      <c r="L3096" s="10" t="n">
        <v>100000</v>
      </c>
      <c r="M3096" s="10" t="n">
        <v>4237.29</v>
      </c>
      <c r="N3096" s="11">
        <f>IF(M3096="","",ROUND(M3096*1.18,2))</f>
        <v/>
      </c>
      <c r="O3096" s="12">
        <f>IF(M3096="","",ROUND(N3096-M3096,2))</f>
        <v/>
      </c>
      <c r="P3096" s="13">
        <f>IF(AND(A3096&lt;&gt;"",B3096&lt;&gt;""), A3096&amp;" · "&amp;B3096, "")</f>
        <v/>
      </c>
    </row>
    <row r="3097">
      <c r="A3097" s="6" t="inlineStr">
        <is>
          <t>FY27</t>
        </is>
      </c>
      <c r="B3097" s="6" t="inlineStr">
        <is>
          <t>Jul</t>
        </is>
      </c>
      <c r="C3097" s="6" t="inlineStr">
        <is>
          <t>TN</t>
        </is>
      </c>
      <c r="D3097" s="7" t="inlineStr">
        <is>
          <t>TN10AM1113</t>
        </is>
      </c>
      <c r="E3097" s="7" t="inlineStr">
        <is>
          <t>VOLKSWAGEN</t>
        </is>
      </c>
      <c r="F3097" s="7" t="inlineStr">
        <is>
          <t>Vento</t>
        </is>
      </c>
      <c r="G3097" s="7" t="inlineStr">
        <is>
          <t>NIRMAL CARS</t>
        </is>
      </c>
      <c r="H3097" s="7" t="inlineStr">
        <is>
          <t>Non-Captive</t>
        </is>
      </c>
      <c r="I3097" s="7" t="inlineStr">
        <is>
          <t>Vijaya Cars</t>
        </is>
      </c>
      <c r="J3097" s="8" t="n">
        <v>2013</v>
      </c>
      <c r="K3097" s="9" t="n">
        <v>99289</v>
      </c>
      <c r="L3097" s="10" t="n">
        <v>178000</v>
      </c>
      <c r="M3097" s="10" t="n">
        <v>5084.75</v>
      </c>
      <c r="N3097" s="11">
        <f>IF(M3097="","",ROUND(M3097*1.18,2))</f>
        <v/>
      </c>
      <c r="O3097" s="12">
        <f>IF(M3097="","",ROUND(N3097-M3097,2))</f>
        <v/>
      </c>
      <c r="P3097" s="13">
        <f>IF(AND(A3097&lt;&gt;"",B3097&lt;&gt;""), A3097&amp;" · "&amp;B3097, "")</f>
        <v/>
      </c>
    </row>
    <row r="3098">
      <c r="A3098" s="6" t="inlineStr">
        <is>
          <t>FY27</t>
        </is>
      </c>
      <c r="B3098" s="6" t="inlineStr">
        <is>
          <t>Jul</t>
        </is>
      </c>
      <c r="C3098" s="6" t="inlineStr">
        <is>
          <t>TN</t>
        </is>
      </c>
      <c r="D3098" s="7" t="inlineStr">
        <is>
          <t>TN10AQ4590</t>
        </is>
      </c>
      <c r="E3098" s="7" t="inlineStr">
        <is>
          <t>MARUTI SUZUKI</t>
        </is>
      </c>
      <c r="F3098" s="7" t="inlineStr">
        <is>
          <t>Alto K10</t>
        </is>
      </c>
      <c r="G3098" s="7" t="inlineStr">
        <is>
          <t>CRESCO CARS</t>
        </is>
      </c>
      <c r="H3098" s="7" t="inlineStr">
        <is>
          <t>Non-Captive</t>
        </is>
      </c>
      <c r="I3098" s="7" t="inlineStr">
        <is>
          <t>SK Cars Prasana</t>
        </is>
      </c>
      <c r="J3098" s="8" t="n">
        <v>2014</v>
      </c>
      <c r="K3098" s="9" t="n">
        <v>21667</v>
      </c>
      <c r="L3098" s="10" t="n">
        <v>190000</v>
      </c>
      <c r="M3098" s="10" t="n">
        <v>5084.75</v>
      </c>
      <c r="N3098" s="11">
        <f>IF(M3098="","",ROUND(M3098*1.18,2))</f>
        <v/>
      </c>
      <c r="O3098" s="12">
        <f>IF(M3098="","",ROUND(N3098-M3098,2))</f>
        <v/>
      </c>
      <c r="P3098" s="13">
        <f>IF(AND(A3098&lt;&gt;"",B3098&lt;&gt;""), A3098&amp;" · "&amp;B3098, "")</f>
        <v/>
      </c>
    </row>
    <row r="3099">
      <c r="A3099" s="6" t="inlineStr">
        <is>
          <t>FY27</t>
        </is>
      </c>
      <c r="B3099" s="6" t="inlineStr">
        <is>
          <t>Jul</t>
        </is>
      </c>
      <c r="C3099" s="6" t="inlineStr">
        <is>
          <t>TN</t>
        </is>
      </c>
      <c r="D3099" s="7" t="inlineStr">
        <is>
          <t>TN10AQ5845</t>
        </is>
      </c>
      <c r="E3099" s="7" t="inlineStr">
        <is>
          <t>HONDA</t>
        </is>
      </c>
      <c r="F3099" s="7" t="inlineStr">
        <is>
          <t>City</t>
        </is>
      </c>
      <c r="G3099" s="7" t="inlineStr">
        <is>
          <t>EXCHANGE CHENNAI</t>
        </is>
      </c>
      <c r="H3099" s="7" t="inlineStr">
        <is>
          <t>Captive</t>
        </is>
      </c>
      <c r="I3099" s="7" t="inlineStr">
        <is>
          <t>Maruthi Industries</t>
        </is>
      </c>
      <c r="J3099" s="8" t="n">
        <v>2014</v>
      </c>
      <c r="K3099" s="9" t="n">
        <v>102084</v>
      </c>
      <c r="L3099" s="10" t="n">
        <v>400000</v>
      </c>
      <c r="M3099" s="10" t="n">
        <v>8474.58</v>
      </c>
      <c r="N3099" s="11">
        <f>IF(M3099="","",ROUND(M3099*1.18,2))</f>
        <v/>
      </c>
      <c r="O3099" s="12">
        <f>IF(M3099="","",ROUND(N3099-M3099,2))</f>
        <v/>
      </c>
      <c r="P3099" s="13">
        <f>IF(AND(A3099&lt;&gt;"",B3099&lt;&gt;""), A3099&amp;" · "&amp;B3099, "")</f>
        <v/>
      </c>
    </row>
    <row r="3100">
      <c r="A3100" s="6" t="inlineStr">
        <is>
          <t>FY27</t>
        </is>
      </c>
      <c r="B3100" s="6" t="inlineStr">
        <is>
          <t>Jul</t>
        </is>
      </c>
      <c r="C3100" s="6" t="inlineStr">
        <is>
          <t>TN</t>
        </is>
      </c>
      <c r="D3100" s="7" t="inlineStr">
        <is>
          <t>TN10AT9471</t>
        </is>
      </c>
      <c r="E3100" s="7" t="inlineStr">
        <is>
          <t>HONDA</t>
        </is>
      </c>
      <c r="F3100" s="7" t="inlineStr">
        <is>
          <t>City</t>
        </is>
      </c>
      <c r="G3100" s="7" t="inlineStr">
        <is>
          <t>EXCHANGE CHENNAI</t>
        </is>
      </c>
      <c r="H3100" s="7" t="inlineStr">
        <is>
          <t>Captive</t>
        </is>
      </c>
      <c r="I3100" s="7" t="inlineStr">
        <is>
          <t>Santhosh Cars</t>
        </is>
      </c>
      <c r="J3100" s="8" t="n">
        <v>2015</v>
      </c>
      <c r="K3100" s="9" t="n">
        <v>110651</v>
      </c>
      <c r="L3100" s="10" t="n">
        <v>310000</v>
      </c>
      <c r="M3100" s="10" t="n">
        <v>8474.58</v>
      </c>
      <c r="N3100" s="11">
        <f>IF(M3100="","",ROUND(M3100*1.18,2))</f>
        <v/>
      </c>
      <c r="O3100" s="12">
        <f>IF(M3100="","",ROUND(N3100-M3100,2))</f>
        <v/>
      </c>
      <c r="P3100" s="13">
        <f>IF(AND(A3100&lt;&gt;"",B3100&lt;&gt;""), A3100&amp;" · "&amp;B3100, "")</f>
        <v/>
      </c>
    </row>
    <row r="3101">
      <c r="A3101" s="6" t="inlineStr">
        <is>
          <t>FY27</t>
        </is>
      </c>
      <c r="B3101" s="6" t="inlineStr">
        <is>
          <t>Jul</t>
        </is>
      </c>
      <c r="C3101" s="6" t="inlineStr">
        <is>
          <t>TN</t>
        </is>
      </c>
      <c r="D3101" s="7" t="inlineStr">
        <is>
          <t>TN10AX3000</t>
        </is>
      </c>
      <c r="E3101" s="7" t="inlineStr">
        <is>
          <t>HONDA</t>
        </is>
      </c>
      <c r="F3101" s="7" t="inlineStr">
        <is>
          <t>City</t>
        </is>
      </c>
      <c r="G3101" s="7" t="inlineStr">
        <is>
          <t>EXCHANGE CHENNAI</t>
        </is>
      </c>
      <c r="H3101" s="7" t="inlineStr">
        <is>
          <t>Captive</t>
        </is>
      </c>
      <c r="I3101" s="7" t="inlineStr">
        <is>
          <t>&lt;NA&gt;</t>
        </is>
      </c>
      <c r="J3101" s="8" t="n">
        <v>2016</v>
      </c>
      <c r="K3101" s="9" t="n">
        <v>87753</v>
      </c>
      <c r="L3101" s="10" t="n">
        <v>550000</v>
      </c>
      <c r="M3101" s="10" t="n">
        <v>8474.58</v>
      </c>
      <c r="N3101" s="11">
        <f>IF(M3101="","",ROUND(M3101*1.18,2))</f>
        <v/>
      </c>
      <c r="O3101" s="12">
        <f>IF(M3101="","",ROUND(N3101-M3101,2))</f>
        <v/>
      </c>
      <c r="P3101" s="13">
        <f>IF(AND(A3101&lt;&gt;"",B3101&lt;&gt;""), A3101&amp;" · "&amp;B3101, "")</f>
        <v/>
      </c>
    </row>
    <row r="3102">
      <c r="A3102" s="6" t="inlineStr">
        <is>
          <t>FY27</t>
        </is>
      </c>
      <c r="B3102" s="6" t="inlineStr">
        <is>
          <t>Jul</t>
        </is>
      </c>
      <c r="C3102" s="6" t="inlineStr">
        <is>
          <t>TN</t>
        </is>
      </c>
      <c r="D3102" s="7" t="inlineStr">
        <is>
          <t>TN10BK8979</t>
        </is>
      </c>
      <c r="E3102" s="7" t="inlineStr">
        <is>
          <t>MARUTI SUZUKI</t>
        </is>
      </c>
      <c r="F3102" s="7" t="inlineStr">
        <is>
          <t>Baleno</t>
        </is>
      </c>
      <c r="G3102" s="7" t="inlineStr">
        <is>
          <t>VISHNU CARS PRIVATE LIMITED</t>
        </is>
      </c>
      <c r="H3102" s="7" t="inlineStr">
        <is>
          <t>Non-Captive</t>
        </is>
      </c>
      <c r="I3102" s="7" t="inlineStr">
        <is>
          <t>Senthil Cars</t>
        </is>
      </c>
      <c r="J3102" s="8" t="n">
        <v>2020</v>
      </c>
      <c r="K3102" s="9" t="n">
        <v>120496</v>
      </c>
      <c r="L3102" s="10" t="n">
        <v>93000</v>
      </c>
      <c r="M3102" s="10" t="n">
        <v>4237.29</v>
      </c>
      <c r="N3102" s="11">
        <f>IF(M3102="","",ROUND(M3102*1.18,2))</f>
        <v/>
      </c>
      <c r="O3102" s="12">
        <f>IF(M3102="","",ROUND(N3102-M3102,2))</f>
        <v/>
      </c>
      <c r="P3102" s="13">
        <f>IF(AND(A3102&lt;&gt;"",B3102&lt;&gt;""), A3102&amp;" · "&amp;B3102, "")</f>
        <v/>
      </c>
    </row>
    <row r="3103">
      <c r="A3103" s="6" t="inlineStr">
        <is>
          <t>FY27</t>
        </is>
      </c>
      <c r="B3103" s="6" t="inlineStr">
        <is>
          <t>Jul</t>
        </is>
      </c>
      <c r="C3103" s="6" t="inlineStr">
        <is>
          <t>TN</t>
        </is>
      </c>
      <c r="D3103" s="7" t="inlineStr">
        <is>
          <t>TN10BL6212</t>
        </is>
      </c>
      <c r="E3103" s="7" t="inlineStr">
        <is>
          <t>MARUTI SUZUKI</t>
        </is>
      </c>
      <c r="F3103" s="7" t="inlineStr">
        <is>
          <t>Dzire</t>
        </is>
      </c>
      <c r="G3103" s="7" t="inlineStr">
        <is>
          <t>AUTOMOTIVE MANUFACTURES PRIVATE LIMITED</t>
        </is>
      </c>
      <c r="H3103" s="7" t="inlineStr">
        <is>
          <t>Non-Captive</t>
        </is>
      </c>
      <c r="I3103" s="7" t="inlineStr">
        <is>
          <t>Senthil Cars</t>
        </is>
      </c>
      <c r="J3103" s="8" t="n">
        <v>2020</v>
      </c>
      <c r="K3103" s="9" t="n">
        <v>58739</v>
      </c>
      <c r="L3103" s="10" t="n">
        <v>96000</v>
      </c>
      <c r="M3103" s="10" t="n">
        <v>4237.29</v>
      </c>
      <c r="N3103" s="11">
        <f>IF(M3103="","",ROUND(M3103*1.18,2))</f>
        <v/>
      </c>
      <c r="O3103" s="12">
        <f>IF(M3103="","",ROUND(N3103-M3103,2))</f>
        <v/>
      </c>
      <c r="P3103" s="13">
        <f>IF(AND(A3103&lt;&gt;"",B3103&lt;&gt;""), A3103&amp;" · "&amp;B3103, "")</f>
        <v/>
      </c>
    </row>
    <row r="3104">
      <c r="A3104" s="6" t="inlineStr">
        <is>
          <t>FY27</t>
        </is>
      </c>
      <c r="B3104" s="6" t="inlineStr">
        <is>
          <t>Jul</t>
        </is>
      </c>
      <c r="C3104" s="6" t="inlineStr">
        <is>
          <t>TN</t>
        </is>
      </c>
      <c r="D3104" s="7" t="inlineStr">
        <is>
          <t>TN10BQ3828</t>
        </is>
      </c>
      <c r="E3104" s="7" t="inlineStr">
        <is>
          <t>HYUNDAI</t>
        </is>
      </c>
      <c r="F3104" s="7" t="inlineStr">
        <is>
          <t>Grand i10</t>
        </is>
      </c>
      <c r="G3104" s="7" t="inlineStr">
        <is>
          <t>EXCHANGE CHENNAI</t>
        </is>
      </c>
      <c r="H3104" s="7" t="inlineStr">
        <is>
          <t>Captive</t>
        </is>
      </c>
      <c r="I3104" s="7" t="inlineStr">
        <is>
          <t>Thiya Cars</t>
        </is>
      </c>
      <c r="J3104" s="8" t="n">
        <v>2022</v>
      </c>
      <c r="K3104" s="9" t="n">
        <v>99703</v>
      </c>
      <c r="L3104" s="10" t="n">
        <v>430000</v>
      </c>
      <c r="M3104" s="10" t="n">
        <v>8474.58</v>
      </c>
      <c r="N3104" s="11">
        <f>IF(M3104="","",ROUND(M3104*1.18,2))</f>
        <v/>
      </c>
      <c r="O3104" s="12">
        <f>IF(M3104="","",ROUND(N3104-M3104,2))</f>
        <v/>
      </c>
      <c r="P3104" s="13">
        <f>IF(AND(A3104&lt;&gt;"",B3104&lt;&gt;""), A3104&amp;" · "&amp;B3104, "")</f>
        <v/>
      </c>
    </row>
    <row r="3105">
      <c r="A3105" s="6" t="inlineStr">
        <is>
          <t>FY27</t>
        </is>
      </c>
      <c r="B3105" s="6" t="inlineStr">
        <is>
          <t>Jul</t>
        </is>
      </c>
      <c r="C3105" s="6" t="inlineStr">
        <is>
          <t>TN</t>
        </is>
      </c>
      <c r="D3105" s="7" t="inlineStr">
        <is>
          <t>TN10BS0724</t>
        </is>
      </c>
      <c r="E3105" s="7" t="inlineStr">
        <is>
          <t>MARUTI SUZUKI</t>
        </is>
      </c>
      <c r="F3105" s="7" t="inlineStr">
        <is>
          <t>Baleno</t>
        </is>
      </c>
      <c r="G3105" s="7" t="inlineStr">
        <is>
          <t>CASTLE TRADERS MARUTI</t>
        </is>
      </c>
      <c r="H3105" s="7" t="inlineStr">
        <is>
          <t>Non-Captive</t>
        </is>
      </c>
      <c r="I3105" s="7" t="inlineStr">
        <is>
          <t>Grid 33</t>
        </is>
      </c>
      <c r="J3105" s="8" t="n">
        <v>2022</v>
      </c>
      <c r="K3105" s="9" t="n">
        <v>33893</v>
      </c>
      <c r="L3105" s="10" t="n">
        <v>500000</v>
      </c>
      <c r="M3105" s="10" t="n">
        <v>8474.58</v>
      </c>
      <c r="N3105" s="11">
        <f>IF(M3105="","",ROUND(M3105*1.18,2))</f>
        <v/>
      </c>
      <c r="O3105" s="12">
        <f>IF(M3105="","",ROUND(N3105-M3105,2))</f>
        <v/>
      </c>
      <c r="P3105" s="13">
        <f>IF(AND(A3105&lt;&gt;"",B3105&lt;&gt;""), A3105&amp;" · "&amp;B3105, "")</f>
        <v/>
      </c>
    </row>
    <row r="3106">
      <c r="A3106" s="6" t="inlineStr">
        <is>
          <t>FY27</t>
        </is>
      </c>
      <c r="B3106" s="6" t="inlineStr">
        <is>
          <t>Jul</t>
        </is>
      </c>
      <c r="C3106" s="6" t="inlineStr">
        <is>
          <t>TN</t>
        </is>
      </c>
      <c r="D3106" s="7" t="inlineStr">
        <is>
          <t>TN10BU2099</t>
        </is>
      </c>
      <c r="E3106" s="7" t="inlineStr">
        <is>
          <t>KIA</t>
        </is>
      </c>
      <c r="F3106" s="7" t="inlineStr">
        <is>
          <t>Seltos</t>
        </is>
      </c>
      <c r="G3106" s="7" t="inlineStr">
        <is>
          <t>GURUDEV MOTORS LLP</t>
        </is>
      </c>
      <c r="H3106" s="7" t="inlineStr">
        <is>
          <t>Non-Captive</t>
        </is>
      </c>
      <c r="I3106" s="7" t="inlineStr">
        <is>
          <t>Nirmal Cars</t>
        </is>
      </c>
      <c r="J3106" s="8" t="n">
        <v>2023</v>
      </c>
      <c r="K3106" s="9" t="n">
        <v>46828</v>
      </c>
      <c r="L3106" s="10" t="n">
        <v>400000</v>
      </c>
      <c r="M3106" s="10" t="n">
        <v>6355.93</v>
      </c>
      <c r="N3106" s="11">
        <f>IF(M3106="","",ROUND(M3106*1.18,2))</f>
        <v/>
      </c>
      <c r="O3106" s="12">
        <f>IF(M3106="","",ROUND(N3106-M3106,2))</f>
        <v/>
      </c>
      <c r="P3106" s="13">
        <f>IF(AND(A3106&lt;&gt;"",B3106&lt;&gt;""), A3106&amp;" · "&amp;B3106, "")</f>
        <v/>
      </c>
    </row>
    <row r="3107">
      <c r="A3107" s="6" t="inlineStr">
        <is>
          <t>FY27</t>
        </is>
      </c>
      <c r="B3107" s="6" t="inlineStr">
        <is>
          <t>Jul</t>
        </is>
      </c>
      <c r="C3107" s="6" t="inlineStr">
        <is>
          <t>TN</t>
        </is>
      </c>
      <c r="D3107" s="7" t="inlineStr">
        <is>
          <t>TN10C3835</t>
        </is>
      </c>
      <c r="E3107" s="7" t="inlineStr">
        <is>
          <t>MARUTI SUZUKI</t>
        </is>
      </c>
      <c r="F3107" s="7" t="inlineStr">
        <is>
          <t>Alto 800</t>
        </is>
      </c>
      <c r="G3107" s="7" t="inlineStr">
        <is>
          <t>EXCHANGE ROTN</t>
        </is>
      </c>
      <c r="H3107" s="7" t="inlineStr">
        <is>
          <t>Captive</t>
        </is>
      </c>
      <c r="I3107" s="7" t="inlineStr">
        <is>
          <t>Sai Cars</t>
        </is>
      </c>
      <c r="J3107" s="8" t="n">
        <v>2001</v>
      </c>
      <c r="K3107" s="9" t="n">
        <v>28439</v>
      </c>
      <c r="L3107" s="10" t="n">
        <v>45000</v>
      </c>
      <c r="M3107" s="10" t="n">
        <v>4237.29</v>
      </c>
      <c r="N3107" s="11">
        <f>IF(M3107="","",ROUND(M3107*1.18,2))</f>
        <v/>
      </c>
      <c r="O3107" s="12">
        <f>IF(M3107="","",ROUND(N3107-M3107,2))</f>
        <v/>
      </c>
      <c r="P3107" s="13">
        <f>IF(AND(A3107&lt;&gt;"",B3107&lt;&gt;""), A3107&amp;" · "&amp;B3107, "")</f>
        <v/>
      </c>
    </row>
    <row r="3108">
      <c r="A3108" s="6" t="inlineStr">
        <is>
          <t>FY27</t>
        </is>
      </c>
      <c r="B3108" s="6" t="inlineStr">
        <is>
          <t>Jul</t>
        </is>
      </c>
      <c r="C3108" s="6" t="inlineStr">
        <is>
          <t>TN</t>
        </is>
      </c>
      <c r="D3108" s="7" t="inlineStr">
        <is>
          <t>TN10K9686</t>
        </is>
      </c>
      <c r="E3108" s="7" t="inlineStr">
        <is>
          <t>MARUTI SUZUKI</t>
        </is>
      </c>
      <c r="F3108" s="7" t="inlineStr">
        <is>
          <t>Alto</t>
        </is>
      </c>
      <c r="G3108" s="7" t="inlineStr">
        <is>
          <t>EXCHANGE CHENNAI</t>
        </is>
      </c>
      <c r="H3108" s="7" t="inlineStr">
        <is>
          <t>Captive</t>
        </is>
      </c>
      <c r="I3108" s="7" t="inlineStr">
        <is>
          <t>Santhosh Cars</t>
        </is>
      </c>
      <c r="J3108" s="8" t="n">
        <v>2007</v>
      </c>
      <c r="K3108" s="9" t="n">
        <v>124965</v>
      </c>
      <c r="L3108" s="10" t="n">
        <v>50000</v>
      </c>
      <c r="M3108" s="10" t="n">
        <v>4237.29</v>
      </c>
      <c r="N3108" s="11">
        <f>IF(M3108="","",ROUND(M3108*1.18,2))</f>
        <v/>
      </c>
      <c r="O3108" s="12">
        <f>IF(M3108="","",ROUND(N3108-M3108,2))</f>
        <v/>
      </c>
      <c r="P3108" s="13">
        <f>IF(AND(A3108&lt;&gt;"",B3108&lt;&gt;""), A3108&amp;" · "&amp;B3108, "")</f>
        <v/>
      </c>
    </row>
    <row r="3109">
      <c r="A3109" s="6" t="inlineStr">
        <is>
          <t>FY27</t>
        </is>
      </c>
      <c r="B3109" s="6" t="inlineStr">
        <is>
          <t>Jul</t>
        </is>
      </c>
      <c r="C3109" s="6" t="inlineStr">
        <is>
          <t>TN</t>
        </is>
      </c>
      <c r="D3109" s="7" t="inlineStr">
        <is>
          <t>TN10U0936</t>
        </is>
      </c>
      <c r="E3109" s="7" t="inlineStr">
        <is>
          <t>HYUNDAI</t>
        </is>
      </c>
      <c r="F3109" s="7" t="inlineStr">
        <is>
          <t>i10</t>
        </is>
      </c>
      <c r="G3109" s="7" t="inlineStr">
        <is>
          <t>CAR HUB</t>
        </is>
      </c>
      <c r="H3109" s="7" t="inlineStr">
        <is>
          <t>Non-Captive</t>
        </is>
      </c>
      <c r="I3109" s="7" t="inlineStr">
        <is>
          <t>Nirmal Cars</t>
        </is>
      </c>
      <c r="J3109" s="8" t="n">
        <v>2008</v>
      </c>
      <c r="K3109" s="9" t="n">
        <v>110063</v>
      </c>
      <c r="L3109" s="10" t="n">
        <v>97000</v>
      </c>
      <c r="M3109" s="10" t="n">
        <v>4237.29</v>
      </c>
      <c r="N3109" s="11">
        <f>IF(M3109="","",ROUND(M3109*1.18,2))</f>
        <v/>
      </c>
      <c r="O3109" s="12">
        <f>IF(M3109="","",ROUND(N3109-M3109,2))</f>
        <v/>
      </c>
      <c r="P3109" s="13">
        <f>IF(AND(A3109&lt;&gt;"",B3109&lt;&gt;""), A3109&amp;" · "&amp;B3109, "")</f>
        <v/>
      </c>
    </row>
    <row r="3110">
      <c r="A3110" s="6" t="inlineStr">
        <is>
          <t>FY27</t>
        </is>
      </c>
      <c r="B3110" s="6" t="inlineStr">
        <is>
          <t>Jul</t>
        </is>
      </c>
      <c r="C3110" s="6" t="inlineStr">
        <is>
          <t>TN</t>
        </is>
      </c>
      <c r="D3110" s="7" t="inlineStr">
        <is>
          <t>TN10W4297</t>
        </is>
      </c>
      <c r="E3110" s="7" t="inlineStr">
        <is>
          <t>MARUTI SUZUKI</t>
        </is>
      </c>
      <c r="F3110" s="7" t="inlineStr">
        <is>
          <t>Wagon R</t>
        </is>
      </c>
      <c r="G3110" s="7" t="inlineStr">
        <is>
          <t>AIE CARS PRIVATE LIMITED</t>
        </is>
      </c>
      <c r="H3110" s="7" t="inlineStr">
        <is>
          <t>Non-Captive</t>
        </is>
      </c>
      <c r="I3110" s="7" t="inlineStr">
        <is>
          <t>LIAKATHCARS</t>
        </is>
      </c>
      <c r="J3110" s="8" t="n">
        <v>2009</v>
      </c>
      <c r="K3110" s="9" t="n">
        <v>133132</v>
      </c>
      <c r="L3110" s="10" t="n">
        <v>98000</v>
      </c>
      <c r="M3110" s="10" t="n">
        <v>4237.29</v>
      </c>
      <c r="N3110" s="11">
        <f>IF(M3110="","",ROUND(M3110*1.18,2))</f>
        <v/>
      </c>
      <c r="O3110" s="12">
        <f>IF(M3110="","",ROUND(N3110-M3110,2))</f>
        <v/>
      </c>
      <c r="P3110" s="13">
        <f>IF(AND(A3110&lt;&gt;"",B3110&lt;&gt;""), A3110&amp;" · "&amp;B3110, "")</f>
        <v/>
      </c>
    </row>
    <row r="3111">
      <c r="A3111" s="6" t="inlineStr">
        <is>
          <t>FY27</t>
        </is>
      </c>
      <c r="B3111" s="6" t="inlineStr">
        <is>
          <t>Jul</t>
        </is>
      </c>
      <c r="C3111" s="6" t="inlineStr">
        <is>
          <t>TN</t>
        </is>
      </c>
      <c r="D3111" s="7" t="inlineStr">
        <is>
          <t>TN10X8334</t>
        </is>
      </c>
      <c r="E3111" s="7" t="inlineStr">
        <is>
          <t>MARUTI SUZUKI</t>
        </is>
      </c>
      <c r="F3111" s="7" t="inlineStr">
        <is>
          <t>Zen</t>
        </is>
      </c>
      <c r="G3111" s="7" t="inlineStr">
        <is>
          <t>PRODUCTIVITY ELEMENTS PRIVATE LIMITED</t>
        </is>
      </c>
      <c r="H3111" s="7" t="inlineStr">
        <is>
          <t>Non-Captive</t>
        </is>
      </c>
      <c r="I3111" s="7" t="inlineStr">
        <is>
          <t>Senthil Cars</t>
        </is>
      </c>
      <c r="J3111" s="8" t="n">
        <v>2009</v>
      </c>
      <c r="K3111" s="9" t="n">
        <v>79002</v>
      </c>
      <c r="L3111" s="10" t="n">
        <v>89000</v>
      </c>
      <c r="M3111" s="10" t="n">
        <v>4237.29</v>
      </c>
      <c r="N3111" s="11">
        <f>IF(M3111="","",ROUND(M3111*1.18,2))</f>
        <v/>
      </c>
      <c r="O3111" s="12">
        <f>IF(M3111="","",ROUND(N3111-M3111,2))</f>
        <v/>
      </c>
      <c r="P3111" s="13">
        <f>IF(AND(A3111&lt;&gt;"",B3111&lt;&gt;""), A3111&amp;" · "&amp;B3111, "")</f>
        <v/>
      </c>
    </row>
    <row r="3112">
      <c r="A3112" s="6" t="inlineStr">
        <is>
          <t>FY27</t>
        </is>
      </c>
      <c r="B3112" s="6" t="inlineStr">
        <is>
          <t>Jul</t>
        </is>
      </c>
      <c r="C3112" s="6" t="inlineStr">
        <is>
          <t>TN</t>
        </is>
      </c>
      <c r="D3112" s="7" t="inlineStr">
        <is>
          <t>TN11A9378</t>
        </is>
      </c>
      <c r="E3112" s="7" t="inlineStr">
        <is>
          <t>HYUNDAI</t>
        </is>
      </c>
      <c r="F3112" s="7" t="inlineStr">
        <is>
          <t>i10</t>
        </is>
      </c>
      <c r="G3112" s="7" t="inlineStr">
        <is>
          <t>CASTLE TRADERS HONDA</t>
        </is>
      </c>
      <c r="H3112" s="7" t="inlineStr">
        <is>
          <t>Non-Captive</t>
        </is>
      </c>
      <c r="I3112" s="7" t="inlineStr">
        <is>
          <t>S2 MOTORZ</t>
        </is>
      </c>
      <c r="J3112" s="8" t="n">
        <v>2012</v>
      </c>
      <c r="K3112" s="9" t="n">
        <v>88439</v>
      </c>
      <c r="L3112" s="10" t="n">
        <v>181000</v>
      </c>
      <c r="M3112" s="10" t="n">
        <v>5084.75</v>
      </c>
      <c r="N3112" s="11">
        <f>IF(M3112="","",ROUND(M3112*1.18,2))</f>
        <v/>
      </c>
      <c r="O3112" s="12">
        <f>IF(M3112="","",ROUND(N3112-M3112,2))</f>
        <v/>
      </c>
      <c r="P3112" s="13">
        <f>IF(AND(A3112&lt;&gt;"",B3112&lt;&gt;""), A3112&amp;" · "&amp;B3112, "")</f>
        <v/>
      </c>
    </row>
    <row r="3113">
      <c r="A3113" s="6" t="inlineStr">
        <is>
          <t>FY27</t>
        </is>
      </c>
      <c r="B3113" s="6" t="inlineStr">
        <is>
          <t>Jul</t>
        </is>
      </c>
      <c r="C3113" s="6" t="inlineStr">
        <is>
          <t>TN</t>
        </is>
      </c>
      <c r="D3113" s="7" t="inlineStr">
        <is>
          <t>TN11AF8524</t>
        </is>
      </c>
      <c r="E3113" s="7" t="inlineStr">
        <is>
          <t>RENAULT</t>
        </is>
      </c>
      <c r="F3113" s="7" t="inlineStr">
        <is>
          <t>Kwid</t>
        </is>
      </c>
      <c r="G3113" s="7" t="inlineStr">
        <is>
          <t>PRODUCTIVITY ELEMENTS PRIVATE LIMITED</t>
        </is>
      </c>
      <c r="H3113" s="7" t="inlineStr">
        <is>
          <t>Non-Captive</t>
        </is>
      </c>
      <c r="I3113" s="7" t="inlineStr">
        <is>
          <t>Senthil Cars</t>
        </is>
      </c>
      <c r="J3113" s="8" t="n">
        <v>2018</v>
      </c>
      <c r="K3113" s="9" t="n">
        <v>60250</v>
      </c>
      <c r="L3113" s="10" t="n">
        <v>92000</v>
      </c>
      <c r="M3113" s="10" t="n">
        <v>4237.29</v>
      </c>
      <c r="N3113" s="11">
        <f>IF(M3113="","",ROUND(M3113*1.18,2))</f>
        <v/>
      </c>
      <c r="O3113" s="12">
        <f>IF(M3113="","",ROUND(N3113-M3113,2))</f>
        <v/>
      </c>
      <c r="P3113" s="13">
        <f>IF(AND(A3113&lt;&gt;"",B3113&lt;&gt;""), A3113&amp;" · "&amp;B3113, "")</f>
        <v/>
      </c>
    </row>
    <row r="3114">
      <c r="A3114" s="6" t="inlineStr">
        <is>
          <t>FY27</t>
        </is>
      </c>
      <c r="B3114" s="6" t="inlineStr">
        <is>
          <t>Jul</t>
        </is>
      </c>
      <c r="C3114" s="6" t="inlineStr">
        <is>
          <t>TN</t>
        </is>
      </c>
      <c r="D3114" s="7" t="inlineStr">
        <is>
          <t>TN11AM3939</t>
        </is>
      </c>
      <c r="E3114" s="7" t="inlineStr">
        <is>
          <t>HYUNDAI</t>
        </is>
      </c>
      <c r="F3114" s="7" t="inlineStr">
        <is>
          <t>Creta</t>
        </is>
      </c>
      <c r="G3114" s="7" t="inlineStr">
        <is>
          <t>AUTOMOTIVE MANUFACTURES PRIVATE LIMITED</t>
        </is>
      </c>
      <c r="H3114" s="7" t="inlineStr">
        <is>
          <t>Non-Captive</t>
        </is>
      </c>
      <c r="I3114" s="7" t="inlineStr">
        <is>
          <t>Vellore Vathiyar</t>
        </is>
      </c>
      <c r="J3114" s="8" t="n">
        <v>2019</v>
      </c>
      <c r="K3114" s="9" t="n">
        <v>136829</v>
      </c>
      <c r="L3114" s="10" t="n">
        <v>93000</v>
      </c>
      <c r="M3114" s="10" t="n">
        <v>4237.29</v>
      </c>
      <c r="N3114" s="11">
        <f>IF(M3114="","",ROUND(M3114*1.18,2))</f>
        <v/>
      </c>
      <c r="O3114" s="12">
        <f>IF(M3114="","",ROUND(N3114-M3114,2))</f>
        <v/>
      </c>
      <c r="P3114" s="13">
        <f>IF(AND(A3114&lt;&gt;"",B3114&lt;&gt;""), A3114&amp;" · "&amp;B3114, "")</f>
        <v/>
      </c>
    </row>
    <row r="3115">
      <c r="A3115" s="6" t="inlineStr">
        <is>
          <t>FY27</t>
        </is>
      </c>
      <c r="B3115" s="6" t="inlineStr">
        <is>
          <t>Jul</t>
        </is>
      </c>
      <c r="C3115" s="6" t="inlineStr">
        <is>
          <t>TN</t>
        </is>
      </c>
      <c r="D3115" s="7" t="inlineStr">
        <is>
          <t>TN11AW9496</t>
        </is>
      </c>
      <c r="E3115" s="7" t="inlineStr">
        <is>
          <t>TATA</t>
        </is>
      </c>
      <c r="F3115" s="7" t="inlineStr">
        <is>
          <t>Altroz</t>
        </is>
      </c>
      <c r="G3115" s="7" t="inlineStr">
        <is>
          <t>CRESCO CARS</t>
        </is>
      </c>
      <c r="H3115" s="7" t="inlineStr">
        <is>
          <t>Non-Captive</t>
        </is>
      </c>
      <c r="I3115" s="7" t="inlineStr">
        <is>
          <t>Vellore Vathiyar</t>
        </is>
      </c>
      <c r="J3115" s="8" t="n">
        <v>2021</v>
      </c>
      <c r="K3115" s="9" t="n">
        <v>82393</v>
      </c>
      <c r="L3115" s="10" t="n">
        <v>98000</v>
      </c>
      <c r="M3115" s="10" t="n">
        <v>4237.29</v>
      </c>
      <c r="N3115" s="11">
        <f>IF(M3115="","",ROUND(M3115*1.18,2))</f>
        <v/>
      </c>
      <c r="O3115" s="12">
        <f>IF(M3115="","",ROUND(N3115-M3115,2))</f>
        <v/>
      </c>
      <c r="P3115" s="13">
        <f>IF(AND(A3115&lt;&gt;"",B3115&lt;&gt;""), A3115&amp;" · "&amp;B3115, "")</f>
        <v/>
      </c>
    </row>
    <row r="3116">
      <c r="A3116" s="6" t="inlineStr">
        <is>
          <t>FY27</t>
        </is>
      </c>
      <c r="B3116" s="6" t="inlineStr">
        <is>
          <t>Jul</t>
        </is>
      </c>
      <c r="C3116" s="6" t="inlineStr">
        <is>
          <t>TN</t>
        </is>
      </c>
      <c r="D3116" s="7" t="inlineStr">
        <is>
          <t>TN11C0679</t>
        </is>
      </c>
      <c r="E3116" s="7" t="inlineStr">
        <is>
          <t>MARUTI SUZUKI</t>
        </is>
      </c>
      <c r="F3116" s="7" t="inlineStr">
        <is>
          <t>Alto 800</t>
        </is>
      </c>
      <c r="G3116" s="7" t="inlineStr">
        <is>
          <t>EXCHANGE CHENNAI</t>
        </is>
      </c>
      <c r="H3116" s="7" t="inlineStr">
        <is>
          <t>Captive</t>
        </is>
      </c>
      <c r="I3116" s="7" t="inlineStr">
        <is>
          <t>&lt;NA&gt;</t>
        </is>
      </c>
      <c r="J3116" s="8" t="n">
        <v>2013</v>
      </c>
      <c r="K3116" s="9" t="n">
        <v>64249</v>
      </c>
      <c r="L3116" s="10" t="n">
        <v>150000</v>
      </c>
      <c r="M3116" s="10" t="n">
        <v>8474.58</v>
      </c>
      <c r="N3116" s="11">
        <f>IF(M3116="","",ROUND(M3116*1.18,2))</f>
        <v/>
      </c>
      <c r="O3116" s="12">
        <f>IF(M3116="","",ROUND(N3116-M3116,2))</f>
        <v/>
      </c>
      <c r="P3116" s="13">
        <f>IF(AND(A3116&lt;&gt;"",B3116&lt;&gt;""), A3116&amp;" · "&amp;B3116, "")</f>
        <v/>
      </c>
    </row>
    <row r="3117">
      <c r="A3117" s="6" t="inlineStr">
        <is>
          <t>FY27</t>
        </is>
      </c>
      <c r="B3117" s="6" t="inlineStr">
        <is>
          <t>Jul</t>
        </is>
      </c>
      <c r="C3117" s="6" t="inlineStr">
        <is>
          <t>TN</t>
        </is>
      </c>
      <c r="D3117" s="7" t="inlineStr">
        <is>
          <t>TN11E8120</t>
        </is>
      </c>
      <c r="E3117" s="7" t="inlineStr">
        <is>
          <t>HONDA</t>
        </is>
      </c>
      <c r="F3117" s="7" t="inlineStr">
        <is>
          <t>City</t>
        </is>
      </c>
      <c r="G3117" s="7" t="inlineStr">
        <is>
          <t>EXCHANGE CHENNAI</t>
        </is>
      </c>
      <c r="H3117" s="7" t="inlineStr">
        <is>
          <t>Captive</t>
        </is>
      </c>
      <c r="I3117" s="7" t="inlineStr">
        <is>
          <t>Nirmal Cars</t>
        </is>
      </c>
      <c r="J3117" s="8" t="n">
        <v>2013</v>
      </c>
      <c r="K3117" s="9" t="n">
        <v>194902</v>
      </c>
      <c r="L3117" s="10" t="n">
        <v>225000</v>
      </c>
      <c r="M3117" s="10" t="n">
        <v>8474.58</v>
      </c>
      <c r="N3117" s="11">
        <f>IF(M3117="","",ROUND(M3117*1.18,2))</f>
        <v/>
      </c>
      <c r="O3117" s="12">
        <f>IF(M3117="","",ROUND(N3117-M3117,2))</f>
        <v/>
      </c>
      <c r="P3117" s="13">
        <f>IF(AND(A3117&lt;&gt;"",B3117&lt;&gt;""), A3117&amp;" · "&amp;B3117, "")</f>
        <v/>
      </c>
    </row>
    <row r="3118">
      <c r="A3118" s="6" t="inlineStr">
        <is>
          <t>FY27</t>
        </is>
      </c>
      <c r="B3118" s="6" t="inlineStr">
        <is>
          <t>Jul</t>
        </is>
      </c>
      <c r="C3118" s="6" t="inlineStr">
        <is>
          <t>TN</t>
        </is>
      </c>
      <c r="D3118" s="7" t="inlineStr">
        <is>
          <t>TN11F0925</t>
        </is>
      </c>
      <c r="E3118" s="7" t="inlineStr">
        <is>
          <t>FORD</t>
        </is>
      </c>
      <c r="F3118" s="7" t="inlineStr">
        <is>
          <t>Figo</t>
        </is>
      </c>
      <c r="G3118" s="7" t="inlineStr">
        <is>
          <t>EXCHANGE ROTN</t>
        </is>
      </c>
      <c r="H3118" s="7" t="inlineStr">
        <is>
          <t>Captive</t>
        </is>
      </c>
      <c r="I3118" s="7" t="inlineStr">
        <is>
          <t>VIJAY CARS ERODE</t>
        </is>
      </c>
      <c r="J3118" s="8" t="n">
        <v>2013</v>
      </c>
      <c r="K3118" s="9" t="n">
        <v>233564</v>
      </c>
      <c r="L3118" s="10" t="n">
        <v>95000</v>
      </c>
      <c r="M3118" s="10" t="n">
        <v>4237.29</v>
      </c>
      <c r="N3118" s="11">
        <f>IF(M3118="","",ROUND(M3118*1.18,2))</f>
        <v/>
      </c>
      <c r="O3118" s="12">
        <f>IF(M3118="","",ROUND(N3118-M3118,2))</f>
        <v/>
      </c>
      <c r="P3118" s="13">
        <f>IF(AND(A3118&lt;&gt;"",B3118&lt;&gt;""), A3118&amp;" · "&amp;B3118, "")</f>
        <v/>
      </c>
    </row>
    <row r="3119">
      <c r="A3119" s="6" t="inlineStr">
        <is>
          <t>FY27</t>
        </is>
      </c>
      <c r="B3119" s="6" t="inlineStr">
        <is>
          <t>Jul</t>
        </is>
      </c>
      <c r="C3119" s="6" t="inlineStr">
        <is>
          <t>TN</t>
        </is>
      </c>
      <c r="D3119" s="7" t="inlineStr">
        <is>
          <t>TN11W6932</t>
        </is>
      </c>
      <c r="E3119" s="7" t="inlineStr">
        <is>
          <t>TATA</t>
        </is>
      </c>
      <c r="F3119" s="7" t="inlineStr">
        <is>
          <t>Indica</t>
        </is>
      </c>
      <c r="G3119" s="7" t="inlineStr">
        <is>
          <t>EXCHANGE ROTN</t>
        </is>
      </c>
      <c r="H3119" s="7" t="inlineStr">
        <is>
          <t>Captive</t>
        </is>
      </c>
      <c r="I3119" s="7" t="inlineStr">
        <is>
          <t>Paul Cars</t>
        </is>
      </c>
      <c r="J3119" s="8" t="n">
        <v>2017</v>
      </c>
      <c r="K3119" s="9" t="n">
        <v>103881</v>
      </c>
      <c r="L3119" s="10" t="n">
        <v>63000</v>
      </c>
      <c r="M3119" s="10" t="n">
        <v>4237.29</v>
      </c>
      <c r="N3119" s="11">
        <f>IF(M3119="","",ROUND(M3119*1.18,2))</f>
        <v/>
      </c>
      <c r="O3119" s="12">
        <f>IF(M3119="","",ROUND(N3119-M3119,2))</f>
        <v/>
      </c>
      <c r="P3119" s="13">
        <f>IF(AND(A3119&lt;&gt;"",B3119&lt;&gt;""), A3119&amp;" · "&amp;B3119, "")</f>
        <v/>
      </c>
    </row>
    <row r="3120">
      <c r="A3120" s="6" t="inlineStr">
        <is>
          <t>FY27</t>
        </is>
      </c>
      <c r="B3120" s="6" t="inlineStr">
        <is>
          <t>Jul</t>
        </is>
      </c>
      <c r="C3120" s="6" t="inlineStr">
        <is>
          <t>TN</t>
        </is>
      </c>
      <c r="D3120" s="7" t="inlineStr">
        <is>
          <t>TN12AA7068</t>
        </is>
      </c>
      <c r="E3120" s="7" t="inlineStr">
        <is>
          <t>HYUNDAI</t>
        </is>
      </c>
      <c r="F3120" s="7" t="inlineStr">
        <is>
          <t>Eon</t>
        </is>
      </c>
      <c r="G3120" s="7" t="inlineStr">
        <is>
          <t>PRODUCTIVITY ELEMENTS PRIVATE LIMITED</t>
        </is>
      </c>
      <c r="H3120" s="7" t="inlineStr">
        <is>
          <t>Non-Captive</t>
        </is>
      </c>
      <c r="I3120" s="7" t="inlineStr">
        <is>
          <t>Pine Autos</t>
        </is>
      </c>
      <c r="J3120" s="8" t="n">
        <v>2018</v>
      </c>
      <c r="K3120" s="9" t="n">
        <v>31346</v>
      </c>
      <c r="L3120" s="10" t="n">
        <v>115000</v>
      </c>
      <c r="M3120" s="10" t="n">
        <v>4238.14</v>
      </c>
      <c r="N3120" s="11">
        <f>IF(M3120="","",ROUND(M3120*1.18,2))</f>
        <v/>
      </c>
      <c r="O3120" s="12">
        <f>IF(M3120="","",ROUND(N3120-M3120,2))</f>
        <v/>
      </c>
      <c r="P3120" s="13">
        <f>IF(AND(A3120&lt;&gt;"",B3120&lt;&gt;""), A3120&amp;" · "&amp;B3120, "")</f>
        <v/>
      </c>
    </row>
    <row r="3121">
      <c r="A3121" s="6" t="inlineStr">
        <is>
          <t>FY27</t>
        </is>
      </c>
      <c r="B3121" s="6" t="inlineStr">
        <is>
          <t>Jul</t>
        </is>
      </c>
      <c r="C3121" s="6" t="inlineStr">
        <is>
          <t>TN</t>
        </is>
      </c>
      <c r="D3121" s="7" t="inlineStr">
        <is>
          <t>TN12AH3947</t>
        </is>
      </c>
      <c r="E3121" s="7" t="inlineStr">
        <is>
          <t>HYUNDAI</t>
        </is>
      </c>
      <c r="F3121" s="7" t="inlineStr">
        <is>
          <t>Grand i10 Nios</t>
        </is>
      </c>
      <c r="G3121" s="7" t="inlineStr">
        <is>
          <t>CASTLE TRADERS MARUTI</t>
        </is>
      </c>
      <c r="H3121" s="7" t="inlineStr">
        <is>
          <t>Non-Captive</t>
        </is>
      </c>
      <c r="I3121" s="7" t="inlineStr">
        <is>
          <t>Senthil Cars</t>
        </is>
      </c>
      <c r="J3121" s="8" t="n">
        <v>2019</v>
      </c>
      <c r="K3121" s="9" t="n">
        <v>64041</v>
      </c>
      <c r="L3121" s="10" t="n">
        <v>395000</v>
      </c>
      <c r="M3121" s="10" t="n">
        <v>7627.12</v>
      </c>
      <c r="N3121" s="11">
        <f>IF(M3121="","",ROUND(M3121*1.18,2))</f>
        <v/>
      </c>
      <c r="O3121" s="12">
        <f>IF(M3121="","",ROUND(N3121-M3121,2))</f>
        <v/>
      </c>
      <c r="P3121" s="13">
        <f>IF(AND(A3121&lt;&gt;"",B3121&lt;&gt;""), A3121&amp;" · "&amp;B3121, "")</f>
        <v/>
      </c>
    </row>
    <row r="3122">
      <c r="A3122" s="6" t="inlineStr">
        <is>
          <t>FY27</t>
        </is>
      </c>
      <c r="B3122" s="6" t="inlineStr">
        <is>
          <t>Jul</t>
        </is>
      </c>
      <c r="C3122" s="6" t="inlineStr">
        <is>
          <t>TN</t>
        </is>
      </c>
      <c r="D3122" s="7" t="inlineStr">
        <is>
          <t>TN12J6886</t>
        </is>
      </c>
      <c r="E3122" s="7" t="inlineStr">
        <is>
          <t>MARUTI SUZUKI</t>
        </is>
      </c>
      <c r="F3122" s="7" t="inlineStr">
        <is>
          <t>Swift</t>
        </is>
      </c>
      <c r="G3122" s="7" t="inlineStr">
        <is>
          <t>CASTLE TRADERS MARUTI</t>
        </is>
      </c>
      <c r="H3122" s="7" t="inlineStr">
        <is>
          <t>Non-Captive</t>
        </is>
      </c>
      <c r="I3122" s="7" t="inlineStr">
        <is>
          <t>33 Cars</t>
        </is>
      </c>
      <c r="J3122" s="8" t="n">
        <v>2015</v>
      </c>
      <c r="K3122" s="9" t="n">
        <v>105673</v>
      </c>
      <c r="L3122" s="10" t="n">
        <v>365000</v>
      </c>
      <c r="M3122" s="10" t="n">
        <v>8474.58</v>
      </c>
      <c r="N3122" s="11">
        <f>IF(M3122="","",ROUND(M3122*1.18,2))</f>
        <v/>
      </c>
      <c r="O3122" s="12">
        <f>IF(M3122="","",ROUND(N3122-M3122,2))</f>
        <v/>
      </c>
      <c r="P3122" s="13">
        <f>IF(AND(A3122&lt;&gt;"",B3122&lt;&gt;""), A3122&amp;" · "&amp;B3122, "")</f>
        <v/>
      </c>
    </row>
    <row r="3123">
      <c r="A3123" s="6" t="inlineStr">
        <is>
          <t>FY27</t>
        </is>
      </c>
      <c r="B3123" s="6" t="inlineStr">
        <is>
          <t>Jul</t>
        </is>
      </c>
      <c r="C3123" s="6" t="inlineStr">
        <is>
          <t>TN</t>
        </is>
      </c>
      <c r="D3123" s="7" t="inlineStr">
        <is>
          <t>TN12P5269</t>
        </is>
      </c>
      <c r="E3123" s="7" t="inlineStr">
        <is>
          <t>MARUTI SUZUKI</t>
        </is>
      </c>
      <c r="F3123" s="7" t="inlineStr">
        <is>
          <t>Celerio</t>
        </is>
      </c>
      <c r="G3123" s="7" t="inlineStr">
        <is>
          <t>CASTLE TRADERS MARUTI</t>
        </is>
      </c>
      <c r="H3123" s="7" t="inlineStr">
        <is>
          <t>Non-Captive</t>
        </is>
      </c>
      <c r="I3123" s="7" t="inlineStr">
        <is>
          <t>AAA Cars</t>
        </is>
      </c>
      <c r="J3123" s="8" t="n">
        <v>2016</v>
      </c>
      <c r="K3123" s="9" t="n">
        <v>31483</v>
      </c>
      <c r="L3123" s="10" t="n">
        <v>292000</v>
      </c>
      <c r="M3123" s="10" t="n">
        <v>6779.66</v>
      </c>
      <c r="N3123" s="11">
        <f>IF(M3123="","",ROUND(M3123*1.18,2))</f>
        <v/>
      </c>
      <c r="O3123" s="12">
        <f>IF(M3123="","",ROUND(N3123-M3123,2))</f>
        <v/>
      </c>
      <c r="P3123" s="13">
        <f>IF(AND(A3123&lt;&gt;"",B3123&lt;&gt;""), A3123&amp;" · "&amp;B3123, "")</f>
        <v/>
      </c>
    </row>
    <row r="3124">
      <c r="A3124" s="6" t="inlineStr">
        <is>
          <t>FY27</t>
        </is>
      </c>
      <c r="B3124" s="6" t="inlineStr">
        <is>
          <t>Jul</t>
        </is>
      </c>
      <c r="C3124" s="6" t="inlineStr">
        <is>
          <t>TN</t>
        </is>
      </c>
      <c r="D3124" s="7" t="inlineStr">
        <is>
          <t>TN13AD2581</t>
        </is>
      </c>
      <c r="E3124" s="7" t="inlineStr">
        <is>
          <t>TATA</t>
        </is>
      </c>
      <c r="F3124" s="7" t="inlineStr">
        <is>
          <t>Punch</t>
        </is>
      </c>
      <c r="G3124" s="7" t="inlineStr">
        <is>
          <t>EXCHANGE CHENNAI</t>
        </is>
      </c>
      <c r="H3124" s="7" t="inlineStr">
        <is>
          <t>Captive</t>
        </is>
      </c>
      <c r="I3124" s="7" t="inlineStr">
        <is>
          <t>Value Drive Tech</t>
        </is>
      </c>
      <c r="J3124" s="8" t="n">
        <v>2024</v>
      </c>
      <c r="K3124" s="9" t="n">
        <v>12931</v>
      </c>
      <c r="L3124" s="10" t="n">
        <v>670000</v>
      </c>
      <c r="M3124" s="10" t="n">
        <v>8474.58</v>
      </c>
      <c r="N3124" s="11">
        <f>IF(M3124="","",ROUND(M3124*1.18,2))</f>
        <v/>
      </c>
      <c r="O3124" s="12">
        <f>IF(M3124="","",ROUND(N3124-M3124,2))</f>
        <v/>
      </c>
      <c r="P3124" s="13">
        <f>IF(AND(A3124&lt;&gt;"",B3124&lt;&gt;""), A3124&amp;" · "&amp;B3124, "")</f>
        <v/>
      </c>
    </row>
    <row r="3125">
      <c r="A3125" s="6" t="inlineStr">
        <is>
          <t>FY27</t>
        </is>
      </c>
      <c r="B3125" s="6" t="inlineStr">
        <is>
          <t>Jul</t>
        </is>
      </c>
      <c r="C3125" s="6" t="inlineStr">
        <is>
          <t>TN</t>
        </is>
      </c>
      <c r="D3125" s="7" t="inlineStr">
        <is>
          <t>TN13C2846</t>
        </is>
      </c>
      <c r="E3125" s="7" t="inlineStr">
        <is>
          <t>MARUTI SUZUKI</t>
        </is>
      </c>
      <c r="F3125" s="7" t="inlineStr">
        <is>
          <t>Alto 800</t>
        </is>
      </c>
      <c r="G3125" s="7" t="inlineStr">
        <is>
          <t>CRESCO CARS</t>
        </is>
      </c>
      <c r="H3125" s="7" t="inlineStr">
        <is>
          <t>Non-Captive</t>
        </is>
      </c>
      <c r="I3125" s="7" t="inlineStr">
        <is>
          <t>Nirmal Cars</t>
        </is>
      </c>
      <c r="J3125" s="8" t="n">
        <v>2015</v>
      </c>
      <c r="K3125" s="9" t="n">
        <v>110620</v>
      </c>
      <c r="L3125" s="10" t="n">
        <v>97000</v>
      </c>
      <c r="M3125" s="10" t="n">
        <v>4237.29</v>
      </c>
      <c r="N3125" s="11">
        <f>IF(M3125="","",ROUND(M3125*1.18,2))</f>
        <v/>
      </c>
      <c r="O3125" s="12">
        <f>IF(M3125="","",ROUND(N3125-M3125,2))</f>
        <v/>
      </c>
      <c r="P3125" s="13">
        <f>IF(AND(A3125&lt;&gt;"",B3125&lt;&gt;""), A3125&amp;" · "&amp;B3125, "")</f>
        <v/>
      </c>
    </row>
    <row r="3126">
      <c r="A3126" s="6" t="inlineStr">
        <is>
          <t>FY27</t>
        </is>
      </c>
      <c r="B3126" s="6" t="inlineStr">
        <is>
          <t>Jul</t>
        </is>
      </c>
      <c r="C3126" s="6" t="inlineStr">
        <is>
          <t>TN</t>
        </is>
      </c>
      <c r="D3126" s="7" t="inlineStr">
        <is>
          <t>TN13M8404</t>
        </is>
      </c>
      <c r="E3126" s="7" t="inlineStr">
        <is>
          <t>HYUNDAI</t>
        </is>
      </c>
      <c r="F3126" s="7" t="inlineStr">
        <is>
          <t>Eon</t>
        </is>
      </c>
      <c r="G3126" s="7" t="inlineStr">
        <is>
          <t>VISHNU CARS PRIVATE LIMITED</t>
        </is>
      </c>
      <c r="H3126" s="7" t="inlineStr">
        <is>
          <t>Non-Captive</t>
        </is>
      </c>
      <c r="I3126" s="7" t="inlineStr">
        <is>
          <t>S2 MOTORZ</t>
        </is>
      </c>
      <c r="J3126" s="8" t="n">
        <v>2018</v>
      </c>
      <c r="K3126" s="9" t="n">
        <v>15738</v>
      </c>
      <c r="L3126" s="10" t="n">
        <v>100000</v>
      </c>
      <c r="M3126" s="10" t="n">
        <v>4237.29</v>
      </c>
      <c r="N3126" s="11">
        <f>IF(M3126="","",ROUND(M3126*1.18,2))</f>
        <v/>
      </c>
      <c r="O3126" s="12">
        <f>IF(M3126="","",ROUND(N3126-M3126,2))</f>
        <v/>
      </c>
      <c r="P3126" s="13">
        <f>IF(AND(A3126&lt;&gt;"",B3126&lt;&gt;""), A3126&amp;" · "&amp;B3126, "")</f>
        <v/>
      </c>
    </row>
    <row r="3127">
      <c r="A3127" s="6" t="inlineStr">
        <is>
          <t>FY27</t>
        </is>
      </c>
      <c r="B3127" s="6" t="inlineStr">
        <is>
          <t>Jul</t>
        </is>
      </c>
      <c r="C3127" s="6" t="inlineStr">
        <is>
          <t>TN</t>
        </is>
      </c>
      <c r="D3127" s="7" t="inlineStr">
        <is>
          <t>TN13M9442</t>
        </is>
      </c>
      <c r="E3127" s="7" t="inlineStr">
        <is>
          <t>MARUTI SUZUKI</t>
        </is>
      </c>
      <c r="F3127" s="7" t="inlineStr">
        <is>
          <t>Baleno</t>
        </is>
      </c>
      <c r="G3127" s="7" t="inlineStr">
        <is>
          <t>CASTLE TRADERS MARUTI</t>
        </is>
      </c>
      <c r="H3127" s="7" t="inlineStr">
        <is>
          <t>Non-Captive</t>
        </is>
      </c>
      <c r="I3127" s="7" t="inlineStr">
        <is>
          <t>Vijaya Cars</t>
        </is>
      </c>
      <c r="J3127" s="8" t="n">
        <v>2018</v>
      </c>
      <c r="K3127" s="9" t="n">
        <v>71553</v>
      </c>
      <c r="L3127" s="10" t="n">
        <v>380000</v>
      </c>
      <c r="M3127" s="10" t="n">
        <v>6355.93</v>
      </c>
      <c r="N3127" s="11">
        <f>IF(M3127="","",ROUND(M3127*1.18,2))</f>
        <v/>
      </c>
      <c r="O3127" s="12">
        <f>IF(M3127="","",ROUND(N3127-M3127,2))</f>
        <v/>
      </c>
      <c r="P3127" s="13">
        <f>IF(AND(A3127&lt;&gt;"",B3127&lt;&gt;""), A3127&amp;" · "&amp;B3127, "")</f>
        <v/>
      </c>
    </row>
    <row r="3128">
      <c r="A3128" s="6" t="inlineStr">
        <is>
          <t>FY27</t>
        </is>
      </c>
      <c r="B3128" s="6" t="inlineStr">
        <is>
          <t>Jul</t>
        </is>
      </c>
      <c r="C3128" s="6" t="inlineStr">
        <is>
          <t>TN</t>
        </is>
      </c>
      <c r="D3128" s="7" t="inlineStr">
        <is>
          <t>TN14AD5187</t>
        </is>
      </c>
      <c r="E3128" s="7" t="inlineStr">
        <is>
          <t>MARUTI SUZUKI</t>
        </is>
      </c>
      <c r="F3128" s="7" t="inlineStr">
        <is>
          <t>Baleno</t>
        </is>
      </c>
      <c r="G3128" s="7" t="inlineStr">
        <is>
          <t>GURUDEV MOTORS LLP</t>
        </is>
      </c>
      <c r="H3128" s="7" t="inlineStr">
        <is>
          <t>Non-Captive</t>
        </is>
      </c>
      <c r="I3128" s="7" t="inlineStr">
        <is>
          <t>Grid 33</t>
        </is>
      </c>
      <c r="J3128" s="8" t="n">
        <v>2023</v>
      </c>
      <c r="K3128" s="9" t="n">
        <v>38403</v>
      </c>
      <c r="L3128" s="10" t="n">
        <v>92000</v>
      </c>
      <c r="M3128" s="10" t="n">
        <v>4237.29</v>
      </c>
      <c r="N3128" s="11">
        <f>IF(M3128="","",ROUND(M3128*1.18,2))</f>
        <v/>
      </c>
      <c r="O3128" s="12">
        <f>IF(M3128="","",ROUND(N3128-M3128,2))</f>
        <v/>
      </c>
      <c r="P3128" s="13">
        <f>IF(AND(A3128&lt;&gt;"",B3128&lt;&gt;""), A3128&amp;" · "&amp;B3128, "")</f>
        <v/>
      </c>
    </row>
    <row r="3129">
      <c r="A3129" s="6" t="inlineStr">
        <is>
          <t>FY27</t>
        </is>
      </c>
      <c r="B3129" s="6" t="inlineStr">
        <is>
          <t>Jul</t>
        </is>
      </c>
      <c r="C3129" s="6" t="inlineStr">
        <is>
          <t>TN</t>
        </is>
      </c>
      <c r="D3129" s="7" t="inlineStr">
        <is>
          <t>TN14J0043</t>
        </is>
      </c>
      <c r="E3129" s="7" t="inlineStr">
        <is>
          <t>NISSAN</t>
        </is>
      </c>
      <c r="F3129" s="7" t="inlineStr">
        <is>
          <t>Micra</t>
        </is>
      </c>
      <c r="G3129" s="7" t="inlineStr">
        <is>
          <t>EXCHANGE CHENNAI</t>
        </is>
      </c>
      <c r="H3129" s="7" t="inlineStr">
        <is>
          <t>Captive</t>
        </is>
      </c>
      <c r="I3129" s="7" t="inlineStr">
        <is>
          <t>Santhosh Cars</t>
        </is>
      </c>
      <c r="J3129" s="8" t="n">
        <v>2016</v>
      </c>
      <c r="K3129" s="9" t="n">
        <v>67924</v>
      </c>
      <c r="L3129" s="10" t="n">
        <v>190000</v>
      </c>
      <c r="M3129" s="10" t="n">
        <v>8474.58</v>
      </c>
      <c r="N3129" s="11">
        <f>IF(M3129="","",ROUND(M3129*1.18,2))</f>
        <v/>
      </c>
      <c r="O3129" s="12">
        <f>IF(M3129="","",ROUND(N3129-M3129,2))</f>
        <v/>
      </c>
      <c r="P3129" s="13">
        <f>IF(AND(A3129&lt;&gt;"",B3129&lt;&gt;""), A3129&amp;" · "&amp;B3129, "")</f>
        <v/>
      </c>
    </row>
    <row r="3130">
      <c r="A3130" s="6" t="inlineStr">
        <is>
          <t>FY27</t>
        </is>
      </c>
      <c r="B3130" s="6" t="inlineStr">
        <is>
          <t>Jul</t>
        </is>
      </c>
      <c r="C3130" s="6" t="inlineStr">
        <is>
          <t>TN</t>
        </is>
      </c>
      <c r="D3130" s="7" t="inlineStr">
        <is>
          <t>TN14J4449</t>
        </is>
      </c>
      <c r="E3130" s="7" t="inlineStr">
        <is>
          <t>RENAULT</t>
        </is>
      </c>
      <c r="F3130" s="7" t="inlineStr">
        <is>
          <t>Kwid</t>
        </is>
      </c>
      <c r="G3130" s="7" t="inlineStr">
        <is>
          <t>VISHNU CARS PRIVATE LIMITED</t>
        </is>
      </c>
      <c r="H3130" s="7" t="inlineStr">
        <is>
          <t>Non-Captive</t>
        </is>
      </c>
      <c r="I3130" s="7" t="inlineStr">
        <is>
          <t>Pine Autos</t>
        </is>
      </c>
      <c r="J3130" s="8" t="n">
        <v>2016</v>
      </c>
      <c r="K3130" s="9" t="n">
        <v>43680</v>
      </c>
      <c r="L3130" s="10" t="n">
        <v>96000</v>
      </c>
      <c r="M3130" s="10" t="n">
        <v>4237.29</v>
      </c>
      <c r="N3130" s="11">
        <f>IF(M3130="","",ROUND(M3130*1.18,2))</f>
        <v/>
      </c>
      <c r="O3130" s="12">
        <f>IF(M3130="","",ROUND(N3130-M3130,2))</f>
        <v/>
      </c>
      <c r="P3130" s="13">
        <f>IF(AND(A3130&lt;&gt;"",B3130&lt;&gt;""), A3130&amp;" · "&amp;B3130, "")</f>
        <v/>
      </c>
    </row>
    <row r="3131">
      <c r="A3131" s="6" t="inlineStr">
        <is>
          <t>FY27</t>
        </is>
      </c>
      <c r="B3131" s="6" t="inlineStr">
        <is>
          <t>Jul</t>
        </is>
      </c>
      <c r="C3131" s="6" t="inlineStr">
        <is>
          <t>TN</t>
        </is>
      </c>
      <c r="D3131" s="7" t="inlineStr">
        <is>
          <t>TN14K2574</t>
        </is>
      </c>
      <c r="E3131" s="7" t="inlineStr">
        <is>
          <t>HONDA</t>
        </is>
      </c>
      <c r="F3131" s="7" t="inlineStr">
        <is>
          <t>City</t>
        </is>
      </c>
      <c r="G3131" s="7" t="inlineStr">
        <is>
          <t>EXCHANGE ROTN</t>
        </is>
      </c>
      <c r="H3131" s="7" t="inlineStr">
        <is>
          <t>Captive</t>
        </is>
      </c>
      <c r="I3131" s="7" t="inlineStr">
        <is>
          <t>Maruthi Industries</t>
        </is>
      </c>
      <c r="J3131" s="8" t="n">
        <v>2017</v>
      </c>
      <c r="K3131" s="9" t="n">
        <v>78888</v>
      </c>
      <c r="L3131" s="10" t="n">
        <v>432000</v>
      </c>
      <c r="M3131" s="10" t="n">
        <v>16949.15</v>
      </c>
      <c r="N3131" s="11">
        <f>IF(M3131="","",ROUND(M3131*1.18,2))</f>
        <v/>
      </c>
      <c r="O3131" s="12">
        <f>IF(M3131="","",ROUND(N3131-M3131,2))</f>
        <v/>
      </c>
      <c r="P3131" s="13">
        <f>IF(AND(A3131&lt;&gt;"",B3131&lt;&gt;""), A3131&amp;" · "&amp;B3131, "")</f>
        <v/>
      </c>
    </row>
    <row r="3132">
      <c r="A3132" s="6" t="inlineStr">
        <is>
          <t>FY27</t>
        </is>
      </c>
      <c r="B3132" s="6" t="inlineStr">
        <is>
          <t>Jul</t>
        </is>
      </c>
      <c r="C3132" s="6" t="inlineStr">
        <is>
          <t>TN</t>
        </is>
      </c>
      <c r="D3132" s="7" t="inlineStr">
        <is>
          <t>TN14K3952</t>
        </is>
      </c>
      <c r="E3132" s="7" t="inlineStr">
        <is>
          <t>HYUNDAI</t>
        </is>
      </c>
      <c r="F3132" s="7" t="inlineStr">
        <is>
          <t>Grand i10</t>
        </is>
      </c>
      <c r="G3132" s="7" t="inlineStr">
        <is>
          <t>CAR HUB</t>
        </is>
      </c>
      <c r="H3132" s="7" t="inlineStr">
        <is>
          <t>Non-Captive</t>
        </is>
      </c>
      <c r="I3132" s="7" t="inlineStr">
        <is>
          <t>S2 MOTORZ</t>
        </is>
      </c>
      <c r="J3132" s="8" t="n">
        <v>2017</v>
      </c>
      <c r="K3132" s="9" t="n">
        <v>78787</v>
      </c>
      <c r="L3132" s="10" t="n">
        <v>230000</v>
      </c>
      <c r="M3132" s="10" t="n">
        <v>7203.39</v>
      </c>
      <c r="N3132" s="11">
        <f>IF(M3132="","",ROUND(M3132*1.18,2))</f>
        <v/>
      </c>
      <c r="O3132" s="12">
        <f>IF(M3132="","",ROUND(N3132-M3132,2))</f>
        <v/>
      </c>
      <c r="P3132" s="13">
        <f>IF(AND(A3132&lt;&gt;"",B3132&lt;&gt;""), A3132&amp;" · "&amp;B3132, "")</f>
        <v/>
      </c>
    </row>
    <row r="3133">
      <c r="A3133" s="6" t="inlineStr">
        <is>
          <t>FY27</t>
        </is>
      </c>
      <c r="B3133" s="6" t="inlineStr">
        <is>
          <t>Jul</t>
        </is>
      </c>
      <c r="C3133" s="6" t="inlineStr">
        <is>
          <t>TN</t>
        </is>
      </c>
      <c r="D3133" s="7" t="inlineStr">
        <is>
          <t>TN14P0508</t>
        </is>
      </c>
      <c r="E3133" s="7" t="inlineStr">
        <is>
          <t>HONDA</t>
        </is>
      </c>
      <c r="F3133" s="7" t="inlineStr">
        <is>
          <t>City</t>
        </is>
      </c>
      <c r="G3133" s="7" t="inlineStr">
        <is>
          <t>EXCHANGE CHENNAI</t>
        </is>
      </c>
      <c r="H3133" s="7" t="inlineStr">
        <is>
          <t>Captive</t>
        </is>
      </c>
      <c r="I3133" s="7" t="inlineStr">
        <is>
          <t>&lt;NA&gt;</t>
        </is>
      </c>
      <c r="J3133" s="8" t="n">
        <v>2018</v>
      </c>
      <c r="K3133" s="9" t="n">
        <v>88537</v>
      </c>
      <c r="L3133" s="10" t="n">
        <v>575000</v>
      </c>
      <c r="M3133" s="10" t="n">
        <v>8474.58</v>
      </c>
      <c r="N3133" s="11">
        <f>IF(M3133="","",ROUND(M3133*1.18,2))</f>
        <v/>
      </c>
      <c r="O3133" s="12">
        <f>IF(M3133="","",ROUND(N3133-M3133,2))</f>
        <v/>
      </c>
      <c r="P3133" s="13">
        <f>IF(AND(A3133&lt;&gt;"",B3133&lt;&gt;""), A3133&amp;" · "&amp;B3133, "")</f>
        <v/>
      </c>
    </row>
    <row r="3134">
      <c r="A3134" s="6" t="inlineStr">
        <is>
          <t>FY27</t>
        </is>
      </c>
      <c r="B3134" s="6" t="inlineStr">
        <is>
          <t>Jul</t>
        </is>
      </c>
      <c r="C3134" s="6" t="inlineStr">
        <is>
          <t>TN</t>
        </is>
      </c>
      <c r="D3134" s="7" t="inlineStr">
        <is>
          <t>TN14U6741</t>
        </is>
      </c>
      <c r="E3134" s="7" t="inlineStr">
        <is>
          <t>HYUNDAI</t>
        </is>
      </c>
      <c r="F3134" s="7" t="inlineStr">
        <is>
          <t>Venue</t>
        </is>
      </c>
      <c r="G3134" s="7" t="inlineStr">
        <is>
          <t>CASTLE TRADERS MARUTI</t>
        </is>
      </c>
      <c r="H3134" s="7" t="inlineStr">
        <is>
          <t>Non-Captive</t>
        </is>
      </c>
      <c r="I3134" s="7" t="inlineStr">
        <is>
          <t>Pine Autos</t>
        </is>
      </c>
      <c r="J3134" s="8" t="n">
        <v>2019</v>
      </c>
      <c r="K3134" s="9" t="n">
        <v>96356</v>
      </c>
      <c r="L3134" s="10" t="n">
        <v>505000</v>
      </c>
      <c r="M3134" s="10" t="n">
        <v>7627.12</v>
      </c>
      <c r="N3134" s="11">
        <f>IF(M3134="","",ROUND(M3134*1.18,2))</f>
        <v/>
      </c>
      <c r="O3134" s="12">
        <f>IF(M3134="","",ROUND(N3134-M3134,2))</f>
        <v/>
      </c>
      <c r="P3134" s="13">
        <f>IF(AND(A3134&lt;&gt;"",B3134&lt;&gt;""), A3134&amp;" · "&amp;B3134, "")</f>
        <v/>
      </c>
    </row>
    <row r="3135">
      <c r="A3135" s="6" t="inlineStr">
        <is>
          <t>FY27</t>
        </is>
      </c>
      <c r="B3135" s="6" t="inlineStr">
        <is>
          <t>Jul</t>
        </is>
      </c>
      <c r="C3135" s="6" t="inlineStr">
        <is>
          <t>TN</t>
        </is>
      </c>
      <c r="D3135" s="7" t="inlineStr">
        <is>
          <t>TN14W4656</t>
        </is>
      </c>
      <c r="E3135" s="7" t="inlineStr">
        <is>
          <t>VOLKSWAGEN</t>
        </is>
      </c>
      <c r="F3135" s="7" t="inlineStr">
        <is>
          <t>Polo</t>
        </is>
      </c>
      <c r="G3135" s="7" t="inlineStr">
        <is>
          <t>CASTLE TRADERS MARUTI</t>
        </is>
      </c>
      <c r="H3135" s="7" t="inlineStr">
        <is>
          <t>Non-Captive</t>
        </is>
      </c>
      <c r="I3135" s="7" t="inlineStr">
        <is>
          <t>Grid 33</t>
        </is>
      </c>
      <c r="J3135" s="8" t="n">
        <v>2020</v>
      </c>
      <c r="K3135" s="9" t="n">
        <v>47010</v>
      </c>
      <c r="L3135" s="10" t="n">
        <v>390000</v>
      </c>
      <c r="M3135" s="10" t="n">
        <v>6355.93</v>
      </c>
      <c r="N3135" s="11">
        <f>IF(M3135="","",ROUND(M3135*1.18,2))</f>
        <v/>
      </c>
      <c r="O3135" s="12">
        <f>IF(M3135="","",ROUND(N3135-M3135,2))</f>
        <v/>
      </c>
      <c r="P3135" s="13">
        <f>IF(AND(A3135&lt;&gt;"",B3135&lt;&gt;""), A3135&amp;" · "&amp;B3135, "")</f>
        <v/>
      </c>
    </row>
    <row r="3136">
      <c r="A3136" s="6" t="inlineStr">
        <is>
          <t>FY27</t>
        </is>
      </c>
      <c r="B3136" s="6" t="inlineStr">
        <is>
          <t>Jul</t>
        </is>
      </c>
      <c r="C3136" s="6" t="inlineStr">
        <is>
          <t>TN</t>
        </is>
      </c>
      <c r="D3136" s="7" t="inlineStr">
        <is>
          <t>TN18AE1071</t>
        </is>
      </c>
      <c r="E3136" s="7" t="inlineStr">
        <is>
          <t>HYUNDAI</t>
        </is>
      </c>
      <c r="F3136" s="7" t="inlineStr">
        <is>
          <t>Eon</t>
        </is>
      </c>
      <c r="G3136" s="7" t="inlineStr">
        <is>
          <t>CRESCO CARS</t>
        </is>
      </c>
      <c r="H3136" s="7" t="inlineStr">
        <is>
          <t>Non-Captive</t>
        </is>
      </c>
      <c r="I3136" s="7" t="inlineStr">
        <is>
          <t>AAA Cars</t>
        </is>
      </c>
      <c r="J3136" s="8" t="n">
        <v>2015</v>
      </c>
      <c r="K3136" s="9" t="n">
        <v>27574</v>
      </c>
      <c r="L3136" s="10" t="n">
        <v>99000</v>
      </c>
      <c r="M3136" s="10" t="n">
        <v>4237.29</v>
      </c>
      <c r="N3136" s="11">
        <f>IF(M3136="","",ROUND(M3136*1.18,2))</f>
        <v/>
      </c>
      <c r="O3136" s="12">
        <f>IF(M3136="","",ROUND(N3136-M3136,2))</f>
        <v/>
      </c>
      <c r="P3136" s="13">
        <f>IF(AND(A3136&lt;&gt;"",B3136&lt;&gt;""), A3136&amp;" · "&amp;B3136, "")</f>
        <v/>
      </c>
    </row>
    <row r="3137">
      <c r="A3137" s="6" t="inlineStr">
        <is>
          <t>FY27</t>
        </is>
      </c>
      <c r="B3137" s="6" t="inlineStr">
        <is>
          <t>Jul</t>
        </is>
      </c>
      <c r="C3137" s="6" t="inlineStr">
        <is>
          <t>TN</t>
        </is>
      </c>
      <c r="D3137" s="7" t="inlineStr">
        <is>
          <t>TN18AL3693</t>
        </is>
      </c>
      <c r="E3137" s="7" t="inlineStr">
        <is>
          <t>MARUTI SUZUKI</t>
        </is>
      </c>
      <c r="F3137" s="7" t="inlineStr">
        <is>
          <t>Celerio</t>
        </is>
      </c>
      <c r="G3137" s="7" t="inlineStr">
        <is>
          <t>CRESCO CARS</t>
        </is>
      </c>
      <c r="H3137" s="7" t="inlineStr">
        <is>
          <t>Non-Captive</t>
        </is>
      </c>
      <c r="I3137" s="7" t="inlineStr">
        <is>
          <t>Senthil Cars</t>
        </is>
      </c>
      <c r="J3137" s="8" t="n">
        <v>2017</v>
      </c>
      <c r="K3137" s="9" t="n">
        <v>88502</v>
      </c>
      <c r="L3137" s="10" t="n">
        <v>97000</v>
      </c>
      <c r="M3137" s="10" t="n">
        <v>4237.29</v>
      </c>
      <c r="N3137" s="11">
        <f>IF(M3137="","",ROUND(M3137*1.18,2))</f>
        <v/>
      </c>
      <c r="O3137" s="12">
        <f>IF(M3137="","",ROUND(N3137-M3137,2))</f>
        <v/>
      </c>
      <c r="P3137" s="13">
        <f>IF(AND(A3137&lt;&gt;"",B3137&lt;&gt;""), A3137&amp;" · "&amp;B3137, "")</f>
        <v/>
      </c>
    </row>
    <row r="3138">
      <c r="A3138" s="6" t="inlineStr">
        <is>
          <t>FY27</t>
        </is>
      </c>
      <c r="B3138" s="6" t="inlineStr">
        <is>
          <t>Jul</t>
        </is>
      </c>
      <c r="C3138" s="6" t="inlineStr">
        <is>
          <t>TN</t>
        </is>
      </c>
      <c r="D3138" s="7" t="inlineStr">
        <is>
          <t>TN18AM4570</t>
        </is>
      </c>
      <c r="E3138" s="7" t="inlineStr">
        <is>
          <t>DATSUN</t>
        </is>
      </c>
      <c r="F3138" s="7" t="inlineStr">
        <is>
          <t>Redi-GO</t>
        </is>
      </c>
      <c r="G3138" s="7" t="inlineStr">
        <is>
          <t>CAR HUB</t>
        </is>
      </c>
      <c r="H3138" s="7" t="inlineStr">
        <is>
          <t>Non-Captive</t>
        </is>
      </c>
      <c r="I3138" s="7" t="inlineStr">
        <is>
          <t>S2 MOTORZ</t>
        </is>
      </c>
      <c r="J3138" s="8" t="n">
        <v>2017</v>
      </c>
      <c r="K3138" s="9" t="n">
        <v>86029</v>
      </c>
      <c r="L3138" s="10" t="n">
        <v>180000</v>
      </c>
      <c r="M3138" s="10" t="n">
        <v>5084.75</v>
      </c>
      <c r="N3138" s="11">
        <f>IF(M3138="","",ROUND(M3138*1.18,2))</f>
        <v/>
      </c>
      <c r="O3138" s="12">
        <f>IF(M3138="","",ROUND(N3138-M3138,2))</f>
        <v/>
      </c>
      <c r="P3138" s="13">
        <f>IF(AND(A3138&lt;&gt;"",B3138&lt;&gt;""), A3138&amp;" · "&amp;B3138, "")</f>
        <v/>
      </c>
    </row>
    <row r="3139">
      <c r="A3139" s="6" t="inlineStr">
        <is>
          <t>FY27</t>
        </is>
      </c>
      <c r="B3139" s="6" t="inlineStr">
        <is>
          <t>Jul</t>
        </is>
      </c>
      <c r="C3139" s="6" t="inlineStr">
        <is>
          <t>TN</t>
        </is>
      </c>
      <c r="D3139" s="7" t="inlineStr">
        <is>
          <t>TN18AM5223</t>
        </is>
      </c>
      <c r="E3139" s="7" t="inlineStr">
        <is>
          <t>MARUTI SUZUKI</t>
        </is>
      </c>
      <c r="F3139" s="7" t="inlineStr">
        <is>
          <t>Dzire</t>
        </is>
      </c>
      <c r="G3139" s="7" t="inlineStr">
        <is>
          <t>RAJALAKSHMI CARS</t>
        </is>
      </c>
      <c r="H3139" s="7" t="inlineStr">
        <is>
          <t>Non-Captive</t>
        </is>
      </c>
      <c r="I3139" s="7" t="inlineStr">
        <is>
          <t>S2 MOTORZ</t>
        </is>
      </c>
      <c r="J3139" s="8" t="n">
        <v>2017</v>
      </c>
      <c r="K3139" s="9" t="n">
        <v>179935</v>
      </c>
      <c r="L3139" s="10" t="n">
        <v>390000</v>
      </c>
      <c r="M3139" s="10" t="n">
        <v>6779.66</v>
      </c>
      <c r="N3139" s="11">
        <f>IF(M3139="","",ROUND(M3139*1.18,2))</f>
        <v/>
      </c>
      <c r="O3139" s="12">
        <f>IF(M3139="","",ROUND(N3139-M3139,2))</f>
        <v/>
      </c>
      <c r="P3139" s="13">
        <f>IF(AND(A3139&lt;&gt;"",B3139&lt;&gt;""), A3139&amp;" · "&amp;B3139, "")</f>
        <v/>
      </c>
    </row>
    <row r="3140">
      <c r="A3140" s="6" t="inlineStr">
        <is>
          <t>FY27</t>
        </is>
      </c>
      <c r="B3140" s="6" t="inlineStr">
        <is>
          <t>Jul</t>
        </is>
      </c>
      <c r="C3140" s="6" t="inlineStr">
        <is>
          <t>TN</t>
        </is>
      </c>
      <c r="D3140" s="7" t="inlineStr">
        <is>
          <t>TN18BE5748</t>
        </is>
      </c>
      <c r="E3140" s="7" t="inlineStr">
        <is>
          <t>MARUTI SUZUKI</t>
        </is>
      </c>
      <c r="F3140" s="7" t="inlineStr">
        <is>
          <t>Dzire</t>
        </is>
      </c>
      <c r="G3140" s="7" t="inlineStr">
        <is>
          <t>CASTLE TRADERS MARUTI</t>
        </is>
      </c>
      <c r="H3140" s="7" t="inlineStr">
        <is>
          <t>Non-Captive</t>
        </is>
      </c>
      <c r="I3140" s="7" t="inlineStr">
        <is>
          <t>Kamal Cars</t>
        </is>
      </c>
      <c r="J3140" s="8" t="n">
        <v>2021</v>
      </c>
      <c r="K3140" s="9" t="n">
        <v>93265</v>
      </c>
      <c r="L3140" s="10" t="n">
        <v>495000</v>
      </c>
      <c r="M3140" s="10" t="n">
        <v>7627.12</v>
      </c>
      <c r="N3140" s="11">
        <f>IF(M3140="","",ROUND(M3140*1.18,2))</f>
        <v/>
      </c>
      <c r="O3140" s="12">
        <f>IF(M3140="","",ROUND(N3140-M3140,2))</f>
        <v/>
      </c>
      <c r="P3140" s="13">
        <f>IF(AND(A3140&lt;&gt;"",B3140&lt;&gt;""), A3140&amp;" · "&amp;B3140, "")</f>
        <v/>
      </c>
    </row>
    <row r="3141">
      <c r="A3141" s="6" t="inlineStr">
        <is>
          <t>FY27</t>
        </is>
      </c>
      <c r="B3141" s="6" t="inlineStr">
        <is>
          <t>Jul</t>
        </is>
      </c>
      <c r="C3141" s="6" t="inlineStr">
        <is>
          <t>TN</t>
        </is>
      </c>
      <c r="D3141" s="7" t="inlineStr">
        <is>
          <t>TN18H9096</t>
        </is>
      </c>
      <c r="E3141" s="7" t="inlineStr">
        <is>
          <t>TATA</t>
        </is>
      </c>
      <c r="F3141" s="7" t="inlineStr">
        <is>
          <t>Indica</t>
        </is>
      </c>
      <c r="G3141" s="7" t="inlineStr">
        <is>
          <t>RAJALAKSHMI CARS</t>
        </is>
      </c>
      <c r="H3141" s="7" t="inlineStr">
        <is>
          <t>Non-Captive</t>
        </is>
      </c>
      <c r="I3141" s="7" t="inlineStr">
        <is>
          <t>Senthil Cars</t>
        </is>
      </c>
      <c r="J3141" s="8" t="n">
        <v>2011</v>
      </c>
      <c r="K3141" s="9" t="n">
        <v>121852</v>
      </c>
      <c r="L3141" s="10" t="n">
        <v>98000</v>
      </c>
      <c r="M3141" s="10" t="n">
        <v>4237.29</v>
      </c>
      <c r="N3141" s="11">
        <f>IF(M3141="","",ROUND(M3141*1.18,2))</f>
        <v/>
      </c>
      <c r="O3141" s="12">
        <f>IF(M3141="","",ROUND(N3141-M3141,2))</f>
        <v/>
      </c>
      <c r="P3141" s="13">
        <f>IF(AND(A3141&lt;&gt;"",B3141&lt;&gt;""), A3141&amp;" · "&amp;B3141, "")</f>
        <v/>
      </c>
    </row>
    <row r="3142">
      <c r="A3142" s="6" t="inlineStr">
        <is>
          <t>FY27</t>
        </is>
      </c>
      <c r="B3142" s="6" t="inlineStr">
        <is>
          <t>Jul</t>
        </is>
      </c>
      <c r="C3142" s="6" t="inlineStr">
        <is>
          <t>TN</t>
        </is>
      </c>
      <c r="D3142" s="7" t="inlineStr">
        <is>
          <t>TN18J4848</t>
        </is>
      </c>
      <c r="E3142" s="7" t="inlineStr">
        <is>
          <t>MARUTI SUZUKI</t>
        </is>
      </c>
      <c r="F3142" s="7" t="inlineStr">
        <is>
          <t>Dzire</t>
        </is>
      </c>
      <c r="G3142" s="7" t="inlineStr">
        <is>
          <t>EXCHANGE CHENNAI</t>
        </is>
      </c>
      <c r="H3142" s="7" t="inlineStr">
        <is>
          <t>Captive</t>
        </is>
      </c>
      <c r="I3142" s="7" t="inlineStr">
        <is>
          <t>Thiya Cars</t>
        </is>
      </c>
      <c r="J3142" s="8" t="n">
        <v>2011</v>
      </c>
      <c r="K3142" s="9" t="n">
        <v>112245</v>
      </c>
      <c r="L3142" s="10" t="n">
        <v>240000</v>
      </c>
      <c r="M3142" s="10" t="n">
        <v>5084.75</v>
      </c>
      <c r="N3142" s="11">
        <f>IF(M3142="","",ROUND(M3142*1.18,2))</f>
        <v/>
      </c>
      <c r="O3142" s="12">
        <f>IF(M3142="","",ROUND(N3142-M3142,2))</f>
        <v/>
      </c>
      <c r="P3142" s="13">
        <f>IF(AND(A3142&lt;&gt;"",B3142&lt;&gt;""), A3142&amp;" · "&amp;B3142, "")</f>
        <v/>
      </c>
    </row>
    <row r="3143">
      <c r="A3143" s="6" t="inlineStr">
        <is>
          <t>FY27</t>
        </is>
      </c>
      <c r="B3143" s="6" t="inlineStr">
        <is>
          <t>Jul</t>
        </is>
      </c>
      <c r="C3143" s="6" t="inlineStr">
        <is>
          <t>TN</t>
        </is>
      </c>
      <c r="D3143" s="7" t="inlineStr">
        <is>
          <t>TN18W7291</t>
        </is>
      </c>
      <c r="E3143" s="7" t="inlineStr">
        <is>
          <t>FORD</t>
        </is>
      </c>
      <c r="F3143" s="7" t="inlineStr">
        <is>
          <t>Figo</t>
        </is>
      </c>
      <c r="G3143" s="7" t="inlineStr">
        <is>
          <t>ABT ROTN</t>
        </is>
      </c>
      <c r="H3143" s="7" t="inlineStr">
        <is>
          <t>Non-Captive</t>
        </is>
      </c>
      <c r="I3143" s="7" t="inlineStr">
        <is>
          <t>SRI VIGNESH PRE OWNED CARS</t>
        </is>
      </c>
      <c r="J3143" s="8" t="n">
        <v>2012</v>
      </c>
      <c r="K3143" s="9" t="n">
        <v>150596</v>
      </c>
      <c r="L3143" s="10" t="n">
        <v>90000</v>
      </c>
      <c r="M3143" s="10" t="n">
        <v>4237.29</v>
      </c>
      <c r="N3143" s="11">
        <f>IF(M3143="","",ROUND(M3143*1.18,2))</f>
        <v/>
      </c>
      <c r="O3143" s="12">
        <f>IF(M3143="","",ROUND(N3143-M3143,2))</f>
        <v/>
      </c>
      <c r="P3143" s="13">
        <f>IF(AND(A3143&lt;&gt;"",B3143&lt;&gt;""), A3143&amp;" · "&amp;B3143, "")</f>
        <v/>
      </c>
    </row>
    <row r="3144">
      <c r="A3144" s="6" t="inlineStr">
        <is>
          <t>FY27</t>
        </is>
      </c>
      <c r="B3144" s="6" t="inlineStr">
        <is>
          <t>Jul</t>
        </is>
      </c>
      <c r="C3144" s="6" t="inlineStr">
        <is>
          <t>TN</t>
        </is>
      </c>
      <c r="D3144" s="7" t="inlineStr">
        <is>
          <t>TN18X5152</t>
        </is>
      </c>
      <c r="E3144" s="7" t="inlineStr">
        <is>
          <t>NISSAN</t>
        </is>
      </c>
      <c r="F3144" s="7" t="inlineStr">
        <is>
          <t>Micra</t>
        </is>
      </c>
      <c r="G3144" s="7" t="inlineStr">
        <is>
          <t>EXCHANGE CHENNAI</t>
        </is>
      </c>
      <c r="H3144" s="7" t="inlineStr">
        <is>
          <t>Captive</t>
        </is>
      </c>
      <c r="I3144" s="7" t="inlineStr">
        <is>
          <t>AAA Cars</t>
        </is>
      </c>
      <c r="J3144" s="8" t="n">
        <v>2012</v>
      </c>
      <c r="K3144" s="9" t="n">
        <v>106434</v>
      </c>
      <c r="L3144" s="10" t="n">
        <v>130000</v>
      </c>
      <c r="M3144" s="10" t="n">
        <v>8474.58</v>
      </c>
      <c r="N3144" s="11">
        <f>IF(M3144="","",ROUND(M3144*1.18,2))</f>
        <v/>
      </c>
      <c r="O3144" s="12">
        <f>IF(M3144="","",ROUND(N3144-M3144,2))</f>
        <v/>
      </c>
      <c r="P3144" s="13">
        <f>IF(AND(A3144&lt;&gt;"",B3144&lt;&gt;""), A3144&amp;" · "&amp;B3144, "")</f>
        <v/>
      </c>
    </row>
    <row r="3145">
      <c r="A3145" s="6" t="inlineStr">
        <is>
          <t>FY27</t>
        </is>
      </c>
      <c r="B3145" s="6" t="inlineStr">
        <is>
          <t>Jul</t>
        </is>
      </c>
      <c r="C3145" s="6" t="inlineStr">
        <is>
          <t>TN</t>
        </is>
      </c>
      <c r="D3145" s="7" t="inlineStr">
        <is>
          <t>TN19K4551</t>
        </is>
      </c>
      <c r="E3145" s="7" t="inlineStr">
        <is>
          <t>MARUTI SUZUKI</t>
        </is>
      </c>
      <c r="F3145" s="7" t="inlineStr">
        <is>
          <t>Wagon R</t>
        </is>
      </c>
      <c r="G3145" s="7" t="inlineStr">
        <is>
          <t>RAJALAKSHMI CARS</t>
        </is>
      </c>
      <c r="H3145" s="7" t="inlineStr">
        <is>
          <t>Non-Captive</t>
        </is>
      </c>
      <c r="I3145" s="7" t="inlineStr">
        <is>
          <t>Pine Autos</t>
        </is>
      </c>
      <c r="J3145" s="8" t="n">
        <v>2013</v>
      </c>
      <c r="K3145" s="9" t="n">
        <v>58269</v>
      </c>
      <c r="L3145" s="10" t="n">
        <v>186000</v>
      </c>
      <c r="M3145" s="10" t="n">
        <v>5084.75</v>
      </c>
      <c r="N3145" s="11">
        <f>IF(M3145="","",ROUND(M3145*1.18,2))</f>
        <v/>
      </c>
      <c r="O3145" s="12">
        <f>IF(M3145="","",ROUND(N3145-M3145,2))</f>
        <v/>
      </c>
      <c r="P3145" s="13">
        <f>IF(AND(A3145&lt;&gt;"",B3145&lt;&gt;""), A3145&amp;" · "&amp;B3145, "")</f>
        <v/>
      </c>
    </row>
    <row r="3146">
      <c r="A3146" s="6" t="inlineStr">
        <is>
          <t>FY27</t>
        </is>
      </c>
      <c r="B3146" s="6" t="inlineStr">
        <is>
          <t>Jul</t>
        </is>
      </c>
      <c r="C3146" s="6" t="inlineStr">
        <is>
          <t>TN</t>
        </is>
      </c>
      <c r="D3146" s="7" t="inlineStr">
        <is>
          <t>TN20AJ4231</t>
        </is>
      </c>
      <c r="E3146" s="7" t="inlineStr">
        <is>
          <t>HYUNDAI</t>
        </is>
      </c>
      <c r="F3146" s="7" t="inlineStr">
        <is>
          <t>i10</t>
        </is>
      </c>
      <c r="G3146" s="7" t="inlineStr">
        <is>
          <t>THIYA CARS</t>
        </is>
      </c>
      <c r="H3146" s="7" t="inlineStr">
        <is>
          <t>Non-Captive</t>
        </is>
      </c>
      <c r="I3146" s="7" t="inlineStr">
        <is>
          <t>Kamal Cars</t>
        </is>
      </c>
      <c r="J3146" s="8" t="n">
        <v>2008</v>
      </c>
      <c r="K3146" s="9" t="n">
        <v>34932</v>
      </c>
      <c r="L3146" s="10" t="n">
        <v>180000</v>
      </c>
      <c r="M3146" s="10" t="n">
        <v>5084.75</v>
      </c>
      <c r="N3146" s="11">
        <f>IF(M3146="","",ROUND(M3146*1.18,2))</f>
        <v/>
      </c>
      <c r="O3146" s="12">
        <f>IF(M3146="","",ROUND(N3146-M3146,2))</f>
        <v/>
      </c>
      <c r="P3146" s="13">
        <f>IF(AND(A3146&lt;&gt;"",B3146&lt;&gt;""), A3146&amp;" · "&amp;B3146, "")</f>
        <v/>
      </c>
    </row>
    <row r="3147">
      <c r="A3147" s="6" t="inlineStr">
        <is>
          <t>FY27</t>
        </is>
      </c>
      <c r="B3147" s="6" t="inlineStr">
        <is>
          <t>Jul</t>
        </is>
      </c>
      <c r="C3147" s="6" t="inlineStr">
        <is>
          <t>TN</t>
        </is>
      </c>
      <c r="D3147" s="7" t="inlineStr">
        <is>
          <t>TN20AS5802</t>
        </is>
      </c>
      <c r="E3147" s="7" t="inlineStr">
        <is>
          <t>MARUTI SUZUKI</t>
        </is>
      </c>
      <c r="F3147" s="7" t="inlineStr">
        <is>
          <t>Alto</t>
        </is>
      </c>
      <c r="G3147" s="7" t="inlineStr">
        <is>
          <t>EXCHANGE ROTN</t>
        </is>
      </c>
      <c r="H3147" s="7" t="inlineStr">
        <is>
          <t>Captive</t>
        </is>
      </c>
      <c r="I3147" s="7" t="inlineStr">
        <is>
          <t>STALIN CARS</t>
        </is>
      </c>
      <c r="J3147" s="8" t="n">
        <v>2007</v>
      </c>
      <c r="K3147" s="9" t="n">
        <v>147960</v>
      </c>
      <c r="L3147" s="10" t="n">
        <v>60000</v>
      </c>
      <c r="M3147" s="10" t="n">
        <v>4237.29</v>
      </c>
      <c r="N3147" s="11">
        <f>IF(M3147="","",ROUND(M3147*1.18,2))</f>
        <v/>
      </c>
      <c r="O3147" s="12">
        <f>IF(M3147="","",ROUND(N3147-M3147,2))</f>
        <v/>
      </c>
      <c r="P3147" s="13">
        <f>IF(AND(A3147&lt;&gt;"",B3147&lt;&gt;""), A3147&amp;" · "&amp;B3147, "")</f>
        <v/>
      </c>
    </row>
    <row r="3148">
      <c r="A3148" s="6" t="inlineStr">
        <is>
          <t>FY27</t>
        </is>
      </c>
      <c r="B3148" s="6" t="inlineStr">
        <is>
          <t>Jul</t>
        </is>
      </c>
      <c r="C3148" s="6" t="inlineStr">
        <is>
          <t>TN</t>
        </is>
      </c>
      <c r="D3148" s="7" t="inlineStr">
        <is>
          <t>TN20BC6197</t>
        </is>
      </c>
      <c r="E3148" s="7" t="inlineStr">
        <is>
          <t>MARUTI SUZUKI</t>
        </is>
      </c>
      <c r="F3148" s="7" t="inlineStr">
        <is>
          <t>Alto</t>
        </is>
      </c>
      <c r="G3148" s="7" t="inlineStr">
        <is>
          <t>CASTLE TRADERS MARUTI</t>
        </is>
      </c>
      <c r="H3148" s="7" t="inlineStr">
        <is>
          <t>Non-Captive</t>
        </is>
      </c>
      <c r="I3148" s="7" t="inlineStr">
        <is>
          <t>Vijaya Cars</t>
        </is>
      </c>
      <c r="J3148" s="8" t="n">
        <v>2010</v>
      </c>
      <c r="K3148" s="9" t="n">
        <v>105115</v>
      </c>
      <c r="L3148" s="10" t="n">
        <v>110000</v>
      </c>
      <c r="M3148" s="10" t="n">
        <v>5084.75</v>
      </c>
      <c r="N3148" s="11">
        <f>IF(M3148="","",ROUND(M3148*1.18,2))</f>
        <v/>
      </c>
      <c r="O3148" s="12">
        <f>IF(M3148="","",ROUND(N3148-M3148,2))</f>
        <v/>
      </c>
      <c r="P3148" s="13">
        <f>IF(AND(A3148&lt;&gt;"",B3148&lt;&gt;""), A3148&amp;" · "&amp;B3148, "")</f>
        <v/>
      </c>
    </row>
    <row r="3149">
      <c r="A3149" s="6" t="inlineStr">
        <is>
          <t>FY27</t>
        </is>
      </c>
      <c r="B3149" s="6" t="inlineStr">
        <is>
          <t>Jul</t>
        </is>
      </c>
      <c r="C3149" s="6" t="inlineStr">
        <is>
          <t>TN</t>
        </is>
      </c>
      <c r="D3149" s="7" t="inlineStr">
        <is>
          <t>TN20BD8218</t>
        </is>
      </c>
      <c r="E3149" s="7" t="inlineStr">
        <is>
          <t>MARUTI SUZUKI</t>
        </is>
      </c>
      <c r="F3149" s="7" t="inlineStr">
        <is>
          <t>Wagon R</t>
        </is>
      </c>
      <c r="G3149" s="7" t="inlineStr">
        <is>
          <t>STEER AUTO TECHNOLOGIES PRIVATE LIMITED</t>
        </is>
      </c>
      <c r="H3149" s="7" t="inlineStr">
        <is>
          <t>Non-Captive</t>
        </is>
      </c>
      <c r="I3149" s="7" t="inlineStr">
        <is>
          <t>SK Cars Prasana</t>
        </is>
      </c>
      <c r="J3149" s="8" t="n">
        <v>2010</v>
      </c>
      <c r="K3149" s="9" t="n">
        <v>61420</v>
      </c>
      <c r="L3149" s="10" t="n">
        <v>78000</v>
      </c>
      <c r="M3149" s="10" t="n">
        <v>4238.14</v>
      </c>
      <c r="N3149" s="11">
        <f>IF(M3149="","",ROUND(M3149*1.18,2))</f>
        <v/>
      </c>
      <c r="O3149" s="12">
        <f>IF(M3149="","",ROUND(N3149-M3149,2))</f>
        <v/>
      </c>
      <c r="P3149" s="13">
        <f>IF(AND(A3149&lt;&gt;"",B3149&lt;&gt;""), A3149&amp;" · "&amp;B3149, "")</f>
        <v/>
      </c>
    </row>
    <row r="3150">
      <c r="A3150" s="6" t="inlineStr">
        <is>
          <t>FY27</t>
        </is>
      </c>
      <c r="B3150" s="6" t="inlineStr">
        <is>
          <t>Jul</t>
        </is>
      </c>
      <c r="C3150" s="6" t="inlineStr">
        <is>
          <t>TN</t>
        </is>
      </c>
      <c r="D3150" s="7" t="inlineStr">
        <is>
          <t>TN20BT3060</t>
        </is>
      </c>
      <c r="E3150" s="7" t="inlineStr">
        <is>
          <t>CHEVROLET</t>
        </is>
      </c>
      <c r="F3150" s="7" t="inlineStr">
        <is>
          <t>Beat</t>
        </is>
      </c>
      <c r="G3150" s="7" t="inlineStr">
        <is>
          <t>CARS INDIA</t>
        </is>
      </c>
      <c r="H3150" s="7" t="inlineStr">
        <is>
          <t>Non-Captive</t>
        </is>
      </c>
      <c r="I3150" s="7" t="inlineStr">
        <is>
          <t>AAA Cars</t>
        </is>
      </c>
      <c r="J3150" s="8" t="n">
        <v>2010</v>
      </c>
      <c r="K3150" s="9" t="n">
        <v>93860</v>
      </c>
      <c r="L3150" s="10" t="n">
        <v>93500</v>
      </c>
      <c r="M3150" s="10" t="n">
        <v>4237.29</v>
      </c>
      <c r="N3150" s="11">
        <f>IF(M3150="","",ROUND(M3150*1.18,2))</f>
        <v/>
      </c>
      <c r="O3150" s="12">
        <f>IF(M3150="","",ROUND(N3150-M3150,2))</f>
        <v/>
      </c>
      <c r="P3150" s="13">
        <f>IF(AND(A3150&lt;&gt;"",B3150&lt;&gt;""), A3150&amp;" · "&amp;B3150, "")</f>
        <v/>
      </c>
    </row>
    <row r="3151">
      <c r="A3151" s="6" t="inlineStr">
        <is>
          <t>FY27</t>
        </is>
      </c>
      <c r="B3151" s="6" t="inlineStr">
        <is>
          <t>Jul</t>
        </is>
      </c>
      <c r="C3151" s="6" t="inlineStr">
        <is>
          <t>TN</t>
        </is>
      </c>
      <c r="D3151" s="7" t="inlineStr">
        <is>
          <t>TN20CE5359</t>
        </is>
      </c>
      <c r="E3151" s="7" t="inlineStr">
        <is>
          <t>MARUTI SUZUKI</t>
        </is>
      </c>
      <c r="F3151" s="7" t="inlineStr">
        <is>
          <t>Eeco</t>
        </is>
      </c>
      <c r="G3151" s="7" t="inlineStr">
        <is>
          <t>CASTLE TRADERS MARUTI</t>
        </is>
      </c>
      <c r="H3151" s="7" t="inlineStr">
        <is>
          <t>Non-Captive</t>
        </is>
      </c>
      <c r="I3151" s="7" t="inlineStr">
        <is>
          <t>S2 MOTORZ</t>
        </is>
      </c>
      <c r="J3151" s="8" t="n">
        <v>2014</v>
      </c>
      <c r="K3151" s="9" t="n">
        <v>88307</v>
      </c>
      <c r="L3151" s="10" t="n">
        <v>234000</v>
      </c>
      <c r="M3151" s="10" t="n">
        <v>6355.93</v>
      </c>
      <c r="N3151" s="11">
        <f>IF(M3151="","",ROUND(M3151*1.18,2))</f>
        <v/>
      </c>
      <c r="O3151" s="12">
        <f>IF(M3151="","",ROUND(N3151-M3151,2))</f>
        <v/>
      </c>
      <c r="P3151" s="13">
        <f>IF(AND(A3151&lt;&gt;"",B3151&lt;&gt;""), A3151&amp;" · "&amp;B3151, "")</f>
        <v/>
      </c>
    </row>
    <row r="3152">
      <c r="A3152" s="6" t="inlineStr">
        <is>
          <t>FY27</t>
        </is>
      </c>
      <c r="B3152" s="6" t="inlineStr">
        <is>
          <t>Jul</t>
        </is>
      </c>
      <c r="C3152" s="6" t="inlineStr">
        <is>
          <t>TN</t>
        </is>
      </c>
      <c r="D3152" s="7" t="inlineStr">
        <is>
          <t>TN20CJ7058</t>
        </is>
      </c>
      <c r="E3152" s="7" t="inlineStr">
        <is>
          <t>MARUTI SUZUKI</t>
        </is>
      </c>
      <c r="F3152" s="7" t="inlineStr">
        <is>
          <t>Wagon R</t>
        </is>
      </c>
      <c r="G3152" s="7" t="inlineStr">
        <is>
          <t>CASTLE TRADERS MARUTI</t>
        </is>
      </c>
      <c r="H3152" s="7" t="inlineStr">
        <is>
          <t>Non-Captive</t>
        </is>
      </c>
      <c r="I3152" s="7" t="inlineStr">
        <is>
          <t>Value Drive Tech</t>
        </is>
      </c>
      <c r="J3152" s="8" t="n">
        <v>2016</v>
      </c>
      <c r="K3152" s="9" t="n">
        <v>54751</v>
      </c>
      <c r="L3152" s="10" t="n">
        <v>285000</v>
      </c>
      <c r="M3152" s="10" t="n">
        <v>5084.75</v>
      </c>
      <c r="N3152" s="11">
        <f>IF(M3152="","",ROUND(M3152*1.18,2))</f>
        <v/>
      </c>
      <c r="O3152" s="12">
        <f>IF(M3152="","",ROUND(N3152-M3152,2))</f>
        <v/>
      </c>
      <c r="P3152" s="13">
        <f>IF(AND(A3152&lt;&gt;"",B3152&lt;&gt;""), A3152&amp;" · "&amp;B3152, "")</f>
        <v/>
      </c>
    </row>
    <row r="3153">
      <c r="A3153" s="6" t="inlineStr">
        <is>
          <t>FY27</t>
        </is>
      </c>
      <c r="B3153" s="6" t="inlineStr">
        <is>
          <t>Jul</t>
        </is>
      </c>
      <c r="C3153" s="6" t="inlineStr">
        <is>
          <t>TN</t>
        </is>
      </c>
      <c r="D3153" s="7" t="inlineStr">
        <is>
          <t>TN20CP2560</t>
        </is>
      </c>
      <c r="E3153" s="7" t="inlineStr">
        <is>
          <t>HYUNDAI</t>
        </is>
      </c>
      <c r="F3153" s="7" t="inlineStr">
        <is>
          <t>Eon</t>
        </is>
      </c>
      <c r="G3153" s="7" t="inlineStr">
        <is>
          <t>CASTLE TRADERS MARUTI</t>
        </is>
      </c>
      <c r="H3153" s="7" t="inlineStr">
        <is>
          <t>Non-Captive</t>
        </is>
      </c>
      <c r="I3153" s="7" t="inlineStr">
        <is>
          <t>S2 MOTORZ</t>
        </is>
      </c>
      <c r="J3153" s="8" t="n">
        <v>2018</v>
      </c>
      <c r="K3153" s="9" t="n">
        <v>40328</v>
      </c>
      <c r="L3153" s="10" t="n">
        <v>225000</v>
      </c>
      <c r="M3153" s="10" t="n">
        <v>6355.93</v>
      </c>
      <c r="N3153" s="11">
        <f>IF(M3153="","",ROUND(M3153*1.18,2))</f>
        <v/>
      </c>
      <c r="O3153" s="12">
        <f>IF(M3153="","",ROUND(N3153-M3153,2))</f>
        <v/>
      </c>
      <c r="P3153" s="13">
        <f>IF(AND(A3153&lt;&gt;"",B3153&lt;&gt;""), A3153&amp;" · "&amp;B3153, "")</f>
        <v/>
      </c>
    </row>
    <row r="3154">
      <c r="A3154" s="6" t="inlineStr">
        <is>
          <t>FY27</t>
        </is>
      </c>
      <c r="B3154" s="6" t="inlineStr">
        <is>
          <t>Jul</t>
        </is>
      </c>
      <c r="C3154" s="6" t="inlineStr">
        <is>
          <t>TN</t>
        </is>
      </c>
      <c r="D3154" s="7" t="inlineStr">
        <is>
          <t>TN20DC0772</t>
        </is>
      </c>
      <c r="E3154" s="7" t="inlineStr">
        <is>
          <t>MARUTI SUZUKI</t>
        </is>
      </c>
      <c r="F3154" s="7" t="inlineStr">
        <is>
          <t>S-Presso</t>
        </is>
      </c>
      <c r="G3154" s="7" t="inlineStr">
        <is>
          <t>CASTLE TRADERS MARUTI</t>
        </is>
      </c>
      <c r="H3154" s="7" t="inlineStr">
        <is>
          <t>Non-Captive</t>
        </is>
      </c>
      <c r="I3154" s="7" t="inlineStr">
        <is>
          <t>AAA Cars</t>
        </is>
      </c>
      <c r="J3154" s="8" t="n">
        <v>2020</v>
      </c>
      <c r="K3154" s="9" t="n">
        <v>27187</v>
      </c>
      <c r="L3154" s="10" t="n">
        <v>320000</v>
      </c>
      <c r="M3154" s="10" t="n">
        <v>6355.93</v>
      </c>
      <c r="N3154" s="11">
        <f>IF(M3154="","",ROUND(M3154*1.18,2))</f>
        <v/>
      </c>
      <c r="O3154" s="12">
        <f>IF(M3154="","",ROUND(N3154-M3154,2))</f>
        <v/>
      </c>
      <c r="P3154" s="13">
        <f>IF(AND(A3154&lt;&gt;"",B3154&lt;&gt;""), A3154&amp;" · "&amp;B3154, "")</f>
        <v/>
      </c>
    </row>
    <row r="3155">
      <c r="A3155" s="6" t="inlineStr">
        <is>
          <t>FY27</t>
        </is>
      </c>
      <c r="B3155" s="6" t="inlineStr">
        <is>
          <t>Jul</t>
        </is>
      </c>
      <c r="C3155" s="6" t="inlineStr">
        <is>
          <t>TN</t>
        </is>
      </c>
      <c r="D3155" s="7" t="inlineStr">
        <is>
          <t>TN20DC1676</t>
        </is>
      </c>
      <c r="E3155" s="7" t="inlineStr">
        <is>
          <t>MARUTI SUZUKI</t>
        </is>
      </c>
      <c r="F3155" s="7" t="inlineStr">
        <is>
          <t>S-Presso</t>
        </is>
      </c>
      <c r="G3155" s="7" t="inlineStr">
        <is>
          <t>RAJALAKSHMI CARS</t>
        </is>
      </c>
      <c r="H3155" s="7" t="inlineStr">
        <is>
          <t>Non-Captive</t>
        </is>
      </c>
      <c r="I3155" s="7" t="inlineStr">
        <is>
          <t>Senthil Cars</t>
        </is>
      </c>
      <c r="J3155" s="8" t="n">
        <v>2021</v>
      </c>
      <c r="K3155" s="9" t="n">
        <v>129559</v>
      </c>
      <c r="L3155" s="10" t="n">
        <v>99000</v>
      </c>
      <c r="M3155" s="10" t="n">
        <v>4237.29</v>
      </c>
      <c r="N3155" s="11">
        <f>IF(M3155="","",ROUND(M3155*1.18,2))</f>
        <v/>
      </c>
      <c r="O3155" s="12">
        <f>IF(M3155="","",ROUND(N3155-M3155,2))</f>
        <v/>
      </c>
      <c r="P3155" s="13">
        <f>IF(AND(A3155&lt;&gt;"",B3155&lt;&gt;""), A3155&amp;" · "&amp;B3155, "")</f>
        <v/>
      </c>
    </row>
    <row r="3156">
      <c r="A3156" s="6" t="inlineStr">
        <is>
          <t>FY27</t>
        </is>
      </c>
      <c r="B3156" s="6" t="inlineStr">
        <is>
          <t>Jul</t>
        </is>
      </c>
      <c r="C3156" s="6" t="inlineStr">
        <is>
          <t>TN</t>
        </is>
      </c>
      <c r="D3156" s="7" t="inlineStr">
        <is>
          <t>TN20DD5494</t>
        </is>
      </c>
      <c r="E3156" s="7" t="inlineStr">
        <is>
          <t>MARUTI SUZUKI</t>
        </is>
      </c>
      <c r="F3156" s="7" t="inlineStr">
        <is>
          <t>XL6</t>
        </is>
      </c>
      <c r="G3156" s="7" t="inlineStr">
        <is>
          <t>KALYANI MOTORS MARUTI</t>
        </is>
      </c>
      <c r="H3156" s="7" t="inlineStr">
        <is>
          <t>Non-Captive</t>
        </is>
      </c>
      <c r="I3156" s="7" t="inlineStr">
        <is>
          <t>Grid 33</t>
        </is>
      </c>
      <c r="J3156" s="8" t="n">
        <v>2022</v>
      </c>
      <c r="K3156" s="9" t="n">
        <v>38895</v>
      </c>
      <c r="L3156" s="10" t="n">
        <v>95000</v>
      </c>
      <c r="M3156" s="10" t="n">
        <v>4237.29</v>
      </c>
      <c r="N3156" s="11">
        <f>IF(M3156="","",ROUND(M3156*1.18,2))</f>
        <v/>
      </c>
      <c r="O3156" s="12">
        <f>IF(M3156="","",ROUND(N3156-M3156,2))</f>
        <v/>
      </c>
      <c r="P3156" s="13">
        <f>IF(AND(A3156&lt;&gt;"",B3156&lt;&gt;""), A3156&amp;" · "&amp;B3156, "")</f>
        <v/>
      </c>
    </row>
    <row r="3157">
      <c r="A3157" s="6" t="inlineStr">
        <is>
          <t>FY27</t>
        </is>
      </c>
      <c r="B3157" s="6" t="inlineStr">
        <is>
          <t>Jul</t>
        </is>
      </c>
      <c r="C3157" s="6" t="inlineStr">
        <is>
          <t>TN</t>
        </is>
      </c>
      <c r="D3157" s="7" t="inlineStr">
        <is>
          <t>TN20DD9173</t>
        </is>
      </c>
      <c r="E3157" s="7" t="inlineStr">
        <is>
          <t>MARUTI SUZUKI</t>
        </is>
      </c>
      <c r="F3157" s="7" t="inlineStr">
        <is>
          <t>Dzire</t>
        </is>
      </c>
      <c r="G3157" s="7" t="inlineStr">
        <is>
          <t>CASTLE TRADERS MARUTI</t>
        </is>
      </c>
      <c r="H3157" s="7" t="inlineStr">
        <is>
          <t>Non-Captive</t>
        </is>
      </c>
      <c r="I3157" s="7" t="inlineStr">
        <is>
          <t>T S Mahalingam and Sons</t>
        </is>
      </c>
      <c r="J3157" s="8" t="n">
        <v>2022</v>
      </c>
      <c r="K3157" s="9" t="n">
        <v>44539</v>
      </c>
      <c r="L3157" s="10" t="n">
        <v>605000</v>
      </c>
      <c r="M3157" s="10" t="n">
        <v>6355.93</v>
      </c>
      <c r="N3157" s="11">
        <f>IF(M3157="","",ROUND(M3157*1.18,2))</f>
        <v/>
      </c>
      <c r="O3157" s="12">
        <f>IF(M3157="","",ROUND(N3157-M3157,2))</f>
        <v/>
      </c>
      <c r="P3157" s="13">
        <f>IF(AND(A3157&lt;&gt;"",B3157&lt;&gt;""), A3157&amp;" · "&amp;B3157, "")</f>
        <v/>
      </c>
    </row>
    <row r="3158">
      <c r="A3158" s="6" t="inlineStr">
        <is>
          <t>FY27</t>
        </is>
      </c>
      <c r="B3158" s="6" t="inlineStr">
        <is>
          <t>Jul</t>
        </is>
      </c>
      <c r="C3158" s="6" t="inlineStr">
        <is>
          <t>TN</t>
        </is>
      </c>
      <c r="D3158" s="7" t="inlineStr">
        <is>
          <t>TN20DH1191</t>
        </is>
      </c>
      <c r="E3158" s="7" t="inlineStr">
        <is>
          <t>MARUTI SUZUKI</t>
        </is>
      </c>
      <c r="F3158" s="7" t="inlineStr">
        <is>
          <t>S-Presso</t>
        </is>
      </c>
      <c r="G3158" s="7" t="inlineStr">
        <is>
          <t>CASTLE TRADERS MARUTI</t>
        </is>
      </c>
      <c r="H3158" s="7" t="inlineStr">
        <is>
          <t>Non-Captive</t>
        </is>
      </c>
      <c r="I3158" s="7" t="inlineStr">
        <is>
          <t>SK Cars Prasana</t>
        </is>
      </c>
      <c r="J3158" s="8" t="n">
        <v>2023</v>
      </c>
      <c r="K3158" s="9" t="n">
        <v>59890</v>
      </c>
      <c r="L3158" s="10" t="n">
        <v>355000</v>
      </c>
      <c r="M3158" s="10" t="n">
        <v>6355.93</v>
      </c>
      <c r="N3158" s="11">
        <f>IF(M3158="","",ROUND(M3158*1.18,2))</f>
        <v/>
      </c>
      <c r="O3158" s="12">
        <f>IF(M3158="","",ROUND(N3158-M3158,2))</f>
        <v/>
      </c>
      <c r="P3158" s="13">
        <f>IF(AND(A3158&lt;&gt;"",B3158&lt;&gt;""), A3158&amp;" · "&amp;B3158, "")</f>
        <v/>
      </c>
    </row>
    <row r="3159">
      <c r="A3159" s="6" t="inlineStr">
        <is>
          <t>FY27</t>
        </is>
      </c>
      <c r="B3159" s="6" t="inlineStr">
        <is>
          <t>Jul</t>
        </is>
      </c>
      <c r="C3159" s="6" t="inlineStr">
        <is>
          <t>TN</t>
        </is>
      </c>
      <c r="D3159" s="7" t="inlineStr">
        <is>
          <t>TN20DK1299</t>
        </is>
      </c>
      <c r="E3159" s="7" t="inlineStr">
        <is>
          <t>MARUTI SUZUKI</t>
        </is>
      </c>
      <c r="F3159" s="7" t="inlineStr">
        <is>
          <t>Vitara Brezza</t>
        </is>
      </c>
      <c r="G3159" s="7" t="inlineStr">
        <is>
          <t>CASTLE TRADERS MARUTI</t>
        </is>
      </c>
      <c r="H3159" s="7" t="inlineStr">
        <is>
          <t>Non-Captive</t>
        </is>
      </c>
      <c r="I3159" s="7" t="inlineStr">
        <is>
          <t>SK Cars Prasana</t>
        </is>
      </c>
      <c r="J3159" s="8" t="n">
        <v>2025</v>
      </c>
      <c r="K3159" s="9" t="n">
        <v>33426</v>
      </c>
      <c r="L3159" s="10" t="n">
        <v>670000</v>
      </c>
      <c r="M3159" s="10" t="n">
        <v>10169.49</v>
      </c>
      <c r="N3159" s="11">
        <f>IF(M3159="","",ROUND(M3159*1.18,2))</f>
        <v/>
      </c>
      <c r="O3159" s="12">
        <f>IF(M3159="","",ROUND(N3159-M3159,2))</f>
        <v/>
      </c>
      <c r="P3159" s="13">
        <f>IF(AND(A3159&lt;&gt;"",B3159&lt;&gt;""), A3159&amp;" · "&amp;B3159, "")</f>
        <v/>
      </c>
    </row>
    <row r="3160">
      <c r="A3160" s="6" t="inlineStr">
        <is>
          <t>FY27</t>
        </is>
      </c>
      <c r="B3160" s="6" t="inlineStr">
        <is>
          <t>Jul</t>
        </is>
      </c>
      <c r="C3160" s="6" t="inlineStr">
        <is>
          <t>TN</t>
        </is>
      </c>
      <c r="D3160" s="7" t="inlineStr">
        <is>
          <t>TN21BD3016</t>
        </is>
      </c>
      <c r="E3160" s="7" t="inlineStr">
        <is>
          <t>MARUTI SUZUKI</t>
        </is>
      </c>
      <c r="F3160" s="7" t="inlineStr">
        <is>
          <t>Eeco</t>
        </is>
      </c>
      <c r="G3160" s="7" t="inlineStr">
        <is>
          <t>NIRMAL CARS</t>
        </is>
      </c>
      <c r="H3160" s="7" t="inlineStr">
        <is>
          <t>Non-Captive</t>
        </is>
      </c>
      <c r="I3160" s="7" t="inlineStr">
        <is>
          <t>Pine Autos</t>
        </is>
      </c>
      <c r="J3160" s="8" t="n">
        <v>2017</v>
      </c>
      <c r="K3160" s="9" t="n">
        <v>46231</v>
      </c>
      <c r="L3160" s="10" t="n">
        <v>185000</v>
      </c>
      <c r="M3160" s="10" t="n">
        <v>5084.75</v>
      </c>
      <c r="N3160" s="11">
        <f>IF(M3160="","",ROUND(M3160*1.18,2))</f>
        <v/>
      </c>
      <c r="O3160" s="12">
        <f>IF(M3160="","",ROUND(N3160-M3160,2))</f>
        <v/>
      </c>
      <c r="P3160" s="13">
        <f>IF(AND(A3160&lt;&gt;"",B3160&lt;&gt;""), A3160&amp;" · "&amp;B3160, "")</f>
        <v/>
      </c>
    </row>
    <row r="3161">
      <c r="A3161" s="6" t="inlineStr">
        <is>
          <t>FY27</t>
        </is>
      </c>
      <c r="B3161" s="6" t="inlineStr">
        <is>
          <t>Jul</t>
        </is>
      </c>
      <c r="C3161" s="6" t="inlineStr">
        <is>
          <t>TN</t>
        </is>
      </c>
      <c r="D3161" s="7" t="inlineStr">
        <is>
          <t>TN21BM7387</t>
        </is>
      </c>
      <c r="E3161" s="7" t="inlineStr">
        <is>
          <t>RENAULT</t>
        </is>
      </c>
      <c r="F3161" s="7" t="inlineStr">
        <is>
          <t>Kwid</t>
        </is>
      </c>
      <c r="G3161" s="7" t="inlineStr">
        <is>
          <t>CAR HUB</t>
        </is>
      </c>
      <c r="H3161" s="7" t="inlineStr">
        <is>
          <t>Non-Captive</t>
        </is>
      </c>
      <c r="I3161" s="7" t="inlineStr">
        <is>
          <t>AAA Cars</t>
        </is>
      </c>
      <c r="J3161" s="8" t="n">
        <v>2021</v>
      </c>
      <c r="K3161" s="9" t="n">
        <v>52381</v>
      </c>
      <c r="L3161" s="10" t="n">
        <v>98000</v>
      </c>
      <c r="M3161" s="10" t="n">
        <v>4237.29</v>
      </c>
      <c r="N3161" s="11">
        <f>IF(M3161="","",ROUND(M3161*1.18,2))</f>
        <v/>
      </c>
      <c r="O3161" s="12">
        <f>IF(M3161="","",ROUND(N3161-M3161,2))</f>
        <v/>
      </c>
      <c r="P3161" s="13">
        <f>IF(AND(A3161&lt;&gt;"",B3161&lt;&gt;""), A3161&amp;" · "&amp;B3161, "")</f>
        <v/>
      </c>
    </row>
    <row r="3162">
      <c r="A3162" s="6" t="inlineStr">
        <is>
          <t>FY27</t>
        </is>
      </c>
      <c r="B3162" s="6" t="inlineStr">
        <is>
          <t>Jul</t>
        </is>
      </c>
      <c r="C3162" s="6" t="inlineStr">
        <is>
          <t>TN</t>
        </is>
      </c>
      <c r="D3162" s="7" t="inlineStr">
        <is>
          <t>TN21K2625</t>
        </is>
      </c>
      <c r="E3162" s="7" t="inlineStr">
        <is>
          <t>MARUTI SUZUKI</t>
        </is>
      </c>
      <c r="F3162" s="7" t="inlineStr">
        <is>
          <t>Wagon R</t>
        </is>
      </c>
      <c r="G3162" s="7" t="inlineStr">
        <is>
          <t>VISHNU CARS PRIVATE LIMITED</t>
        </is>
      </c>
      <c r="H3162" s="7" t="inlineStr">
        <is>
          <t>Non-Captive</t>
        </is>
      </c>
      <c r="I3162" s="7" t="inlineStr">
        <is>
          <t>Pine Autos</t>
        </is>
      </c>
      <c r="J3162" s="8" t="n">
        <v>2006</v>
      </c>
      <c r="K3162" s="9" t="n">
        <v>121648</v>
      </c>
      <c r="L3162" s="10" t="n">
        <v>97000</v>
      </c>
      <c r="M3162" s="10" t="n">
        <v>4237.29</v>
      </c>
      <c r="N3162" s="11">
        <f>IF(M3162="","",ROUND(M3162*1.18,2))</f>
        <v/>
      </c>
      <c r="O3162" s="12">
        <f>IF(M3162="","",ROUND(N3162-M3162,2))</f>
        <v/>
      </c>
      <c r="P3162" s="13">
        <f>IF(AND(A3162&lt;&gt;"",B3162&lt;&gt;""), A3162&amp;" · "&amp;B3162, "")</f>
        <v/>
      </c>
    </row>
    <row r="3163">
      <c r="A3163" s="6" t="inlineStr">
        <is>
          <t>FY27</t>
        </is>
      </c>
      <c r="B3163" s="6" t="inlineStr">
        <is>
          <t>Jul</t>
        </is>
      </c>
      <c r="C3163" s="6" t="inlineStr">
        <is>
          <t>TN</t>
        </is>
      </c>
      <c r="D3163" s="7" t="inlineStr">
        <is>
          <t>TN22AZ1654</t>
        </is>
      </c>
      <c r="E3163" s="7" t="inlineStr">
        <is>
          <t>MARUTI SUZUKI</t>
        </is>
      </c>
      <c r="F3163" s="7" t="inlineStr">
        <is>
          <t>Swift</t>
        </is>
      </c>
      <c r="G3163" s="7" t="inlineStr">
        <is>
          <t>EXCHANGE ROTN</t>
        </is>
      </c>
      <c r="H3163" s="7" t="inlineStr">
        <is>
          <t>Captive</t>
        </is>
      </c>
      <c r="I3163" s="7" t="inlineStr">
        <is>
          <t>9miles</t>
        </is>
      </c>
      <c r="J3163" s="8" t="n">
        <v>2007</v>
      </c>
      <c r="K3163" s="9" t="n">
        <v>71064</v>
      </c>
      <c r="L3163" s="10" t="n">
        <v>85000</v>
      </c>
      <c r="M3163" s="10" t="n">
        <v>7627.12</v>
      </c>
      <c r="N3163" s="11">
        <f>IF(M3163="","",ROUND(M3163*1.18,2))</f>
        <v/>
      </c>
      <c r="O3163" s="12">
        <f>IF(M3163="","",ROUND(N3163-M3163,2))</f>
        <v/>
      </c>
      <c r="P3163" s="13">
        <f>IF(AND(A3163&lt;&gt;"",B3163&lt;&gt;""), A3163&amp;" · "&amp;B3163, "")</f>
        <v/>
      </c>
    </row>
    <row r="3164">
      <c r="A3164" s="6" t="inlineStr">
        <is>
          <t>FY27</t>
        </is>
      </c>
      <c r="B3164" s="6" t="inlineStr">
        <is>
          <t>Jul</t>
        </is>
      </c>
      <c r="C3164" s="6" t="inlineStr">
        <is>
          <t>TN</t>
        </is>
      </c>
      <c r="D3164" s="7" t="inlineStr">
        <is>
          <t>TN22BE2334</t>
        </is>
      </c>
      <c r="E3164" s="7" t="inlineStr">
        <is>
          <t>HYUNDAI</t>
        </is>
      </c>
      <c r="F3164" s="7" t="inlineStr">
        <is>
          <t>Santro</t>
        </is>
      </c>
      <c r="G3164" s="7" t="inlineStr">
        <is>
          <t>VISHNU CARS PRIVATE LIMITED</t>
        </is>
      </c>
      <c r="H3164" s="7" t="inlineStr">
        <is>
          <t>Non-Captive</t>
        </is>
      </c>
      <c r="I3164" s="7" t="inlineStr">
        <is>
          <t>LIAKATHCARS</t>
        </is>
      </c>
      <c r="J3164" s="8" t="n">
        <v>2009</v>
      </c>
      <c r="K3164" s="9" t="n">
        <v>74825</v>
      </c>
      <c r="L3164" s="10" t="n">
        <v>99000</v>
      </c>
      <c r="M3164" s="10" t="n">
        <v>4237.29</v>
      </c>
      <c r="N3164" s="11">
        <f>IF(M3164="","",ROUND(M3164*1.18,2))</f>
        <v/>
      </c>
      <c r="O3164" s="12">
        <f>IF(M3164="","",ROUND(N3164-M3164,2))</f>
        <v/>
      </c>
      <c r="P3164" s="13">
        <f>IF(AND(A3164&lt;&gt;"",B3164&lt;&gt;""), A3164&amp;" · "&amp;B3164, "")</f>
        <v/>
      </c>
    </row>
    <row r="3165">
      <c r="A3165" s="6" t="inlineStr">
        <is>
          <t>FY27</t>
        </is>
      </c>
      <c r="B3165" s="6" t="inlineStr">
        <is>
          <t>Jul</t>
        </is>
      </c>
      <c r="C3165" s="6" t="inlineStr">
        <is>
          <t>TN</t>
        </is>
      </c>
      <c r="D3165" s="7" t="inlineStr">
        <is>
          <t>TN22BM1948</t>
        </is>
      </c>
      <c r="E3165" s="7" t="inlineStr">
        <is>
          <t>CHEVROLET</t>
        </is>
      </c>
      <c r="F3165" s="7" t="inlineStr">
        <is>
          <t>Beat</t>
        </is>
      </c>
      <c r="G3165" s="7" t="inlineStr">
        <is>
          <t>PRODUCTIVITY ELEMENTS PRIVATE LIMITED</t>
        </is>
      </c>
      <c r="H3165" s="7" t="inlineStr">
        <is>
          <t>Non-Captive</t>
        </is>
      </c>
      <c r="I3165" s="7" t="inlineStr">
        <is>
          <t>Grid 33</t>
        </is>
      </c>
      <c r="J3165" s="8" t="n">
        <v>2010</v>
      </c>
      <c r="K3165" s="9" t="n">
        <v>91825</v>
      </c>
      <c r="L3165" s="10" t="n">
        <v>97000</v>
      </c>
      <c r="M3165" s="10" t="n">
        <v>4237.29</v>
      </c>
      <c r="N3165" s="11">
        <f>IF(M3165="","",ROUND(M3165*1.18,2))</f>
        <v/>
      </c>
      <c r="O3165" s="12">
        <f>IF(M3165="","",ROUND(N3165-M3165,2))</f>
        <v/>
      </c>
      <c r="P3165" s="13">
        <f>IF(AND(A3165&lt;&gt;"",B3165&lt;&gt;""), A3165&amp;" · "&amp;B3165, "")</f>
        <v/>
      </c>
    </row>
    <row r="3166">
      <c r="A3166" s="6" t="inlineStr">
        <is>
          <t>FY27</t>
        </is>
      </c>
      <c r="B3166" s="6" t="inlineStr">
        <is>
          <t>Jul</t>
        </is>
      </c>
      <c r="C3166" s="6" t="inlineStr">
        <is>
          <t>TN</t>
        </is>
      </c>
      <c r="D3166" s="7" t="inlineStr">
        <is>
          <t>TN22BQ8626</t>
        </is>
      </c>
      <c r="E3166" s="7" t="inlineStr">
        <is>
          <t>MARUTI SUZUKI</t>
        </is>
      </c>
      <c r="F3166" s="7" t="inlineStr">
        <is>
          <t>Alto</t>
        </is>
      </c>
      <c r="G3166" s="7" t="inlineStr">
        <is>
          <t>PRODUCTIVITY ELEMENTS PRIVATE LIMITED</t>
        </is>
      </c>
      <c r="H3166" s="7" t="inlineStr">
        <is>
          <t>Non-Captive</t>
        </is>
      </c>
      <c r="I3166" s="7" t="inlineStr">
        <is>
          <t>Senthil Cars</t>
        </is>
      </c>
      <c r="J3166" s="8" t="n">
        <v>2011</v>
      </c>
      <c r="K3166" s="9" t="n">
        <v>29253</v>
      </c>
      <c r="L3166" s="10" t="n">
        <v>99500</v>
      </c>
      <c r="M3166" s="10" t="n">
        <v>4237.29</v>
      </c>
      <c r="N3166" s="11">
        <f>IF(M3166="","",ROUND(M3166*1.18,2))</f>
        <v/>
      </c>
      <c r="O3166" s="12">
        <f>IF(M3166="","",ROUND(N3166-M3166,2))</f>
        <v/>
      </c>
      <c r="P3166" s="13">
        <f>IF(AND(A3166&lt;&gt;"",B3166&lt;&gt;""), A3166&amp;" · "&amp;B3166, "")</f>
        <v/>
      </c>
    </row>
    <row r="3167">
      <c r="A3167" s="6" t="inlineStr">
        <is>
          <t>FY27</t>
        </is>
      </c>
      <c r="B3167" s="6" t="inlineStr">
        <is>
          <t>Jul</t>
        </is>
      </c>
      <c r="C3167" s="6" t="inlineStr">
        <is>
          <t>TN</t>
        </is>
      </c>
      <c r="D3167" s="7" t="inlineStr">
        <is>
          <t>TN22CA4833</t>
        </is>
      </c>
      <c r="E3167" s="7" t="inlineStr">
        <is>
          <t>MARUTI SUZUKI</t>
        </is>
      </c>
      <c r="F3167" s="7" t="inlineStr">
        <is>
          <t>Eeco</t>
        </is>
      </c>
      <c r="G3167" s="7" t="inlineStr">
        <is>
          <t>PRODUCTIVITY ELEMENTS PRIVATE LIMITED</t>
        </is>
      </c>
      <c r="H3167" s="7" t="inlineStr">
        <is>
          <t>Non-Captive</t>
        </is>
      </c>
      <c r="I3167" s="7" t="inlineStr">
        <is>
          <t>SK Cars Prasana</t>
        </is>
      </c>
      <c r="J3167" s="8" t="n">
        <v>2011</v>
      </c>
      <c r="K3167" s="9" t="n">
        <v>82644</v>
      </c>
      <c r="L3167" s="10" t="n">
        <v>130000</v>
      </c>
      <c r="M3167" s="10" t="n">
        <v>4238.14</v>
      </c>
      <c r="N3167" s="11">
        <f>IF(M3167="","",ROUND(M3167*1.18,2))</f>
        <v/>
      </c>
      <c r="O3167" s="12">
        <f>IF(M3167="","",ROUND(N3167-M3167,2))</f>
        <v/>
      </c>
      <c r="P3167" s="13">
        <f>IF(AND(A3167&lt;&gt;"",B3167&lt;&gt;""), A3167&amp;" · "&amp;B3167, "")</f>
        <v/>
      </c>
    </row>
    <row r="3168">
      <c r="A3168" s="6" t="inlineStr">
        <is>
          <t>FY27</t>
        </is>
      </c>
      <c r="B3168" s="6" t="inlineStr">
        <is>
          <t>Jul</t>
        </is>
      </c>
      <c r="C3168" s="6" t="inlineStr">
        <is>
          <t>TN</t>
        </is>
      </c>
      <c r="D3168" s="7" t="inlineStr">
        <is>
          <t>TN22CB6586</t>
        </is>
      </c>
      <c r="E3168" s="7" t="inlineStr">
        <is>
          <t>HYUNDAI</t>
        </is>
      </c>
      <c r="F3168" s="7" t="inlineStr">
        <is>
          <t>i10</t>
        </is>
      </c>
      <c r="G3168" s="7" t="inlineStr">
        <is>
          <t>EXCHANGE CHENNAI</t>
        </is>
      </c>
      <c r="H3168" s="7" t="inlineStr">
        <is>
          <t>Captive</t>
        </is>
      </c>
      <c r="I3168" s="7" t="inlineStr">
        <is>
          <t>Santhosh Cars</t>
        </is>
      </c>
      <c r="J3168" s="8" t="n">
        <v>2011</v>
      </c>
      <c r="K3168" s="9" t="n">
        <v>93374</v>
      </c>
      <c r="L3168" s="10" t="n">
        <v>130000</v>
      </c>
      <c r="M3168" s="10" t="n">
        <v>4237.29</v>
      </c>
      <c r="N3168" s="11">
        <f>IF(M3168="","",ROUND(M3168*1.18,2))</f>
        <v/>
      </c>
      <c r="O3168" s="12">
        <f>IF(M3168="","",ROUND(N3168-M3168,2))</f>
        <v/>
      </c>
      <c r="P3168" s="13">
        <f>IF(AND(A3168&lt;&gt;"",B3168&lt;&gt;""), A3168&amp;" · "&amp;B3168, "")</f>
        <v/>
      </c>
    </row>
    <row r="3169">
      <c r="A3169" s="6" t="inlineStr">
        <is>
          <t>FY27</t>
        </is>
      </c>
      <c r="B3169" s="6" t="inlineStr">
        <is>
          <t>Jul</t>
        </is>
      </c>
      <c r="C3169" s="6" t="inlineStr">
        <is>
          <t>TN</t>
        </is>
      </c>
      <c r="D3169" s="7" t="inlineStr">
        <is>
          <t>TN22CC7943</t>
        </is>
      </c>
      <c r="E3169" s="7" t="inlineStr">
        <is>
          <t>MARUTI SUZUKI</t>
        </is>
      </c>
      <c r="F3169" s="7" t="inlineStr">
        <is>
          <t>A-Star</t>
        </is>
      </c>
      <c r="G3169" s="7" t="inlineStr">
        <is>
          <t>RAJALAKSHMI CARS</t>
        </is>
      </c>
      <c r="H3169" s="7" t="inlineStr">
        <is>
          <t>Non-Captive</t>
        </is>
      </c>
      <c r="I3169" s="7" t="inlineStr">
        <is>
          <t>Pine Autos</t>
        </is>
      </c>
      <c r="J3169" s="8" t="n">
        <v>2012</v>
      </c>
      <c r="K3169" s="9" t="n">
        <v>57517</v>
      </c>
      <c r="L3169" s="10" t="n">
        <v>197000</v>
      </c>
      <c r="M3169" s="10" t="n">
        <v>5084.75</v>
      </c>
      <c r="N3169" s="11">
        <f>IF(M3169="","",ROUND(M3169*1.18,2))</f>
        <v/>
      </c>
      <c r="O3169" s="12">
        <f>IF(M3169="","",ROUND(N3169-M3169,2))</f>
        <v/>
      </c>
      <c r="P3169" s="13">
        <f>IF(AND(A3169&lt;&gt;"",B3169&lt;&gt;""), A3169&amp;" · "&amp;B3169, "")</f>
        <v/>
      </c>
    </row>
    <row r="3170">
      <c r="A3170" s="6" t="inlineStr">
        <is>
          <t>FY27</t>
        </is>
      </c>
      <c r="B3170" s="6" t="inlineStr">
        <is>
          <t>Jul</t>
        </is>
      </c>
      <c r="C3170" s="6" t="inlineStr">
        <is>
          <t>TN</t>
        </is>
      </c>
      <c r="D3170" s="7" t="inlineStr">
        <is>
          <t>TN22CH3558</t>
        </is>
      </c>
      <c r="E3170" s="7" t="inlineStr">
        <is>
          <t>MARUTI SUZUKI</t>
        </is>
      </c>
      <c r="F3170" s="7" t="inlineStr">
        <is>
          <t>Alto 800</t>
        </is>
      </c>
      <c r="G3170" s="7" t="inlineStr">
        <is>
          <t>EXCHANGE ROTN</t>
        </is>
      </c>
      <c r="H3170" s="7" t="inlineStr">
        <is>
          <t>Captive</t>
        </is>
      </c>
      <c r="I3170" s="7" t="inlineStr">
        <is>
          <t>&lt;NA&gt;</t>
        </is>
      </c>
      <c r="J3170" s="8" t="n">
        <v>2012</v>
      </c>
      <c r="K3170" s="9" t="n">
        <v>96173</v>
      </c>
      <c r="L3170" s="10" t="n">
        <v>122000</v>
      </c>
      <c r="M3170" s="10" t="n">
        <v>4237.29</v>
      </c>
      <c r="N3170" s="11">
        <f>IF(M3170="","",ROUND(M3170*1.18,2))</f>
        <v/>
      </c>
      <c r="O3170" s="12">
        <f>IF(M3170="","",ROUND(N3170-M3170,2))</f>
        <v/>
      </c>
      <c r="P3170" s="13">
        <f>IF(AND(A3170&lt;&gt;"",B3170&lt;&gt;""), A3170&amp;" · "&amp;B3170, "")</f>
        <v/>
      </c>
    </row>
    <row r="3171">
      <c r="A3171" s="6" t="inlineStr">
        <is>
          <t>FY27</t>
        </is>
      </c>
      <c r="B3171" s="6" t="inlineStr">
        <is>
          <t>Jul</t>
        </is>
      </c>
      <c r="C3171" s="6" t="inlineStr">
        <is>
          <t>TN</t>
        </is>
      </c>
      <c r="D3171" s="7" t="inlineStr">
        <is>
          <t>TN22CV3529</t>
        </is>
      </c>
      <c r="E3171" s="7" t="inlineStr">
        <is>
          <t>FORD</t>
        </is>
      </c>
      <c r="F3171" s="7" t="inlineStr">
        <is>
          <t>Figo</t>
        </is>
      </c>
      <c r="G3171" s="7" t="inlineStr">
        <is>
          <t>VISHNU CARS PRIVATE LIMITED</t>
        </is>
      </c>
      <c r="H3171" s="7" t="inlineStr">
        <is>
          <t>Non-Captive</t>
        </is>
      </c>
      <c r="I3171" s="7" t="inlineStr">
        <is>
          <t>LIAKATHCARS</t>
        </is>
      </c>
      <c r="J3171" s="8" t="n">
        <v>2011</v>
      </c>
      <c r="K3171" s="9" t="n">
        <v>56006</v>
      </c>
      <c r="L3171" s="10" t="n">
        <v>89000</v>
      </c>
      <c r="M3171" s="10" t="n">
        <v>4237.29</v>
      </c>
      <c r="N3171" s="11">
        <f>IF(M3171="","",ROUND(M3171*1.18,2))</f>
        <v/>
      </c>
      <c r="O3171" s="12">
        <f>IF(M3171="","",ROUND(N3171-M3171,2))</f>
        <v/>
      </c>
      <c r="P3171" s="13">
        <f>IF(AND(A3171&lt;&gt;"",B3171&lt;&gt;""), A3171&amp;" · "&amp;B3171, "")</f>
        <v/>
      </c>
    </row>
    <row r="3172">
      <c r="A3172" s="6" t="inlineStr">
        <is>
          <t>FY27</t>
        </is>
      </c>
      <c r="B3172" s="6" t="inlineStr">
        <is>
          <t>Jul</t>
        </is>
      </c>
      <c r="C3172" s="6" t="inlineStr">
        <is>
          <t>TN</t>
        </is>
      </c>
      <c r="D3172" s="7" t="inlineStr">
        <is>
          <t>TN22CV4035</t>
        </is>
      </c>
      <c r="E3172" s="7" t="inlineStr">
        <is>
          <t>FORD</t>
        </is>
      </c>
      <c r="F3172" s="7" t="inlineStr">
        <is>
          <t>Fiesta Classic</t>
        </is>
      </c>
      <c r="G3172" s="7" t="inlineStr">
        <is>
          <t>CRESCO CARS</t>
        </is>
      </c>
      <c r="H3172" s="7" t="inlineStr">
        <is>
          <t>Non-Captive</t>
        </is>
      </c>
      <c r="I3172" s="7" t="inlineStr">
        <is>
          <t>AAA Cars</t>
        </is>
      </c>
      <c r="J3172" s="8" t="n">
        <v>2012</v>
      </c>
      <c r="K3172" s="9" t="n">
        <v>128736</v>
      </c>
      <c r="L3172" s="10" t="n">
        <v>89000</v>
      </c>
      <c r="M3172" s="10" t="n">
        <v>4237.29</v>
      </c>
      <c r="N3172" s="11">
        <f>IF(M3172="","",ROUND(M3172*1.18,2))</f>
        <v/>
      </c>
      <c r="O3172" s="12">
        <f>IF(M3172="","",ROUND(N3172-M3172,2))</f>
        <v/>
      </c>
      <c r="P3172" s="13">
        <f>IF(AND(A3172&lt;&gt;"",B3172&lt;&gt;""), A3172&amp;" · "&amp;B3172, "")</f>
        <v/>
      </c>
    </row>
    <row r="3173">
      <c r="A3173" s="6" t="inlineStr">
        <is>
          <t>FY27</t>
        </is>
      </c>
      <c r="B3173" s="6" t="inlineStr">
        <is>
          <t>Jul</t>
        </is>
      </c>
      <c r="C3173" s="6" t="inlineStr">
        <is>
          <t>TN</t>
        </is>
      </c>
      <c r="D3173" s="7" t="inlineStr">
        <is>
          <t>TN22CX0711</t>
        </is>
      </c>
      <c r="E3173" s="7" t="inlineStr">
        <is>
          <t>TOYOTA</t>
        </is>
      </c>
      <c r="F3173" s="7" t="inlineStr">
        <is>
          <t>Etios</t>
        </is>
      </c>
      <c r="G3173" s="7" t="inlineStr">
        <is>
          <t>PRODUCTIVITY ELEMENTS PRIVATE LIMITED</t>
        </is>
      </c>
      <c r="H3173" s="7" t="inlineStr">
        <is>
          <t>Non-Captive</t>
        </is>
      </c>
      <c r="I3173" s="7" t="inlineStr">
        <is>
          <t>Senthil Cars</t>
        </is>
      </c>
      <c r="J3173" s="8" t="n">
        <v>2011</v>
      </c>
      <c r="K3173" s="9" t="n">
        <v>129690</v>
      </c>
      <c r="L3173" s="10" t="n">
        <v>89000</v>
      </c>
      <c r="M3173" s="10" t="n">
        <v>4237.29</v>
      </c>
      <c r="N3173" s="11">
        <f>IF(M3173="","",ROUND(M3173*1.18,2))</f>
        <v/>
      </c>
      <c r="O3173" s="12">
        <f>IF(M3173="","",ROUND(N3173-M3173,2))</f>
        <v/>
      </c>
      <c r="P3173" s="13">
        <f>IF(AND(A3173&lt;&gt;"",B3173&lt;&gt;""), A3173&amp;" · "&amp;B3173, "")</f>
        <v/>
      </c>
    </row>
    <row r="3174">
      <c r="A3174" s="6" t="inlineStr">
        <is>
          <t>FY27</t>
        </is>
      </c>
      <c r="B3174" s="6" t="inlineStr">
        <is>
          <t>Jul</t>
        </is>
      </c>
      <c r="C3174" s="6" t="inlineStr">
        <is>
          <t>TN</t>
        </is>
      </c>
      <c r="D3174" s="7" t="inlineStr">
        <is>
          <t>TN22DD2970</t>
        </is>
      </c>
      <c r="E3174" s="7" t="inlineStr">
        <is>
          <t>TATA</t>
        </is>
      </c>
      <c r="F3174" s="7" t="inlineStr">
        <is>
          <t>Indica</t>
        </is>
      </c>
      <c r="G3174" s="7" t="inlineStr">
        <is>
          <t>CRESCO CARS</t>
        </is>
      </c>
      <c r="H3174" s="7" t="inlineStr">
        <is>
          <t>Non-Captive</t>
        </is>
      </c>
      <c r="I3174" s="7" t="inlineStr">
        <is>
          <t>SK Cars Prasana</t>
        </is>
      </c>
      <c r="J3174" s="8" t="n">
        <v>2016</v>
      </c>
      <c r="K3174" s="9" t="n">
        <v>82391</v>
      </c>
      <c r="L3174" s="10" t="n">
        <v>199000</v>
      </c>
      <c r="M3174" s="10" t="n">
        <v>5084.75</v>
      </c>
      <c r="N3174" s="11">
        <f>IF(M3174="","",ROUND(M3174*1.18,2))</f>
        <v/>
      </c>
      <c r="O3174" s="12">
        <f>IF(M3174="","",ROUND(N3174-M3174,2))</f>
        <v/>
      </c>
      <c r="P3174" s="13">
        <f>IF(AND(A3174&lt;&gt;"",B3174&lt;&gt;""), A3174&amp;" · "&amp;B3174, "")</f>
        <v/>
      </c>
    </row>
    <row r="3175">
      <c r="A3175" s="6" t="inlineStr">
        <is>
          <t>FY27</t>
        </is>
      </c>
      <c r="B3175" s="6" t="inlineStr">
        <is>
          <t>Jul</t>
        </is>
      </c>
      <c r="C3175" s="6" t="inlineStr">
        <is>
          <t>TN</t>
        </is>
      </c>
      <c r="D3175" s="7" t="inlineStr">
        <is>
          <t>TN22DD9118</t>
        </is>
      </c>
      <c r="E3175" s="7" t="inlineStr">
        <is>
          <t>TATA</t>
        </is>
      </c>
      <c r="F3175" s="7" t="inlineStr">
        <is>
          <t>Indica</t>
        </is>
      </c>
      <c r="G3175" s="7" t="inlineStr">
        <is>
          <t>PRODUCTIVITY ELEMENTS PRIVATE LIMITED</t>
        </is>
      </c>
      <c r="H3175" s="7" t="inlineStr">
        <is>
          <t>Non-Captive</t>
        </is>
      </c>
      <c r="I3175" s="7" t="inlineStr">
        <is>
          <t>Senthil Cars</t>
        </is>
      </c>
      <c r="J3175" s="8" t="n">
        <v>2016</v>
      </c>
      <c r="K3175" s="9" t="n">
        <v>156721</v>
      </c>
      <c r="L3175" s="10" t="n">
        <v>95000</v>
      </c>
      <c r="M3175" s="10" t="n">
        <v>4237.29</v>
      </c>
      <c r="N3175" s="11">
        <f>IF(M3175="","",ROUND(M3175*1.18,2))</f>
        <v/>
      </c>
      <c r="O3175" s="12">
        <f>IF(M3175="","",ROUND(N3175-M3175,2))</f>
        <v/>
      </c>
      <c r="P3175" s="13">
        <f>IF(AND(A3175&lt;&gt;"",B3175&lt;&gt;""), A3175&amp;" · "&amp;B3175, "")</f>
        <v/>
      </c>
    </row>
    <row r="3176">
      <c r="A3176" s="6" t="inlineStr">
        <is>
          <t>FY27</t>
        </is>
      </c>
      <c r="B3176" s="6" t="inlineStr">
        <is>
          <t>Jul</t>
        </is>
      </c>
      <c r="C3176" s="6" t="inlineStr">
        <is>
          <t>TN</t>
        </is>
      </c>
      <c r="D3176" s="7" t="inlineStr">
        <is>
          <t>TN22DW5043</t>
        </is>
      </c>
      <c r="E3176" s="7" t="inlineStr">
        <is>
          <t>TATA</t>
        </is>
      </c>
      <c r="F3176" s="7" t="inlineStr">
        <is>
          <t>Tiago</t>
        </is>
      </c>
      <c r="G3176" s="7" t="inlineStr">
        <is>
          <t>AUTOMOTIVE MANUFACTURES PRIVATE LIMITED</t>
        </is>
      </c>
      <c r="H3176" s="7" t="inlineStr">
        <is>
          <t>Non-Captive</t>
        </is>
      </c>
      <c r="I3176" s="7" t="inlineStr">
        <is>
          <t>Thiyagarajan Raja Cars</t>
        </is>
      </c>
      <c r="J3176" s="8" t="n">
        <v>2022</v>
      </c>
      <c r="K3176" s="9" t="n">
        <v>52673</v>
      </c>
      <c r="L3176" s="10" t="n">
        <v>198000</v>
      </c>
      <c r="M3176" s="10" t="n">
        <v>5084.75</v>
      </c>
      <c r="N3176" s="11">
        <f>IF(M3176="","",ROUND(M3176*1.18,2))</f>
        <v/>
      </c>
      <c r="O3176" s="12">
        <f>IF(M3176="","",ROUND(N3176-M3176,2))</f>
        <v/>
      </c>
      <c r="P3176" s="13">
        <f>IF(AND(A3176&lt;&gt;"",B3176&lt;&gt;""), A3176&amp;" · "&amp;B3176, "")</f>
        <v/>
      </c>
    </row>
    <row r="3177">
      <c r="A3177" s="6" t="inlineStr">
        <is>
          <t>FY27</t>
        </is>
      </c>
      <c r="B3177" s="6" t="inlineStr">
        <is>
          <t>Jul</t>
        </is>
      </c>
      <c r="C3177" s="6" t="inlineStr">
        <is>
          <t>TN</t>
        </is>
      </c>
      <c r="D3177" s="7" t="inlineStr">
        <is>
          <t>TN22F6955</t>
        </is>
      </c>
      <c r="E3177" s="7" t="inlineStr">
        <is>
          <t>MARUTI SUZUKI</t>
        </is>
      </c>
      <c r="F3177" s="7" t="inlineStr">
        <is>
          <t>Alto 800</t>
        </is>
      </c>
      <c r="G3177" s="7" t="inlineStr">
        <is>
          <t>EXCHANGE ROTN</t>
        </is>
      </c>
      <c r="H3177" s="7" t="inlineStr">
        <is>
          <t>Captive</t>
        </is>
      </c>
      <c r="I3177" s="7" t="inlineStr">
        <is>
          <t>9miles</t>
        </is>
      </c>
      <c r="J3177" s="8" t="n">
        <v>1998</v>
      </c>
      <c r="K3177" s="9" t="n">
        <v>51645</v>
      </c>
      <c r="L3177" s="10" t="n">
        <v>38000</v>
      </c>
      <c r="M3177" s="10" t="n">
        <v>4237.29</v>
      </c>
      <c r="N3177" s="11">
        <f>IF(M3177="","",ROUND(M3177*1.18,2))</f>
        <v/>
      </c>
      <c r="O3177" s="12">
        <f>IF(M3177="","",ROUND(N3177-M3177,2))</f>
        <v/>
      </c>
      <c r="P3177" s="13">
        <f>IF(AND(A3177&lt;&gt;"",B3177&lt;&gt;""), A3177&amp;" · "&amp;B3177, "")</f>
        <v/>
      </c>
    </row>
    <row r="3178">
      <c r="A3178" s="6" t="inlineStr">
        <is>
          <t>FY27</t>
        </is>
      </c>
      <c r="B3178" s="6" t="inlineStr">
        <is>
          <t>Jul</t>
        </is>
      </c>
      <c r="C3178" s="6" t="inlineStr">
        <is>
          <t>TN</t>
        </is>
      </c>
      <c r="D3178" s="7" t="inlineStr">
        <is>
          <t>TN23BB1170</t>
        </is>
      </c>
      <c r="E3178" s="7" t="inlineStr">
        <is>
          <t>HONDA</t>
        </is>
      </c>
      <c r="F3178" s="7" t="inlineStr">
        <is>
          <t>City</t>
        </is>
      </c>
      <c r="G3178" s="7" t="inlineStr">
        <is>
          <t>EXCHANGE ROTN</t>
        </is>
      </c>
      <c r="H3178" s="7" t="inlineStr">
        <is>
          <t>Captive</t>
        </is>
      </c>
      <c r="I3178" s="7" t="inlineStr">
        <is>
          <t>Sivashankar Cars</t>
        </is>
      </c>
      <c r="J3178" s="8" t="n">
        <v>2012</v>
      </c>
      <c r="K3178" s="9" t="n">
        <v>221167</v>
      </c>
      <c r="L3178" s="10" t="n">
        <v>200000</v>
      </c>
      <c r="M3178" s="10" t="n">
        <v>6355.93</v>
      </c>
      <c r="N3178" s="11">
        <f>IF(M3178="","",ROUND(M3178*1.18,2))</f>
        <v/>
      </c>
      <c r="O3178" s="12">
        <f>IF(M3178="","",ROUND(N3178-M3178,2))</f>
        <v/>
      </c>
      <c r="P3178" s="13">
        <f>IF(AND(A3178&lt;&gt;"",B3178&lt;&gt;""), A3178&amp;" · "&amp;B3178, "")</f>
        <v/>
      </c>
    </row>
    <row r="3179">
      <c r="A3179" s="6" t="inlineStr">
        <is>
          <t>FY27</t>
        </is>
      </c>
      <c r="B3179" s="6" t="inlineStr">
        <is>
          <t>Jul</t>
        </is>
      </c>
      <c r="C3179" s="6" t="inlineStr">
        <is>
          <t>TN</t>
        </is>
      </c>
      <c r="D3179" s="7" t="inlineStr">
        <is>
          <t>TN23BJ6864</t>
        </is>
      </c>
      <c r="E3179" s="7" t="inlineStr">
        <is>
          <t>MARUTI SUZUKI</t>
        </is>
      </c>
      <c r="F3179" s="7" t="inlineStr">
        <is>
          <t>Omni</t>
        </is>
      </c>
      <c r="G3179" s="7" t="inlineStr">
        <is>
          <t>EXCHANGE ROTN</t>
        </is>
      </c>
      <c r="H3179" s="7" t="inlineStr">
        <is>
          <t>Captive</t>
        </is>
      </c>
      <c r="I3179" s="7" t="inlineStr">
        <is>
          <t>STALIN CARS</t>
        </is>
      </c>
      <c r="J3179" s="8" t="n">
        <v>2014</v>
      </c>
      <c r="K3179" s="9" t="n">
        <v>120871</v>
      </c>
      <c r="L3179" s="10" t="n">
        <v>60000</v>
      </c>
      <c r="M3179" s="10" t="n">
        <v>4237.29</v>
      </c>
      <c r="N3179" s="11">
        <f>IF(M3179="","",ROUND(M3179*1.18,2))</f>
        <v/>
      </c>
      <c r="O3179" s="12">
        <f>IF(M3179="","",ROUND(N3179-M3179,2))</f>
        <v/>
      </c>
      <c r="P3179" s="13">
        <f>IF(AND(A3179&lt;&gt;"",B3179&lt;&gt;""), A3179&amp;" · "&amp;B3179, "")</f>
        <v/>
      </c>
    </row>
    <row r="3180">
      <c r="A3180" s="6" t="inlineStr">
        <is>
          <t>FY27</t>
        </is>
      </c>
      <c r="B3180" s="6" t="inlineStr">
        <is>
          <t>Jul</t>
        </is>
      </c>
      <c r="C3180" s="6" t="inlineStr">
        <is>
          <t>TN</t>
        </is>
      </c>
      <c r="D3180" s="7" t="inlineStr">
        <is>
          <t>TN23BQ4712</t>
        </is>
      </c>
      <c r="E3180" s="7" t="inlineStr">
        <is>
          <t>HYUNDAI</t>
        </is>
      </c>
      <c r="F3180" s="7" t="inlineStr">
        <is>
          <t>i10</t>
        </is>
      </c>
      <c r="G3180" s="7" t="inlineStr">
        <is>
          <t>AUTO DRIVE</t>
        </is>
      </c>
      <c r="H3180" s="7" t="inlineStr">
        <is>
          <t>Non-Captive</t>
        </is>
      </c>
      <c r="I3180" s="7" t="inlineStr">
        <is>
          <t>SRI VIGNESH PRE OWNED CARS</t>
        </is>
      </c>
      <c r="J3180" s="8" t="n">
        <v>2013</v>
      </c>
      <c r="K3180" s="9" t="n">
        <v>73072</v>
      </c>
      <c r="L3180" s="10" t="n">
        <v>96000</v>
      </c>
      <c r="M3180" s="10" t="n">
        <v>4237.29</v>
      </c>
      <c r="N3180" s="11">
        <f>IF(M3180="","",ROUND(M3180*1.18,2))</f>
        <v/>
      </c>
      <c r="O3180" s="12">
        <f>IF(M3180="","",ROUND(N3180-M3180,2))</f>
        <v/>
      </c>
      <c r="P3180" s="13">
        <f>IF(AND(A3180&lt;&gt;"",B3180&lt;&gt;""), A3180&amp;" · "&amp;B3180, "")</f>
        <v/>
      </c>
    </row>
    <row r="3181">
      <c r="A3181" s="6" t="inlineStr">
        <is>
          <t>FY27</t>
        </is>
      </c>
      <c r="B3181" s="6" t="inlineStr">
        <is>
          <t>Jul</t>
        </is>
      </c>
      <c r="C3181" s="6" t="inlineStr">
        <is>
          <t>TN</t>
        </is>
      </c>
      <c r="D3181" s="7" t="inlineStr">
        <is>
          <t>TN23CP2599</t>
        </is>
      </c>
      <c r="E3181" s="7" t="inlineStr">
        <is>
          <t>VOLKSWAGEN</t>
        </is>
      </c>
      <c r="F3181" s="7" t="inlineStr">
        <is>
          <t>Polo</t>
        </is>
      </c>
      <c r="G3181" s="7" t="inlineStr">
        <is>
          <t>EXCHANGE CHENNAI</t>
        </is>
      </c>
      <c r="H3181" s="7" t="inlineStr">
        <is>
          <t>Captive</t>
        </is>
      </c>
      <c r="I3181" s="7" t="inlineStr">
        <is>
          <t>Senthil Cars</t>
        </is>
      </c>
      <c r="J3181" s="8" t="n">
        <v>2019</v>
      </c>
      <c r="K3181" s="9" t="n">
        <v>102681</v>
      </c>
      <c r="L3181" s="10" t="n">
        <v>550000</v>
      </c>
      <c r="M3181" s="10" t="n">
        <v>8474.58</v>
      </c>
      <c r="N3181" s="11">
        <f>IF(M3181="","",ROUND(M3181*1.18,2))</f>
        <v/>
      </c>
      <c r="O3181" s="12">
        <f>IF(M3181="","",ROUND(N3181-M3181,2))</f>
        <v/>
      </c>
      <c r="P3181" s="13">
        <f>IF(AND(A3181&lt;&gt;"",B3181&lt;&gt;""), A3181&amp;" · "&amp;B3181, "")</f>
        <v/>
      </c>
    </row>
    <row r="3182">
      <c r="A3182" s="6" t="inlineStr">
        <is>
          <t>FY27</t>
        </is>
      </c>
      <c r="B3182" s="6" t="inlineStr">
        <is>
          <t>Jul</t>
        </is>
      </c>
      <c r="C3182" s="6" t="inlineStr">
        <is>
          <t>TN</t>
        </is>
      </c>
      <c r="D3182" s="7" t="inlineStr">
        <is>
          <t>TN24U6194</t>
        </is>
      </c>
      <c r="E3182" s="7" t="inlineStr">
        <is>
          <t>MARUTI SUZUKI</t>
        </is>
      </c>
      <c r="F3182" s="7" t="inlineStr">
        <is>
          <t>Alto</t>
        </is>
      </c>
      <c r="G3182" s="7" t="inlineStr">
        <is>
          <t>STEER AUTO TECHNOLOGIES PRIVATE LIMITED</t>
        </is>
      </c>
      <c r="H3182" s="7" t="inlineStr">
        <is>
          <t>Non-Captive</t>
        </is>
      </c>
      <c r="I3182" s="7" t="inlineStr">
        <is>
          <t>Kamal Cars</t>
        </is>
      </c>
      <c r="J3182" s="8" t="n">
        <v>2008</v>
      </c>
      <c r="K3182" s="9" t="n">
        <v>10774</v>
      </c>
      <c r="L3182" s="10" t="n">
        <v>70000</v>
      </c>
      <c r="M3182" s="10" t="n">
        <v>4237.29</v>
      </c>
      <c r="N3182" s="11">
        <f>IF(M3182="","",ROUND(M3182*1.18,2))</f>
        <v/>
      </c>
      <c r="O3182" s="12">
        <f>IF(M3182="","",ROUND(N3182-M3182,2))</f>
        <v/>
      </c>
      <c r="P3182" s="13">
        <f>IF(AND(A3182&lt;&gt;"",B3182&lt;&gt;""), A3182&amp;" · "&amp;B3182, "")</f>
        <v/>
      </c>
    </row>
    <row r="3183">
      <c r="A3183" s="6" t="inlineStr">
        <is>
          <t>FY27</t>
        </is>
      </c>
      <c r="B3183" s="6" t="inlineStr">
        <is>
          <t>Jul</t>
        </is>
      </c>
      <c r="C3183" s="6" t="inlineStr">
        <is>
          <t>TN</t>
        </is>
      </c>
      <c r="D3183" s="7" t="inlineStr">
        <is>
          <t>TN25BW7866</t>
        </is>
      </c>
      <c r="E3183" s="7" t="inlineStr">
        <is>
          <t>HONDA</t>
        </is>
      </c>
      <c r="F3183" s="7" t="inlineStr">
        <is>
          <t>Jazz</t>
        </is>
      </c>
      <c r="G3183" s="7" t="inlineStr">
        <is>
          <t>EXCHANGE CHENNAI</t>
        </is>
      </c>
      <c r="H3183" s="7" t="inlineStr">
        <is>
          <t>Captive</t>
        </is>
      </c>
      <c r="I3183" s="7" t="inlineStr">
        <is>
          <t>&lt;NA&gt;</t>
        </is>
      </c>
      <c r="J3183" s="8" t="n">
        <v>2018</v>
      </c>
      <c r="K3183" s="9" t="n">
        <v>65989</v>
      </c>
      <c r="L3183" s="10" t="n">
        <v>150000</v>
      </c>
      <c r="M3183" s="10" t="n">
        <v>4237.29</v>
      </c>
      <c r="N3183" s="11">
        <f>IF(M3183="","",ROUND(M3183*1.18,2))</f>
        <v/>
      </c>
      <c r="O3183" s="12">
        <f>IF(M3183="","",ROUND(N3183-M3183,2))</f>
        <v/>
      </c>
      <c r="P3183" s="13">
        <f>IF(AND(A3183&lt;&gt;"",B3183&lt;&gt;""), A3183&amp;" · "&amp;B3183, "")</f>
        <v/>
      </c>
    </row>
    <row r="3184">
      <c r="A3184" s="6" t="inlineStr">
        <is>
          <t>FY27</t>
        </is>
      </c>
      <c r="B3184" s="6" t="inlineStr">
        <is>
          <t>Jul</t>
        </is>
      </c>
      <c r="C3184" s="6" t="inlineStr">
        <is>
          <t>TN</t>
        </is>
      </c>
      <c r="D3184" s="7" t="inlineStr">
        <is>
          <t>TN27H6337</t>
        </is>
      </c>
      <c r="E3184" s="7" t="inlineStr">
        <is>
          <t>MARUTI SUZUKI</t>
        </is>
      </c>
      <c r="F3184" s="7" t="inlineStr">
        <is>
          <t>800</t>
        </is>
      </c>
      <c r="G3184" s="7" t="inlineStr">
        <is>
          <t>EXCHANGE ROTN</t>
        </is>
      </c>
      <c r="H3184" s="7" t="inlineStr">
        <is>
          <t>Captive</t>
        </is>
      </c>
      <c r="I3184" s="7" t="inlineStr">
        <is>
          <t>VIJAY CARS ERODE</t>
        </is>
      </c>
      <c r="J3184" s="8" t="n">
        <v>1997</v>
      </c>
      <c r="K3184" s="9" t="n">
        <v>96041</v>
      </c>
      <c r="L3184" s="10" t="n">
        <v>25000</v>
      </c>
      <c r="M3184" s="10" t="n">
        <v>4237.29</v>
      </c>
      <c r="N3184" s="11">
        <f>IF(M3184="","",ROUND(M3184*1.18,2))</f>
        <v/>
      </c>
      <c r="O3184" s="12">
        <f>IF(M3184="","",ROUND(N3184-M3184,2))</f>
        <v/>
      </c>
      <c r="P3184" s="13">
        <f>IF(AND(A3184&lt;&gt;"",B3184&lt;&gt;""), A3184&amp;" · "&amp;B3184, "")</f>
        <v/>
      </c>
    </row>
    <row r="3185">
      <c r="A3185" s="6" t="inlineStr">
        <is>
          <t>FY27</t>
        </is>
      </c>
      <c r="B3185" s="6" t="inlineStr">
        <is>
          <t>Jul</t>
        </is>
      </c>
      <c r="C3185" s="6" t="inlineStr">
        <is>
          <t>TN</t>
        </is>
      </c>
      <c r="D3185" s="7" t="inlineStr">
        <is>
          <t>TN27M7077</t>
        </is>
      </c>
      <c r="E3185" s="7" t="inlineStr">
        <is>
          <t>HYUNDAI</t>
        </is>
      </c>
      <c r="F3185" s="7" t="inlineStr">
        <is>
          <t>Santro</t>
        </is>
      </c>
      <c r="G3185" s="7" t="inlineStr">
        <is>
          <t>EXCHANGE ROTN</t>
        </is>
      </c>
      <c r="H3185" s="7" t="inlineStr">
        <is>
          <t>Captive</t>
        </is>
      </c>
      <c r="I3185" s="7" t="inlineStr">
        <is>
          <t>&lt;NA&gt;</t>
        </is>
      </c>
      <c r="J3185" s="8" t="n">
        <v>1999</v>
      </c>
      <c r="K3185" s="9" t="n">
        <v>161271</v>
      </c>
      <c r="L3185" s="10" t="n">
        <v>30000</v>
      </c>
      <c r="M3185" s="10" t="n">
        <v>4237.29</v>
      </c>
      <c r="N3185" s="11">
        <f>IF(M3185="","",ROUND(M3185*1.18,2))</f>
        <v/>
      </c>
      <c r="O3185" s="12">
        <f>IF(M3185="","",ROUND(N3185-M3185,2))</f>
        <v/>
      </c>
      <c r="P3185" s="13">
        <f>IF(AND(A3185&lt;&gt;"",B3185&lt;&gt;""), A3185&amp;" · "&amp;B3185, "")</f>
        <v/>
      </c>
    </row>
    <row r="3186">
      <c r="A3186" s="6" t="inlineStr">
        <is>
          <t>FY27</t>
        </is>
      </c>
      <c r="B3186" s="6" t="inlineStr">
        <is>
          <t>Jul</t>
        </is>
      </c>
      <c r="C3186" s="6" t="inlineStr">
        <is>
          <t>TN</t>
        </is>
      </c>
      <c r="D3186" s="7" t="inlineStr">
        <is>
          <t>TN28AH0123</t>
        </is>
      </c>
      <c r="E3186" s="7" t="inlineStr">
        <is>
          <t>HYUNDAI</t>
        </is>
      </c>
      <c r="F3186" s="7" t="inlineStr">
        <is>
          <t>Santro</t>
        </is>
      </c>
      <c r="G3186" s="7" t="inlineStr">
        <is>
          <t>EXCHANGE ROTN</t>
        </is>
      </c>
      <c r="H3186" s="7" t="inlineStr">
        <is>
          <t>Captive</t>
        </is>
      </c>
      <c r="I3186" s="7" t="inlineStr">
        <is>
          <t>Paul Cars</t>
        </is>
      </c>
      <c r="J3186" s="8" t="n">
        <v>2010</v>
      </c>
      <c r="K3186" s="9" t="n">
        <v>124695</v>
      </c>
      <c r="L3186" s="10" t="n">
        <v>95000</v>
      </c>
      <c r="M3186" s="10" t="n">
        <v>4237.29</v>
      </c>
      <c r="N3186" s="11">
        <f>IF(M3186="","",ROUND(M3186*1.18,2))</f>
        <v/>
      </c>
      <c r="O3186" s="12">
        <f>IF(M3186="","",ROUND(N3186-M3186,2))</f>
        <v/>
      </c>
      <c r="P3186" s="13">
        <f>IF(AND(A3186&lt;&gt;"",B3186&lt;&gt;""), A3186&amp;" · "&amp;B3186, "")</f>
        <v/>
      </c>
    </row>
    <row r="3187">
      <c r="A3187" s="6" t="inlineStr">
        <is>
          <t>FY27</t>
        </is>
      </c>
      <c r="B3187" s="6" t="inlineStr">
        <is>
          <t>Jul</t>
        </is>
      </c>
      <c r="C3187" s="6" t="inlineStr">
        <is>
          <t>TN</t>
        </is>
      </c>
      <c r="D3187" s="7" t="inlineStr">
        <is>
          <t>TN28AP6496</t>
        </is>
      </c>
      <c r="E3187" s="7" t="inlineStr">
        <is>
          <t>CHEVROLET</t>
        </is>
      </c>
      <c r="F3187" s="7" t="inlineStr">
        <is>
          <t>Spark</t>
        </is>
      </c>
      <c r="G3187" s="7" t="inlineStr">
        <is>
          <t>CRESCO CARS</t>
        </is>
      </c>
      <c r="H3187" s="7" t="inlineStr">
        <is>
          <t>Non-Captive</t>
        </is>
      </c>
      <c r="I3187" s="7" t="inlineStr">
        <is>
          <t>Pine Autos</t>
        </is>
      </c>
      <c r="J3187" s="8" t="n">
        <v>2013</v>
      </c>
      <c r="K3187" s="9" t="n">
        <v>69451</v>
      </c>
      <c r="L3187" s="10" t="n">
        <v>194000</v>
      </c>
      <c r="M3187" s="10" t="n">
        <v>5508.47</v>
      </c>
      <c r="N3187" s="11">
        <f>IF(M3187="","",ROUND(M3187*1.18,2))</f>
        <v/>
      </c>
      <c r="O3187" s="12">
        <f>IF(M3187="","",ROUND(N3187-M3187,2))</f>
        <v/>
      </c>
      <c r="P3187" s="13">
        <f>IF(AND(A3187&lt;&gt;"",B3187&lt;&gt;""), A3187&amp;" · "&amp;B3187, "")</f>
        <v/>
      </c>
    </row>
    <row r="3188">
      <c r="A3188" s="6" t="inlineStr">
        <is>
          <t>FY27</t>
        </is>
      </c>
      <c r="B3188" s="6" t="inlineStr">
        <is>
          <t>Jul</t>
        </is>
      </c>
      <c r="C3188" s="6" t="inlineStr">
        <is>
          <t>TN</t>
        </is>
      </c>
      <c r="D3188" s="7" t="inlineStr">
        <is>
          <t>TN28D6060</t>
        </is>
      </c>
      <c r="E3188" s="7" t="inlineStr">
        <is>
          <t>MARUTI SUZUKI</t>
        </is>
      </c>
      <c r="F3188" s="7" t="inlineStr">
        <is>
          <t>800</t>
        </is>
      </c>
      <c r="G3188" s="7" t="inlineStr">
        <is>
          <t>EXCHANGE ROTN</t>
        </is>
      </c>
      <c r="H3188" s="7" t="inlineStr">
        <is>
          <t>Captive</t>
        </is>
      </c>
      <c r="I3188" s="7" t="inlineStr">
        <is>
          <t>SRI RAJA KANAPATHY CARS</t>
        </is>
      </c>
      <c r="J3188" s="8" t="n">
        <v>1998</v>
      </c>
      <c r="K3188" s="9" t="n">
        <v>89578</v>
      </c>
      <c r="L3188" s="10" t="n">
        <v>30000</v>
      </c>
      <c r="M3188" s="10" t="n">
        <v>4237.29</v>
      </c>
      <c r="N3188" s="11">
        <f>IF(M3188="","",ROUND(M3188*1.18,2))</f>
        <v/>
      </c>
      <c r="O3188" s="12">
        <f>IF(M3188="","",ROUND(N3188-M3188,2))</f>
        <v/>
      </c>
      <c r="P3188" s="13">
        <f>IF(AND(A3188&lt;&gt;"",B3188&lt;&gt;""), A3188&amp;" · "&amp;B3188, "")</f>
        <v/>
      </c>
    </row>
    <row r="3189">
      <c r="A3189" s="6" t="inlineStr">
        <is>
          <t>FY27</t>
        </is>
      </c>
      <c r="B3189" s="6" t="inlineStr">
        <is>
          <t>Jul</t>
        </is>
      </c>
      <c r="C3189" s="6" t="inlineStr">
        <is>
          <t>TN</t>
        </is>
      </c>
      <c r="D3189" s="7" t="inlineStr">
        <is>
          <t>TN29AE9545</t>
        </is>
      </c>
      <c r="E3189" s="7" t="inlineStr">
        <is>
          <t>TATA</t>
        </is>
      </c>
      <c r="F3189" s="7" t="inlineStr">
        <is>
          <t>Indica</t>
        </is>
      </c>
      <c r="G3189" s="7" t="inlineStr">
        <is>
          <t>RAJALAKSHMI CARS</t>
        </is>
      </c>
      <c r="H3189" s="7" t="inlineStr">
        <is>
          <t>Non-Captive</t>
        </is>
      </c>
      <c r="I3189" s="7" t="inlineStr">
        <is>
          <t>SK Cars Prasana</t>
        </is>
      </c>
      <c r="J3189" s="8" t="n">
        <v>2010</v>
      </c>
      <c r="K3189" s="9" t="n">
        <v>125760</v>
      </c>
      <c r="L3189" s="10" t="n">
        <v>93000</v>
      </c>
      <c r="M3189" s="10" t="n">
        <v>4237.29</v>
      </c>
      <c r="N3189" s="11">
        <f>IF(M3189="","",ROUND(M3189*1.18,2))</f>
        <v/>
      </c>
      <c r="O3189" s="12">
        <f>IF(M3189="","",ROUND(N3189-M3189,2))</f>
        <v/>
      </c>
      <c r="P3189" s="13">
        <f>IF(AND(A3189&lt;&gt;"",B3189&lt;&gt;""), A3189&amp;" · "&amp;B3189, "")</f>
        <v/>
      </c>
    </row>
    <row r="3190">
      <c r="A3190" s="6" t="inlineStr">
        <is>
          <t>FY27</t>
        </is>
      </c>
      <c r="B3190" s="6" t="inlineStr">
        <is>
          <t>Jul</t>
        </is>
      </c>
      <c r="C3190" s="6" t="inlineStr">
        <is>
          <t>TN</t>
        </is>
      </c>
      <c r="D3190" s="7" t="inlineStr">
        <is>
          <t>TN29BM4646</t>
        </is>
      </c>
      <c r="E3190" s="7" t="inlineStr">
        <is>
          <t>HYUNDAI</t>
        </is>
      </c>
      <c r="F3190" s="7" t="inlineStr">
        <is>
          <t>Creta</t>
        </is>
      </c>
      <c r="G3190" s="7" t="inlineStr">
        <is>
          <t>AUTOMOTIVE MANUFACTURES PRIVATE LIMITED</t>
        </is>
      </c>
      <c r="H3190" s="7" t="inlineStr">
        <is>
          <t>Non-Captive</t>
        </is>
      </c>
      <c r="I3190" s="7" t="inlineStr">
        <is>
          <t>Nirmal Cars</t>
        </is>
      </c>
      <c r="J3190" s="8" t="n">
        <v>2020</v>
      </c>
      <c r="K3190" s="9" t="n">
        <v>56936</v>
      </c>
      <c r="L3190" s="10" t="n">
        <v>600000</v>
      </c>
      <c r="M3190" s="10" t="n">
        <v>10169.49</v>
      </c>
      <c r="N3190" s="11">
        <f>IF(M3190="","",ROUND(M3190*1.18,2))</f>
        <v/>
      </c>
      <c r="O3190" s="12">
        <f>IF(M3190="","",ROUND(N3190-M3190,2))</f>
        <v/>
      </c>
      <c r="P3190" s="13">
        <f>IF(AND(A3190&lt;&gt;"",B3190&lt;&gt;""), A3190&amp;" · "&amp;B3190, "")</f>
        <v/>
      </c>
    </row>
    <row r="3191">
      <c r="A3191" s="6" t="inlineStr">
        <is>
          <t>FY27</t>
        </is>
      </c>
      <c r="B3191" s="6" t="inlineStr">
        <is>
          <t>Jul</t>
        </is>
      </c>
      <c r="C3191" s="6" t="inlineStr">
        <is>
          <t>TN</t>
        </is>
      </c>
      <c r="D3191" s="7" t="inlineStr">
        <is>
          <t>TN30AK5445</t>
        </is>
      </c>
      <c r="E3191" s="7" t="inlineStr">
        <is>
          <t>FORD</t>
        </is>
      </c>
      <c r="F3191" s="7" t="inlineStr">
        <is>
          <t>Fiesta</t>
        </is>
      </c>
      <c r="G3191" s="7" t="inlineStr">
        <is>
          <t>EXCHANGE ROTN</t>
        </is>
      </c>
      <c r="H3191" s="7" t="inlineStr">
        <is>
          <t>Captive</t>
        </is>
      </c>
      <c r="I3191" s="7" t="inlineStr">
        <is>
          <t>&lt;NA&gt;</t>
        </is>
      </c>
      <c r="J3191" s="8" t="n">
        <v>2011</v>
      </c>
      <c r="K3191" s="9" t="n">
        <v>110559</v>
      </c>
      <c r="L3191" s="10" t="n">
        <v>50000</v>
      </c>
      <c r="M3191" s="10" t="n">
        <v>4237.29</v>
      </c>
      <c r="N3191" s="11">
        <f>IF(M3191="","",ROUND(M3191*1.18,2))</f>
        <v/>
      </c>
      <c r="O3191" s="12">
        <f>IF(M3191="","",ROUND(N3191-M3191,2))</f>
        <v/>
      </c>
      <c r="P3191" s="13">
        <f>IF(AND(A3191&lt;&gt;"",B3191&lt;&gt;""), A3191&amp;" · "&amp;B3191, "")</f>
        <v/>
      </c>
    </row>
    <row r="3192">
      <c r="A3192" s="6" t="inlineStr">
        <is>
          <t>FY27</t>
        </is>
      </c>
      <c r="B3192" s="6" t="inlineStr">
        <is>
          <t>Jul</t>
        </is>
      </c>
      <c r="C3192" s="6" t="inlineStr">
        <is>
          <t>TN</t>
        </is>
      </c>
      <c r="D3192" s="7" t="inlineStr">
        <is>
          <t>TN30AT7490</t>
        </is>
      </c>
      <c r="E3192" s="7" t="inlineStr">
        <is>
          <t>RENAULT</t>
        </is>
      </c>
      <c r="F3192" s="7" t="inlineStr">
        <is>
          <t>Pulse</t>
        </is>
      </c>
      <c r="G3192" s="7" t="inlineStr">
        <is>
          <t>EXCHANGE ROTN</t>
        </is>
      </c>
      <c r="H3192" s="7" t="inlineStr">
        <is>
          <t>Captive</t>
        </is>
      </c>
      <c r="I3192" s="7" t="inlineStr">
        <is>
          <t>SRI RAJA KANAPATHY CARS</t>
        </is>
      </c>
      <c r="J3192" s="8" t="n">
        <v>2013</v>
      </c>
      <c r="K3192" s="9" t="n">
        <v>108487</v>
      </c>
      <c r="L3192" s="10" t="n">
        <v>75000</v>
      </c>
      <c r="M3192" s="10" t="n">
        <v>4237.29</v>
      </c>
      <c r="N3192" s="11">
        <f>IF(M3192="","",ROUND(M3192*1.18,2))</f>
        <v/>
      </c>
      <c r="O3192" s="12">
        <f>IF(M3192="","",ROUND(N3192-M3192,2))</f>
        <v/>
      </c>
      <c r="P3192" s="13">
        <f>IF(AND(A3192&lt;&gt;"",B3192&lt;&gt;""), A3192&amp;" · "&amp;B3192, "")</f>
        <v/>
      </c>
    </row>
    <row r="3193">
      <c r="A3193" s="6" t="inlineStr">
        <is>
          <t>FY27</t>
        </is>
      </c>
      <c r="B3193" s="6" t="inlineStr">
        <is>
          <t>Jul</t>
        </is>
      </c>
      <c r="C3193" s="6" t="inlineStr">
        <is>
          <t>TN</t>
        </is>
      </c>
      <c r="D3193" s="7" t="inlineStr">
        <is>
          <t>TN30BE6349</t>
        </is>
      </c>
      <c r="E3193" s="7" t="inlineStr">
        <is>
          <t>TATA</t>
        </is>
      </c>
      <c r="F3193" s="7" t="inlineStr">
        <is>
          <t>Indica</t>
        </is>
      </c>
      <c r="G3193" s="7" t="inlineStr">
        <is>
          <t>EXCHANGE ROTN</t>
        </is>
      </c>
      <c r="H3193" s="7" t="inlineStr">
        <is>
          <t>Captive</t>
        </is>
      </c>
      <c r="I3193" s="7" t="inlineStr">
        <is>
          <t>&lt;NA&gt;</t>
        </is>
      </c>
      <c r="J3193" s="8" t="n">
        <v>2016</v>
      </c>
      <c r="K3193" s="9" t="n">
        <v>289815</v>
      </c>
      <c r="L3193" s="10" t="n">
        <v>115000</v>
      </c>
      <c r="M3193" s="10" t="n">
        <v>4237.29</v>
      </c>
      <c r="N3193" s="11">
        <f>IF(M3193="","",ROUND(M3193*1.18,2))</f>
        <v/>
      </c>
      <c r="O3193" s="12">
        <f>IF(M3193="","",ROUND(N3193-M3193,2))</f>
        <v/>
      </c>
      <c r="P3193" s="13">
        <f>IF(AND(A3193&lt;&gt;"",B3193&lt;&gt;""), A3193&amp;" · "&amp;B3193, "")</f>
        <v/>
      </c>
    </row>
    <row r="3194">
      <c r="A3194" s="6" t="inlineStr">
        <is>
          <t>FY27</t>
        </is>
      </c>
      <c r="B3194" s="6" t="inlineStr">
        <is>
          <t>Jul</t>
        </is>
      </c>
      <c r="C3194" s="6" t="inlineStr">
        <is>
          <t>TN</t>
        </is>
      </c>
      <c r="D3194" s="7" t="inlineStr">
        <is>
          <t>TN30BR7678</t>
        </is>
      </c>
      <c r="E3194" s="7" t="inlineStr">
        <is>
          <t>MARUTI SUZUKI</t>
        </is>
      </c>
      <c r="F3194" s="7" t="inlineStr">
        <is>
          <t>Swift</t>
        </is>
      </c>
      <c r="G3194" s="7" t="inlineStr">
        <is>
          <t>EXCHANGE ROTN</t>
        </is>
      </c>
      <c r="H3194" s="7" t="inlineStr">
        <is>
          <t>Captive</t>
        </is>
      </c>
      <c r="I3194" s="7" t="inlineStr">
        <is>
          <t>STALIN CARS</t>
        </is>
      </c>
      <c r="J3194" s="8" t="n">
        <v>2021</v>
      </c>
      <c r="K3194" s="9" t="n">
        <v>81302</v>
      </c>
      <c r="L3194" s="10" t="n">
        <v>475000</v>
      </c>
      <c r="M3194" s="10" t="n">
        <v>12711.86</v>
      </c>
      <c r="N3194" s="11">
        <f>IF(M3194="","",ROUND(M3194*1.18,2))</f>
        <v/>
      </c>
      <c r="O3194" s="12">
        <f>IF(M3194="","",ROUND(N3194-M3194,2))</f>
        <v/>
      </c>
      <c r="P3194" s="13">
        <f>IF(AND(A3194&lt;&gt;"",B3194&lt;&gt;""), A3194&amp;" · "&amp;B3194, "")</f>
        <v/>
      </c>
    </row>
    <row r="3195">
      <c r="A3195" s="6" t="inlineStr">
        <is>
          <t>FY27</t>
        </is>
      </c>
      <c r="B3195" s="6" t="inlineStr">
        <is>
          <t>Jul</t>
        </is>
      </c>
      <c r="C3195" s="6" t="inlineStr">
        <is>
          <t>TN</t>
        </is>
      </c>
      <c r="D3195" s="7" t="inlineStr">
        <is>
          <t>TN31AH4189</t>
        </is>
      </c>
      <c r="E3195" s="7" t="inlineStr">
        <is>
          <t>TATA</t>
        </is>
      </c>
      <c r="F3195" s="7" t="inlineStr">
        <is>
          <t>Nano</t>
        </is>
      </c>
      <c r="G3195" s="7" t="inlineStr">
        <is>
          <t>AIE CARS PRIVATE LIMITED</t>
        </is>
      </c>
      <c r="H3195" s="7" t="inlineStr">
        <is>
          <t>Non-Captive</t>
        </is>
      </c>
      <c r="I3195" s="7" t="inlineStr">
        <is>
          <t>S2 MOTORZ</t>
        </is>
      </c>
      <c r="J3195" s="8" t="n">
        <v>2012</v>
      </c>
      <c r="K3195" s="9" t="n">
        <v>28603</v>
      </c>
      <c r="L3195" s="10" t="n">
        <v>89000</v>
      </c>
      <c r="M3195" s="10" t="n">
        <v>4237.29</v>
      </c>
      <c r="N3195" s="11">
        <f>IF(M3195="","",ROUND(M3195*1.18,2))</f>
        <v/>
      </c>
      <c r="O3195" s="12">
        <f>IF(M3195="","",ROUND(N3195-M3195,2))</f>
        <v/>
      </c>
      <c r="P3195" s="13">
        <f>IF(AND(A3195&lt;&gt;"",B3195&lt;&gt;""), A3195&amp;" · "&amp;B3195, "")</f>
        <v/>
      </c>
    </row>
    <row r="3196">
      <c r="A3196" s="6" t="inlineStr">
        <is>
          <t>FY27</t>
        </is>
      </c>
      <c r="B3196" s="6" t="inlineStr">
        <is>
          <t>Jul</t>
        </is>
      </c>
      <c r="C3196" s="6" t="inlineStr">
        <is>
          <t>TN</t>
        </is>
      </c>
      <c r="D3196" s="7" t="inlineStr">
        <is>
          <t>TN31AX7699</t>
        </is>
      </c>
      <c r="E3196" s="7" t="inlineStr">
        <is>
          <t>MARUTI SUZUKI</t>
        </is>
      </c>
      <c r="F3196" s="7" t="inlineStr">
        <is>
          <t>Swift</t>
        </is>
      </c>
      <c r="G3196" s="7" t="inlineStr">
        <is>
          <t>CAR HUB</t>
        </is>
      </c>
      <c r="H3196" s="7" t="inlineStr">
        <is>
          <t>Non-Captive</t>
        </is>
      </c>
      <c r="I3196" s="7" t="inlineStr">
        <is>
          <t>Kamal Cars</t>
        </is>
      </c>
      <c r="J3196" s="8" t="n">
        <v>2008</v>
      </c>
      <c r="K3196" s="9" t="n">
        <v>178859</v>
      </c>
      <c r="L3196" s="10" t="n">
        <v>95000</v>
      </c>
      <c r="M3196" s="10" t="n">
        <v>4237.29</v>
      </c>
      <c r="N3196" s="11">
        <f>IF(M3196="","",ROUND(M3196*1.18,2))</f>
        <v/>
      </c>
      <c r="O3196" s="12">
        <f>IF(M3196="","",ROUND(N3196-M3196,2))</f>
        <v/>
      </c>
      <c r="P3196" s="13">
        <f>IF(AND(A3196&lt;&gt;"",B3196&lt;&gt;""), A3196&amp;" · "&amp;B3196, "")</f>
        <v/>
      </c>
    </row>
    <row r="3197">
      <c r="A3197" s="6" t="inlineStr">
        <is>
          <t>FY27</t>
        </is>
      </c>
      <c r="B3197" s="6" t="inlineStr">
        <is>
          <t>Jul</t>
        </is>
      </c>
      <c r="C3197" s="6" t="inlineStr">
        <is>
          <t>TN</t>
        </is>
      </c>
      <c r="D3197" s="7" t="inlineStr">
        <is>
          <t>TN31BZ6363</t>
        </is>
      </c>
      <c r="E3197" s="7" t="inlineStr">
        <is>
          <t>CHEVROLET</t>
        </is>
      </c>
      <c r="F3197" s="7" t="inlineStr">
        <is>
          <t>Spark</t>
        </is>
      </c>
      <c r="G3197" s="7" t="inlineStr">
        <is>
          <t>STEER AUTO TECHNOLOGIES PRIVATE LIMITED</t>
        </is>
      </c>
      <c r="H3197" s="7" t="inlineStr">
        <is>
          <t>Non-Captive</t>
        </is>
      </c>
      <c r="I3197" s="7" t="inlineStr">
        <is>
          <t>AAA Cars</t>
        </is>
      </c>
      <c r="J3197" s="8" t="n">
        <v>2009</v>
      </c>
      <c r="K3197" s="9" t="n">
        <v>69451</v>
      </c>
      <c r="L3197" s="10" t="n">
        <v>92000</v>
      </c>
      <c r="M3197" s="10" t="n">
        <v>4237.29</v>
      </c>
      <c r="N3197" s="11">
        <f>IF(M3197="","",ROUND(M3197*1.18,2))</f>
        <v/>
      </c>
      <c r="O3197" s="12">
        <f>IF(M3197="","",ROUND(N3197-M3197,2))</f>
        <v/>
      </c>
      <c r="P3197" s="13">
        <f>IF(AND(A3197&lt;&gt;"",B3197&lt;&gt;""), A3197&amp;" · "&amp;B3197, "")</f>
        <v/>
      </c>
    </row>
    <row r="3198">
      <c r="A3198" s="6" t="inlineStr">
        <is>
          <t>FY27</t>
        </is>
      </c>
      <c r="B3198" s="6" t="inlineStr">
        <is>
          <t>Jul</t>
        </is>
      </c>
      <c r="C3198" s="6" t="inlineStr">
        <is>
          <t>TN</t>
        </is>
      </c>
      <c r="D3198" s="7" t="inlineStr">
        <is>
          <t>TN33AA6143</t>
        </is>
      </c>
      <c r="E3198" s="7" t="inlineStr">
        <is>
          <t>HYUNDAI</t>
        </is>
      </c>
      <c r="F3198" s="7" t="inlineStr">
        <is>
          <t>Santro</t>
        </is>
      </c>
      <c r="G3198" s="7" t="inlineStr">
        <is>
          <t>EXCHANGE ROTN</t>
        </is>
      </c>
      <c r="H3198" s="7" t="inlineStr">
        <is>
          <t>Captive</t>
        </is>
      </c>
      <c r="I3198" s="7" t="inlineStr">
        <is>
          <t>VIJAY CARS ERODE</t>
        </is>
      </c>
      <c r="J3198" s="8" t="n">
        <v>2003</v>
      </c>
      <c r="K3198" s="9" t="n">
        <v>210815</v>
      </c>
      <c r="L3198" s="10" t="n">
        <v>50000</v>
      </c>
      <c r="M3198" s="10" t="n">
        <v>4237.29</v>
      </c>
      <c r="N3198" s="11">
        <f>IF(M3198="","",ROUND(M3198*1.18,2))</f>
        <v/>
      </c>
      <c r="O3198" s="12">
        <f>IF(M3198="","",ROUND(N3198-M3198,2))</f>
        <v/>
      </c>
      <c r="P3198" s="13">
        <f>IF(AND(A3198&lt;&gt;"",B3198&lt;&gt;""), A3198&amp;" · "&amp;B3198, "")</f>
        <v/>
      </c>
    </row>
    <row r="3199">
      <c r="A3199" s="6" t="inlineStr">
        <is>
          <t>FY27</t>
        </is>
      </c>
      <c r="B3199" s="6" t="inlineStr">
        <is>
          <t>Jul</t>
        </is>
      </c>
      <c r="C3199" s="6" t="inlineStr">
        <is>
          <t>TN</t>
        </is>
      </c>
      <c r="D3199" s="7" t="inlineStr">
        <is>
          <t>TN33AM9798</t>
        </is>
      </c>
      <c r="E3199" s="7" t="inlineStr">
        <is>
          <t>TATA</t>
        </is>
      </c>
      <c r="F3199" s="7" t="inlineStr">
        <is>
          <t>Indica</t>
        </is>
      </c>
      <c r="G3199" s="7" t="inlineStr">
        <is>
          <t>EXCHANGE ROTN</t>
        </is>
      </c>
      <c r="H3199" s="7" t="inlineStr">
        <is>
          <t>Captive</t>
        </is>
      </c>
      <c r="I3199" s="7" t="inlineStr">
        <is>
          <t>9miles</t>
        </is>
      </c>
      <c r="J3199" s="8" t="n">
        <v>2009</v>
      </c>
      <c r="K3199" s="9" t="n">
        <v>59441</v>
      </c>
      <c r="L3199" s="10" t="n">
        <v>55000</v>
      </c>
      <c r="M3199" s="10" t="n">
        <v>4237.29</v>
      </c>
      <c r="N3199" s="11">
        <f>IF(M3199="","",ROUND(M3199*1.18,2))</f>
        <v/>
      </c>
      <c r="O3199" s="12">
        <f>IF(M3199="","",ROUND(N3199-M3199,2))</f>
        <v/>
      </c>
      <c r="P3199" s="13">
        <f>IF(AND(A3199&lt;&gt;"",B3199&lt;&gt;""), A3199&amp;" · "&amp;B3199, "")</f>
        <v/>
      </c>
    </row>
    <row r="3200">
      <c r="A3200" s="6" t="inlineStr">
        <is>
          <t>FY27</t>
        </is>
      </c>
      <c r="B3200" s="6" t="inlineStr">
        <is>
          <t>Jul</t>
        </is>
      </c>
      <c r="C3200" s="6" t="inlineStr">
        <is>
          <t>TN</t>
        </is>
      </c>
      <c r="D3200" s="7" t="inlineStr">
        <is>
          <t>TN36S8898</t>
        </is>
      </c>
      <c r="E3200" s="7" t="inlineStr">
        <is>
          <t>CHEVROLET</t>
        </is>
      </c>
      <c r="F3200" s="7" t="inlineStr">
        <is>
          <t>Spark</t>
        </is>
      </c>
      <c r="G3200" s="7" t="inlineStr">
        <is>
          <t>CAR HUB</t>
        </is>
      </c>
      <c r="H3200" s="7" t="inlineStr">
        <is>
          <t>Non-Captive</t>
        </is>
      </c>
      <c r="I3200" s="7" t="inlineStr">
        <is>
          <t>Trust On wheels</t>
        </is>
      </c>
      <c r="J3200" s="8" t="n">
        <v>2011</v>
      </c>
      <c r="K3200" s="9" t="n">
        <v>69451</v>
      </c>
      <c r="L3200" s="10" t="n">
        <v>96000</v>
      </c>
      <c r="M3200" s="10" t="n">
        <v>4237.29</v>
      </c>
      <c r="N3200" s="11">
        <f>IF(M3200="","",ROUND(M3200*1.18,2))</f>
        <v/>
      </c>
      <c r="O3200" s="12">
        <f>IF(M3200="","",ROUND(N3200-M3200,2))</f>
        <v/>
      </c>
      <c r="P3200" s="13">
        <f>IF(AND(A3200&lt;&gt;"",B3200&lt;&gt;""), A3200&amp;" · "&amp;B3200, "")</f>
        <v/>
      </c>
    </row>
    <row r="3201">
      <c r="A3201" s="6" t="inlineStr">
        <is>
          <t>FY27</t>
        </is>
      </c>
      <c r="B3201" s="6" t="inlineStr">
        <is>
          <t>Jul</t>
        </is>
      </c>
      <c r="C3201" s="6" t="inlineStr">
        <is>
          <t>TN</t>
        </is>
      </c>
      <c r="D3201" s="7" t="inlineStr">
        <is>
          <t>TN36S8898</t>
        </is>
      </c>
      <c r="E3201" s="7" t="inlineStr">
        <is>
          <t>CHEVROLET</t>
        </is>
      </c>
      <c r="F3201" s="7" t="inlineStr">
        <is>
          <t>Spark</t>
        </is>
      </c>
      <c r="G3201" s="7" t="inlineStr">
        <is>
          <t>EXCHANGE ROTN</t>
        </is>
      </c>
      <c r="H3201" s="7" t="inlineStr">
        <is>
          <t>Captive</t>
        </is>
      </c>
      <c r="I3201" s="7" t="inlineStr">
        <is>
          <t>&lt;NA&gt;</t>
        </is>
      </c>
      <c r="J3201" s="8" t="n">
        <v>2011</v>
      </c>
      <c r="K3201" s="9" t="n">
        <v>102247</v>
      </c>
      <c r="L3201" s="10" t="n">
        <v>65000</v>
      </c>
      <c r="M3201" s="10" t="n">
        <v>4237.29</v>
      </c>
      <c r="N3201" s="11">
        <f>IF(M3201="","",ROUND(M3201*1.18,2))</f>
        <v/>
      </c>
      <c r="O3201" s="12">
        <f>IF(M3201="","",ROUND(N3201-M3201,2))</f>
        <v/>
      </c>
      <c r="P3201" s="13">
        <f>IF(AND(A3201&lt;&gt;"",B3201&lt;&gt;""), A3201&amp;" · "&amp;B3201, "")</f>
        <v/>
      </c>
    </row>
    <row r="3202">
      <c r="A3202" s="6" t="inlineStr">
        <is>
          <t>FY27</t>
        </is>
      </c>
      <c r="B3202" s="6" t="inlineStr">
        <is>
          <t>Jul</t>
        </is>
      </c>
      <c r="C3202" s="6" t="inlineStr">
        <is>
          <t>TN</t>
        </is>
      </c>
      <c r="D3202" s="7" t="inlineStr">
        <is>
          <t>TN36U9375</t>
        </is>
      </c>
      <c r="E3202" s="7" t="inlineStr">
        <is>
          <t>HYUNDAI</t>
        </is>
      </c>
      <c r="F3202" s="7" t="inlineStr">
        <is>
          <t>Santro</t>
        </is>
      </c>
      <c r="G3202" s="7" t="inlineStr">
        <is>
          <t>EXCHANGE ROTN</t>
        </is>
      </c>
      <c r="H3202" s="7" t="inlineStr">
        <is>
          <t>Captive</t>
        </is>
      </c>
      <c r="I3202" s="7" t="inlineStr">
        <is>
          <t>9miles</t>
        </is>
      </c>
      <c r="J3202" s="8" t="n">
        <v>2010</v>
      </c>
      <c r="K3202" s="9" t="n">
        <v>70627</v>
      </c>
      <c r="L3202" s="10" t="n">
        <v>98000</v>
      </c>
      <c r="M3202" s="10" t="n">
        <v>4237.29</v>
      </c>
      <c r="N3202" s="11">
        <f>IF(M3202="","",ROUND(M3202*1.18,2))</f>
        <v/>
      </c>
      <c r="O3202" s="12">
        <f>IF(M3202="","",ROUND(N3202-M3202,2))</f>
        <v/>
      </c>
      <c r="P3202" s="13">
        <f>IF(AND(A3202&lt;&gt;"",B3202&lt;&gt;""), A3202&amp;" · "&amp;B3202, "")</f>
        <v/>
      </c>
    </row>
    <row r="3203">
      <c r="A3203" s="6" t="inlineStr">
        <is>
          <t>FY27</t>
        </is>
      </c>
      <c r="B3203" s="6" t="inlineStr">
        <is>
          <t>Jul</t>
        </is>
      </c>
      <c r="C3203" s="6" t="inlineStr">
        <is>
          <t>TN</t>
        </is>
      </c>
      <c r="D3203" s="7" t="inlineStr">
        <is>
          <t>TN37BB6976</t>
        </is>
      </c>
      <c r="E3203" s="7" t="inlineStr">
        <is>
          <t>TATA</t>
        </is>
      </c>
      <c r="F3203" s="7" t="inlineStr">
        <is>
          <t>Indica</t>
        </is>
      </c>
      <c r="G3203" s="7" t="inlineStr">
        <is>
          <t>EXCHANGE ROTN</t>
        </is>
      </c>
      <c r="H3203" s="7" t="inlineStr">
        <is>
          <t>Captive</t>
        </is>
      </c>
      <c r="I3203" s="7" t="inlineStr">
        <is>
          <t>Senthur Finance</t>
        </is>
      </c>
      <c r="J3203" s="8" t="n">
        <v>2009</v>
      </c>
      <c r="K3203" s="9" t="n">
        <v>80005</v>
      </c>
      <c r="L3203" s="10" t="n">
        <v>50000</v>
      </c>
      <c r="M3203" s="10" t="n">
        <v>4237.29</v>
      </c>
      <c r="N3203" s="11">
        <f>IF(M3203="","",ROUND(M3203*1.18,2))</f>
        <v/>
      </c>
      <c r="O3203" s="12">
        <f>IF(M3203="","",ROUND(N3203-M3203,2))</f>
        <v/>
      </c>
      <c r="P3203" s="13">
        <f>IF(AND(A3203&lt;&gt;"",B3203&lt;&gt;""), A3203&amp;" · "&amp;B3203, "")</f>
        <v/>
      </c>
    </row>
    <row r="3204">
      <c r="A3204" s="6" t="inlineStr">
        <is>
          <t>FY27</t>
        </is>
      </c>
      <c r="B3204" s="6" t="inlineStr">
        <is>
          <t>Jul</t>
        </is>
      </c>
      <c r="C3204" s="6" t="inlineStr">
        <is>
          <t>TN</t>
        </is>
      </c>
      <c r="D3204" s="7" t="inlineStr">
        <is>
          <t>TN37BF5308</t>
        </is>
      </c>
      <c r="E3204" s="7" t="inlineStr">
        <is>
          <t>MARUTI SUZUKI</t>
        </is>
      </c>
      <c r="F3204" s="7" t="inlineStr">
        <is>
          <t>Wagon R</t>
        </is>
      </c>
      <c r="G3204" s="7" t="inlineStr">
        <is>
          <t>AADHI CARS PRIVATE LIMITED</t>
        </is>
      </c>
      <c r="H3204" s="7" t="inlineStr">
        <is>
          <t>Non-Captive</t>
        </is>
      </c>
      <c r="I3204" s="7" t="inlineStr">
        <is>
          <t>MADHURA CARS</t>
        </is>
      </c>
      <c r="J3204" s="8" t="n">
        <v>2010</v>
      </c>
      <c r="K3204" s="9" t="n">
        <v>131624</v>
      </c>
      <c r="L3204" s="10" t="n">
        <v>72000</v>
      </c>
      <c r="M3204" s="10" t="n">
        <v>4237.29</v>
      </c>
      <c r="N3204" s="11">
        <f>IF(M3204="","",ROUND(M3204*1.18,2))</f>
        <v/>
      </c>
      <c r="O3204" s="12">
        <f>IF(M3204="","",ROUND(N3204-M3204,2))</f>
        <v/>
      </c>
      <c r="P3204" s="13">
        <f>IF(AND(A3204&lt;&gt;"",B3204&lt;&gt;""), A3204&amp;" · "&amp;B3204, "")</f>
        <v/>
      </c>
    </row>
    <row r="3205">
      <c r="A3205" s="6" t="inlineStr">
        <is>
          <t>FY27</t>
        </is>
      </c>
      <c r="B3205" s="6" t="inlineStr">
        <is>
          <t>Jul</t>
        </is>
      </c>
      <c r="C3205" s="6" t="inlineStr">
        <is>
          <t>TN</t>
        </is>
      </c>
      <c r="D3205" s="7" t="inlineStr">
        <is>
          <t>TN37BJ5089</t>
        </is>
      </c>
      <c r="E3205" s="7" t="inlineStr">
        <is>
          <t>MARUTI SUZUKI</t>
        </is>
      </c>
      <c r="F3205" s="7" t="inlineStr">
        <is>
          <t>Zen Estilo</t>
        </is>
      </c>
      <c r="G3205" s="7" t="inlineStr">
        <is>
          <t>EXCHANGE ROTN</t>
        </is>
      </c>
      <c r="H3205" s="7" t="inlineStr">
        <is>
          <t>Captive</t>
        </is>
      </c>
      <c r="I3205" s="7" t="inlineStr">
        <is>
          <t>Sarvesh Cars</t>
        </is>
      </c>
      <c r="J3205" s="8" t="n">
        <v>2010</v>
      </c>
      <c r="K3205" s="9" t="n">
        <v>133063</v>
      </c>
      <c r="L3205" s="10" t="n">
        <v>130000</v>
      </c>
      <c r="M3205" s="10" t="n">
        <v>8474.58</v>
      </c>
      <c r="N3205" s="11">
        <f>IF(M3205="","",ROUND(M3205*1.18,2))</f>
        <v/>
      </c>
      <c r="O3205" s="12">
        <f>IF(M3205="","",ROUND(N3205-M3205,2))</f>
        <v/>
      </c>
      <c r="P3205" s="13">
        <f>IF(AND(A3205&lt;&gt;"",B3205&lt;&gt;""), A3205&amp;" · "&amp;B3205, "")</f>
        <v/>
      </c>
    </row>
    <row r="3206">
      <c r="A3206" s="6" t="inlineStr">
        <is>
          <t>FY27</t>
        </is>
      </c>
      <c r="B3206" s="6" t="inlineStr">
        <is>
          <t>Jul</t>
        </is>
      </c>
      <c r="C3206" s="6" t="inlineStr">
        <is>
          <t>TN</t>
        </is>
      </c>
      <c r="D3206" s="7" t="inlineStr">
        <is>
          <t>TN37BK1039</t>
        </is>
      </c>
      <c r="E3206" s="7" t="inlineStr">
        <is>
          <t>FORD</t>
        </is>
      </c>
      <c r="F3206" s="7" t="inlineStr">
        <is>
          <t>Figo</t>
        </is>
      </c>
      <c r="G3206" s="7" t="inlineStr">
        <is>
          <t>AADHI CARS PRIVATE LIMITED</t>
        </is>
      </c>
      <c r="H3206" s="7" t="inlineStr">
        <is>
          <t>Non-Captive</t>
        </is>
      </c>
      <c r="I3206" s="7" t="inlineStr">
        <is>
          <t>SRI VIGNESH PRE OWNED CARS</t>
        </is>
      </c>
      <c r="J3206" s="8" t="n">
        <v>2010</v>
      </c>
      <c r="K3206" s="9" t="n">
        <v>105617</v>
      </c>
      <c r="L3206" s="10" t="n">
        <v>86000</v>
      </c>
      <c r="M3206" s="10" t="n">
        <v>4237.29</v>
      </c>
      <c r="N3206" s="11">
        <f>IF(M3206="","",ROUND(M3206*1.18,2))</f>
        <v/>
      </c>
      <c r="O3206" s="12">
        <f>IF(M3206="","",ROUND(N3206-M3206,2))</f>
        <v/>
      </c>
      <c r="P3206" s="13">
        <f>IF(AND(A3206&lt;&gt;"",B3206&lt;&gt;""), A3206&amp;" · "&amp;B3206, "")</f>
        <v/>
      </c>
    </row>
    <row r="3207">
      <c r="A3207" s="6" t="inlineStr">
        <is>
          <t>FY27</t>
        </is>
      </c>
      <c r="B3207" s="6" t="inlineStr">
        <is>
          <t>Jul</t>
        </is>
      </c>
      <c r="C3207" s="6" t="inlineStr">
        <is>
          <t>TN</t>
        </is>
      </c>
      <c r="D3207" s="7" t="inlineStr">
        <is>
          <t>TN37BT5360</t>
        </is>
      </c>
      <c r="E3207" s="7" t="inlineStr">
        <is>
          <t>MARUTI SUZUKI</t>
        </is>
      </c>
      <c r="F3207" s="7" t="inlineStr">
        <is>
          <t>Swift</t>
        </is>
      </c>
      <c r="G3207" s="7" t="inlineStr">
        <is>
          <t>EXCHANGE ROTN</t>
        </is>
      </c>
      <c r="H3207" s="7" t="inlineStr">
        <is>
          <t>Captive</t>
        </is>
      </c>
      <c r="I3207" s="7" t="inlineStr">
        <is>
          <t>Senthur Finance</t>
        </is>
      </c>
      <c r="J3207" s="8" t="n">
        <v>2011</v>
      </c>
      <c r="K3207" s="9" t="n">
        <v>92386</v>
      </c>
      <c r="L3207" s="10" t="n">
        <v>290000</v>
      </c>
      <c r="M3207" s="10" t="n">
        <v>8474.58</v>
      </c>
      <c r="N3207" s="11">
        <f>IF(M3207="","",ROUND(M3207*1.18,2))</f>
        <v/>
      </c>
      <c r="O3207" s="12">
        <f>IF(M3207="","",ROUND(N3207-M3207,2))</f>
        <v/>
      </c>
      <c r="P3207" s="13">
        <f>IF(AND(A3207&lt;&gt;"",B3207&lt;&gt;""), A3207&amp;" · "&amp;B3207, "")</f>
        <v/>
      </c>
    </row>
    <row r="3208">
      <c r="A3208" s="6" t="inlineStr">
        <is>
          <t>FY27</t>
        </is>
      </c>
      <c r="B3208" s="6" t="inlineStr">
        <is>
          <t>Jul</t>
        </is>
      </c>
      <c r="C3208" s="6" t="inlineStr">
        <is>
          <t>TN</t>
        </is>
      </c>
      <c r="D3208" s="7" t="inlineStr">
        <is>
          <t>TN37CQ0679</t>
        </is>
      </c>
      <c r="E3208" s="7" t="inlineStr">
        <is>
          <t>HYUNDAI</t>
        </is>
      </c>
      <c r="F3208" s="7" t="inlineStr">
        <is>
          <t>Eon</t>
        </is>
      </c>
      <c r="G3208" s="7" t="inlineStr">
        <is>
          <t>EXCHANGE ROTN</t>
        </is>
      </c>
      <c r="H3208" s="7" t="inlineStr">
        <is>
          <t>Captive</t>
        </is>
      </c>
      <c r="I3208" s="7" t="inlineStr">
        <is>
          <t>SRI VIGNESH PRE OWNED CARS</t>
        </is>
      </c>
      <c r="J3208" s="8" t="n">
        <v>2016</v>
      </c>
      <c r="K3208" s="9" t="n">
        <v>73283</v>
      </c>
      <c r="L3208" s="10" t="n">
        <v>125000</v>
      </c>
      <c r="M3208" s="10" t="n">
        <v>8474.58</v>
      </c>
      <c r="N3208" s="11">
        <f>IF(M3208="","",ROUND(M3208*1.18,2))</f>
        <v/>
      </c>
      <c r="O3208" s="12">
        <f>IF(M3208="","",ROUND(N3208-M3208,2))</f>
        <v/>
      </c>
      <c r="P3208" s="13">
        <f>IF(AND(A3208&lt;&gt;"",B3208&lt;&gt;""), A3208&amp;" · "&amp;B3208, "")</f>
        <v/>
      </c>
    </row>
    <row r="3209">
      <c r="A3209" s="6" t="inlineStr">
        <is>
          <t>FY27</t>
        </is>
      </c>
      <c r="B3209" s="6" t="inlineStr">
        <is>
          <t>Jul</t>
        </is>
      </c>
      <c r="C3209" s="6" t="inlineStr">
        <is>
          <t>TN</t>
        </is>
      </c>
      <c r="D3209" s="7" t="inlineStr">
        <is>
          <t>TN37Y3838</t>
        </is>
      </c>
      <c r="E3209" s="7" t="inlineStr">
        <is>
          <t>TOYOTA</t>
        </is>
      </c>
      <c r="F3209" s="7" t="inlineStr">
        <is>
          <t>Qualis</t>
        </is>
      </c>
      <c r="G3209" s="7" t="inlineStr">
        <is>
          <t>EXCHANGE ROTN</t>
        </is>
      </c>
      <c r="H3209" s="7" t="inlineStr">
        <is>
          <t>Captive</t>
        </is>
      </c>
      <c r="I3209" s="7" t="inlineStr">
        <is>
          <t>READY TO RIDE CARS</t>
        </is>
      </c>
      <c r="J3209" s="8" t="n">
        <v>2001</v>
      </c>
      <c r="K3209" s="9" t="n">
        <v>220198</v>
      </c>
      <c r="L3209" s="10" t="n">
        <v>90000</v>
      </c>
      <c r="M3209" s="10" t="n">
        <v>4237.29</v>
      </c>
      <c r="N3209" s="11">
        <f>IF(M3209="","",ROUND(M3209*1.18,2))</f>
        <v/>
      </c>
      <c r="O3209" s="12">
        <f>IF(M3209="","",ROUND(N3209-M3209,2))</f>
        <v/>
      </c>
      <c r="P3209" s="13">
        <f>IF(AND(A3209&lt;&gt;"",B3209&lt;&gt;""), A3209&amp;" · "&amp;B3209, "")</f>
        <v/>
      </c>
    </row>
    <row r="3210">
      <c r="A3210" s="6" t="inlineStr">
        <is>
          <t>FY27</t>
        </is>
      </c>
      <c r="B3210" s="6" t="inlineStr">
        <is>
          <t>Jul</t>
        </is>
      </c>
      <c r="C3210" s="6" t="inlineStr">
        <is>
          <t>TN</t>
        </is>
      </c>
      <c r="D3210" s="7" t="inlineStr">
        <is>
          <t>TN38AX1656</t>
        </is>
      </c>
      <c r="E3210" s="7" t="inlineStr">
        <is>
          <t>MARUTI SUZUKI</t>
        </is>
      </c>
      <c r="F3210" s="7" t="inlineStr">
        <is>
          <t>Alto</t>
        </is>
      </c>
      <c r="G3210" s="7" t="inlineStr">
        <is>
          <t>EXCHANGE ROTN</t>
        </is>
      </c>
      <c r="H3210" s="7" t="inlineStr">
        <is>
          <t>Captive</t>
        </is>
      </c>
      <c r="I3210" s="7" t="inlineStr">
        <is>
          <t>9miles</t>
        </is>
      </c>
      <c r="J3210" s="8" t="n">
        <v>2009</v>
      </c>
      <c r="K3210" s="9" t="n">
        <v>131643</v>
      </c>
      <c r="L3210" s="10" t="n">
        <v>85000</v>
      </c>
      <c r="M3210" s="10" t="n">
        <v>4237.29</v>
      </c>
      <c r="N3210" s="11">
        <f>IF(M3210="","",ROUND(M3210*1.18,2))</f>
        <v/>
      </c>
      <c r="O3210" s="12">
        <f>IF(M3210="","",ROUND(N3210-M3210,2))</f>
        <v/>
      </c>
      <c r="P3210" s="13">
        <f>IF(AND(A3210&lt;&gt;"",B3210&lt;&gt;""), A3210&amp;" · "&amp;B3210, "")</f>
        <v/>
      </c>
    </row>
    <row r="3211">
      <c r="A3211" s="6" t="inlineStr">
        <is>
          <t>FY27</t>
        </is>
      </c>
      <c r="B3211" s="6" t="inlineStr">
        <is>
          <t>Jul</t>
        </is>
      </c>
      <c r="C3211" s="6" t="inlineStr">
        <is>
          <t>TN</t>
        </is>
      </c>
      <c r="D3211" s="7" t="inlineStr">
        <is>
          <t>TN38AY8287</t>
        </is>
      </c>
      <c r="E3211" s="7" t="inlineStr">
        <is>
          <t>TATA</t>
        </is>
      </c>
      <c r="F3211" s="7" t="inlineStr">
        <is>
          <t>Indica</t>
        </is>
      </c>
      <c r="G3211" s="7" t="inlineStr">
        <is>
          <t>EXCHANGE ROTN</t>
        </is>
      </c>
      <c r="H3211" s="7" t="inlineStr">
        <is>
          <t>Captive</t>
        </is>
      </c>
      <c r="I3211" s="7" t="inlineStr">
        <is>
          <t>&lt;NA&gt;</t>
        </is>
      </c>
      <c r="J3211" s="8" t="n">
        <v>2009</v>
      </c>
      <c r="K3211" s="9" t="n">
        <v>149642</v>
      </c>
      <c r="L3211" s="10" t="n">
        <v>80000</v>
      </c>
      <c r="M3211" s="10" t="n">
        <v>4237.29</v>
      </c>
      <c r="N3211" s="11">
        <f>IF(M3211="","",ROUND(M3211*1.18,2))</f>
        <v/>
      </c>
      <c r="O3211" s="12">
        <f>IF(M3211="","",ROUND(N3211-M3211,2))</f>
        <v/>
      </c>
      <c r="P3211" s="13">
        <f>IF(AND(A3211&lt;&gt;"",B3211&lt;&gt;""), A3211&amp;" · "&amp;B3211, "")</f>
        <v/>
      </c>
    </row>
    <row r="3212">
      <c r="A3212" s="6" t="inlineStr">
        <is>
          <t>FY27</t>
        </is>
      </c>
      <c r="B3212" s="6" t="inlineStr">
        <is>
          <t>Jul</t>
        </is>
      </c>
      <c r="C3212" s="6" t="inlineStr">
        <is>
          <t>TN</t>
        </is>
      </c>
      <c r="D3212" s="7" t="inlineStr">
        <is>
          <t>TN38AZ8586</t>
        </is>
      </c>
      <c r="E3212" s="7" t="inlineStr">
        <is>
          <t>TATA</t>
        </is>
      </c>
      <c r="F3212" s="7" t="inlineStr">
        <is>
          <t>Indica</t>
        </is>
      </c>
      <c r="G3212" s="7" t="inlineStr">
        <is>
          <t>EXCHANGE ROTN</t>
        </is>
      </c>
      <c r="H3212" s="7" t="inlineStr">
        <is>
          <t>Captive</t>
        </is>
      </c>
      <c r="I3212" s="7" t="inlineStr">
        <is>
          <t>Sri Murugan Cars</t>
        </is>
      </c>
      <c r="J3212" s="8" t="n">
        <v>2009</v>
      </c>
      <c r="K3212" s="9" t="n">
        <v>177185</v>
      </c>
      <c r="L3212" s="10" t="n">
        <v>110000</v>
      </c>
      <c r="M3212" s="10" t="n">
        <v>8474.58</v>
      </c>
      <c r="N3212" s="11">
        <f>IF(M3212="","",ROUND(M3212*1.18,2))</f>
        <v/>
      </c>
      <c r="O3212" s="12">
        <f>IF(M3212="","",ROUND(N3212-M3212,2))</f>
        <v/>
      </c>
      <c r="P3212" s="13">
        <f>IF(AND(A3212&lt;&gt;"",B3212&lt;&gt;""), A3212&amp;" · "&amp;B3212, "")</f>
        <v/>
      </c>
    </row>
    <row r="3213">
      <c r="A3213" s="6" t="inlineStr">
        <is>
          <t>FY27</t>
        </is>
      </c>
      <c r="B3213" s="6" t="inlineStr">
        <is>
          <t>Jul</t>
        </is>
      </c>
      <c r="C3213" s="6" t="inlineStr">
        <is>
          <t>TN</t>
        </is>
      </c>
      <c r="D3213" s="7" t="inlineStr">
        <is>
          <t>TN38BK8655</t>
        </is>
      </c>
      <c r="E3213" s="7" t="inlineStr">
        <is>
          <t>VOLKSWAGEN</t>
        </is>
      </c>
      <c r="F3213" s="7" t="inlineStr">
        <is>
          <t>Vento</t>
        </is>
      </c>
      <c r="G3213" s="7" t="inlineStr">
        <is>
          <t>EXCHANGE ROTN</t>
        </is>
      </c>
      <c r="H3213" s="7" t="inlineStr">
        <is>
          <t>Captive</t>
        </is>
      </c>
      <c r="I3213" s="7" t="inlineStr">
        <is>
          <t>SRI VIGNESH PRE OWNED CARS</t>
        </is>
      </c>
      <c r="J3213" s="8" t="n">
        <v>2011</v>
      </c>
      <c r="K3213" s="9" t="n">
        <v>114386</v>
      </c>
      <c r="L3213" s="10" t="n">
        <v>192000</v>
      </c>
      <c r="M3213" s="10" t="n">
        <v>6779.66</v>
      </c>
      <c r="N3213" s="11">
        <f>IF(M3213="","",ROUND(M3213*1.18,2))</f>
        <v/>
      </c>
      <c r="O3213" s="12">
        <f>IF(M3213="","",ROUND(N3213-M3213,2))</f>
        <v/>
      </c>
      <c r="P3213" s="13">
        <f>IF(AND(A3213&lt;&gt;"",B3213&lt;&gt;""), A3213&amp;" · "&amp;B3213, "")</f>
        <v/>
      </c>
    </row>
    <row r="3214">
      <c r="A3214" s="6" t="inlineStr">
        <is>
          <t>FY27</t>
        </is>
      </c>
      <c r="B3214" s="6" t="inlineStr">
        <is>
          <t>Jul</t>
        </is>
      </c>
      <c r="C3214" s="6" t="inlineStr">
        <is>
          <t>TN</t>
        </is>
      </c>
      <c r="D3214" s="7" t="inlineStr">
        <is>
          <t>TN38BZ6507</t>
        </is>
      </c>
      <c r="E3214" s="7" t="inlineStr">
        <is>
          <t>CHEVROLET</t>
        </is>
      </c>
      <c r="F3214" s="7" t="inlineStr">
        <is>
          <t>Beat</t>
        </is>
      </c>
      <c r="G3214" s="7" t="inlineStr">
        <is>
          <t>FUTURE AUTOMOTIVE</t>
        </is>
      </c>
      <c r="H3214" s="7" t="inlineStr">
        <is>
          <t>Non-Captive</t>
        </is>
      </c>
      <c r="I3214" s="7" t="inlineStr">
        <is>
          <t>SRI VIGNESH PRE OWNED CARS</t>
        </is>
      </c>
      <c r="J3214" s="8" t="n">
        <v>2015</v>
      </c>
      <c r="K3214" s="9" t="n">
        <v>56328</v>
      </c>
      <c r="L3214" s="10" t="n">
        <v>92000</v>
      </c>
      <c r="M3214" s="10" t="n">
        <v>4237.29</v>
      </c>
      <c r="N3214" s="11">
        <f>IF(M3214="","",ROUND(M3214*1.18,2))</f>
        <v/>
      </c>
      <c r="O3214" s="12">
        <f>IF(M3214="","",ROUND(N3214-M3214,2))</f>
        <v/>
      </c>
      <c r="P3214" s="13">
        <f>IF(AND(A3214&lt;&gt;"",B3214&lt;&gt;""), A3214&amp;" · "&amp;B3214, "")</f>
        <v/>
      </c>
    </row>
    <row r="3215">
      <c r="A3215" s="6" t="inlineStr">
        <is>
          <t>FY27</t>
        </is>
      </c>
      <c r="B3215" s="6" t="inlineStr">
        <is>
          <t>Jul</t>
        </is>
      </c>
      <c r="C3215" s="6" t="inlineStr">
        <is>
          <t>TN</t>
        </is>
      </c>
      <c r="D3215" s="7" t="inlineStr">
        <is>
          <t>TN38CC5550</t>
        </is>
      </c>
      <c r="E3215" s="7" t="inlineStr">
        <is>
          <t>FORD</t>
        </is>
      </c>
      <c r="F3215" s="7" t="inlineStr">
        <is>
          <t>Figo</t>
        </is>
      </c>
      <c r="G3215" s="7" t="inlineStr">
        <is>
          <t>EXCHANGE ROTN</t>
        </is>
      </c>
      <c r="H3215" s="7" t="inlineStr">
        <is>
          <t>Captive</t>
        </is>
      </c>
      <c r="I3215" s="7" t="inlineStr">
        <is>
          <t>Uzhavan Enterprise</t>
        </is>
      </c>
      <c r="J3215" s="8" t="n">
        <v>2015</v>
      </c>
      <c r="K3215" s="9" t="n">
        <v>142153</v>
      </c>
      <c r="L3215" s="10" t="n">
        <v>275000</v>
      </c>
      <c r="M3215" s="10" t="n">
        <v>10169.49</v>
      </c>
      <c r="N3215" s="11">
        <f>IF(M3215="","",ROUND(M3215*1.18,2))</f>
        <v/>
      </c>
      <c r="O3215" s="12">
        <f>IF(M3215="","",ROUND(N3215-M3215,2))</f>
        <v/>
      </c>
      <c r="P3215" s="13">
        <f>IF(AND(A3215&lt;&gt;"",B3215&lt;&gt;""), A3215&amp;" · "&amp;B3215, "")</f>
        <v/>
      </c>
    </row>
    <row r="3216">
      <c r="A3216" s="6" t="inlineStr">
        <is>
          <t>FY27</t>
        </is>
      </c>
      <c r="B3216" s="6" t="inlineStr">
        <is>
          <t>Jul</t>
        </is>
      </c>
      <c r="C3216" s="6" t="inlineStr">
        <is>
          <t>TN</t>
        </is>
      </c>
      <c r="D3216" s="7" t="inlineStr">
        <is>
          <t>TN38CD4686</t>
        </is>
      </c>
      <c r="E3216" s="7" t="inlineStr">
        <is>
          <t>HONDA</t>
        </is>
      </c>
      <c r="F3216" s="7" t="inlineStr">
        <is>
          <t>Brio</t>
        </is>
      </c>
      <c r="G3216" s="7" t="inlineStr">
        <is>
          <t>EXCHANGE ROTN</t>
        </is>
      </c>
      <c r="H3216" s="7" t="inlineStr">
        <is>
          <t>Captive</t>
        </is>
      </c>
      <c r="I3216" s="7" t="inlineStr">
        <is>
          <t>YUGA DHEERAN CARS</t>
        </is>
      </c>
      <c r="J3216" s="8" t="n">
        <v>2015</v>
      </c>
      <c r="K3216" s="9" t="n">
        <v>23467</v>
      </c>
      <c r="L3216" s="10" t="n">
        <v>400000</v>
      </c>
      <c r="M3216" s="10" t="n">
        <v>8474.58</v>
      </c>
      <c r="N3216" s="11">
        <f>IF(M3216="","",ROUND(M3216*1.18,2))</f>
        <v/>
      </c>
      <c r="O3216" s="12">
        <f>IF(M3216="","",ROUND(N3216-M3216,2))</f>
        <v/>
      </c>
      <c r="P3216" s="13">
        <f>IF(AND(A3216&lt;&gt;"",B3216&lt;&gt;""), A3216&amp;" · "&amp;B3216, "")</f>
        <v/>
      </c>
    </row>
    <row r="3217">
      <c r="A3217" s="6" t="inlineStr">
        <is>
          <t>FY27</t>
        </is>
      </c>
      <c r="B3217" s="6" t="inlineStr">
        <is>
          <t>Jul</t>
        </is>
      </c>
      <c r="C3217" s="6" t="inlineStr">
        <is>
          <t>TN</t>
        </is>
      </c>
      <c r="D3217" s="7" t="inlineStr">
        <is>
          <t>TN38CH7602</t>
        </is>
      </c>
      <c r="E3217" s="7" t="inlineStr">
        <is>
          <t>VOLKSWAGEN</t>
        </is>
      </c>
      <c r="F3217" s="7" t="inlineStr">
        <is>
          <t>Ameo</t>
        </is>
      </c>
      <c r="G3217" s="7" t="inlineStr">
        <is>
          <t>GURUDEV MOTORS LLP</t>
        </is>
      </c>
      <c r="H3217" s="7" t="inlineStr">
        <is>
          <t>Non-Captive</t>
        </is>
      </c>
      <c r="I3217" s="7" t="inlineStr">
        <is>
          <t>Pine Autos</t>
        </is>
      </c>
      <c r="J3217" s="8" t="n">
        <v>2016</v>
      </c>
      <c r="K3217" s="9" t="n">
        <v>129590</v>
      </c>
      <c r="L3217" s="10" t="n">
        <v>92000</v>
      </c>
      <c r="M3217" s="10" t="n">
        <v>4237.29</v>
      </c>
      <c r="N3217" s="11">
        <f>IF(M3217="","",ROUND(M3217*1.18,2))</f>
        <v/>
      </c>
      <c r="O3217" s="12">
        <f>IF(M3217="","",ROUND(N3217-M3217,2))</f>
        <v/>
      </c>
      <c r="P3217" s="13">
        <f>IF(AND(A3217&lt;&gt;"",B3217&lt;&gt;""), A3217&amp;" · "&amp;B3217, "")</f>
        <v/>
      </c>
    </row>
    <row r="3218">
      <c r="A3218" s="6" t="inlineStr">
        <is>
          <t>FY27</t>
        </is>
      </c>
      <c r="B3218" s="6" t="inlineStr">
        <is>
          <t>Jul</t>
        </is>
      </c>
      <c r="C3218" s="6" t="inlineStr">
        <is>
          <t>TN</t>
        </is>
      </c>
      <c r="D3218" s="7" t="inlineStr">
        <is>
          <t>TN38CP3462</t>
        </is>
      </c>
      <c r="E3218" s="7" t="inlineStr">
        <is>
          <t>RENAULT</t>
        </is>
      </c>
      <c r="F3218" s="7" t="inlineStr">
        <is>
          <t>Kwid</t>
        </is>
      </c>
      <c r="G3218" s="7" t="inlineStr">
        <is>
          <t>EXCHANGE ROTN</t>
        </is>
      </c>
      <c r="H3218" s="7" t="inlineStr">
        <is>
          <t>Captive</t>
        </is>
      </c>
      <c r="I3218" s="7" t="inlineStr">
        <is>
          <t>Gugha Cars</t>
        </is>
      </c>
      <c r="J3218" s="8" t="n">
        <v>2018</v>
      </c>
      <c r="K3218" s="9" t="n">
        <v>88884</v>
      </c>
      <c r="L3218" s="10" t="n">
        <v>270000</v>
      </c>
      <c r="M3218" s="10" t="n">
        <v>8474.58</v>
      </c>
      <c r="N3218" s="11">
        <f>IF(M3218="","",ROUND(M3218*1.18,2))</f>
        <v/>
      </c>
      <c r="O3218" s="12">
        <f>IF(M3218="","",ROUND(N3218-M3218,2))</f>
        <v/>
      </c>
      <c r="P3218" s="13">
        <f>IF(AND(A3218&lt;&gt;"",B3218&lt;&gt;""), A3218&amp;" · "&amp;B3218, "")</f>
        <v/>
      </c>
    </row>
    <row r="3219">
      <c r="A3219" s="6" t="inlineStr">
        <is>
          <t>FY27</t>
        </is>
      </c>
      <c r="B3219" s="6" t="inlineStr">
        <is>
          <t>Jul</t>
        </is>
      </c>
      <c r="C3219" s="6" t="inlineStr">
        <is>
          <t>TN</t>
        </is>
      </c>
      <c r="D3219" s="7" t="inlineStr">
        <is>
          <t>TN38CQ9634</t>
        </is>
      </c>
      <c r="E3219" s="7" t="inlineStr">
        <is>
          <t>FORD</t>
        </is>
      </c>
      <c r="F3219" s="7" t="inlineStr">
        <is>
          <t>Figo</t>
        </is>
      </c>
      <c r="G3219" s="7" t="inlineStr">
        <is>
          <t>EXCHANGE ROTN</t>
        </is>
      </c>
      <c r="H3219" s="7" t="inlineStr">
        <is>
          <t>Captive</t>
        </is>
      </c>
      <c r="I3219" s="7" t="inlineStr">
        <is>
          <t>Gugha Cars</t>
        </is>
      </c>
      <c r="J3219" s="8" t="n">
        <v>2018</v>
      </c>
      <c r="K3219" s="9" t="n">
        <v>54454</v>
      </c>
      <c r="L3219" s="10" t="n">
        <v>290000</v>
      </c>
      <c r="M3219" s="10" t="n">
        <v>12711.86</v>
      </c>
      <c r="N3219" s="11">
        <f>IF(M3219="","",ROUND(M3219*1.18,2))</f>
        <v/>
      </c>
      <c r="O3219" s="12">
        <f>IF(M3219="","",ROUND(N3219-M3219,2))</f>
        <v/>
      </c>
      <c r="P3219" s="13">
        <f>IF(AND(A3219&lt;&gt;"",B3219&lt;&gt;""), A3219&amp;" · "&amp;B3219, "")</f>
        <v/>
      </c>
    </row>
    <row r="3220">
      <c r="A3220" s="6" t="inlineStr">
        <is>
          <t>FY27</t>
        </is>
      </c>
      <c r="B3220" s="6" t="inlineStr">
        <is>
          <t>Jul</t>
        </is>
      </c>
      <c r="C3220" s="6" t="inlineStr">
        <is>
          <t>TN</t>
        </is>
      </c>
      <c r="D3220" s="7" t="inlineStr">
        <is>
          <t>TN38CW3903</t>
        </is>
      </c>
      <c r="E3220" s="7" t="inlineStr">
        <is>
          <t>HONDA</t>
        </is>
      </c>
      <c r="F3220" s="7" t="inlineStr">
        <is>
          <t>Amaze</t>
        </is>
      </c>
      <c r="G3220" s="7" t="inlineStr">
        <is>
          <t>EXCHANGE ROTN</t>
        </is>
      </c>
      <c r="H3220" s="7" t="inlineStr">
        <is>
          <t>Captive</t>
        </is>
      </c>
      <c r="I3220" s="7" t="inlineStr">
        <is>
          <t>YUGA DHEERAN CARS</t>
        </is>
      </c>
      <c r="J3220" s="8" t="n">
        <v>2020</v>
      </c>
      <c r="K3220" s="9" t="n">
        <v>58246</v>
      </c>
      <c r="L3220" s="10" t="n">
        <v>560000</v>
      </c>
      <c r="M3220" s="10" t="n">
        <v>15254.24</v>
      </c>
      <c r="N3220" s="11">
        <f>IF(M3220="","",ROUND(M3220*1.18,2))</f>
        <v/>
      </c>
      <c r="O3220" s="12">
        <f>IF(M3220="","",ROUND(N3220-M3220,2))</f>
        <v/>
      </c>
      <c r="P3220" s="13">
        <f>IF(AND(A3220&lt;&gt;"",B3220&lt;&gt;""), A3220&amp;" · "&amp;B3220, "")</f>
        <v/>
      </c>
    </row>
    <row r="3221">
      <c r="A3221" s="6" t="inlineStr">
        <is>
          <t>FY27</t>
        </is>
      </c>
      <c r="B3221" s="6" t="inlineStr">
        <is>
          <t>Jul</t>
        </is>
      </c>
      <c r="C3221" s="6" t="inlineStr">
        <is>
          <t>TN</t>
        </is>
      </c>
      <c r="D3221" s="7" t="inlineStr">
        <is>
          <t>TN38CZ4891</t>
        </is>
      </c>
      <c r="E3221" s="7" t="inlineStr">
        <is>
          <t>NISSAN</t>
        </is>
      </c>
      <c r="F3221" s="7" t="inlineStr">
        <is>
          <t>Magnite</t>
        </is>
      </c>
      <c r="G3221" s="7" t="inlineStr">
        <is>
          <t>EXCHANGE ROTN</t>
        </is>
      </c>
      <c r="H3221" s="7" t="inlineStr">
        <is>
          <t>Captive</t>
        </is>
      </c>
      <c r="I3221" s="7" t="inlineStr">
        <is>
          <t>Gugha Cars</t>
        </is>
      </c>
      <c r="J3221" s="8" t="n">
        <v>2021</v>
      </c>
      <c r="K3221" s="9" t="n">
        <v>57874</v>
      </c>
      <c r="L3221" s="10" t="n">
        <v>450000</v>
      </c>
      <c r="M3221" s="10" t="n">
        <v>8474.58</v>
      </c>
      <c r="N3221" s="11">
        <f>IF(M3221="","",ROUND(M3221*1.18,2))</f>
        <v/>
      </c>
      <c r="O3221" s="12">
        <f>IF(M3221="","",ROUND(N3221-M3221,2))</f>
        <v/>
      </c>
      <c r="P3221" s="13">
        <f>IF(AND(A3221&lt;&gt;"",B3221&lt;&gt;""), A3221&amp;" · "&amp;B3221, "")</f>
        <v/>
      </c>
    </row>
    <row r="3222">
      <c r="A3222" s="6" t="inlineStr">
        <is>
          <t>FY27</t>
        </is>
      </c>
      <c r="B3222" s="6" t="inlineStr">
        <is>
          <t>Jul</t>
        </is>
      </c>
      <c r="C3222" s="6" t="inlineStr">
        <is>
          <t>TN</t>
        </is>
      </c>
      <c r="D3222" s="7" t="inlineStr">
        <is>
          <t>TN38X9777</t>
        </is>
      </c>
      <c r="E3222" s="7" t="inlineStr">
        <is>
          <t>MARUTI SUZUKI</t>
        </is>
      </c>
      <c r="F3222" s="7" t="inlineStr">
        <is>
          <t>Wagon R</t>
        </is>
      </c>
      <c r="G3222" s="7" t="inlineStr">
        <is>
          <t>EXCHANGE ROTN</t>
        </is>
      </c>
      <c r="H3222" s="7" t="inlineStr">
        <is>
          <t>Captive</t>
        </is>
      </c>
      <c r="I3222" s="7" t="inlineStr">
        <is>
          <t>Senthur Finance</t>
        </is>
      </c>
      <c r="J3222" s="8" t="n">
        <v>2004</v>
      </c>
      <c r="K3222" s="9" t="n">
        <v>80729</v>
      </c>
      <c r="L3222" s="10" t="n">
        <v>50000</v>
      </c>
      <c r="M3222" s="10" t="n">
        <v>4237.29</v>
      </c>
      <c r="N3222" s="11">
        <f>IF(M3222="","",ROUND(M3222*1.18,2))</f>
        <v/>
      </c>
      <c r="O3222" s="12">
        <f>IF(M3222="","",ROUND(N3222-M3222,2))</f>
        <v/>
      </c>
      <c r="P3222" s="13">
        <f>IF(AND(A3222&lt;&gt;"",B3222&lt;&gt;""), A3222&amp;" · "&amp;B3222, "")</f>
        <v/>
      </c>
    </row>
    <row r="3223">
      <c r="A3223" s="6" t="inlineStr">
        <is>
          <t>FY27</t>
        </is>
      </c>
      <c r="B3223" s="6" t="inlineStr">
        <is>
          <t>Jul</t>
        </is>
      </c>
      <c r="C3223" s="6" t="inlineStr">
        <is>
          <t>TN</t>
        </is>
      </c>
      <c r="D3223" s="7" t="inlineStr">
        <is>
          <t>TN39AD0361</t>
        </is>
      </c>
      <c r="E3223" s="7" t="inlineStr">
        <is>
          <t>HYUNDAI</t>
        </is>
      </c>
      <c r="F3223" s="7" t="inlineStr">
        <is>
          <t>i10</t>
        </is>
      </c>
      <c r="G3223" s="7" t="inlineStr">
        <is>
          <t>AADHI CARS PRIVATE LIMITED</t>
        </is>
      </c>
      <c r="H3223" s="7" t="inlineStr">
        <is>
          <t>Non-Captive</t>
        </is>
      </c>
      <c r="I3223" s="7" t="inlineStr">
        <is>
          <t>MADHURA CARS</t>
        </is>
      </c>
      <c r="J3223" s="8" t="n">
        <v>2005</v>
      </c>
      <c r="K3223" s="9" t="n">
        <v>138948</v>
      </c>
      <c r="L3223" s="10" t="n">
        <v>62000</v>
      </c>
      <c r="M3223" s="10" t="n">
        <v>4237.29</v>
      </c>
      <c r="N3223" s="11">
        <f>IF(M3223="","",ROUND(M3223*1.18,2))</f>
        <v/>
      </c>
      <c r="O3223" s="12">
        <f>IF(M3223="","",ROUND(N3223-M3223,2))</f>
        <v/>
      </c>
      <c r="P3223" s="13">
        <f>IF(AND(A3223&lt;&gt;"",B3223&lt;&gt;""), A3223&amp;" · "&amp;B3223, "")</f>
        <v/>
      </c>
    </row>
    <row r="3224">
      <c r="A3224" s="6" t="inlineStr">
        <is>
          <t>FY27</t>
        </is>
      </c>
      <c r="B3224" s="6" t="inlineStr">
        <is>
          <t>Jul</t>
        </is>
      </c>
      <c r="C3224" s="6" t="inlineStr">
        <is>
          <t>TN</t>
        </is>
      </c>
      <c r="D3224" s="7" t="inlineStr">
        <is>
          <t>TN40T1113</t>
        </is>
      </c>
      <c r="E3224" s="7" t="inlineStr">
        <is>
          <t>FORD</t>
        </is>
      </c>
      <c r="F3224" s="7" t="inlineStr">
        <is>
          <t>Freestyle</t>
        </is>
      </c>
      <c r="G3224" s="7" t="inlineStr">
        <is>
          <t>EXCHANGE ROTN</t>
        </is>
      </c>
      <c r="H3224" s="7" t="inlineStr">
        <is>
          <t>Captive</t>
        </is>
      </c>
      <c r="I3224" s="7" t="inlineStr">
        <is>
          <t>Uzhavan Enterprise</t>
        </is>
      </c>
      <c r="J3224" s="8" t="n">
        <v>2019</v>
      </c>
      <c r="K3224" s="9" t="n">
        <v>126806</v>
      </c>
      <c r="L3224" s="10" t="n">
        <v>325000</v>
      </c>
      <c r="M3224" s="10" t="n">
        <v>12711.86</v>
      </c>
      <c r="N3224" s="11">
        <f>IF(M3224="","",ROUND(M3224*1.18,2))</f>
        <v/>
      </c>
      <c r="O3224" s="12">
        <f>IF(M3224="","",ROUND(N3224-M3224,2))</f>
        <v/>
      </c>
      <c r="P3224" s="13">
        <f>IF(AND(A3224&lt;&gt;"",B3224&lt;&gt;""), A3224&amp;" · "&amp;B3224, "")</f>
        <v/>
      </c>
    </row>
    <row r="3225">
      <c r="A3225" s="6" t="inlineStr">
        <is>
          <t>FY27</t>
        </is>
      </c>
      <c r="B3225" s="6" t="inlineStr">
        <is>
          <t>Jul</t>
        </is>
      </c>
      <c r="C3225" s="6" t="inlineStr">
        <is>
          <t>TN</t>
        </is>
      </c>
      <c r="D3225" s="7" t="inlineStr">
        <is>
          <t>TN41AE6068</t>
        </is>
      </c>
      <c r="E3225" s="7" t="inlineStr">
        <is>
          <t>MARUTI SUZUKI</t>
        </is>
      </c>
      <c r="F3225" s="7" t="inlineStr">
        <is>
          <t>Alto</t>
        </is>
      </c>
      <c r="G3225" s="7" t="inlineStr">
        <is>
          <t>ABT ROTN</t>
        </is>
      </c>
      <c r="H3225" s="7" t="inlineStr">
        <is>
          <t>Non-Captive</t>
        </is>
      </c>
      <c r="I3225" s="7" t="inlineStr">
        <is>
          <t>SRI VIGNESH PRE OWNED CARS</t>
        </is>
      </c>
      <c r="J3225" s="8" t="n">
        <v>2012</v>
      </c>
      <c r="K3225" s="9" t="n">
        <v>127612</v>
      </c>
      <c r="L3225" s="10" t="n">
        <v>76000</v>
      </c>
      <c r="M3225" s="10" t="n">
        <v>4237.29</v>
      </c>
      <c r="N3225" s="11">
        <f>IF(M3225="","",ROUND(M3225*1.18,2))</f>
        <v/>
      </c>
      <c r="O3225" s="12">
        <f>IF(M3225="","",ROUND(N3225-M3225,2))</f>
        <v/>
      </c>
      <c r="P3225" s="13">
        <f>IF(AND(A3225&lt;&gt;"",B3225&lt;&gt;""), A3225&amp;" · "&amp;B3225, "")</f>
        <v/>
      </c>
    </row>
    <row r="3226">
      <c r="A3226" s="6" t="inlineStr">
        <is>
          <t>FY27</t>
        </is>
      </c>
      <c r="B3226" s="6" t="inlineStr">
        <is>
          <t>Jul</t>
        </is>
      </c>
      <c r="C3226" s="6" t="inlineStr">
        <is>
          <t>TN</t>
        </is>
      </c>
      <c r="D3226" s="7" t="inlineStr">
        <is>
          <t>TN41AF5403</t>
        </is>
      </c>
      <c r="E3226" s="7" t="inlineStr">
        <is>
          <t>HYUNDAI</t>
        </is>
      </c>
      <c r="F3226" s="7" t="inlineStr">
        <is>
          <t>Eon</t>
        </is>
      </c>
      <c r="G3226" s="7" t="inlineStr">
        <is>
          <t>EXCHANGE ROTN</t>
        </is>
      </c>
      <c r="H3226" s="7" t="inlineStr">
        <is>
          <t>Captive</t>
        </is>
      </c>
      <c r="I3226" s="7" t="inlineStr">
        <is>
          <t>Sivashankar Cars</t>
        </is>
      </c>
      <c r="J3226" s="8" t="n">
        <v>2012</v>
      </c>
      <c r="K3226" s="9" t="n">
        <v>169846</v>
      </c>
      <c r="L3226" s="10" t="n">
        <v>125000</v>
      </c>
      <c r="M3226" s="10" t="n">
        <v>5084.75</v>
      </c>
      <c r="N3226" s="11">
        <f>IF(M3226="","",ROUND(M3226*1.18,2))</f>
        <v/>
      </c>
      <c r="O3226" s="12">
        <f>IF(M3226="","",ROUND(N3226-M3226,2))</f>
        <v/>
      </c>
      <c r="P3226" s="13">
        <f>IF(AND(A3226&lt;&gt;"",B3226&lt;&gt;""), A3226&amp;" · "&amp;B3226, "")</f>
        <v/>
      </c>
    </row>
    <row r="3227">
      <c r="A3227" s="6" t="inlineStr">
        <is>
          <t>FY27</t>
        </is>
      </c>
      <c r="B3227" s="6" t="inlineStr">
        <is>
          <t>Jul</t>
        </is>
      </c>
      <c r="C3227" s="6" t="inlineStr">
        <is>
          <t>TN</t>
        </is>
      </c>
      <c r="D3227" s="7" t="inlineStr">
        <is>
          <t>TN41AR2000</t>
        </is>
      </c>
      <c r="E3227" s="7" t="inlineStr">
        <is>
          <t>VOLKSWAGEN</t>
        </is>
      </c>
      <c r="F3227" s="7" t="inlineStr">
        <is>
          <t>Vento</t>
        </is>
      </c>
      <c r="G3227" s="7" t="inlineStr">
        <is>
          <t>EXCHANGE ROTN</t>
        </is>
      </c>
      <c r="H3227" s="7" t="inlineStr">
        <is>
          <t>Captive</t>
        </is>
      </c>
      <c r="I3227" s="7" t="inlineStr">
        <is>
          <t>Uzhavan Enterprise</t>
        </is>
      </c>
      <c r="J3227" s="8" t="n">
        <v>2016</v>
      </c>
      <c r="K3227" s="9" t="n">
        <v>211374</v>
      </c>
      <c r="L3227" s="10" t="n">
        <v>300000</v>
      </c>
      <c r="M3227" s="10" t="n">
        <v>12711.86</v>
      </c>
      <c r="N3227" s="11">
        <f>IF(M3227="","",ROUND(M3227*1.18,2))</f>
        <v/>
      </c>
      <c r="O3227" s="12">
        <f>IF(M3227="","",ROUND(N3227-M3227,2))</f>
        <v/>
      </c>
      <c r="P3227" s="13">
        <f>IF(AND(A3227&lt;&gt;"",B3227&lt;&gt;""), A3227&amp;" · "&amp;B3227, "")</f>
        <v/>
      </c>
    </row>
    <row r="3228">
      <c r="A3228" s="6" t="inlineStr">
        <is>
          <t>FY27</t>
        </is>
      </c>
      <c r="B3228" s="6" t="inlineStr">
        <is>
          <t>Jul</t>
        </is>
      </c>
      <c r="C3228" s="6" t="inlineStr">
        <is>
          <t>TN</t>
        </is>
      </c>
      <c r="D3228" s="7" t="inlineStr">
        <is>
          <t>TN42E3072</t>
        </is>
      </c>
      <c r="E3228" s="7" t="inlineStr">
        <is>
          <t>TATA</t>
        </is>
      </c>
      <c r="F3228" s="7" t="inlineStr">
        <is>
          <t>Indica</t>
        </is>
      </c>
      <c r="G3228" s="7" t="inlineStr">
        <is>
          <t>EXCHANGE ROTN</t>
        </is>
      </c>
      <c r="H3228" s="7" t="inlineStr">
        <is>
          <t>Captive</t>
        </is>
      </c>
      <c r="I3228" s="7" t="inlineStr">
        <is>
          <t>Mr.Cars</t>
        </is>
      </c>
      <c r="J3228" s="8" t="n">
        <v>2011</v>
      </c>
      <c r="K3228" s="9" t="n">
        <v>137665</v>
      </c>
      <c r="L3228" s="10" t="n">
        <v>155000</v>
      </c>
      <c r="M3228" s="10" t="n">
        <v>8474.58</v>
      </c>
      <c r="N3228" s="11">
        <f>IF(M3228="","",ROUND(M3228*1.18,2))</f>
        <v/>
      </c>
      <c r="O3228" s="12">
        <f>IF(M3228="","",ROUND(N3228-M3228,2))</f>
        <v/>
      </c>
      <c r="P3228" s="13">
        <f>IF(AND(A3228&lt;&gt;"",B3228&lt;&gt;""), A3228&amp;" · "&amp;B3228, "")</f>
        <v/>
      </c>
    </row>
    <row r="3229">
      <c r="A3229" s="6" t="inlineStr">
        <is>
          <t>FY27</t>
        </is>
      </c>
      <c r="B3229" s="6" t="inlineStr">
        <is>
          <t>Jul</t>
        </is>
      </c>
      <c r="C3229" s="6" t="inlineStr">
        <is>
          <t>TN</t>
        </is>
      </c>
      <c r="D3229" s="7" t="inlineStr">
        <is>
          <t>TN42P1775</t>
        </is>
      </c>
      <c r="E3229" s="7" t="inlineStr">
        <is>
          <t>MARUTI SUZUKI</t>
        </is>
      </c>
      <c r="F3229" s="7" t="inlineStr">
        <is>
          <t>Alto K10</t>
        </is>
      </c>
      <c r="G3229" s="7" t="inlineStr">
        <is>
          <t>EXCHANGE ROTN</t>
        </is>
      </c>
      <c r="H3229" s="7" t="inlineStr">
        <is>
          <t>Captive</t>
        </is>
      </c>
      <c r="I3229" s="7" t="inlineStr">
        <is>
          <t>Mr.Cars</t>
        </is>
      </c>
      <c r="J3229" s="8" t="n">
        <v>2015</v>
      </c>
      <c r="K3229" s="9" t="n">
        <v>161025</v>
      </c>
      <c r="L3229" s="10" t="n">
        <v>195000</v>
      </c>
      <c r="M3229" s="10" t="n">
        <v>8474.58</v>
      </c>
      <c r="N3229" s="11">
        <f>IF(M3229="","",ROUND(M3229*1.18,2))</f>
        <v/>
      </c>
      <c r="O3229" s="12">
        <f>IF(M3229="","",ROUND(N3229-M3229,2))</f>
        <v/>
      </c>
      <c r="P3229" s="13">
        <f>IF(AND(A3229&lt;&gt;"",B3229&lt;&gt;""), A3229&amp;" · "&amp;B3229, "")</f>
        <v/>
      </c>
    </row>
    <row r="3230">
      <c r="A3230" s="6" t="inlineStr">
        <is>
          <t>FY27</t>
        </is>
      </c>
      <c r="B3230" s="6" t="inlineStr">
        <is>
          <t>Jul</t>
        </is>
      </c>
      <c r="C3230" s="6" t="inlineStr">
        <is>
          <t>TN</t>
        </is>
      </c>
      <c r="D3230" s="7" t="inlineStr">
        <is>
          <t>TN42P2309</t>
        </is>
      </c>
      <c r="E3230" s="7" t="inlineStr">
        <is>
          <t>CHEVROLET</t>
        </is>
      </c>
      <c r="F3230" s="7" t="inlineStr">
        <is>
          <t>Enjoy</t>
        </is>
      </c>
      <c r="G3230" s="7" t="inlineStr">
        <is>
          <t>EXCHANGE ROTN</t>
        </is>
      </c>
      <c r="H3230" s="7" t="inlineStr">
        <is>
          <t>Captive</t>
        </is>
      </c>
      <c r="I3230" s="7" t="inlineStr">
        <is>
          <t>MADHURA CARS</t>
        </is>
      </c>
      <c r="J3230" s="8" t="n">
        <v>2015</v>
      </c>
      <c r="K3230" s="9" t="n">
        <v>90134</v>
      </c>
      <c r="L3230" s="10" t="n">
        <v>98000</v>
      </c>
      <c r="M3230" s="10" t="n">
        <v>4237.29</v>
      </c>
      <c r="N3230" s="11">
        <f>IF(M3230="","",ROUND(M3230*1.18,2))</f>
        <v/>
      </c>
      <c r="O3230" s="12">
        <f>IF(M3230="","",ROUND(N3230-M3230,2))</f>
        <v/>
      </c>
      <c r="P3230" s="13">
        <f>IF(AND(A3230&lt;&gt;"",B3230&lt;&gt;""), A3230&amp;" · "&amp;B3230, "")</f>
        <v/>
      </c>
    </row>
    <row r="3231">
      <c r="A3231" s="6" t="inlineStr">
        <is>
          <t>FY27</t>
        </is>
      </c>
      <c r="B3231" s="6" t="inlineStr">
        <is>
          <t>Jul</t>
        </is>
      </c>
      <c r="C3231" s="6" t="inlineStr">
        <is>
          <t>TN</t>
        </is>
      </c>
      <c r="D3231" s="7" t="inlineStr">
        <is>
          <t>TN42S9121</t>
        </is>
      </c>
      <c r="E3231" s="7" t="inlineStr">
        <is>
          <t>NISSAN</t>
        </is>
      </c>
      <c r="F3231" s="7" t="inlineStr">
        <is>
          <t>Terrano</t>
        </is>
      </c>
      <c r="G3231" s="7" t="inlineStr">
        <is>
          <t>EXCHANGE ROTN</t>
        </is>
      </c>
      <c r="H3231" s="7" t="inlineStr">
        <is>
          <t>Captive</t>
        </is>
      </c>
      <c r="I3231" s="7" t="inlineStr">
        <is>
          <t>&lt;NA&gt;</t>
        </is>
      </c>
      <c r="J3231" s="8" t="n">
        <v>2017</v>
      </c>
      <c r="K3231" s="9" t="n">
        <v>323938</v>
      </c>
      <c r="L3231" s="10" t="n">
        <v>300000</v>
      </c>
      <c r="M3231" s="10" t="n">
        <v>8474.58</v>
      </c>
      <c r="N3231" s="11">
        <f>IF(M3231="","",ROUND(M3231*1.18,2))</f>
        <v/>
      </c>
      <c r="O3231" s="12">
        <f>IF(M3231="","",ROUND(N3231-M3231,2))</f>
        <v/>
      </c>
      <c r="P3231" s="13">
        <f>IF(AND(A3231&lt;&gt;"",B3231&lt;&gt;""), A3231&amp;" · "&amp;B3231, "")</f>
        <v/>
      </c>
    </row>
    <row r="3232">
      <c r="A3232" s="6" t="inlineStr">
        <is>
          <t>FY27</t>
        </is>
      </c>
      <c r="B3232" s="6" t="inlineStr">
        <is>
          <t>Jul</t>
        </is>
      </c>
      <c r="C3232" s="6" t="inlineStr">
        <is>
          <t>TN</t>
        </is>
      </c>
      <c r="D3232" s="7" t="inlineStr">
        <is>
          <t>TN43M5630</t>
        </is>
      </c>
      <c r="E3232" s="7" t="inlineStr">
        <is>
          <t>TATA</t>
        </is>
      </c>
      <c r="F3232" s="7" t="inlineStr">
        <is>
          <t>Tiago</t>
        </is>
      </c>
      <c r="G3232" s="7" t="inlineStr">
        <is>
          <t>EXCHANGE ROTN</t>
        </is>
      </c>
      <c r="H3232" s="7" t="inlineStr">
        <is>
          <t>Captive</t>
        </is>
      </c>
      <c r="I3232" s="7" t="inlineStr">
        <is>
          <t>DEERAA CARS</t>
        </is>
      </c>
      <c r="J3232" s="8" t="n">
        <v>2022</v>
      </c>
      <c r="K3232" s="9" t="n">
        <v>37702</v>
      </c>
      <c r="L3232" s="10" t="n">
        <v>440000</v>
      </c>
      <c r="M3232" s="10" t="n">
        <v>8474.58</v>
      </c>
      <c r="N3232" s="11">
        <f>IF(M3232="","",ROUND(M3232*1.18,2))</f>
        <v/>
      </c>
      <c r="O3232" s="12">
        <f>IF(M3232="","",ROUND(N3232-M3232,2))</f>
        <v/>
      </c>
      <c r="P3232" s="13">
        <f>IF(AND(A3232&lt;&gt;"",B3232&lt;&gt;""), A3232&amp;" · "&amp;B3232, "")</f>
        <v/>
      </c>
    </row>
    <row r="3233">
      <c r="A3233" s="6" t="inlineStr">
        <is>
          <t>FY27</t>
        </is>
      </c>
      <c r="B3233" s="6" t="inlineStr">
        <is>
          <t>Jul</t>
        </is>
      </c>
      <c r="C3233" s="6" t="inlineStr">
        <is>
          <t>TN</t>
        </is>
      </c>
      <c r="D3233" s="7" t="inlineStr">
        <is>
          <t>TN45BP2865</t>
        </is>
      </c>
      <c r="E3233" s="7" t="inlineStr">
        <is>
          <t>MARUTI SUZUKI</t>
        </is>
      </c>
      <c r="F3233" s="7" t="inlineStr">
        <is>
          <t>Alto 800</t>
        </is>
      </c>
      <c r="G3233" s="7" t="inlineStr">
        <is>
          <t>PLA MOTORS</t>
        </is>
      </c>
      <c r="H3233" s="7" t="inlineStr">
        <is>
          <t>Non-Captive</t>
        </is>
      </c>
      <c r="I3233" s="7" t="inlineStr">
        <is>
          <t>MADHURA CARS</t>
        </is>
      </c>
      <c r="J3233" s="8" t="n">
        <v>2018</v>
      </c>
      <c r="K3233" s="9" t="n">
        <v>52495</v>
      </c>
      <c r="L3233" s="10" t="n">
        <v>85000</v>
      </c>
      <c r="M3233" s="10" t="n">
        <v>4237.29</v>
      </c>
      <c r="N3233" s="11">
        <f>IF(M3233="","",ROUND(M3233*1.18,2))</f>
        <v/>
      </c>
      <c r="O3233" s="12">
        <f>IF(M3233="","",ROUND(N3233-M3233,2))</f>
        <v/>
      </c>
      <c r="P3233" s="13">
        <f>IF(AND(A3233&lt;&gt;"",B3233&lt;&gt;""), A3233&amp;" · "&amp;B3233, "")</f>
        <v/>
      </c>
    </row>
    <row r="3234">
      <c r="A3234" s="6" t="inlineStr">
        <is>
          <t>FY27</t>
        </is>
      </c>
      <c r="B3234" s="6" t="inlineStr">
        <is>
          <t>Jul</t>
        </is>
      </c>
      <c r="C3234" s="6" t="inlineStr">
        <is>
          <t>TN</t>
        </is>
      </c>
      <c r="D3234" s="7" t="inlineStr">
        <is>
          <t>TN45BP8724</t>
        </is>
      </c>
      <c r="E3234" s="7" t="inlineStr">
        <is>
          <t>MARUTI SUZUKI</t>
        </is>
      </c>
      <c r="F3234" s="7" t="inlineStr">
        <is>
          <t>Alto 800</t>
        </is>
      </c>
      <c r="G3234" s="7" t="inlineStr">
        <is>
          <t>EXCHANGE ROTN</t>
        </is>
      </c>
      <c r="H3234" s="7" t="inlineStr">
        <is>
          <t>Captive</t>
        </is>
      </c>
      <c r="I3234" s="7" t="inlineStr">
        <is>
          <t>READY TO RIDE CARS</t>
        </is>
      </c>
      <c r="J3234" s="8" t="n">
        <v>2018</v>
      </c>
      <c r="K3234" s="9" t="n">
        <v>65398</v>
      </c>
      <c r="L3234" s="10" t="n">
        <v>73000</v>
      </c>
      <c r="M3234" s="10" t="n">
        <v>4237.29</v>
      </c>
      <c r="N3234" s="11">
        <f>IF(M3234="","",ROUND(M3234*1.18,2))</f>
        <v/>
      </c>
      <c r="O3234" s="12">
        <f>IF(M3234="","",ROUND(N3234-M3234,2))</f>
        <v/>
      </c>
      <c r="P3234" s="13">
        <f>IF(AND(A3234&lt;&gt;"",B3234&lt;&gt;""), A3234&amp;" · "&amp;B3234, "")</f>
        <v/>
      </c>
    </row>
    <row r="3235">
      <c r="A3235" s="6" t="inlineStr">
        <is>
          <t>FY27</t>
        </is>
      </c>
      <c r="B3235" s="6" t="inlineStr">
        <is>
          <t>Jul</t>
        </is>
      </c>
      <c r="C3235" s="6" t="inlineStr">
        <is>
          <t>TN</t>
        </is>
      </c>
      <c r="D3235" s="7" t="inlineStr">
        <is>
          <t>TN47U3098</t>
        </is>
      </c>
      <c r="E3235" s="7" t="inlineStr">
        <is>
          <t>MARUTI SUZUKI</t>
        </is>
      </c>
      <c r="F3235" s="7" t="inlineStr">
        <is>
          <t>Alto</t>
        </is>
      </c>
      <c r="G3235" s="7" t="inlineStr">
        <is>
          <t>EXCHANGE ROTN</t>
        </is>
      </c>
      <c r="H3235" s="7" t="inlineStr">
        <is>
          <t>Captive</t>
        </is>
      </c>
      <c r="I3235" s="7" t="inlineStr">
        <is>
          <t>&lt;NA&gt;</t>
        </is>
      </c>
      <c r="J3235" s="8" t="n">
        <v>2009</v>
      </c>
      <c r="K3235" s="9" t="n">
        <v>56415</v>
      </c>
      <c r="L3235" s="10" t="n">
        <v>70000</v>
      </c>
      <c r="M3235" s="10" t="n">
        <v>4237.29</v>
      </c>
      <c r="N3235" s="11">
        <f>IF(M3235="","",ROUND(M3235*1.18,2))</f>
        <v/>
      </c>
      <c r="O3235" s="12">
        <f>IF(M3235="","",ROUND(N3235-M3235,2))</f>
        <v/>
      </c>
      <c r="P3235" s="13">
        <f>IF(AND(A3235&lt;&gt;"",B3235&lt;&gt;""), A3235&amp;" · "&amp;B3235, "")</f>
        <v/>
      </c>
    </row>
    <row r="3236">
      <c r="A3236" s="6" t="inlineStr">
        <is>
          <t>FY27</t>
        </is>
      </c>
      <c r="B3236" s="6" t="inlineStr">
        <is>
          <t>Jul</t>
        </is>
      </c>
      <c r="C3236" s="6" t="inlineStr">
        <is>
          <t>TN</t>
        </is>
      </c>
      <c r="D3236" s="7" t="inlineStr">
        <is>
          <t>TN48AF9121</t>
        </is>
      </c>
      <c r="E3236" s="7" t="inlineStr">
        <is>
          <t>MARUTI SUZUKI</t>
        </is>
      </c>
      <c r="F3236" s="7" t="inlineStr">
        <is>
          <t>Alto 800</t>
        </is>
      </c>
      <c r="G3236" s="7" t="inlineStr">
        <is>
          <t>PLA MOTORS</t>
        </is>
      </c>
      <c r="H3236" s="7" t="inlineStr">
        <is>
          <t>Non-Captive</t>
        </is>
      </c>
      <c r="I3236" s="7" t="inlineStr">
        <is>
          <t>MADHURA CARS</t>
        </is>
      </c>
      <c r="J3236" s="8" t="n">
        <v>2017</v>
      </c>
      <c r="K3236" s="9" t="n">
        <v>78276</v>
      </c>
      <c r="L3236" s="10" t="n">
        <v>92000</v>
      </c>
      <c r="M3236" s="10" t="n">
        <v>4237.29</v>
      </c>
      <c r="N3236" s="11">
        <f>IF(M3236="","",ROUND(M3236*1.18,2))</f>
        <v/>
      </c>
      <c r="O3236" s="12">
        <f>IF(M3236="","",ROUND(N3236-M3236,2))</f>
        <v/>
      </c>
      <c r="P3236" s="13">
        <f>IF(AND(A3236&lt;&gt;"",B3236&lt;&gt;""), A3236&amp;" · "&amp;B3236, "")</f>
        <v/>
      </c>
    </row>
    <row r="3237">
      <c r="A3237" s="6" t="inlineStr">
        <is>
          <t>FY27</t>
        </is>
      </c>
      <c r="B3237" s="6" t="inlineStr">
        <is>
          <t>Jul</t>
        </is>
      </c>
      <c r="C3237" s="6" t="inlineStr">
        <is>
          <t>TN</t>
        </is>
      </c>
      <c r="D3237" s="7" t="inlineStr">
        <is>
          <t>TN54A2597</t>
        </is>
      </c>
      <c r="E3237" s="7" t="inlineStr">
        <is>
          <t>MARUTI SUZUKI</t>
        </is>
      </c>
      <c r="F3237" s="7" t="inlineStr">
        <is>
          <t>800</t>
        </is>
      </c>
      <c r="G3237" s="7" t="inlineStr">
        <is>
          <t>EXCHANGE ROTN</t>
        </is>
      </c>
      <c r="H3237" s="7" t="inlineStr">
        <is>
          <t>Captive</t>
        </is>
      </c>
      <c r="I3237" s="7" t="inlineStr">
        <is>
          <t>STALIN CARS</t>
        </is>
      </c>
      <c r="J3237" s="8" t="n">
        <v>2009</v>
      </c>
      <c r="K3237" s="9" t="n">
        <v>77294</v>
      </c>
      <c r="L3237" s="10" t="n">
        <v>40000</v>
      </c>
      <c r="M3237" s="10" t="n">
        <v>4237.29</v>
      </c>
      <c r="N3237" s="11">
        <f>IF(M3237="","",ROUND(M3237*1.18,2))</f>
        <v/>
      </c>
      <c r="O3237" s="12">
        <f>IF(M3237="","",ROUND(N3237-M3237,2))</f>
        <v/>
      </c>
      <c r="P3237" s="13">
        <f>IF(AND(A3237&lt;&gt;"",B3237&lt;&gt;""), A3237&amp;" · "&amp;B3237, "")</f>
        <v/>
      </c>
    </row>
    <row r="3238">
      <c r="A3238" s="6" t="inlineStr">
        <is>
          <t>FY27</t>
        </is>
      </c>
      <c r="B3238" s="6" t="inlineStr">
        <is>
          <t>Jul</t>
        </is>
      </c>
      <c r="C3238" s="6" t="inlineStr">
        <is>
          <t>TN</t>
        </is>
      </c>
      <c r="D3238" s="7" t="inlineStr">
        <is>
          <t>TN54A8471</t>
        </is>
      </c>
      <c r="E3238" s="7" t="inlineStr">
        <is>
          <t>MARUTI SUZUKI</t>
        </is>
      </c>
      <c r="F3238" s="7" t="inlineStr">
        <is>
          <t>Ritz</t>
        </is>
      </c>
      <c r="G3238" s="7" t="inlineStr">
        <is>
          <t>EXCHANGE ROTN</t>
        </is>
      </c>
      <c r="H3238" s="7" t="inlineStr">
        <is>
          <t>Captive</t>
        </is>
      </c>
      <c r="I3238" s="7" t="inlineStr">
        <is>
          <t>SRI RAJA KANAPATHY CARS</t>
        </is>
      </c>
      <c r="J3238" s="8" t="n">
        <v>2009</v>
      </c>
      <c r="K3238" s="9" t="n">
        <v>180649</v>
      </c>
      <c r="L3238" s="10" t="n">
        <v>98000</v>
      </c>
      <c r="M3238" s="10" t="n">
        <v>4237.29</v>
      </c>
      <c r="N3238" s="11">
        <f>IF(M3238="","",ROUND(M3238*1.18,2))</f>
        <v/>
      </c>
      <c r="O3238" s="12">
        <f>IF(M3238="","",ROUND(N3238-M3238,2))</f>
        <v/>
      </c>
      <c r="P3238" s="13">
        <f>IF(AND(A3238&lt;&gt;"",B3238&lt;&gt;""), A3238&amp;" · "&amp;B3238, "")</f>
        <v/>
      </c>
    </row>
    <row r="3239">
      <c r="A3239" s="6" t="inlineStr">
        <is>
          <t>FY27</t>
        </is>
      </c>
      <c r="B3239" s="6" t="inlineStr">
        <is>
          <t>Jul</t>
        </is>
      </c>
      <c r="C3239" s="6" t="inlineStr">
        <is>
          <t>TN</t>
        </is>
      </c>
      <c r="D3239" s="7" t="inlineStr">
        <is>
          <t>TN54B8624</t>
        </is>
      </c>
      <c r="E3239" s="7" t="inlineStr">
        <is>
          <t>TATA</t>
        </is>
      </c>
      <c r="F3239" s="7" t="inlineStr">
        <is>
          <t>Indica</t>
        </is>
      </c>
      <c r="G3239" s="7" t="inlineStr">
        <is>
          <t>EXCHANGE ROTN</t>
        </is>
      </c>
      <c r="H3239" s="7" t="inlineStr">
        <is>
          <t>Captive</t>
        </is>
      </c>
      <c r="I3239" s="7" t="inlineStr">
        <is>
          <t>STALIN CARS</t>
        </is>
      </c>
      <c r="J3239" s="8" t="n">
        <v>2010</v>
      </c>
      <c r="K3239" s="9" t="n">
        <v>149097</v>
      </c>
      <c r="L3239" s="10" t="n">
        <v>40000</v>
      </c>
      <c r="M3239" s="10" t="n">
        <v>4237.29</v>
      </c>
      <c r="N3239" s="11">
        <f>IF(M3239="","",ROUND(M3239*1.18,2))</f>
        <v/>
      </c>
      <c r="O3239" s="12">
        <f>IF(M3239="","",ROUND(N3239-M3239,2))</f>
        <v/>
      </c>
      <c r="P3239" s="13">
        <f>IF(AND(A3239&lt;&gt;"",B3239&lt;&gt;""), A3239&amp;" · "&amp;B3239, "")</f>
        <v/>
      </c>
    </row>
    <row r="3240">
      <c r="A3240" s="6" t="inlineStr">
        <is>
          <t>FY27</t>
        </is>
      </c>
      <c r="B3240" s="6" t="inlineStr">
        <is>
          <t>Jul</t>
        </is>
      </c>
      <c r="C3240" s="6" t="inlineStr">
        <is>
          <t>TN</t>
        </is>
      </c>
      <c r="D3240" s="7" t="inlineStr">
        <is>
          <t>TN56H0700</t>
        </is>
      </c>
      <c r="E3240" s="7" t="inlineStr">
        <is>
          <t>SKODA</t>
        </is>
      </c>
      <c r="F3240" s="7" t="inlineStr">
        <is>
          <t>Rapid</t>
        </is>
      </c>
      <c r="G3240" s="7" t="inlineStr">
        <is>
          <t>EXCHANGE ROTN</t>
        </is>
      </c>
      <c r="H3240" s="7" t="inlineStr">
        <is>
          <t>Captive</t>
        </is>
      </c>
      <c r="I3240" s="7" t="inlineStr">
        <is>
          <t>VIJAY CARS ERODE</t>
        </is>
      </c>
      <c r="J3240" s="8" t="n">
        <v>2015</v>
      </c>
      <c r="K3240" s="9" t="n">
        <v>204666</v>
      </c>
      <c r="L3240" s="10" t="n">
        <v>285000</v>
      </c>
      <c r="M3240" s="10" t="n">
        <v>10169.49</v>
      </c>
      <c r="N3240" s="11">
        <f>IF(M3240="","",ROUND(M3240*1.18,2))</f>
        <v/>
      </c>
      <c r="O3240" s="12">
        <f>IF(M3240="","",ROUND(N3240-M3240,2))</f>
        <v/>
      </c>
      <c r="P3240" s="13">
        <f>IF(AND(A3240&lt;&gt;"",B3240&lt;&gt;""), A3240&amp;" · "&amp;B3240, "")</f>
        <v/>
      </c>
    </row>
    <row r="3241">
      <c r="A3241" s="6" t="inlineStr">
        <is>
          <t>FY27</t>
        </is>
      </c>
      <c r="B3241" s="6" t="inlineStr">
        <is>
          <t>Jul</t>
        </is>
      </c>
      <c r="C3241" s="6" t="inlineStr">
        <is>
          <t>TN</t>
        </is>
      </c>
      <c r="D3241" s="7" t="inlineStr">
        <is>
          <t>TN56U5644</t>
        </is>
      </c>
      <c r="E3241" s="7" t="inlineStr">
        <is>
          <t>TOYOTA</t>
        </is>
      </c>
      <c r="F3241" s="7" t="inlineStr">
        <is>
          <t>Glanza</t>
        </is>
      </c>
      <c r="G3241" s="7" t="inlineStr">
        <is>
          <t>EXCHANGE ROTN</t>
        </is>
      </c>
      <c r="H3241" s="7" t="inlineStr">
        <is>
          <t>Captive</t>
        </is>
      </c>
      <c r="I3241" s="7" t="inlineStr">
        <is>
          <t>Sai Cars</t>
        </is>
      </c>
      <c r="J3241" s="8" t="n">
        <v>2025</v>
      </c>
      <c r="K3241" s="9" t="n">
        <v>6094</v>
      </c>
      <c r="L3241" s="10" t="n">
        <v>800000</v>
      </c>
      <c r="M3241" s="10" t="n">
        <v>12711.86</v>
      </c>
      <c r="N3241" s="11">
        <f>IF(M3241="","",ROUND(M3241*1.18,2))</f>
        <v/>
      </c>
      <c r="O3241" s="12">
        <f>IF(M3241="","",ROUND(N3241-M3241,2))</f>
        <v/>
      </c>
      <c r="P3241" s="13">
        <f>IF(AND(A3241&lt;&gt;"",B3241&lt;&gt;""), A3241&amp;" · "&amp;B3241, "")</f>
        <v/>
      </c>
    </row>
    <row r="3242">
      <c r="A3242" s="6" t="inlineStr">
        <is>
          <t>FY27</t>
        </is>
      </c>
      <c r="B3242" s="6" t="inlineStr">
        <is>
          <t>Jul</t>
        </is>
      </c>
      <c r="C3242" s="6" t="inlineStr">
        <is>
          <t>TN</t>
        </is>
      </c>
      <c r="D3242" s="7" t="inlineStr">
        <is>
          <t>TN57AF1123</t>
        </is>
      </c>
      <c r="E3242" s="7" t="inlineStr">
        <is>
          <t>MARUTI SUZUKI</t>
        </is>
      </c>
      <c r="F3242" s="7" t="inlineStr">
        <is>
          <t>Dzire</t>
        </is>
      </c>
      <c r="G3242" s="7" t="inlineStr">
        <is>
          <t>EXCHANGE ROTN</t>
        </is>
      </c>
      <c r="H3242" s="7" t="inlineStr">
        <is>
          <t>Captive</t>
        </is>
      </c>
      <c r="I3242" s="7" t="inlineStr">
        <is>
          <t>READY TO RIDE CARS</t>
        </is>
      </c>
      <c r="J3242" s="8" t="n">
        <v>2012</v>
      </c>
      <c r="K3242" s="9" t="n">
        <v>174132</v>
      </c>
      <c r="L3242" s="10" t="n">
        <v>89000</v>
      </c>
      <c r="M3242" s="10" t="n">
        <v>4237.29</v>
      </c>
      <c r="N3242" s="11">
        <f>IF(M3242="","",ROUND(M3242*1.18,2))</f>
        <v/>
      </c>
      <c r="O3242" s="12">
        <f>IF(M3242="","",ROUND(N3242-M3242,2))</f>
        <v/>
      </c>
      <c r="P3242" s="13">
        <f>IF(AND(A3242&lt;&gt;"",B3242&lt;&gt;""), A3242&amp;" · "&amp;B3242, "")</f>
        <v/>
      </c>
    </row>
    <row r="3243">
      <c r="A3243" s="6" t="inlineStr">
        <is>
          <t>FY27</t>
        </is>
      </c>
      <c r="B3243" s="6" t="inlineStr">
        <is>
          <t>Jul</t>
        </is>
      </c>
      <c r="C3243" s="6" t="inlineStr">
        <is>
          <t>TN</t>
        </is>
      </c>
      <c r="D3243" s="7" t="inlineStr">
        <is>
          <t>TN57AH5152</t>
        </is>
      </c>
      <c r="E3243" s="7" t="inlineStr">
        <is>
          <t>MARUTI SUZUKI</t>
        </is>
      </c>
      <c r="F3243" s="7" t="inlineStr">
        <is>
          <t>Alto 800</t>
        </is>
      </c>
      <c r="G3243" s="7" t="inlineStr">
        <is>
          <t>EXCHANGE ROTN</t>
        </is>
      </c>
      <c r="H3243" s="7" t="inlineStr">
        <is>
          <t>Captive</t>
        </is>
      </c>
      <c r="I3243" s="7" t="inlineStr">
        <is>
          <t>READY TO RIDE CARS</t>
        </is>
      </c>
      <c r="J3243" s="8" t="n">
        <v>2012</v>
      </c>
      <c r="K3243" s="9" t="n">
        <v>80178</v>
      </c>
      <c r="L3243" s="10" t="n">
        <v>91000</v>
      </c>
      <c r="M3243" s="10" t="n">
        <v>4237.29</v>
      </c>
      <c r="N3243" s="11">
        <f>IF(M3243="","",ROUND(M3243*1.18,2))</f>
        <v/>
      </c>
      <c r="O3243" s="12">
        <f>IF(M3243="","",ROUND(N3243-M3243,2))</f>
        <v/>
      </c>
      <c r="P3243" s="13">
        <f>IF(AND(A3243&lt;&gt;"",B3243&lt;&gt;""), A3243&amp;" · "&amp;B3243, "")</f>
        <v/>
      </c>
    </row>
    <row r="3244">
      <c r="A3244" s="6" t="inlineStr">
        <is>
          <t>FY27</t>
        </is>
      </c>
      <c r="B3244" s="6" t="inlineStr">
        <is>
          <t>Jul</t>
        </is>
      </c>
      <c r="C3244" s="6" t="inlineStr">
        <is>
          <t>TN</t>
        </is>
      </c>
      <c r="D3244" s="7" t="inlineStr">
        <is>
          <t>TN57BM9396</t>
        </is>
      </c>
      <c r="E3244" s="7" t="inlineStr">
        <is>
          <t>HONDA</t>
        </is>
      </c>
      <c r="F3244" s="7" t="inlineStr">
        <is>
          <t>Amaze</t>
        </is>
      </c>
      <c r="G3244" s="7" t="inlineStr">
        <is>
          <t>EXCHANGE ROTN</t>
        </is>
      </c>
      <c r="H3244" s="7" t="inlineStr">
        <is>
          <t>Captive</t>
        </is>
      </c>
      <c r="I3244" s="7" t="inlineStr">
        <is>
          <t>GGEE Cars</t>
        </is>
      </c>
      <c r="J3244" s="8" t="n">
        <v>2021</v>
      </c>
      <c r="K3244" s="9" t="n">
        <v>82212</v>
      </c>
      <c r="L3244" s="10" t="n">
        <v>510000</v>
      </c>
      <c r="M3244" s="10" t="n">
        <v>16949.15</v>
      </c>
      <c r="N3244" s="11">
        <f>IF(M3244="","",ROUND(M3244*1.18,2))</f>
        <v/>
      </c>
      <c r="O3244" s="12">
        <f>IF(M3244="","",ROUND(N3244-M3244,2))</f>
        <v/>
      </c>
      <c r="P3244" s="13">
        <f>IF(AND(A3244&lt;&gt;"",B3244&lt;&gt;""), A3244&amp;" · "&amp;B3244, "")</f>
        <v/>
      </c>
    </row>
    <row r="3245">
      <c r="A3245" s="6" t="inlineStr">
        <is>
          <t>FY27</t>
        </is>
      </c>
      <c r="B3245" s="6" t="inlineStr">
        <is>
          <t>Jul</t>
        </is>
      </c>
      <c r="C3245" s="6" t="inlineStr">
        <is>
          <t>TN</t>
        </is>
      </c>
      <c r="D3245" s="7" t="inlineStr">
        <is>
          <t>TN58AL7558</t>
        </is>
      </c>
      <c r="E3245" s="7" t="inlineStr">
        <is>
          <t>HONDA</t>
        </is>
      </c>
      <c r="F3245" s="7" t="inlineStr">
        <is>
          <t>Amaze</t>
        </is>
      </c>
      <c r="G3245" s="7" t="inlineStr">
        <is>
          <t>EXCHANGE ROTN</t>
        </is>
      </c>
      <c r="H3245" s="7" t="inlineStr">
        <is>
          <t>Captive</t>
        </is>
      </c>
      <c r="I3245" s="7" t="inlineStr">
        <is>
          <t>BALAJI CARS (THENI</t>
        </is>
      </c>
      <c r="J3245" s="8" t="n">
        <v>2016</v>
      </c>
      <c r="K3245" s="9" t="n">
        <v>80896</v>
      </c>
      <c r="L3245" s="10" t="n">
        <v>320000</v>
      </c>
      <c r="M3245" s="10" t="n">
        <v>16949.15</v>
      </c>
      <c r="N3245" s="11">
        <f>IF(M3245="","",ROUND(M3245*1.18,2))</f>
        <v/>
      </c>
      <c r="O3245" s="12">
        <f>IF(M3245="","",ROUND(N3245-M3245,2))</f>
        <v/>
      </c>
      <c r="P3245" s="13">
        <f>IF(AND(A3245&lt;&gt;"",B3245&lt;&gt;""), A3245&amp;" · "&amp;B3245, "")</f>
        <v/>
      </c>
    </row>
    <row r="3246">
      <c r="A3246" s="6" t="inlineStr">
        <is>
          <t>FY27</t>
        </is>
      </c>
      <c r="B3246" s="6" t="inlineStr">
        <is>
          <t>Jul</t>
        </is>
      </c>
      <c r="C3246" s="6" t="inlineStr">
        <is>
          <t>TN</t>
        </is>
      </c>
      <c r="D3246" s="7" t="inlineStr">
        <is>
          <t>TN58BJ5818</t>
        </is>
      </c>
      <c r="E3246" s="7" t="inlineStr">
        <is>
          <t>HONDA</t>
        </is>
      </c>
      <c r="F3246" s="7" t="inlineStr">
        <is>
          <t>Amaze</t>
        </is>
      </c>
      <c r="G3246" s="7" t="inlineStr">
        <is>
          <t>EXCHANGE ROTN</t>
        </is>
      </c>
      <c r="H3246" s="7" t="inlineStr">
        <is>
          <t>Captive</t>
        </is>
      </c>
      <c r="I3246" s="7" t="inlineStr">
        <is>
          <t>FRIENDS CARS</t>
        </is>
      </c>
      <c r="J3246" s="8" t="n">
        <v>2023</v>
      </c>
      <c r="K3246" s="9" t="n">
        <v>64012</v>
      </c>
      <c r="L3246" s="10" t="n">
        <v>636000</v>
      </c>
      <c r="M3246" s="10" t="n">
        <v>16949.15</v>
      </c>
      <c r="N3246" s="11">
        <f>IF(M3246="","",ROUND(M3246*1.18,2))</f>
        <v/>
      </c>
      <c r="O3246" s="12">
        <f>IF(M3246="","",ROUND(N3246-M3246,2))</f>
        <v/>
      </c>
      <c r="P3246" s="13">
        <f>IF(AND(A3246&lt;&gt;"",B3246&lt;&gt;""), A3246&amp;" · "&amp;B3246, "")</f>
        <v/>
      </c>
    </row>
    <row r="3247">
      <c r="A3247" s="6" t="inlineStr">
        <is>
          <t>FY27</t>
        </is>
      </c>
      <c r="B3247" s="6" t="inlineStr">
        <is>
          <t>Jul</t>
        </is>
      </c>
      <c r="C3247" s="6" t="inlineStr">
        <is>
          <t>TN</t>
        </is>
      </c>
      <c r="D3247" s="7" t="inlineStr">
        <is>
          <t>TN58L4493</t>
        </is>
      </c>
      <c r="E3247" s="7" t="inlineStr">
        <is>
          <t>HYUNDAI</t>
        </is>
      </c>
      <c r="F3247" s="7" t="inlineStr">
        <is>
          <t>Santro</t>
        </is>
      </c>
      <c r="G3247" s="7" t="inlineStr">
        <is>
          <t>EXCHANGE ROTN</t>
        </is>
      </c>
      <c r="H3247" s="7" t="inlineStr">
        <is>
          <t>Captive</t>
        </is>
      </c>
      <c r="I3247" s="7" t="inlineStr">
        <is>
          <t>Sai Cars</t>
        </is>
      </c>
      <c r="J3247" s="8" t="n">
        <v>2005</v>
      </c>
      <c r="K3247" s="9" t="n">
        <v>194200</v>
      </c>
      <c r="L3247" s="10" t="n">
        <v>55000</v>
      </c>
      <c r="M3247" s="10" t="n">
        <v>4237.29</v>
      </c>
      <c r="N3247" s="11">
        <f>IF(M3247="","",ROUND(M3247*1.18,2))</f>
        <v/>
      </c>
      <c r="O3247" s="12">
        <f>IF(M3247="","",ROUND(N3247-M3247,2))</f>
        <v/>
      </c>
      <c r="P3247" s="13">
        <f>IF(AND(A3247&lt;&gt;"",B3247&lt;&gt;""), A3247&amp;" · "&amp;B3247, "")</f>
        <v/>
      </c>
    </row>
    <row r="3248">
      <c r="A3248" s="6" t="inlineStr">
        <is>
          <t>FY27</t>
        </is>
      </c>
      <c r="B3248" s="6" t="inlineStr">
        <is>
          <t>Jul</t>
        </is>
      </c>
      <c r="C3248" s="6" t="inlineStr">
        <is>
          <t>TN</t>
        </is>
      </c>
      <c r="D3248" s="7" t="inlineStr">
        <is>
          <t>TN58R4641</t>
        </is>
      </c>
      <c r="E3248" s="7" t="inlineStr">
        <is>
          <t>MARUTI SUZUKI</t>
        </is>
      </c>
      <c r="F3248" s="7" t="inlineStr">
        <is>
          <t>Omni</t>
        </is>
      </c>
      <c r="G3248" s="7" t="inlineStr">
        <is>
          <t>EXCHANGE ROTN</t>
        </is>
      </c>
      <c r="H3248" s="7" t="inlineStr">
        <is>
          <t>Captive</t>
        </is>
      </c>
      <c r="I3248" s="7" t="inlineStr">
        <is>
          <t>Paul Cars</t>
        </is>
      </c>
      <c r="J3248" s="8" t="n">
        <v>2007</v>
      </c>
      <c r="K3248" s="9" t="n">
        <v>127130</v>
      </c>
      <c r="L3248" s="10" t="n">
        <v>80000</v>
      </c>
      <c r="M3248" s="10" t="n">
        <v>4237.29</v>
      </c>
      <c r="N3248" s="11">
        <f>IF(M3248="","",ROUND(M3248*1.18,2))</f>
        <v/>
      </c>
      <c r="O3248" s="12">
        <f>IF(M3248="","",ROUND(N3248-M3248,2))</f>
        <v/>
      </c>
      <c r="P3248" s="13">
        <f>IF(AND(A3248&lt;&gt;"",B3248&lt;&gt;""), A3248&amp;" · "&amp;B3248, "")</f>
        <v/>
      </c>
    </row>
    <row r="3249">
      <c r="A3249" s="6" t="inlineStr">
        <is>
          <t>FY27</t>
        </is>
      </c>
      <c r="B3249" s="6" t="inlineStr">
        <is>
          <t>Jul</t>
        </is>
      </c>
      <c r="C3249" s="6" t="inlineStr">
        <is>
          <t>TN</t>
        </is>
      </c>
      <c r="D3249" s="7" t="inlineStr">
        <is>
          <t>TN59AA9624</t>
        </is>
      </c>
      <c r="E3249" s="7" t="inlineStr">
        <is>
          <t>TATA</t>
        </is>
      </c>
      <c r="F3249" s="7" t="inlineStr">
        <is>
          <t>Indica</t>
        </is>
      </c>
      <c r="G3249" s="7" t="inlineStr">
        <is>
          <t>EXCHANGE ROTN</t>
        </is>
      </c>
      <c r="H3249" s="7" t="inlineStr">
        <is>
          <t>Captive</t>
        </is>
      </c>
      <c r="I3249" s="7" t="inlineStr">
        <is>
          <t>Sai Cars</t>
        </is>
      </c>
      <c r="J3249" s="8" t="n">
        <v>2005</v>
      </c>
      <c r="K3249" s="9" t="n">
        <v>87100</v>
      </c>
      <c r="L3249" s="10" t="n">
        <v>45000</v>
      </c>
      <c r="M3249" s="10" t="n">
        <v>4237.29</v>
      </c>
      <c r="N3249" s="11">
        <f>IF(M3249="","",ROUND(M3249*1.18,2))</f>
        <v/>
      </c>
      <c r="O3249" s="12">
        <f>IF(M3249="","",ROUND(N3249-M3249,2))</f>
        <v/>
      </c>
      <c r="P3249" s="13">
        <f>IF(AND(A3249&lt;&gt;"",B3249&lt;&gt;""), A3249&amp;" · "&amp;B3249, "")</f>
        <v/>
      </c>
    </row>
    <row r="3250">
      <c r="A3250" s="6" t="inlineStr">
        <is>
          <t>FY27</t>
        </is>
      </c>
      <c r="B3250" s="6" t="inlineStr">
        <is>
          <t>Jul</t>
        </is>
      </c>
      <c r="C3250" s="6" t="inlineStr">
        <is>
          <t>TN</t>
        </is>
      </c>
      <c r="D3250" s="7" t="inlineStr">
        <is>
          <t>TN59AK8617</t>
        </is>
      </c>
      <c r="E3250" s="7" t="inlineStr">
        <is>
          <t>HYUNDAI</t>
        </is>
      </c>
      <c r="F3250" s="7" t="inlineStr">
        <is>
          <t>Santro</t>
        </is>
      </c>
      <c r="G3250" s="7" t="inlineStr">
        <is>
          <t>EXCHANGE ROTN</t>
        </is>
      </c>
      <c r="H3250" s="7" t="inlineStr">
        <is>
          <t>Captive</t>
        </is>
      </c>
      <c r="I3250" s="7" t="inlineStr">
        <is>
          <t>Paul Cars</t>
        </is>
      </c>
      <c r="J3250" s="8" t="n">
        <v>2009</v>
      </c>
      <c r="K3250" s="9" t="n">
        <v>69999</v>
      </c>
      <c r="L3250" s="10" t="n">
        <v>95000</v>
      </c>
      <c r="M3250" s="10" t="n">
        <v>4237.29</v>
      </c>
      <c r="N3250" s="11">
        <f>IF(M3250="","",ROUND(M3250*1.18,2))</f>
        <v/>
      </c>
      <c r="O3250" s="12">
        <f>IF(M3250="","",ROUND(N3250-M3250,2))</f>
        <v/>
      </c>
      <c r="P3250" s="13">
        <f>IF(AND(A3250&lt;&gt;"",B3250&lt;&gt;""), A3250&amp;" · "&amp;B3250, "")</f>
        <v/>
      </c>
    </row>
    <row r="3251">
      <c r="A3251" s="6" t="inlineStr">
        <is>
          <t>FY27</t>
        </is>
      </c>
      <c r="B3251" s="6" t="inlineStr">
        <is>
          <t>Jul</t>
        </is>
      </c>
      <c r="C3251" s="6" t="inlineStr">
        <is>
          <t>TN</t>
        </is>
      </c>
      <c r="D3251" s="7" t="inlineStr">
        <is>
          <t>TN59AQ9100</t>
        </is>
      </c>
      <c r="E3251" s="7" t="inlineStr">
        <is>
          <t>FIAT</t>
        </is>
      </c>
      <c r="F3251" s="7" t="inlineStr">
        <is>
          <t>Linea</t>
        </is>
      </c>
      <c r="G3251" s="7" t="inlineStr">
        <is>
          <t>CRESCO CARS</t>
        </is>
      </c>
      <c r="H3251" s="7" t="inlineStr">
        <is>
          <t>Non-Captive</t>
        </is>
      </c>
      <c r="I3251" s="7" t="inlineStr">
        <is>
          <t>SK Cars Prasana</t>
        </is>
      </c>
      <c r="J3251" s="8" t="n">
        <v>2010</v>
      </c>
      <c r="K3251" s="9" t="n">
        <v>116423</v>
      </c>
      <c r="L3251" s="10" t="n">
        <v>98000</v>
      </c>
      <c r="M3251" s="10" t="n">
        <v>4237.29</v>
      </c>
      <c r="N3251" s="11">
        <f>IF(M3251="","",ROUND(M3251*1.18,2))</f>
        <v/>
      </c>
      <c r="O3251" s="12">
        <f>IF(M3251="","",ROUND(N3251-M3251,2))</f>
        <v/>
      </c>
      <c r="P3251" s="13">
        <f>IF(AND(A3251&lt;&gt;"",B3251&lt;&gt;""), A3251&amp;" · "&amp;B3251, "")</f>
        <v/>
      </c>
    </row>
    <row r="3252">
      <c r="A3252" s="6" t="inlineStr">
        <is>
          <t>FY27</t>
        </is>
      </c>
      <c r="B3252" s="6" t="inlineStr">
        <is>
          <t>Jul</t>
        </is>
      </c>
      <c r="C3252" s="6" t="inlineStr">
        <is>
          <t>TN</t>
        </is>
      </c>
      <c r="D3252" s="7" t="inlineStr">
        <is>
          <t>TN59AW8885</t>
        </is>
      </c>
      <c r="E3252" s="7" t="inlineStr">
        <is>
          <t>HONDA</t>
        </is>
      </c>
      <c r="F3252" s="7" t="inlineStr">
        <is>
          <t>Brio</t>
        </is>
      </c>
      <c r="G3252" s="7" t="inlineStr">
        <is>
          <t>EXCHANGE ROTN</t>
        </is>
      </c>
      <c r="H3252" s="7" t="inlineStr">
        <is>
          <t>Captive</t>
        </is>
      </c>
      <c r="I3252" s="7" t="inlineStr">
        <is>
          <t>Paul Cars</t>
        </is>
      </c>
      <c r="J3252" s="8" t="n">
        <v>2013</v>
      </c>
      <c r="K3252" s="9" t="n">
        <v>89837</v>
      </c>
      <c r="L3252" s="10" t="n">
        <v>194000</v>
      </c>
      <c r="M3252" s="10" t="n">
        <v>13559.32</v>
      </c>
      <c r="N3252" s="11">
        <f>IF(M3252="","",ROUND(M3252*1.18,2))</f>
        <v/>
      </c>
      <c r="O3252" s="12">
        <f>IF(M3252="","",ROUND(N3252-M3252,2))</f>
        <v/>
      </c>
      <c r="P3252" s="13">
        <f>IF(AND(A3252&lt;&gt;"",B3252&lt;&gt;""), A3252&amp;" · "&amp;B3252, "")</f>
        <v/>
      </c>
    </row>
    <row r="3253">
      <c r="A3253" s="6" t="inlineStr">
        <is>
          <t>FY27</t>
        </is>
      </c>
      <c r="B3253" s="6" t="inlineStr">
        <is>
          <t>Jul</t>
        </is>
      </c>
      <c r="C3253" s="6" t="inlineStr">
        <is>
          <t>TN</t>
        </is>
      </c>
      <c r="D3253" s="7" t="inlineStr">
        <is>
          <t>TN59CH9228</t>
        </is>
      </c>
      <c r="E3253" s="7" t="inlineStr">
        <is>
          <t>MARUTI SUZUKI</t>
        </is>
      </c>
      <c r="F3253" s="7" t="inlineStr">
        <is>
          <t>Baleno</t>
        </is>
      </c>
      <c r="G3253" s="7" t="inlineStr">
        <is>
          <t>CASTLE TRADERS MARUTI</t>
        </is>
      </c>
      <c r="H3253" s="7" t="inlineStr">
        <is>
          <t>Non-Captive</t>
        </is>
      </c>
      <c r="I3253" s="7" t="inlineStr">
        <is>
          <t>Pine Autos</t>
        </is>
      </c>
      <c r="J3253" s="8" t="n">
        <v>2020</v>
      </c>
      <c r="K3253" s="9" t="n">
        <v>47180</v>
      </c>
      <c r="L3253" s="10" t="n">
        <v>480000</v>
      </c>
      <c r="M3253" s="10" t="n">
        <v>6355.93</v>
      </c>
      <c r="N3253" s="11">
        <f>IF(M3253="","",ROUND(M3253*1.18,2))</f>
        <v/>
      </c>
      <c r="O3253" s="12">
        <f>IF(M3253="","",ROUND(N3253-M3253,2))</f>
        <v/>
      </c>
      <c r="P3253" s="13">
        <f>IF(AND(A3253&lt;&gt;"",B3253&lt;&gt;""), A3253&amp;" · "&amp;B3253, "")</f>
        <v/>
      </c>
    </row>
    <row r="3254">
      <c r="A3254" s="6" t="inlineStr">
        <is>
          <t>FY27</t>
        </is>
      </c>
      <c r="B3254" s="6" t="inlineStr">
        <is>
          <t>Jul</t>
        </is>
      </c>
      <c r="C3254" s="6" t="inlineStr">
        <is>
          <t>TN</t>
        </is>
      </c>
      <c r="D3254" s="7" t="inlineStr">
        <is>
          <t>TN60AB6859</t>
        </is>
      </c>
      <c r="E3254" s="7" t="inlineStr">
        <is>
          <t>HONDA</t>
        </is>
      </c>
      <c r="F3254" s="7" t="inlineStr">
        <is>
          <t>City</t>
        </is>
      </c>
      <c r="G3254" s="7" t="inlineStr">
        <is>
          <t>EXCHANGE ROTN</t>
        </is>
      </c>
      <c r="H3254" s="7" t="inlineStr">
        <is>
          <t>Captive</t>
        </is>
      </c>
      <c r="I3254" s="7" t="inlineStr">
        <is>
          <t>READY TO RIDE CARS</t>
        </is>
      </c>
      <c r="J3254" s="8" t="n">
        <v>2017</v>
      </c>
      <c r="K3254" s="9" t="n">
        <v>110791</v>
      </c>
      <c r="L3254" s="10" t="n">
        <v>515000</v>
      </c>
      <c r="M3254" s="10" t="n">
        <v>16949.15</v>
      </c>
      <c r="N3254" s="11">
        <f>IF(M3254="","",ROUND(M3254*1.18,2))</f>
        <v/>
      </c>
      <c r="O3254" s="12">
        <f>IF(M3254="","",ROUND(N3254-M3254,2))</f>
        <v/>
      </c>
      <c r="P3254" s="13">
        <f>IF(AND(A3254&lt;&gt;"",B3254&lt;&gt;""), A3254&amp;" · "&amp;B3254, "")</f>
        <v/>
      </c>
    </row>
    <row r="3255">
      <c r="A3255" s="6" t="inlineStr">
        <is>
          <t>FY27</t>
        </is>
      </c>
      <c r="B3255" s="6" t="inlineStr">
        <is>
          <t>Jul</t>
        </is>
      </c>
      <c r="C3255" s="6" t="inlineStr">
        <is>
          <t>TN</t>
        </is>
      </c>
      <c r="D3255" s="7" t="inlineStr">
        <is>
          <t>TN63AR5954</t>
        </is>
      </c>
      <c r="E3255" s="7" t="inlineStr">
        <is>
          <t>HYUNDAI</t>
        </is>
      </c>
      <c r="F3255" s="7" t="inlineStr">
        <is>
          <t>Xcent</t>
        </is>
      </c>
      <c r="G3255" s="7" t="inlineStr">
        <is>
          <t>EXCHANGE ROTN</t>
        </is>
      </c>
      <c r="H3255" s="7" t="inlineStr">
        <is>
          <t>Captive</t>
        </is>
      </c>
      <c r="I3255" s="7" t="inlineStr">
        <is>
          <t>READY TO RIDE CARS</t>
        </is>
      </c>
      <c r="J3255" s="8" t="n">
        <v>2017</v>
      </c>
      <c r="K3255" s="9" t="n">
        <v>137771</v>
      </c>
      <c r="L3255" s="10" t="n">
        <v>65000</v>
      </c>
      <c r="M3255" s="10" t="n">
        <v>4237.29</v>
      </c>
      <c r="N3255" s="11">
        <f>IF(M3255="","",ROUND(M3255*1.18,2))</f>
        <v/>
      </c>
      <c r="O3255" s="12">
        <f>IF(M3255="","",ROUND(N3255-M3255,2))</f>
        <v/>
      </c>
      <c r="P3255" s="13">
        <f>IF(AND(A3255&lt;&gt;"",B3255&lt;&gt;""), A3255&amp;" · "&amp;B3255, "")</f>
        <v/>
      </c>
    </row>
    <row r="3256">
      <c r="A3256" s="6" t="inlineStr">
        <is>
          <t>FY27</t>
        </is>
      </c>
      <c r="B3256" s="6" t="inlineStr">
        <is>
          <t>Jul</t>
        </is>
      </c>
      <c r="C3256" s="6" t="inlineStr">
        <is>
          <t>TN</t>
        </is>
      </c>
      <c r="D3256" s="7" t="inlineStr">
        <is>
          <t>TN63AV8175</t>
        </is>
      </c>
      <c r="E3256" s="7" t="inlineStr">
        <is>
          <t>HYUNDAI</t>
        </is>
      </c>
      <c r="F3256" s="7" t="inlineStr">
        <is>
          <t>Eon</t>
        </is>
      </c>
      <c r="G3256" s="7" t="inlineStr">
        <is>
          <t>ABT ROTN</t>
        </is>
      </c>
      <c r="H3256" s="7" t="inlineStr">
        <is>
          <t>Non-Captive</t>
        </is>
      </c>
      <c r="I3256" s="7" t="inlineStr">
        <is>
          <t>SRI VIGNESH PRE OWNED CARS</t>
        </is>
      </c>
      <c r="J3256" s="8" t="n">
        <v>2014</v>
      </c>
      <c r="K3256" s="9" t="n">
        <v>143173</v>
      </c>
      <c r="L3256" s="10" t="n">
        <v>87000</v>
      </c>
      <c r="M3256" s="10" t="n">
        <v>4237.29</v>
      </c>
      <c r="N3256" s="11">
        <f>IF(M3256="","",ROUND(M3256*1.18,2))</f>
        <v/>
      </c>
      <c r="O3256" s="12">
        <f>IF(M3256="","",ROUND(N3256-M3256,2))</f>
        <v/>
      </c>
      <c r="P3256" s="13">
        <f>IF(AND(A3256&lt;&gt;"",B3256&lt;&gt;""), A3256&amp;" · "&amp;B3256, "")</f>
        <v/>
      </c>
    </row>
    <row r="3257">
      <c r="A3257" s="6" t="inlineStr">
        <is>
          <t>FY27</t>
        </is>
      </c>
      <c r="B3257" s="6" t="inlineStr">
        <is>
          <t>Jul</t>
        </is>
      </c>
      <c r="C3257" s="6" t="inlineStr">
        <is>
          <t>TN</t>
        </is>
      </c>
      <c r="D3257" s="7" t="inlineStr">
        <is>
          <t>TN63AY1807</t>
        </is>
      </c>
      <c r="E3257" s="7" t="inlineStr">
        <is>
          <t>MARUTI SUZUKI</t>
        </is>
      </c>
      <c r="F3257" s="7" t="inlineStr">
        <is>
          <t>Alto K10</t>
        </is>
      </c>
      <c r="G3257" s="7" t="inlineStr">
        <is>
          <t>EXCHANGE ROTN</t>
        </is>
      </c>
      <c r="H3257" s="7" t="inlineStr">
        <is>
          <t>Captive</t>
        </is>
      </c>
      <c r="I3257" s="7" t="inlineStr">
        <is>
          <t>GGEE Cars</t>
        </is>
      </c>
      <c r="J3257" s="8" t="n">
        <v>2011</v>
      </c>
      <c r="K3257" s="9" t="n">
        <v>80714</v>
      </c>
      <c r="L3257" s="10" t="n">
        <v>140000</v>
      </c>
      <c r="M3257" s="10" t="n">
        <v>8474.58</v>
      </c>
      <c r="N3257" s="11">
        <f>IF(M3257="","",ROUND(M3257*1.18,2))</f>
        <v/>
      </c>
      <c r="O3257" s="12">
        <f>IF(M3257="","",ROUND(N3257-M3257,2))</f>
        <v/>
      </c>
      <c r="P3257" s="13">
        <f>IF(AND(A3257&lt;&gt;"",B3257&lt;&gt;""), A3257&amp;" · "&amp;B3257, "")</f>
        <v/>
      </c>
    </row>
    <row r="3258">
      <c r="A3258" s="6" t="inlineStr">
        <is>
          <t>FY27</t>
        </is>
      </c>
      <c r="B3258" s="6" t="inlineStr">
        <is>
          <t>Jul</t>
        </is>
      </c>
      <c r="C3258" s="6" t="inlineStr">
        <is>
          <t>TN</t>
        </is>
      </c>
      <c r="D3258" s="7" t="inlineStr">
        <is>
          <t>TN63L7047</t>
        </is>
      </c>
      <c r="E3258" s="7" t="inlineStr">
        <is>
          <t>MARUTI SUZUKI</t>
        </is>
      </c>
      <c r="F3258" s="7" t="inlineStr">
        <is>
          <t>Omni</t>
        </is>
      </c>
      <c r="G3258" s="7" t="inlineStr">
        <is>
          <t>SIVA AUTOMOTIVE</t>
        </is>
      </c>
      <c r="H3258" s="7" t="inlineStr">
        <is>
          <t>Non-Captive</t>
        </is>
      </c>
      <c r="I3258" s="7" t="inlineStr">
        <is>
          <t>DINDIGUL VALUE CAR</t>
        </is>
      </c>
      <c r="J3258" s="8" t="n">
        <v>2010</v>
      </c>
      <c r="K3258" s="9" t="n">
        <v>127130</v>
      </c>
      <c r="L3258" s="10" t="n">
        <v>85000</v>
      </c>
      <c r="M3258" s="10" t="n">
        <v>4237.29</v>
      </c>
      <c r="N3258" s="11">
        <f>IF(M3258="","",ROUND(M3258*1.18,2))</f>
        <v/>
      </c>
      <c r="O3258" s="12">
        <f>IF(M3258="","",ROUND(N3258-M3258,2))</f>
        <v/>
      </c>
      <c r="P3258" s="13">
        <f>IF(AND(A3258&lt;&gt;"",B3258&lt;&gt;""), A3258&amp;" · "&amp;B3258, "")</f>
        <v/>
      </c>
    </row>
    <row r="3259">
      <c r="A3259" s="6" t="inlineStr">
        <is>
          <t>FY27</t>
        </is>
      </c>
      <c r="B3259" s="6" t="inlineStr">
        <is>
          <t>Jul</t>
        </is>
      </c>
      <c r="C3259" s="6" t="inlineStr">
        <is>
          <t>TN</t>
        </is>
      </c>
      <c r="D3259" s="7" t="inlineStr">
        <is>
          <t>TN64L7644</t>
        </is>
      </c>
      <c r="E3259" s="7" t="inlineStr">
        <is>
          <t>HONDA</t>
        </is>
      </c>
      <c r="F3259" s="7" t="inlineStr">
        <is>
          <t>Brio</t>
        </is>
      </c>
      <c r="G3259" s="7" t="inlineStr">
        <is>
          <t>EXCHANGE ROTN</t>
        </is>
      </c>
      <c r="H3259" s="7" t="inlineStr">
        <is>
          <t>Captive</t>
        </is>
      </c>
      <c r="I3259" s="7" t="inlineStr">
        <is>
          <t>PURUSOTHAMAN J CARS</t>
        </is>
      </c>
      <c r="J3259" s="8" t="n">
        <v>2015</v>
      </c>
      <c r="K3259" s="9" t="n">
        <v>17919</v>
      </c>
      <c r="L3259" s="10" t="n">
        <v>270000</v>
      </c>
      <c r="M3259" s="10" t="n">
        <v>8474.58</v>
      </c>
      <c r="N3259" s="11">
        <f>IF(M3259="","",ROUND(M3259*1.18,2))</f>
        <v/>
      </c>
      <c r="O3259" s="12">
        <f>IF(M3259="","",ROUND(N3259-M3259,2))</f>
        <v/>
      </c>
      <c r="P3259" s="13">
        <f>IF(AND(A3259&lt;&gt;"",B3259&lt;&gt;""), A3259&amp;" · "&amp;B3259, "")</f>
        <v/>
      </c>
    </row>
    <row r="3260">
      <c r="A3260" s="6" t="inlineStr">
        <is>
          <t>FY27</t>
        </is>
      </c>
      <c r="B3260" s="6" t="inlineStr">
        <is>
          <t>Jul</t>
        </is>
      </c>
      <c r="C3260" s="6" t="inlineStr">
        <is>
          <t>TN</t>
        </is>
      </c>
      <c r="D3260" s="7" t="inlineStr">
        <is>
          <t>TN64M9105</t>
        </is>
      </c>
      <c r="E3260" s="7" t="inlineStr">
        <is>
          <t>MARUTI SUZUKI</t>
        </is>
      </c>
      <c r="F3260" s="7" t="inlineStr">
        <is>
          <t>Swift</t>
        </is>
      </c>
      <c r="G3260" s="7" t="inlineStr">
        <is>
          <t>EXCHANGE ROTN</t>
        </is>
      </c>
      <c r="H3260" s="7" t="inlineStr">
        <is>
          <t>Captive</t>
        </is>
      </c>
      <c r="I3260" s="7" t="inlineStr">
        <is>
          <t>READY TO RIDE CARS</t>
        </is>
      </c>
      <c r="J3260" s="8" t="n">
        <v>2016</v>
      </c>
      <c r="K3260" s="9" t="n">
        <v>110066</v>
      </c>
      <c r="L3260" s="10" t="n">
        <v>320000</v>
      </c>
      <c r="M3260" s="10" t="n">
        <v>25423.73</v>
      </c>
      <c r="N3260" s="11">
        <f>IF(M3260="","",ROUND(M3260*1.18,2))</f>
        <v/>
      </c>
      <c r="O3260" s="12">
        <f>IF(M3260="","",ROUND(N3260-M3260,2))</f>
        <v/>
      </c>
      <c r="P3260" s="13">
        <f>IF(AND(A3260&lt;&gt;"",B3260&lt;&gt;""), A3260&amp;" · "&amp;B3260, "")</f>
        <v/>
      </c>
    </row>
    <row r="3261">
      <c r="A3261" s="6" t="inlineStr">
        <is>
          <t>FY27</t>
        </is>
      </c>
      <c r="B3261" s="6" t="inlineStr">
        <is>
          <t>Jul</t>
        </is>
      </c>
      <c r="C3261" s="6" t="inlineStr">
        <is>
          <t>TN</t>
        </is>
      </c>
      <c r="D3261" s="7" t="inlineStr">
        <is>
          <t>TN64R9055</t>
        </is>
      </c>
      <c r="E3261" s="7" t="inlineStr">
        <is>
          <t>HONDA</t>
        </is>
      </c>
      <c r="F3261" s="7" t="inlineStr">
        <is>
          <t>WR-V</t>
        </is>
      </c>
      <c r="G3261" s="7" t="inlineStr">
        <is>
          <t>EXCHANGE ROTN</t>
        </is>
      </c>
      <c r="H3261" s="7" t="inlineStr">
        <is>
          <t>Captive</t>
        </is>
      </c>
      <c r="I3261" s="7" t="inlineStr">
        <is>
          <t>DINDIGUL VALUE CAR</t>
        </is>
      </c>
      <c r="J3261" s="8" t="n">
        <v>2018</v>
      </c>
      <c r="K3261" s="9" t="n">
        <v>156752</v>
      </c>
      <c r="L3261" s="10" t="n">
        <v>400000</v>
      </c>
      <c r="M3261" s="10" t="n">
        <v>12711.86</v>
      </c>
      <c r="N3261" s="11">
        <f>IF(M3261="","",ROUND(M3261*1.18,2))</f>
        <v/>
      </c>
      <c r="O3261" s="12">
        <f>IF(M3261="","",ROUND(N3261-M3261,2))</f>
        <v/>
      </c>
      <c r="P3261" s="13">
        <f>IF(AND(A3261&lt;&gt;"",B3261&lt;&gt;""), A3261&amp;" · "&amp;B3261, "")</f>
        <v/>
      </c>
    </row>
    <row r="3262">
      <c r="A3262" s="6" t="inlineStr">
        <is>
          <t>FY27</t>
        </is>
      </c>
      <c r="B3262" s="6" t="inlineStr">
        <is>
          <t>Jul</t>
        </is>
      </c>
      <c r="C3262" s="6" t="inlineStr">
        <is>
          <t>TN</t>
        </is>
      </c>
      <c r="D3262" s="7" t="inlineStr">
        <is>
          <t>TN64X1398</t>
        </is>
      </c>
      <c r="E3262" s="7" t="inlineStr">
        <is>
          <t>HYUNDAI</t>
        </is>
      </c>
      <c r="F3262" s="7" t="inlineStr">
        <is>
          <t>i20</t>
        </is>
      </c>
      <c r="G3262" s="7" t="inlineStr">
        <is>
          <t>EXCHANGE ROTN</t>
        </is>
      </c>
      <c r="H3262" s="7" t="inlineStr">
        <is>
          <t>Captive</t>
        </is>
      </c>
      <c r="I3262" s="7" t="inlineStr">
        <is>
          <t>GGEE Cars</t>
        </is>
      </c>
      <c r="J3262" s="8" t="n">
        <v>2021</v>
      </c>
      <c r="K3262" s="9" t="n">
        <v>77911</v>
      </c>
      <c r="L3262" s="10" t="n">
        <v>550000</v>
      </c>
      <c r="M3262" s="10" t="n">
        <v>16949.15</v>
      </c>
      <c r="N3262" s="11">
        <f>IF(M3262="","",ROUND(M3262*1.18,2))</f>
        <v/>
      </c>
      <c r="O3262" s="12">
        <f>IF(M3262="","",ROUND(N3262-M3262,2))</f>
        <v/>
      </c>
      <c r="P3262" s="13">
        <f>IF(AND(A3262&lt;&gt;"",B3262&lt;&gt;""), A3262&amp;" · "&amp;B3262, "")</f>
        <v/>
      </c>
    </row>
    <row r="3263">
      <c r="A3263" s="6" t="inlineStr">
        <is>
          <t>FY27</t>
        </is>
      </c>
      <c r="B3263" s="6" t="inlineStr">
        <is>
          <t>Jul</t>
        </is>
      </c>
      <c r="C3263" s="6" t="inlineStr">
        <is>
          <t>TN</t>
        </is>
      </c>
      <c r="D3263" s="7" t="inlineStr">
        <is>
          <t>TN66AL9232</t>
        </is>
      </c>
      <c r="E3263" s="7" t="inlineStr">
        <is>
          <t>VOLKSWAGEN</t>
        </is>
      </c>
      <c r="F3263" s="7" t="inlineStr">
        <is>
          <t>Taigun</t>
        </is>
      </c>
      <c r="G3263" s="7" t="inlineStr">
        <is>
          <t>EXCHANGE ROTN</t>
        </is>
      </c>
      <c r="H3263" s="7" t="inlineStr">
        <is>
          <t>Captive</t>
        </is>
      </c>
      <c r="I3263" s="7" t="inlineStr">
        <is>
          <t>Sai Cars</t>
        </is>
      </c>
      <c r="J3263" s="8" t="n">
        <v>2022</v>
      </c>
      <c r="K3263" s="9" t="n">
        <v>26230</v>
      </c>
      <c r="L3263" s="10" t="n">
        <v>970000</v>
      </c>
      <c r="M3263" s="10" t="n">
        <v>16949.15</v>
      </c>
      <c r="N3263" s="11">
        <f>IF(M3263="","",ROUND(M3263*1.18,2))</f>
        <v/>
      </c>
      <c r="O3263" s="12">
        <f>IF(M3263="","",ROUND(N3263-M3263,2))</f>
        <v/>
      </c>
      <c r="P3263" s="13">
        <f>IF(AND(A3263&lt;&gt;"",B3263&lt;&gt;""), A3263&amp;" · "&amp;B3263, "")</f>
        <v/>
      </c>
    </row>
    <row r="3264">
      <c r="A3264" s="6" t="inlineStr">
        <is>
          <t>FY27</t>
        </is>
      </c>
      <c r="B3264" s="6" t="inlineStr">
        <is>
          <t>Jul</t>
        </is>
      </c>
      <c r="C3264" s="6" t="inlineStr">
        <is>
          <t>TN</t>
        </is>
      </c>
      <c r="D3264" s="7" t="inlineStr">
        <is>
          <t>TN66D6914</t>
        </is>
      </c>
      <c r="E3264" s="7" t="inlineStr">
        <is>
          <t>HONDA</t>
        </is>
      </c>
      <c r="F3264" s="7" t="inlineStr">
        <is>
          <t>City</t>
        </is>
      </c>
      <c r="G3264" s="7" t="inlineStr">
        <is>
          <t>EXCHANGE ROTN</t>
        </is>
      </c>
      <c r="H3264" s="7" t="inlineStr">
        <is>
          <t>Captive</t>
        </is>
      </c>
      <c r="I3264" s="7" t="inlineStr">
        <is>
          <t>DEERAA CARS</t>
        </is>
      </c>
      <c r="J3264" s="8" t="n">
        <v>2011</v>
      </c>
      <c r="K3264" s="9" t="n">
        <v>138803</v>
      </c>
      <c r="L3264" s="10" t="n">
        <v>260000</v>
      </c>
      <c r="M3264" s="10" t="n">
        <v>8474.58</v>
      </c>
      <c r="N3264" s="11">
        <f>IF(M3264="","",ROUND(M3264*1.18,2))</f>
        <v/>
      </c>
      <c r="O3264" s="12">
        <f>IF(M3264="","",ROUND(N3264-M3264,2))</f>
        <v/>
      </c>
      <c r="P3264" s="13">
        <f>IF(AND(A3264&lt;&gt;"",B3264&lt;&gt;""), A3264&amp;" · "&amp;B3264, "")</f>
        <v/>
      </c>
    </row>
    <row r="3265">
      <c r="A3265" s="6" t="inlineStr">
        <is>
          <t>FY27</t>
        </is>
      </c>
      <c r="B3265" s="6" t="inlineStr">
        <is>
          <t>Jul</t>
        </is>
      </c>
      <c r="C3265" s="6" t="inlineStr">
        <is>
          <t>TN</t>
        </is>
      </c>
      <c r="D3265" s="7" t="inlineStr">
        <is>
          <t>TN66M3150</t>
        </is>
      </c>
      <c r="E3265" s="7" t="inlineStr">
        <is>
          <t>TOYOTA</t>
        </is>
      </c>
      <c r="F3265" s="7" t="inlineStr">
        <is>
          <t>Etios</t>
        </is>
      </c>
      <c r="G3265" s="7" t="inlineStr">
        <is>
          <t>EXCHANGE ROTN</t>
        </is>
      </c>
      <c r="H3265" s="7" t="inlineStr">
        <is>
          <t>Captive</t>
        </is>
      </c>
      <c r="I3265" s="7" t="inlineStr">
        <is>
          <t>MADHURA CARS</t>
        </is>
      </c>
      <c r="J3265" s="8" t="n">
        <v>2014</v>
      </c>
      <c r="K3265" s="9" t="n">
        <v>185890</v>
      </c>
      <c r="L3265" s="10" t="n">
        <v>335000</v>
      </c>
      <c r="M3265" s="10" t="n">
        <v>8474.58</v>
      </c>
      <c r="N3265" s="11">
        <f>IF(M3265="","",ROUND(M3265*1.18,2))</f>
        <v/>
      </c>
      <c r="O3265" s="12">
        <f>IF(M3265="","",ROUND(N3265-M3265,2))</f>
        <v/>
      </c>
      <c r="P3265" s="13">
        <f>IF(AND(A3265&lt;&gt;"",B3265&lt;&gt;""), A3265&amp;" · "&amp;B3265, "")</f>
        <v/>
      </c>
    </row>
    <row r="3266">
      <c r="A3266" s="6" t="inlineStr">
        <is>
          <t>FY27</t>
        </is>
      </c>
      <c r="B3266" s="6" t="inlineStr">
        <is>
          <t>Jul</t>
        </is>
      </c>
      <c r="C3266" s="6" t="inlineStr">
        <is>
          <t>TN</t>
        </is>
      </c>
      <c r="D3266" s="7" t="inlineStr">
        <is>
          <t>TN66Y2263</t>
        </is>
      </c>
      <c r="E3266" s="7" t="inlineStr">
        <is>
          <t>RENAULT</t>
        </is>
      </c>
      <c r="F3266" s="7" t="inlineStr">
        <is>
          <t>Kwid</t>
        </is>
      </c>
      <c r="G3266" s="7" t="inlineStr">
        <is>
          <t>CRESCO CARS</t>
        </is>
      </c>
      <c r="H3266" s="7" t="inlineStr">
        <is>
          <t>Non-Captive</t>
        </is>
      </c>
      <c r="I3266" s="7" t="inlineStr">
        <is>
          <t>Pine Autos</t>
        </is>
      </c>
      <c r="J3266" s="8" t="n">
        <v>2018</v>
      </c>
      <c r="K3266" s="9" t="n">
        <v>99999</v>
      </c>
      <c r="L3266" s="10" t="n">
        <v>97000</v>
      </c>
      <c r="M3266" s="10" t="n">
        <v>4237.29</v>
      </c>
      <c r="N3266" s="11">
        <f>IF(M3266="","",ROUND(M3266*1.18,2))</f>
        <v/>
      </c>
      <c r="O3266" s="12">
        <f>IF(M3266="","",ROUND(N3266-M3266,2))</f>
        <v/>
      </c>
      <c r="P3266" s="13">
        <f>IF(AND(A3266&lt;&gt;"",B3266&lt;&gt;""), A3266&amp;" · "&amp;B3266, "")</f>
        <v/>
      </c>
    </row>
    <row r="3267">
      <c r="A3267" s="6" t="inlineStr">
        <is>
          <t>FY27</t>
        </is>
      </c>
      <c r="B3267" s="6" t="inlineStr">
        <is>
          <t>Jul</t>
        </is>
      </c>
      <c r="C3267" s="6" t="inlineStr">
        <is>
          <t>TN</t>
        </is>
      </c>
      <c r="D3267" s="7" t="inlineStr">
        <is>
          <t>TN69T0123</t>
        </is>
      </c>
      <c r="E3267" s="7" t="inlineStr">
        <is>
          <t>MARUTI SUZUKI</t>
        </is>
      </c>
      <c r="F3267" s="7" t="inlineStr">
        <is>
          <t>Alto</t>
        </is>
      </c>
      <c r="G3267" s="7" t="inlineStr">
        <is>
          <t>PURUSOTHAMAN J CARS</t>
        </is>
      </c>
      <c r="H3267" s="7" t="inlineStr">
        <is>
          <t>Non-Captive</t>
        </is>
      </c>
      <c r="I3267" s="7" t="inlineStr">
        <is>
          <t>DINDIGUL VALUE CAR</t>
        </is>
      </c>
      <c r="J3267" s="8" t="n">
        <v>2008</v>
      </c>
      <c r="K3267" s="9" t="n">
        <v>141215</v>
      </c>
      <c r="L3267" s="10" t="n">
        <v>60000</v>
      </c>
      <c r="M3267" s="10" t="n">
        <v>4237.29</v>
      </c>
      <c r="N3267" s="11">
        <f>IF(M3267="","",ROUND(M3267*1.18,2))</f>
        <v/>
      </c>
      <c r="O3267" s="12">
        <f>IF(M3267="","",ROUND(N3267-M3267,2))</f>
        <v/>
      </c>
      <c r="P3267" s="13">
        <f>IF(AND(A3267&lt;&gt;"",B3267&lt;&gt;""), A3267&amp;" · "&amp;B3267, "")</f>
        <v/>
      </c>
    </row>
    <row r="3268">
      <c r="A3268" s="6" t="inlineStr">
        <is>
          <t>FY27</t>
        </is>
      </c>
      <c r="B3268" s="6" t="inlineStr">
        <is>
          <t>Jul</t>
        </is>
      </c>
      <c r="C3268" s="6" t="inlineStr">
        <is>
          <t>TN</t>
        </is>
      </c>
      <c r="D3268" s="7" t="inlineStr">
        <is>
          <t>TN83X8543</t>
        </is>
      </c>
      <c r="E3268" s="7" t="inlineStr">
        <is>
          <t>MARUTI SUZUKI</t>
        </is>
      </c>
      <c r="F3268" s="7" t="inlineStr">
        <is>
          <t>Alto 800</t>
        </is>
      </c>
      <c r="G3268" s="7" t="inlineStr">
        <is>
          <t>EXCHANGE ROTN</t>
        </is>
      </c>
      <c r="H3268" s="7" t="inlineStr">
        <is>
          <t>Captive</t>
        </is>
      </c>
      <c r="I3268" s="7" t="inlineStr">
        <is>
          <t>READY TO RIDE CARS</t>
        </is>
      </c>
      <c r="J3268" s="8" t="n">
        <v>2015</v>
      </c>
      <c r="K3268" s="9" t="n">
        <v>77156</v>
      </c>
      <c r="L3268" s="10" t="n">
        <v>88000</v>
      </c>
      <c r="M3268" s="10" t="n">
        <v>4237.29</v>
      </c>
      <c r="N3268" s="11">
        <f>IF(M3268="","",ROUND(M3268*1.18,2))</f>
        <v/>
      </c>
      <c r="O3268" s="12">
        <f>IF(M3268="","",ROUND(N3268-M3268,2))</f>
        <v/>
      </c>
      <c r="P3268" s="13">
        <f>IF(AND(A3268&lt;&gt;"",B3268&lt;&gt;""), A3268&amp;" · "&amp;B3268, "")</f>
        <v/>
      </c>
    </row>
    <row r="3269">
      <c r="A3269" s="6" t="inlineStr">
        <is>
          <t>FY27</t>
        </is>
      </c>
      <c r="B3269" s="6" t="inlineStr">
        <is>
          <t>Jul</t>
        </is>
      </c>
      <c r="C3269" s="6" t="inlineStr">
        <is>
          <t>TN</t>
        </is>
      </c>
      <c r="D3269" s="7" t="inlineStr">
        <is>
          <t>TN851650</t>
        </is>
      </c>
      <c r="E3269" s="7" t="inlineStr">
        <is>
          <t>MARUTI SUZUKI</t>
        </is>
      </c>
      <c r="F3269" s="7" t="inlineStr">
        <is>
          <t>Alto 800</t>
        </is>
      </c>
      <c r="G3269" s="7" t="inlineStr">
        <is>
          <t>VISHNU CARS PRIVATE LIMITED</t>
        </is>
      </c>
      <c r="H3269" s="7" t="inlineStr">
        <is>
          <t>Non-Captive</t>
        </is>
      </c>
      <c r="I3269" s="7" t="inlineStr">
        <is>
          <t>Pine Autos</t>
        </is>
      </c>
      <c r="J3269" s="8" t="n">
        <v>2014</v>
      </c>
      <c r="K3269" s="9" t="n">
        <v>85164</v>
      </c>
      <c r="L3269" s="10" t="n">
        <v>99000</v>
      </c>
      <c r="M3269" s="10" t="n">
        <v>4237.29</v>
      </c>
      <c r="N3269" s="11">
        <f>IF(M3269="","",ROUND(M3269*1.18,2))</f>
        <v/>
      </c>
      <c r="O3269" s="12">
        <f>IF(M3269="","",ROUND(N3269-M3269,2))</f>
        <v/>
      </c>
      <c r="P3269" s="13">
        <f>IF(AND(A3269&lt;&gt;"",B3269&lt;&gt;""), A3269&amp;" · "&amp;B3269, "")</f>
        <v/>
      </c>
    </row>
    <row r="3270">
      <c r="A3270" s="6" t="inlineStr">
        <is>
          <t>FY27</t>
        </is>
      </c>
      <c r="B3270" s="6" t="inlineStr">
        <is>
          <t>Jul</t>
        </is>
      </c>
      <c r="C3270" s="6" t="inlineStr">
        <is>
          <t>TN</t>
        </is>
      </c>
      <c r="D3270" s="7" t="inlineStr">
        <is>
          <t>TN85T3477</t>
        </is>
      </c>
      <c r="E3270" s="7" t="inlineStr">
        <is>
          <t>TATA</t>
        </is>
      </c>
      <c r="F3270" s="7" t="inlineStr">
        <is>
          <t>Punch</t>
        </is>
      </c>
      <c r="G3270" s="7" t="inlineStr">
        <is>
          <t>EXCHANGE CHENNAI</t>
        </is>
      </c>
      <c r="H3270" s="7" t="inlineStr">
        <is>
          <t>Captive</t>
        </is>
      </c>
      <c r="I3270" s="7" t="inlineStr">
        <is>
          <t>S2 MOTORZ</t>
        </is>
      </c>
      <c r="J3270" s="8" t="n">
        <v>2023</v>
      </c>
      <c r="K3270" s="9" t="n">
        <v>16925</v>
      </c>
      <c r="L3270" s="10" t="n">
        <v>480000</v>
      </c>
      <c r="M3270" s="10" t="n">
        <v>8474.58</v>
      </c>
      <c r="N3270" s="11">
        <f>IF(M3270="","",ROUND(M3270*1.18,2))</f>
        <v/>
      </c>
      <c r="O3270" s="12">
        <f>IF(M3270="","",ROUND(N3270-M3270,2))</f>
        <v/>
      </c>
      <c r="P3270" s="13">
        <f>IF(AND(A3270&lt;&gt;"",B3270&lt;&gt;""), A3270&amp;" · "&amp;B3270, "")</f>
        <v/>
      </c>
    </row>
    <row r="3271">
      <c r="A3271" s="6" t="inlineStr">
        <is>
          <t>FY27</t>
        </is>
      </c>
      <c r="B3271" s="6" t="inlineStr">
        <is>
          <t>Jul</t>
        </is>
      </c>
      <c r="C3271" s="6" t="inlineStr">
        <is>
          <t>TN</t>
        </is>
      </c>
      <c r="D3271" s="7" t="inlineStr">
        <is>
          <t>TN85U5259</t>
        </is>
      </c>
      <c r="E3271" s="7" t="inlineStr">
        <is>
          <t>SKODA</t>
        </is>
      </c>
      <c r="F3271" s="7" t="inlineStr">
        <is>
          <t>Kushaq</t>
        </is>
      </c>
      <c r="G3271" s="7" t="inlineStr">
        <is>
          <t>GURUDEV MOTORS LLP</t>
        </is>
      </c>
      <c r="H3271" s="7" t="inlineStr">
        <is>
          <t>Non-Captive</t>
        </is>
      </c>
      <c r="I3271" s="7" t="inlineStr">
        <is>
          <t>Nirmal Cars</t>
        </is>
      </c>
      <c r="J3271" s="8" t="n">
        <v>2023</v>
      </c>
      <c r="K3271" s="9" t="n">
        <v>31454</v>
      </c>
      <c r="L3271" s="10" t="n">
        <v>400000</v>
      </c>
      <c r="M3271" s="10" t="n">
        <v>6355.93</v>
      </c>
      <c r="N3271" s="11">
        <f>IF(M3271="","",ROUND(M3271*1.18,2))</f>
        <v/>
      </c>
      <c r="O3271" s="12">
        <f>IF(M3271="","",ROUND(N3271-M3271,2))</f>
        <v/>
      </c>
      <c r="P3271" s="13">
        <f>IF(AND(A3271&lt;&gt;"",B3271&lt;&gt;""), A3271&amp;" · "&amp;B3271, "")</f>
        <v/>
      </c>
    </row>
    <row r="3272">
      <c r="A3272" s="6" t="inlineStr">
        <is>
          <t>FY27</t>
        </is>
      </c>
      <c r="B3272" s="6" t="inlineStr">
        <is>
          <t>Jul</t>
        </is>
      </c>
      <c r="C3272" s="6" t="inlineStr">
        <is>
          <t>TN</t>
        </is>
      </c>
      <c r="D3272" s="7" t="inlineStr">
        <is>
          <t>WB06J1563</t>
        </is>
      </c>
      <c r="E3272" s="7" t="inlineStr">
        <is>
          <t>MARUTI SUZUKI</t>
        </is>
      </c>
      <c r="F3272" s="7" t="inlineStr">
        <is>
          <t>Swift</t>
        </is>
      </c>
      <c r="G3272" s="7" t="inlineStr">
        <is>
          <t>EXCHANGE CHENNAI</t>
        </is>
      </c>
      <c r="H3272" s="7" t="inlineStr">
        <is>
          <t>Captive</t>
        </is>
      </c>
      <c r="I3272" s="7" t="inlineStr">
        <is>
          <t>&lt;NA&gt;</t>
        </is>
      </c>
      <c r="J3272" s="8" t="n">
        <v>2011</v>
      </c>
      <c r="K3272" s="9" t="n">
        <v>104621</v>
      </c>
      <c r="L3272" s="10" t="n">
        <v>120000</v>
      </c>
      <c r="M3272" s="10" t="n">
        <v>4237.29</v>
      </c>
      <c r="N3272" s="11">
        <f>IF(M3272="","",ROUND(M3272*1.18,2))</f>
        <v/>
      </c>
      <c r="O3272" s="12">
        <f>IF(M3272="","",ROUND(N3272-M3272,2))</f>
        <v/>
      </c>
      <c r="P3272" s="13">
        <f>IF(AND(A3272&lt;&gt;"",B3272&lt;&gt;""), A3272&amp;" · "&amp;B3272, "")</f>
        <v/>
      </c>
    </row>
    <row r="3273">
      <c r="A3273" s="6" t="inlineStr">
        <is>
          <t>FY27</t>
        </is>
      </c>
      <c r="B3273" s="6" t="inlineStr">
        <is>
          <t>Jul</t>
        </is>
      </c>
      <c r="C3273" s="6" t="inlineStr">
        <is>
          <t>TN</t>
        </is>
      </c>
      <c r="D3273" s="7" t="inlineStr">
        <is>
          <t>WB26BX6669</t>
        </is>
      </c>
      <c r="E3273" s="7" t="inlineStr">
        <is>
          <t>MARUTI SUZUKI</t>
        </is>
      </c>
      <c r="F3273" s="7" t="inlineStr">
        <is>
          <t>Alto K10</t>
        </is>
      </c>
      <c r="G3273" s="7" t="inlineStr">
        <is>
          <t>EXCHANGE CHENNAI</t>
        </is>
      </c>
      <c r="H3273" s="7" t="inlineStr">
        <is>
          <t>Captive</t>
        </is>
      </c>
      <c r="I3273" s="7" t="inlineStr">
        <is>
          <t>&lt;NA&gt;</t>
        </is>
      </c>
      <c r="J3273" s="8" t="n">
        <v>2023</v>
      </c>
      <c r="K3273" s="9" t="n">
        <v>122765</v>
      </c>
      <c r="L3273" s="10" t="n">
        <v>320000</v>
      </c>
      <c r="M3273" s="10" t="n">
        <v>8474.58</v>
      </c>
      <c r="N3273" s="11">
        <f>IF(M3273="","",ROUND(M3273*1.18,2))</f>
        <v/>
      </c>
      <c r="O3273" s="12">
        <f>IF(M3273="","",ROUND(N3273-M3273,2))</f>
        <v/>
      </c>
      <c r="P3273" s="13">
        <f>IF(AND(A3273&lt;&gt;"",B3273&lt;&gt;""), A3273&amp;" · "&amp;B3273, "")</f>
        <v/>
      </c>
    </row>
    <row r="3274">
      <c r="A3274" s="6" t="inlineStr">
        <is>
          <t>FY27</t>
        </is>
      </c>
      <c r="B3274" s="6" t="inlineStr">
        <is>
          <t>Aug</t>
        </is>
      </c>
      <c r="C3274" s="6" t="inlineStr">
        <is>
          <t>AP/TS</t>
        </is>
      </c>
      <c r="D3274" s="7" t="inlineStr">
        <is>
          <t>AP05DS8264</t>
        </is>
      </c>
      <c r="E3274" s="7" t="inlineStr">
        <is>
          <t>MARUTI SUZUKI</t>
        </is>
      </c>
      <c r="F3274" s="7" t="inlineStr">
        <is>
          <t>Alto 800</t>
        </is>
      </c>
      <c r="G3274" s="7" t="inlineStr">
        <is>
          <t>TENALI SRINIVAS</t>
        </is>
      </c>
      <c r="H3274" s="7" t="inlineStr">
        <is>
          <t>Non-Captive</t>
        </is>
      </c>
      <c r="I3274" s="7" t="inlineStr">
        <is>
          <t>Guthi Ravi Krishna</t>
        </is>
      </c>
      <c r="J3274" s="8" t="n">
        <v>2017</v>
      </c>
      <c r="K3274" s="9" t="n">
        <v>63484</v>
      </c>
      <c r="L3274" s="10" t="n">
        <v>100000</v>
      </c>
      <c r="M3274" s="10" t="n">
        <v>4237</v>
      </c>
      <c r="N3274" s="11">
        <f>IF(M3274="","",ROUND(M3274*1.18,2))</f>
        <v/>
      </c>
      <c r="O3274" s="12">
        <f>IF(M3274="","",ROUND(N3274-M3274,2))</f>
        <v/>
      </c>
      <c r="P3274" s="13">
        <f>IF(AND(A3274&lt;&gt;"",B3274&lt;&gt;""), A3274&amp;" · "&amp;B3274, "")</f>
        <v/>
      </c>
    </row>
    <row r="3275">
      <c r="A3275" s="6" t="inlineStr">
        <is>
          <t>FY27</t>
        </is>
      </c>
      <c r="B3275" s="6" t="inlineStr">
        <is>
          <t>Aug</t>
        </is>
      </c>
      <c r="C3275" s="6" t="inlineStr">
        <is>
          <t>AP/TS</t>
        </is>
      </c>
      <c r="D3275" s="7" t="inlineStr">
        <is>
          <t>AP07BC3336</t>
        </is>
      </c>
      <c r="E3275" s="7" t="inlineStr">
        <is>
          <t>MARUTI SUZUKI</t>
        </is>
      </c>
      <c r="F3275" s="7" t="inlineStr">
        <is>
          <t>Swift</t>
        </is>
      </c>
      <c r="G3275" s="7" t="inlineStr">
        <is>
          <t>TENALI SRINIVAS</t>
        </is>
      </c>
      <c r="H3275" s="7" t="inlineStr">
        <is>
          <t>Non-Captive</t>
        </is>
      </c>
      <c r="I3275" s="7" t="inlineStr">
        <is>
          <t>Vinod Kumar Murari</t>
        </is>
      </c>
      <c r="J3275" s="8" t="n">
        <v>2011</v>
      </c>
      <c r="K3275" s="9" t="n">
        <v>167028</v>
      </c>
      <c r="L3275" s="10" t="n">
        <v>157500</v>
      </c>
      <c r="M3275" s="10" t="n">
        <v>6356</v>
      </c>
      <c r="N3275" s="11">
        <f>IF(M3275="","",ROUND(M3275*1.18,2))</f>
        <v/>
      </c>
      <c r="O3275" s="12">
        <f>IF(M3275="","",ROUND(N3275-M3275,2))</f>
        <v/>
      </c>
      <c r="P3275" s="13">
        <f>IF(AND(A3275&lt;&gt;"",B3275&lt;&gt;""), A3275&amp;" · "&amp;B3275, "")</f>
        <v/>
      </c>
    </row>
    <row r="3276">
      <c r="A3276" s="6" t="inlineStr">
        <is>
          <t>FY27</t>
        </is>
      </c>
      <c r="B3276" s="6" t="inlineStr">
        <is>
          <t>Aug</t>
        </is>
      </c>
      <c r="C3276" s="6" t="inlineStr">
        <is>
          <t>AP/TS</t>
        </is>
      </c>
      <c r="D3276" s="7" t="inlineStr">
        <is>
          <t>AP07BL4725</t>
        </is>
      </c>
      <c r="E3276" s="7" t="inlineStr">
        <is>
          <t>MARUTI SUZUKI</t>
        </is>
      </c>
      <c r="F3276" s="7" t="inlineStr">
        <is>
          <t>Wagon R</t>
        </is>
      </c>
      <c r="G3276" s="7" t="inlineStr">
        <is>
          <t>MOHAMMED GOUSE BASHA</t>
        </is>
      </c>
      <c r="H3276" s="7" t="inlineStr">
        <is>
          <t>Non-Captive</t>
        </is>
      </c>
      <c r="I3276" s="7" t="inlineStr">
        <is>
          <t>Gopi Nagaraju</t>
        </is>
      </c>
      <c r="J3276" s="8" t="n">
        <v>2012</v>
      </c>
      <c r="K3276" s="9" t="n">
        <v>96453</v>
      </c>
      <c r="L3276" s="10" t="n">
        <v>176000</v>
      </c>
      <c r="M3276" s="10" t="n">
        <v>5085</v>
      </c>
      <c r="N3276" s="11">
        <f>IF(M3276="","",ROUND(M3276*1.18,2))</f>
        <v/>
      </c>
      <c r="O3276" s="12">
        <f>IF(M3276="","",ROUND(N3276-M3276,2))</f>
        <v/>
      </c>
      <c r="P3276" s="13">
        <f>IF(AND(A3276&lt;&gt;"",B3276&lt;&gt;""), A3276&amp;" · "&amp;B3276, "")</f>
        <v/>
      </c>
    </row>
    <row r="3277">
      <c r="A3277" s="6" t="inlineStr">
        <is>
          <t>FY27</t>
        </is>
      </c>
      <c r="B3277" s="6" t="inlineStr">
        <is>
          <t>Aug</t>
        </is>
      </c>
      <c r="C3277" s="6" t="inlineStr">
        <is>
          <t>AP/TS</t>
        </is>
      </c>
      <c r="D3277" s="7" t="inlineStr">
        <is>
          <t>AP07DJ3225</t>
        </is>
      </c>
      <c r="E3277" s="7" t="inlineStr">
        <is>
          <t>MARUTI SUZUKI</t>
        </is>
      </c>
      <c r="F3277" s="7" t="inlineStr">
        <is>
          <t>S-Cross</t>
        </is>
      </c>
      <c r="G3277" s="7" t="inlineStr">
        <is>
          <t>SURESH GINJUPALLI</t>
        </is>
      </c>
      <c r="H3277" s="7" t="inlineStr">
        <is>
          <t>Non-Captive</t>
        </is>
      </c>
      <c r="I3277" s="7" t="inlineStr">
        <is>
          <t>Devarapalli Avinash</t>
        </is>
      </c>
      <c r="J3277" s="8" t="n">
        <v>2017</v>
      </c>
      <c r="K3277" s="9" t="n">
        <v>82566</v>
      </c>
      <c r="L3277" s="10" t="n">
        <v>257500</v>
      </c>
      <c r="M3277" s="10" t="n">
        <v>6356</v>
      </c>
      <c r="N3277" s="11">
        <f>IF(M3277="","",ROUND(M3277*1.18,2))</f>
        <v/>
      </c>
      <c r="O3277" s="12">
        <f>IF(M3277="","",ROUND(N3277-M3277,2))</f>
        <v/>
      </c>
      <c r="P3277" s="13">
        <f>IF(AND(A3277&lt;&gt;"",B3277&lt;&gt;""), A3277&amp;" · "&amp;B3277, "")</f>
        <v/>
      </c>
    </row>
    <row r="3278">
      <c r="A3278" s="6" t="inlineStr">
        <is>
          <t>FY27</t>
        </is>
      </c>
      <c r="B3278" s="6" t="inlineStr">
        <is>
          <t>Aug</t>
        </is>
      </c>
      <c r="C3278" s="6" t="inlineStr">
        <is>
          <t>AP/TS</t>
        </is>
      </c>
      <c r="D3278" s="7" t="inlineStr">
        <is>
          <t>AP09BC7859</t>
        </is>
      </c>
      <c r="E3278" s="7" t="inlineStr">
        <is>
          <t>MARUTI SUZUKI</t>
        </is>
      </c>
      <c r="F3278" s="7" t="inlineStr">
        <is>
          <t>Wagon R</t>
        </is>
      </c>
      <c r="G3278" s="7" t="inlineStr">
        <is>
          <t>PRABJYOTH SINGH WASU</t>
        </is>
      </c>
      <c r="H3278" s="7" t="inlineStr">
        <is>
          <t>Non-Captive</t>
        </is>
      </c>
      <c r="I3278" s="7" t="inlineStr">
        <is>
          <t>Ramesh Palley</t>
        </is>
      </c>
      <c r="J3278" s="8" t="n">
        <v>2006</v>
      </c>
      <c r="K3278" s="9" t="n">
        <v>132542</v>
      </c>
      <c r="L3278" s="10" t="n">
        <v>50000</v>
      </c>
      <c r="M3278" s="10" t="n">
        <v>4237</v>
      </c>
      <c r="N3278" s="11">
        <f>IF(M3278="","",ROUND(M3278*1.18,2))</f>
        <v/>
      </c>
      <c r="O3278" s="12">
        <f>IF(M3278="","",ROUND(N3278-M3278,2))</f>
        <v/>
      </c>
      <c r="P3278" s="13">
        <f>IF(AND(A3278&lt;&gt;"",B3278&lt;&gt;""), A3278&amp;" · "&amp;B3278, "")</f>
        <v/>
      </c>
    </row>
    <row r="3279">
      <c r="A3279" s="6" t="inlineStr">
        <is>
          <t>FY27</t>
        </is>
      </c>
      <c r="B3279" s="6" t="inlineStr">
        <is>
          <t>Aug</t>
        </is>
      </c>
      <c r="C3279" s="6" t="inlineStr">
        <is>
          <t>AP/TS</t>
        </is>
      </c>
      <c r="D3279" s="7" t="inlineStr">
        <is>
          <t>AP09BH9495</t>
        </is>
      </c>
      <c r="E3279" s="7" t="inlineStr">
        <is>
          <t>HONDA</t>
        </is>
      </c>
      <c r="F3279" s="7" t="inlineStr">
        <is>
          <t>CR-V</t>
        </is>
      </c>
      <c r="G3279" s="7" t="inlineStr">
        <is>
          <t>MOHAMMED GOUSE BASHA</t>
        </is>
      </c>
      <c r="H3279" s="7" t="inlineStr">
        <is>
          <t>Non-Captive</t>
        </is>
      </c>
      <c r="I3279" s="7" t="inlineStr">
        <is>
          <t>Guthi Ravi Krishna</t>
        </is>
      </c>
      <c r="J3279" s="8" t="n">
        <v>2007</v>
      </c>
      <c r="K3279" s="9" t="n">
        <v>162336</v>
      </c>
      <c r="L3279" s="10" t="n">
        <v>85000</v>
      </c>
      <c r="M3279" s="10" t="n">
        <v>4237</v>
      </c>
      <c r="N3279" s="11">
        <f>IF(M3279="","",ROUND(M3279*1.18,2))</f>
        <v/>
      </c>
      <c r="O3279" s="12">
        <f>IF(M3279="","",ROUND(N3279-M3279,2))</f>
        <v/>
      </c>
      <c r="P3279" s="13">
        <f>IF(AND(A3279&lt;&gt;"",B3279&lt;&gt;""), A3279&amp;" · "&amp;B3279, "")</f>
        <v/>
      </c>
    </row>
    <row r="3280">
      <c r="A3280" s="6" t="inlineStr">
        <is>
          <t>FY27</t>
        </is>
      </c>
      <c r="B3280" s="6" t="inlineStr">
        <is>
          <t>Aug</t>
        </is>
      </c>
      <c r="C3280" s="6" t="inlineStr">
        <is>
          <t>AP/TS</t>
        </is>
      </c>
      <c r="D3280" s="7" t="inlineStr">
        <is>
          <t>AP09BK8794</t>
        </is>
      </c>
      <c r="E3280" s="7" t="inlineStr">
        <is>
          <t>HYUNDAI</t>
        </is>
      </c>
      <c r="F3280" s="7" t="inlineStr">
        <is>
          <t>Santro</t>
        </is>
      </c>
      <c r="G3280" s="7" t="inlineStr">
        <is>
          <t>PRABJYOTH SINGH WASU</t>
        </is>
      </c>
      <c r="H3280" s="7" t="inlineStr">
        <is>
          <t>Non-Captive</t>
        </is>
      </c>
      <c r="I3280" s="7" t="inlineStr">
        <is>
          <t>Exchange</t>
        </is>
      </c>
      <c r="J3280" s="8" t="n">
        <v>2007</v>
      </c>
      <c r="K3280" s="9" t="n">
        <v>115943</v>
      </c>
      <c r="L3280" s="10" t="n">
        <v>55000</v>
      </c>
      <c r="M3280" s="10" t="n">
        <v>4237</v>
      </c>
      <c r="N3280" s="11">
        <f>IF(M3280="","",ROUND(M3280*1.18,2))</f>
        <v/>
      </c>
      <c r="O3280" s="12">
        <f>IF(M3280="","",ROUND(N3280-M3280,2))</f>
        <v/>
      </c>
      <c r="P3280" s="13">
        <f>IF(AND(A3280&lt;&gt;"",B3280&lt;&gt;""), A3280&amp;" · "&amp;B3280, "")</f>
        <v/>
      </c>
    </row>
    <row r="3281">
      <c r="A3281" s="6" t="inlineStr">
        <is>
          <t>FY27</t>
        </is>
      </c>
      <c r="B3281" s="6" t="inlineStr">
        <is>
          <t>Aug</t>
        </is>
      </c>
      <c r="C3281" s="6" t="inlineStr">
        <is>
          <t>AP/TS</t>
        </is>
      </c>
      <c r="D3281" s="7" t="inlineStr">
        <is>
          <t>AP09BX6816</t>
        </is>
      </c>
      <c r="E3281" s="7" t="inlineStr">
        <is>
          <t>MARUTI SUZUKI</t>
        </is>
      </c>
      <c r="F3281" s="7" t="inlineStr">
        <is>
          <t>SX4</t>
        </is>
      </c>
      <c r="G3281" s="7" t="inlineStr">
        <is>
          <t>PALAMARASETTI RAM KUMAR</t>
        </is>
      </c>
      <c r="H3281" s="7" t="inlineStr">
        <is>
          <t>Non-Captive</t>
        </is>
      </c>
      <c r="I3281" s="7" t="inlineStr">
        <is>
          <t>Ramesh Palley</t>
        </is>
      </c>
      <c r="J3281" s="8" t="n">
        <v>2010</v>
      </c>
      <c r="K3281" s="9" t="n">
        <v>120568</v>
      </c>
      <c r="L3281" s="10" t="n">
        <v>90000</v>
      </c>
      <c r="M3281" s="10" t="n">
        <v>4237</v>
      </c>
      <c r="N3281" s="11">
        <f>IF(M3281="","",ROUND(M3281*1.18,2))</f>
        <v/>
      </c>
      <c r="O3281" s="12">
        <f>IF(M3281="","",ROUND(N3281-M3281,2))</f>
        <v/>
      </c>
      <c r="P3281" s="13">
        <f>IF(AND(A3281&lt;&gt;"",B3281&lt;&gt;""), A3281&amp;" · "&amp;B3281, "")</f>
        <v/>
      </c>
    </row>
    <row r="3282">
      <c r="A3282" s="6" t="inlineStr">
        <is>
          <t>FY27</t>
        </is>
      </c>
      <c r="B3282" s="6" t="inlineStr">
        <is>
          <t>Aug</t>
        </is>
      </c>
      <c r="C3282" s="6" t="inlineStr">
        <is>
          <t>AP/TS</t>
        </is>
      </c>
      <c r="D3282" s="7" t="inlineStr">
        <is>
          <t>AP09CC8134</t>
        </is>
      </c>
      <c r="E3282" s="7" t="inlineStr">
        <is>
          <t>MARUTI SUZUKI</t>
        </is>
      </c>
      <c r="F3282" s="7" t="inlineStr">
        <is>
          <t>Swift</t>
        </is>
      </c>
      <c r="G3282" s="7" t="inlineStr">
        <is>
          <t>MOHD RIYAZUDDIN ANSARI</t>
        </is>
      </c>
      <c r="H3282" s="7" t="inlineStr">
        <is>
          <t>Non-Captive</t>
        </is>
      </c>
      <c r="I3282" s="7" t="inlineStr">
        <is>
          <t>Puneet Gupta</t>
        </is>
      </c>
      <c r="J3282" s="8" t="n">
        <v>2011</v>
      </c>
      <c r="K3282" s="9" t="n">
        <v>122111</v>
      </c>
      <c r="L3282" s="10" t="n">
        <v>167000</v>
      </c>
      <c r="M3282" s="10" t="n">
        <v>5932</v>
      </c>
      <c r="N3282" s="11">
        <f>IF(M3282="","",ROUND(M3282*1.18,2))</f>
        <v/>
      </c>
      <c r="O3282" s="12">
        <f>IF(M3282="","",ROUND(N3282-M3282,2))</f>
        <v/>
      </c>
      <c r="P3282" s="13">
        <f>IF(AND(A3282&lt;&gt;"",B3282&lt;&gt;""), A3282&amp;" · "&amp;B3282, "")</f>
        <v/>
      </c>
    </row>
    <row r="3283">
      <c r="A3283" s="6" t="inlineStr">
        <is>
          <t>FY27</t>
        </is>
      </c>
      <c r="B3283" s="6" t="inlineStr">
        <is>
          <t>Aug</t>
        </is>
      </c>
      <c r="C3283" s="6" t="inlineStr">
        <is>
          <t>AP/TS</t>
        </is>
      </c>
      <c r="D3283" s="7" t="inlineStr">
        <is>
          <t>AP09CF2867</t>
        </is>
      </c>
      <c r="E3283" s="7" t="inlineStr">
        <is>
          <t>HONDA</t>
        </is>
      </c>
      <c r="F3283" s="7" t="inlineStr">
        <is>
          <t>City</t>
        </is>
      </c>
      <c r="G3283" s="7" t="inlineStr">
        <is>
          <t>MOHD RIYAZUDDIN ANSARI</t>
        </is>
      </c>
      <c r="H3283" s="7" t="inlineStr">
        <is>
          <t>Non-Captive</t>
        </is>
      </c>
      <c r="I3283" s="7" t="inlineStr">
        <is>
          <t>Puneet Gupta</t>
        </is>
      </c>
      <c r="J3283" s="8" t="n">
        <v>2011</v>
      </c>
      <c r="K3283" s="9" t="n">
        <v>114359</v>
      </c>
      <c r="L3283" s="10" t="n">
        <v>178000</v>
      </c>
      <c r="M3283" s="10" t="n">
        <v>6780</v>
      </c>
      <c r="N3283" s="11">
        <f>IF(M3283="","",ROUND(M3283*1.18,2))</f>
        <v/>
      </c>
      <c r="O3283" s="12">
        <f>IF(M3283="","",ROUND(N3283-M3283,2))</f>
        <v/>
      </c>
      <c r="P3283" s="13">
        <f>IF(AND(A3283&lt;&gt;"",B3283&lt;&gt;""), A3283&amp;" · "&amp;B3283, "")</f>
        <v/>
      </c>
    </row>
    <row r="3284">
      <c r="A3284" s="6" t="inlineStr">
        <is>
          <t>FY27</t>
        </is>
      </c>
      <c r="B3284" s="6" t="inlineStr">
        <is>
          <t>Aug</t>
        </is>
      </c>
      <c r="C3284" s="6" t="inlineStr">
        <is>
          <t>AP/TS</t>
        </is>
      </c>
      <c r="D3284" s="7" t="inlineStr">
        <is>
          <t>AP09CH5624</t>
        </is>
      </c>
      <c r="E3284" s="7" t="inlineStr">
        <is>
          <t>SKODA</t>
        </is>
      </c>
      <c r="F3284" s="7" t="inlineStr">
        <is>
          <t>Fabia</t>
        </is>
      </c>
      <c r="G3284" s="7" t="inlineStr">
        <is>
          <t>ODAPALLY SANDEEP</t>
        </is>
      </c>
      <c r="H3284" s="7" t="inlineStr">
        <is>
          <t>Non-Captive</t>
        </is>
      </c>
      <c r="I3284" s="7" t="inlineStr">
        <is>
          <t>Pudari Babu</t>
        </is>
      </c>
      <c r="J3284" s="8" t="n">
        <v>2011</v>
      </c>
      <c r="K3284" s="9" t="n">
        <v>102589</v>
      </c>
      <c r="L3284" s="10" t="n">
        <v>85000</v>
      </c>
      <c r="M3284" s="10" t="n">
        <v>4237</v>
      </c>
      <c r="N3284" s="11">
        <f>IF(M3284="","",ROUND(M3284*1.18,2))</f>
        <v/>
      </c>
      <c r="O3284" s="12">
        <f>IF(M3284="","",ROUND(N3284-M3284,2))</f>
        <v/>
      </c>
      <c r="P3284" s="13">
        <f>IF(AND(A3284&lt;&gt;"",B3284&lt;&gt;""), A3284&amp;" · "&amp;B3284, "")</f>
        <v/>
      </c>
    </row>
    <row r="3285">
      <c r="A3285" s="6" t="inlineStr">
        <is>
          <t>FY27</t>
        </is>
      </c>
      <c r="B3285" s="6" t="inlineStr">
        <is>
          <t>Aug</t>
        </is>
      </c>
      <c r="C3285" s="6" t="inlineStr">
        <is>
          <t>AP/TS</t>
        </is>
      </c>
      <c r="D3285" s="7" t="inlineStr">
        <is>
          <t>AP10AW4070</t>
        </is>
      </c>
      <c r="E3285" s="7" t="inlineStr">
        <is>
          <t>HONDA</t>
        </is>
      </c>
      <c r="F3285" s="7" t="inlineStr">
        <is>
          <t>Civic</t>
        </is>
      </c>
      <c r="G3285" s="7" t="inlineStr">
        <is>
          <t>PALAMARASETTI RAM KUMAR</t>
        </is>
      </c>
      <c r="H3285" s="7" t="inlineStr">
        <is>
          <t>Non-Captive</t>
        </is>
      </c>
      <c r="I3285" s="7" t="inlineStr">
        <is>
          <t>Ramesh Palley</t>
        </is>
      </c>
      <c r="J3285" s="8" t="n">
        <v>2011</v>
      </c>
      <c r="K3285" s="9" t="n">
        <v>77909</v>
      </c>
      <c r="L3285" s="10" t="n">
        <v>108000</v>
      </c>
      <c r="M3285" s="10" t="n">
        <v>6780</v>
      </c>
      <c r="N3285" s="11">
        <f>IF(M3285="","",ROUND(M3285*1.18,2))</f>
        <v/>
      </c>
      <c r="O3285" s="12">
        <f>IF(M3285="","",ROUND(N3285-M3285,2))</f>
        <v/>
      </c>
      <c r="P3285" s="13">
        <f>IF(AND(A3285&lt;&gt;"",B3285&lt;&gt;""), A3285&amp;" · "&amp;B3285, "")</f>
        <v/>
      </c>
    </row>
    <row r="3286">
      <c r="A3286" s="6" t="inlineStr">
        <is>
          <t>FY27</t>
        </is>
      </c>
      <c r="B3286" s="6" t="inlineStr">
        <is>
          <t>Aug</t>
        </is>
      </c>
      <c r="C3286" s="6" t="inlineStr">
        <is>
          <t>AP/TS</t>
        </is>
      </c>
      <c r="D3286" s="7" t="inlineStr">
        <is>
          <t>AP10AW7929</t>
        </is>
      </c>
      <c r="E3286" s="7" t="inlineStr">
        <is>
          <t>HONDA</t>
        </is>
      </c>
      <c r="F3286" s="7" t="inlineStr">
        <is>
          <t>City</t>
        </is>
      </c>
      <c r="G3286" s="7" t="inlineStr">
        <is>
          <t>GORENKA BHAVANI PRASAD</t>
        </is>
      </c>
      <c r="H3286" s="7" t="inlineStr">
        <is>
          <t>Non-Captive</t>
        </is>
      </c>
      <c r="I3286" s="7" t="inlineStr">
        <is>
          <t>Puneet Gupta</t>
        </is>
      </c>
      <c r="J3286" s="8" t="n">
        <v>2011</v>
      </c>
      <c r="K3286" s="9" t="n">
        <v>71707</v>
      </c>
      <c r="L3286" s="10" t="n">
        <v>137000</v>
      </c>
      <c r="M3286" s="10" t="n">
        <v>5932</v>
      </c>
      <c r="N3286" s="11">
        <f>IF(M3286="","",ROUND(M3286*1.18,2))</f>
        <v/>
      </c>
      <c r="O3286" s="12">
        <f>IF(M3286="","",ROUND(N3286-M3286,2))</f>
        <v/>
      </c>
      <c r="P3286" s="13">
        <f>IF(AND(A3286&lt;&gt;"",B3286&lt;&gt;""), A3286&amp;" · "&amp;B3286, "")</f>
        <v/>
      </c>
    </row>
    <row r="3287">
      <c r="A3287" s="6" t="inlineStr">
        <is>
          <t>FY27</t>
        </is>
      </c>
      <c r="B3287" s="6" t="inlineStr">
        <is>
          <t>Aug</t>
        </is>
      </c>
      <c r="C3287" s="6" t="inlineStr">
        <is>
          <t>AP/TS</t>
        </is>
      </c>
      <c r="D3287" s="7" t="inlineStr">
        <is>
          <t>AP10AY9763</t>
        </is>
      </c>
      <c r="E3287" s="7" t="inlineStr">
        <is>
          <t>HYUNDAI</t>
        </is>
      </c>
      <c r="F3287" s="7" t="inlineStr">
        <is>
          <t>i20</t>
        </is>
      </c>
      <c r="G3287" s="7" t="inlineStr">
        <is>
          <t>VISHNUKANT HEDA (SUB5 CARS</t>
        </is>
      </c>
      <c r="H3287" s="7" t="inlineStr">
        <is>
          <t>Non-Captive</t>
        </is>
      </c>
      <c r="I3287" s="7" t="inlineStr">
        <is>
          <t>Pudari Babu</t>
        </is>
      </c>
      <c r="J3287" s="8" t="n">
        <v>2011</v>
      </c>
      <c r="K3287" s="9" t="n">
        <v>91845</v>
      </c>
      <c r="L3287" s="10" t="n">
        <v>100000</v>
      </c>
      <c r="M3287" s="10" t="n">
        <v>4237</v>
      </c>
      <c r="N3287" s="11">
        <f>IF(M3287="","",ROUND(M3287*1.18,2))</f>
        <v/>
      </c>
      <c r="O3287" s="12">
        <f>IF(M3287="","",ROUND(N3287-M3287,2))</f>
        <v/>
      </c>
      <c r="P3287" s="13">
        <f>IF(AND(A3287&lt;&gt;"",B3287&lt;&gt;""), A3287&amp;" · "&amp;B3287, "")</f>
        <v/>
      </c>
    </row>
    <row r="3288">
      <c r="A3288" s="6" t="inlineStr">
        <is>
          <t>FY27</t>
        </is>
      </c>
      <c r="B3288" s="6" t="inlineStr">
        <is>
          <t>Aug</t>
        </is>
      </c>
      <c r="C3288" s="6" t="inlineStr">
        <is>
          <t>AP/TS</t>
        </is>
      </c>
      <c r="D3288" s="7" t="inlineStr">
        <is>
          <t>AP10BA2844</t>
        </is>
      </c>
      <c r="E3288" s="7" t="inlineStr">
        <is>
          <t>HYUNDAI</t>
        </is>
      </c>
      <c r="F3288" s="7" t="inlineStr">
        <is>
          <t>i20</t>
        </is>
      </c>
      <c r="G3288" s="7" t="inlineStr">
        <is>
          <t>VISHNUKANT HEDA (SUB5 CARS</t>
        </is>
      </c>
      <c r="H3288" s="7" t="inlineStr">
        <is>
          <t>Non-Captive</t>
        </is>
      </c>
      <c r="I3288" s="7" t="inlineStr">
        <is>
          <t>Exchange</t>
        </is>
      </c>
      <c r="J3288" s="8" t="n">
        <v>2012</v>
      </c>
      <c r="K3288" s="9" t="n">
        <v>160170</v>
      </c>
      <c r="L3288" s="10" t="n">
        <v>146000</v>
      </c>
      <c r="M3288" s="10" t="n">
        <v>5085</v>
      </c>
      <c r="N3288" s="11">
        <f>IF(M3288="","",ROUND(M3288*1.18,2))</f>
        <v/>
      </c>
      <c r="O3288" s="12">
        <f>IF(M3288="","",ROUND(N3288-M3288,2))</f>
        <v/>
      </c>
      <c r="P3288" s="13">
        <f>IF(AND(A3288&lt;&gt;"",B3288&lt;&gt;""), A3288&amp;" · "&amp;B3288, "")</f>
        <v/>
      </c>
    </row>
    <row r="3289">
      <c r="A3289" s="6" t="inlineStr">
        <is>
          <t>FY27</t>
        </is>
      </c>
      <c r="B3289" s="6" t="inlineStr">
        <is>
          <t>Aug</t>
        </is>
      </c>
      <c r="C3289" s="6" t="inlineStr">
        <is>
          <t>AP/TS</t>
        </is>
      </c>
      <c r="D3289" s="7" t="inlineStr">
        <is>
          <t>AP10BG3941</t>
        </is>
      </c>
      <c r="E3289" s="7" t="inlineStr">
        <is>
          <t>MARUTI SUZUKI</t>
        </is>
      </c>
      <c r="F3289" s="7" t="inlineStr">
        <is>
          <t>Swift</t>
        </is>
      </c>
      <c r="G3289" s="7" t="inlineStr">
        <is>
          <t>MOHD RIYAZUDDIN ANSARI</t>
        </is>
      </c>
      <c r="H3289" s="7" t="inlineStr">
        <is>
          <t>Non-Captive</t>
        </is>
      </c>
      <c r="I3289" s="7" t="inlineStr">
        <is>
          <t>Puneet Gupta</t>
        </is>
      </c>
      <c r="J3289" s="8" t="n">
        <v>2014</v>
      </c>
      <c r="K3289" s="9" t="n">
        <v>18501</v>
      </c>
      <c r="L3289" s="10" t="n">
        <v>260000</v>
      </c>
      <c r="M3289" s="10" t="n">
        <v>8475</v>
      </c>
      <c r="N3289" s="11">
        <f>IF(M3289="","",ROUND(M3289*1.18,2))</f>
        <v/>
      </c>
      <c r="O3289" s="12">
        <f>IF(M3289="","",ROUND(N3289-M3289,2))</f>
        <v/>
      </c>
      <c r="P3289" s="13">
        <f>IF(AND(A3289&lt;&gt;"",B3289&lt;&gt;""), A3289&amp;" · "&amp;B3289, "")</f>
        <v/>
      </c>
    </row>
    <row r="3290">
      <c r="A3290" s="6" t="inlineStr">
        <is>
          <t>FY27</t>
        </is>
      </c>
      <c r="B3290" s="6" t="inlineStr">
        <is>
          <t>Aug</t>
        </is>
      </c>
      <c r="C3290" s="6" t="inlineStr">
        <is>
          <t>AP/TS</t>
        </is>
      </c>
      <c r="D3290" s="7" t="inlineStr">
        <is>
          <t>AP16AS7898</t>
        </is>
      </c>
      <c r="E3290" s="7" t="inlineStr">
        <is>
          <t>MARUTI SUZUKI</t>
        </is>
      </c>
      <c r="F3290" s="7" t="inlineStr">
        <is>
          <t>Wagon R</t>
        </is>
      </c>
      <c r="G3290" s="7" t="inlineStr">
        <is>
          <t>GUTHI RAVI KRISHNA</t>
        </is>
      </c>
      <c r="H3290" s="7" t="inlineStr">
        <is>
          <t>Non-Captive</t>
        </is>
      </c>
      <c r="I3290" s="7" t="inlineStr">
        <is>
          <t>Gopi Nagaraju</t>
        </is>
      </c>
      <c r="J3290" s="8" t="n">
        <v>2008</v>
      </c>
      <c r="K3290" s="9" t="n">
        <v>98565</v>
      </c>
      <c r="L3290" s="10" t="n">
        <v>75000</v>
      </c>
      <c r="M3290" s="10" t="n">
        <v>4237</v>
      </c>
      <c r="N3290" s="11">
        <f>IF(M3290="","",ROUND(M3290*1.18,2))</f>
        <v/>
      </c>
      <c r="O3290" s="12">
        <f>IF(M3290="","",ROUND(N3290-M3290,2))</f>
        <v/>
      </c>
      <c r="P3290" s="13">
        <f>IF(AND(A3290&lt;&gt;"",B3290&lt;&gt;""), A3290&amp;" · "&amp;B3290, "")</f>
        <v/>
      </c>
    </row>
    <row r="3291">
      <c r="A3291" s="6" t="inlineStr">
        <is>
          <t>FY27</t>
        </is>
      </c>
      <c r="B3291" s="6" t="inlineStr">
        <is>
          <t>Aug</t>
        </is>
      </c>
      <c r="C3291" s="6" t="inlineStr">
        <is>
          <t>AP/TS</t>
        </is>
      </c>
      <c r="D3291" s="7" t="inlineStr">
        <is>
          <t>AP16BG2369</t>
        </is>
      </c>
      <c r="E3291" s="7" t="inlineStr">
        <is>
          <t>HYUNDAI</t>
        </is>
      </c>
      <c r="F3291" s="7" t="inlineStr">
        <is>
          <t>Santro</t>
        </is>
      </c>
      <c r="G3291" s="7" t="inlineStr">
        <is>
          <t>CHANDU RAM SAI</t>
        </is>
      </c>
      <c r="H3291" s="7" t="inlineStr">
        <is>
          <t>Non-Captive</t>
        </is>
      </c>
      <c r="I3291" s="7" t="inlineStr">
        <is>
          <t>Gopi Nagaraju</t>
        </is>
      </c>
      <c r="J3291" s="8" t="n">
        <v>2007</v>
      </c>
      <c r="K3291" s="9" t="n">
        <v>99419</v>
      </c>
      <c r="L3291" s="10" t="n">
        <v>65000</v>
      </c>
      <c r="M3291" s="10" t="n">
        <v>4237</v>
      </c>
      <c r="N3291" s="11">
        <f>IF(M3291="","",ROUND(M3291*1.18,2))</f>
        <v/>
      </c>
      <c r="O3291" s="12">
        <f>IF(M3291="","",ROUND(N3291-M3291,2))</f>
        <v/>
      </c>
      <c r="P3291" s="13">
        <f>IF(AND(A3291&lt;&gt;"",B3291&lt;&gt;""), A3291&amp;" · "&amp;B3291, "")</f>
        <v/>
      </c>
    </row>
    <row r="3292">
      <c r="A3292" s="6" t="inlineStr">
        <is>
          <t>FY27</t>
        </is>
      </c>
      <c r="B3292" s="6" t="inlineStr">
        <is>
          <t>Aug</t>
        </is>
      </c>
      <c r="C3292" s="6" t="inlineStr">
        <is>
          <t>AP/TS</t>
        </is>
      </c>
      <c r="D3292" s="7" t="inlineStr">
        <is>
          <t>AP16CZ0116</t>
        </is>
      </c>
      <c r="E3292" s="7" t="inlineStr">
        <is>
          <t>NISSAN</t>
        </is>
      </c>
      <c r="F3292" s="7" t="inlineStr">
        <is>
          <t>Terrano</t>
        </is>
      </c>
      <c r="G3292" s="7" t="inlineStr">
        <is>
          <t>SIVAPRASAD RELANGI</t>
        </is>
      </c>
      <c r="H3292" s="7" t="inlineStr">
        <is>
          <t>Non-Captive</t>
        </is>
      </c>
      <c r="I3292" s="7" t="inlineStr">
        <is>
          <t>Exchange</t>
        </is>
      </c>
      <c r="J3292" s="8" t="n">
        <v>2014</v>
      </c>
      <c r="K3292" s="9" t="n">
        <v>145011</v>
      </c>
      <c r="L3292" s="10" t="n">
        <v>265000</v>
      </c>
      <c r="M3292" s="10" t="n">
        <v>12712</v>
      </c>
      <c r="N3292" s="11">
        <f>IF(M3292="","",ROUND(M3292*1.18,2))</f>
        <v/>
      </c>
      <c r="O3292" s="12">
        <f>IF(M3292="","",ROUND(N3292-M3292,2))</f>
        <v/>
      </c>
      <c r="P3292" s="13">
        <f>IF(AND(A3292&lt;&gt;"",B3292&lt;&gt;""), A3292&amp;" · "&amp;B3292, "")</f>
        <v/>
      </c>
    </row>
    <row r="3293">
      <c r="A3293" s="6" t="inlineStr">
        <is>
          <t>FY27</t>
        </is>
      </c>
      <c r="B3293" s="6" t="inlineStr">
        <is>
          <t>Aug</t>
        </is>
      </c>
      <c r="C3293" s="6" t="inlineStr">
        <is>
          <t>AP/TS</t>
        </is>
      </c>
      <c r="D3293" s="7" t="inlineStr">
        <is>
          <t>AP16DE2226</t>
        </is>
      </c>
      <c r="E3293" s="7" t="inlineStr">
        <is>
          <t>VOLKSWAGEN</t>
        </is>
      </c>
      <c r="F3293" s="7" t="inlineStr">
        <is>
          <t>Vento</t>
        </is>
      </c>
      <c r="G3293" s="7" t="inlineStr">
        <is>
          <t>MEERZA GAFFOR BAIG</t>
        </is>
      </c>
      <c r="H3293" s="7" t="inlineStr">
        <is>
          <t>Non-Captive</t>
        </is>
      </c>
      <c r="I3293" s="7" t="inlineStr">
        <is>
          <t>Exchange</t>
        </is>
      </c>
      <c r="J3293" s="8" t="n">
        <v>2015</v>
      </c>
      <c r="K3293" s="9" t="n">
        <v>190453</v>
      </c>
      <c r="L3293" s="10" t="n">
        <v>365000</v>
      </c>
      <c r="M3293" s="10" t="n">
        <v>12712</v>
      </c>
      <c r="N3293" s="11">
        <f>IF(M3293="","",ROUND(M3293*1.18,2))</f>
        <v/>
      </c>
      <c r="O3293" s="12">
        <f>IF(M3293="","",ROUND(N3293-M3293,2))</f>
        <v/>
      </c>
      <c r="P3293" s="13">
        <f>IF(AND(A3293&lt;&gt;"",B3293&lt;&gt;""), A3293&amp;" · "&amp;B3293, "")</f>
        <v/>
      </c>
    </row>
    <row r="3294">
      <c r="A3294" s="6" t="inlineStr">
        <is>
          <t>FY27</t>
        </is>
      </c>
      <c r="B3294" s="6" t="inlineStr">
        <is>
          <t>Aug</t>
        </is>
      </c>
      <c r="C3294" s="6" t="inlineStr">
        <is>
          <t>AP/TS</t>
        </is>
      </c>
      <c r="D3294" s="7" t="inlineStr">
        <is>
          <t>AP16DF9449</t>
        </is>
      </c>
      <c r="E3294" s="7" t="inlineStr">
        <is>
          <t>MARUTI SUZUKI</t>
        </is>
      </c>
      <c r="F3294" s="7" t="inlineStr">
        <is>
          <t>Alto</t>
        </is>
      </c>
      <c r="G3294" s="7" t="inlineStr">
        <is>
          <t>TENALI SRINIVAS</t>
        </is>
      </c>
      <c r="H3294" s="7" t="inlineStr">
        <is>
          <t>Non-Captive</t>
        </is>
      </c>
      <c r="I3294" s="7" t="inlineStr">
        <is>
          <t>Chittibomma Srinivasa Rao</t>
        </is>
      </c>
      <c r="J3294" s="8" t="n">
        <v>2015</v>
      </c>
      <c r="K3294" s="9" t="n">
        <v>86945</v>
      </c>
      <c r="L3294" s="10" t="n">
        <v>90000</v>
      </c>
      <c r="M3294" s="10" t="n">
        <v>4237</v>
      </c>
      <c r="N3294" s="11">
        <f>IF(M3294="","",ROUND(M3294*1.18,2))</f>
        <v/>
      </c>
      <c r="O3294" s="12">
        <f>IF(M3294="","",ROUND(N3294-M3294,2))</f>
        <v/>
      </c>
      <c r="P3294" s="13">
        <f>IF(AND(A3294&lt;&gt;"",B3294&lt;&gt;""), A3294&amp;" · "&amp;B3294, "")</f>
        <v/>
      </c>
    </row>
    <row r="3295">
      <c r="A3295" s="6" t="inlineStr">
        <is>
          <t>FY27</t>
        </is>
      </c>
      <c r="B3295" s="6" t="inlineStr">
        <is>
          <t>Aug</t>
        </is>
      </c>
      <c r="C3295" s="6" t="inlineStr">
        <is>
          <t>AP/TS</t>
        </is>
      </c>
      <c r="D3295" s="7" t="inlineStr">
        <is>
          <t>AP16DN3457</t>
        </is>
      </c>
      <c r="E3295" s="7" t="inlineStr">
        <is>
          <t>MARUTI SUZUKI</t>
        </is>
      </c>
      <c r="F3295" s="7" t="inlineStr">
        <is>
          <t>Wagon R</t>
        </is>
      </c>
      <c r="G3295" s="7" t="inlineStr">
        <is>
          <t>MOHAMMED GOUSE BASHA</t>
        </is>
      </c>
      <c r="H3295" s="7" t="inlineStr">
        <is>
          <t>Non-Captive</t>
        </is>
      </c>
      <c r="I3295" s="7" t="inlineStr">
        <is>
          <t>Vinod Kumar Murari</t>
        </is>
      </c>
      <c r="J3295" s="8" t="n">
        <v>2017</v>
      </c>
      <c r="K3295" s="9" t="n">
        <v>91820</v>
      </c>
      <c r="L3295" s="10" t="n">
        <v>242500</v>
      </c>
      <c r="M3295" s="10" t="n">
        <v>6356</v>
      </c>
      <c r="N3295" s="11">
        <f>IF(M3295="","",ROUND(M3295*1.18,2))</f>
        <v/>
      </c>
      <c r="O3295" s="12">
        <f>IF(M3295="","",ROUND(N3295-M3295,2))</f>
        <v/>
      </c>
      <c r="P3295" s="13">
        <f>IF(AND(A3295&lt;&gt;"",B3295&lt;&gt;""), A3295&amp;" · "&amp;B3295, "")</f>
        <v/>
      </c>
    </row>
    <row r="3296">
      <c r="A3296" s="6" t="inlineStr">
        <is>
          <t>FY27</t>
        </is>
      </c>
      <c r="B3296" s="6" t="inlineStr">
        <is>
          <t>Aug</t>
        </is>
      </c>
      <c r="C3296" s="6" t="inlineStr">
        <is>
          <t>AP/TS</t>
        </is>
      </c>
      <c r="D3296" s="7" t="inlineStr">
        <is>
          <t>AP16DP5967</t>
        </is>
      </c>
      <c r="E3296" s="7" t="inlineStr">
        <is>
          <t>MARUTI SUZUKI</t>
        </is>
      </c>
      <c r="F3296" s="7" t="inlineStr">
        <is>
          <t>Dzire</t>
        </is>
      </c>
      <c r="G3296" s="7" t="inlineStr">
        <is>
          <t>MOHAMMED GOUSE BASHA</t>
        </is>
      </c>
      <c r="H3296" s="7" t="inlineStr">
        <is>
          <t>Non-Captive</t>
        </is>
      </c>
      <c r="I3296" s="7" t="inlineStr">
        <is>
          <t>Chittibomma Srinivasa Rao</t>
        </is>
      </c>
      <c r="J3296" s="8" t="n">
        <v>2016</v>
      </c>
      <c r="K3296" s="9" t="n">
        <v>98590</v>
      </c>
      <c r="L3296" s="10" t="n">
        <v>95000</v>
      </c>
      <c r="M3296" s="10" t="n">
        <v>4237</v>
      </c>
      <c r="N3296" s="11">
        <f>IF(M3296="","",ROUND(M3296*1.18,2))</f>
        <v/>
      </c>
      <c r="O3296" s="12">
        <f>IF(M3296="","",ROUND(N3296-M3296,2))</f>
        <v/>
      </c>
      <c r="P3296" s="13">
        <f>IF(AND(A3296&lt;&gt;"",B3296&lt;&gt;""), A3296&amp;" · "&amp;B3296, "")</f>
        <v/>
      </c>
    </row>
    <row r="3297">
      <c r="A3297" s="6" t="inlineStr">
        <is>
          <t>FY27</t>
        </is>
      </c>
      <c r="B3297" s="6" t="inlineStr">
        <is>
          <t>Aug</t>
        </is>
      </c>
      <c r="C3297" s="6" t="inlineStr">
        <is>
          <t>AP/TS</t>
        </is>
      </c>
      <c r="D3297" s="7" t="inlineStr">
        <is>
          <t>AP16DY1314</t>
        </is>
      </c>
      <c r="E3297" s="7" t="inlineStr">
        <is>
          <t>MARUTI SUZUKI</t>
        </is>
      </c>
      <c r="F3297" s="7" t="inlineStr">
        <is>
          <t>Baleno</t>
        </is>
      </c>
      <c r="G3297" s="7" t="inlineStr">
        <is>
          <t>MOHAMMED GOUSE BASHA</t>
        </is>
      </c>
      <c r="H3297" s="7" t="inlineStr">
        <is>
          <t>Non-Captive</t>
        </is>
      </c>
      <c r="I3297" s="7" t="inlineStr">
        <is>
          <t>Guthi Ravi Krishna</t>
        </is>
      </c>
      <c r="J3297" s="8" t="n">
        <v>2017</v>
      </c>
      <c r="K3297" s="9" t="n">
        <v>43104</v>
      </c>
      <c r="L3297" s="10" t="n">
        <v>100000</v>
      </c>
      <c r="M3297" s="10" t="n">
        <v>4237</v>
      </c>
      <c r="N3297" s="11">
        <f>IF(M3297="","",ROUND(M3297*1.18,2))</f>
        <v/>
      </c>
      <c r="O3297" s="12">
        <f>IF(M3297="","",ROUND(N3297-M3297,2))</f>
        <v/>
      </c>
      <c r="P3297" s="13">
        <f>IF(AND(A3297&lt;&gt;"",B3297&lt;&gt;""), A3297&amp;" · "&amp;B3297, "")</f>
        <v/>
      </c>
    </row>
    <row r="3298">
      <c r="A3298" s="6" t="inlineStr">
        <is>
          <t>FY27</t>
        </is>
      </c>
      <c r="B3298" s="6" t="inlineStr">
        <is>
          <t>Aug</t>
        </is>
      </c>
      <c r="C3298" s="6" t="inlineStr">
        <is>
          <t>AP/TS</t>
        </is>
      </c>
      <c r="D3298" s="7" t="inlineStr">
        <is>
          <t>AP16EW1122</t>
        </is>
      </c>
      <c r="E3298" s="7" t="inlineStr">
        <is>
          <t>MARUTI SUZUKI</t>
        </is>
      </c>
      <c r="F3298" s="7" t="inlineStr">
        <is>
          <t>Vitara Brezza</t>
        </is>
      </c>
      <c r="G3298" s="7" t="inlineStr">
        <is>
          <t>MOHAMMED GOUSE BASHA</t>
        </is>
      </c>
      <c r="H3298" s="7" t="inlineStr">
        <is>
          <t>Non-Captive</t>
        </is>
      </c>
      <c r="I3298" s="7" t="inlineStr">
        <is>
          <t>Exchange</t>
        </is>
      </c>
      <c r="J3298" s="8" t="n">
        <v>2018</v>
      </c>
      <c r="K3298" s="9" t="n">
        <v>249427</v>
      </c>
      <c r="L3298" s="10" t="n">
        <v>443000</v>
      </c>
      <c r="M3298" s="10" t="n">
        <v>11017</v>
      </c>
      <c r="N3298" s="11">
        <f>IF(M3298="","",ROUND(M3298*1.18,2))</f>
        <v/>
      </c>
      <c r="O3298" s="12">
        <f>IF(M3298="","",ROUND(N3298-M3298,2))</f>
        <v/>
      </c>
      <c r="P3298" s="13">
        <f>IF(AND(A3298&lt;&gt;"",B3298&lt;&gt;""), A3298&amp;" · "&amp;B3298, "")</f>
        <v/>
      </c>
    </row>
    <row r="3299">
      <c r="A3299" s="6" t="inlineStr">
        <is>
          <t>FY27</t>
        </is>
      </c>
      <c r="B3299" s="6" t="inlineStr">
        <is>
          <t>Aug</t>
        </is>
      </c>
      <c r="C3299" s="6" t="inlineStr">
        <is>
          <t>AP/TS</t>
        </is>
      </c>
      <c r="D3299" s="7" t="inlineStr">
        <is>
          <t>AP16FC0666</t>
        </is>
      </c>
      <c r="E3299" s="7" t="inlineStr">
        <is>
          <t>HONDA</t>
        </is>
      </c>
      <c r="F3299" s="7" t="inlineStr">
        <is>
          <t>City</t>
        </is>
      </c>
      <c r="G3299" s="7" t="inlineStr">
        <is>
          <t>P KIRAN BABU</t>
        </is>
      </c>
      <c r="H3299" s="7" t="inlineStr">
        <is>
          <t>Non-Captive</t>
        </is>
      </c>
      <c r="I3299" s="7" t="inlineStr">
        <is>
          <t>Exchange</t>
        </is>
      </c>
      <c r="J3299" s="8" t="n">
        <v>2018</v>
      </c>
      <c r="K3299" s="9" t="n">
        <v>106099</v>
      </c>
      <c r="L3299" s="10" t="n">
        <v>540000</v>
      </c>
      <c r="M3299" s="10" t="n">
        <v>8475</v>
      </c>
      <c r="N3299" s="11">
        <f>IF(M3299="","",ROUND(M3299*1.18,2))</f>
        <v/>
      </c>
      <c r="O3299" s="12">
        <f>IF(M3299="","",ROUND(N3299-M3299,2))</f>
        <v/>
      </c>
      <c r="P3299" s="13">
        <f>IF(AND(A3299&lt;&gt;"",B3299&lt;&gt;""), A3299&amp;" · "&amp;B3299, "")</f>
        <v/>
      </c>
    </row>
    <row r="3300">
      <c r="A3300" s="6" t="inlineStr">
        <is>
          <t>FY27</t>
        </is>
      </c>
      <c r="B3300" s="6" t="inlineStr">
        <is>
          <t>Aug</t>
        </is>
      </c>
      <c r="C3300" s="6" t="inlineStr">
        <is>
          <t>AP/TS</t>
        </is>
      </c>
      <c r="D3300" s="7" t="inlineStr">
        <is>
          <t>AP16FE6457</t>
        </is>
      </c>
      <c r="E3300" s="7" t="inlineStr">
        <is>
          <t>HONDA</t>
        </is>
      </c>
      <c r="F3300" s="7" t="inlineStr">
        <is>
          <t>Amaze</t>
        </is>
      </c>
      <c r="G3300" s="7" t="inlineStr">
        <is>
          <t>POLUKONDA NAGA SURESH</t>
        </is>
      </c>
      <c r="H3300" s="7" t="inlineStr">
        <is>
          <t>Non-Captive</t>
        </is>
      </c>
      <c r="I3300" s="7" t="inlineStr">
        <is>
          <t>Tenali Srinivas</t>
        </is>
      </c>
      <c r="J3300" s="8" t="n">
        <v>2018</v>
      </c>
      <c r="K3300" s="9" t="n">
        <v>144414</v>
      </c>
      <c r="L3300" s="10" t="n">
        <v>277500</v>
      </c>
      <c r="M3300" s="10" t="n">
        <v>6356</v>
      </c>
      <c r="N3300" s="11">
        <f>IF(M3300="","",ROUND(M3300*1.18,2))</f>
        <v/>
      </c>
      <c r="O3300" s="12">
        <f>IF(M3300="","",ROUND(N3300-M3300,2))</f>
        <v/>
      </c>
      <c r="P3300" s="13">
        <f>IF(AND(A3300&lt;&gt;"",B3300&lt;&gt;""), A3300&amp;" · "&amp;B3300, "")</f>
        <v/>
      </c>
    </row>
    <row r="3301">
      <c r="A3301" s="6" t="inlineStr">
        <is>
          <t>FY27</t>
        </is>
      </c>
      <c r="B3301" s="6" t="inlineStr">
        <is>
          <t>Aug</t>
        </is>
      </c>
      <c r="C3301" s="6" t="inlineStr">
        <is>
          <t>AP/TS</t>
        </is>
      </c>
      <c r="D3301" s="7" t="inlineStr">
        <is>
          <t>AP16FF0345</t>
        </is>
      </c>
      <c r="E3301" s="7" t="inlineStr">
        <is>
          <t>HONDA</t>
        </is>
      </c>
      <c r="F3301" s="7" t="inlineStr">
        <is>
          <t>Amaze</t>
        </is>
      </c>
      <c r="G3301" s="7" t="inlineStr">
        <is>
          <t>VEDICHERLA SUDHEER REDDY</t>
        </is>
      </c>
      <c r="H3301" s="7" t="inlineStr">
        <is>
          <t>Non-Captive</t>
        </is>
      </c>
      <c r="I3301" s="7" t="inlineStr">
        <is>
          <t>Exchange</t>
        </is>
      </c>
      <c r="J3301" s="8" t="n">
        <v>2018</v>
      </c>
      <c r="K3301" s="9" t="n">
        <v>117594</v>
      </c>
      <c r="L3301" s="10" t="n">
        <v>515000</v>
      </c>
      <c r="M3301" s="10" t="n">
        <v>12712</v>
      </c>
      <c r="N3301" s="11">
        <f>IF(M3301="","",ROUND(M3301*1.18,2))</f>
        <v/>
      </c>
      <c r="O3301" s="12">
        <f>IF(M3301="","",ROUND(N3301-M3301,2))</f>
        <v/>
      </c>
      <c r="P3301" s="13">
        <f>IF(AND(A3301&lt;&gt;"",B3301&lt;&gt;""), A3301&amp;" · "&amp;B3301, "")</f>
        <v/>
      </c>
    </row>
    <row r="3302">
      <c r="A3302" s="6" t="inlineStr">
        <is>
          <t>FY27</t>
        </is>
      </c>
      <c r="B3302" s="6" t="inlineStr">
        <is>
          <t>Aug</t>
        </is>
      </c>
      <c r="C3302" s="6" t="inlineStr">
        <is>
          <t>AP/TS</t>
        </is>
      </c>
      <c r="D3302" s="7" t="inlineStr">
        <is>
          <t>AP16FL1769</t>
        </is>
      </c>
      <c r="E3302" s="7" t="inlineStr">
        <is>
          <t>MARUTI SUZUKI</t>
        </is>
      </c>
      <c r="F3302" s="7" t="inlineStr">
        <is>
          <t>Alto 800</t>
        </is>
      </c>
      <c r="G3302" s="7" t="inlineStr">
        <is>
          <t>MOHAMMED GOUSE BASHA</t>
        </is>
      </c>
      <c r="H3302" s="7" t="inlineStr">
        <is>
          <t>Non-Captive</t>
        </is>
      </c>
      <c r="I3302" s="7" t="inlineStr">
        <is>
          <t>Guthi Ravi Krishna</t>
        </is>
      </c>
      <c r="J3302" s="8" t="n">
        <v>2018</v>
      </c>
      <c r="K3302" s="9" t="n">
        <v>200012</v>
      </c>
      <c r="L3302" s="10" t="n">
        <v>95000</v>
      </c>
      <c r="M3302" s="10" t="n">
        <v>4237</v>
      </c>
      <c r="N3302" s="11">
        <f>IF(M3302="","",ROUND(M3302*1.18,2))</f>
        <v/>
      </c>
      <c r="O3302" s="12">
        <f>IF(M3302="","",ROUND(N3302-M3302,2))</f>
        <v/>
      </c>
      <c r="P3302" s="13">
        <f>IF(AND(A3302&lt;&gt;"",B3302&lt;&gt;""), A3302&amp;" · "&amp;B3302, "")</f>
        <v/>
      </c>
    </row>
    <row r="3303">
      <c r="A3303" s="6" t="inlineStr">
        <is>
          <t>FY27</t>
        </is>
      </c>
      <c r="B3303" s="6" t="inlineStr">
        <is>
          <t>Aug</t>
        </is>
      </c>
      <c r="C3303" s="6" t="inlineStr">
        <is>
          <t>AP/TS</t>
        </is>
      </c>
      <c r="D3303" s="7" t="inlineStr">
        <is>
          <t>AP28CB7767</t>
        </is>
      </c>
      <c r="E3303" s="7" t="inlineStr">
        <is>
          <t>FORD</t>
        </is>
      </c>
      <c r="F3303" s="7" t="inlineStr">
        <is>
          <t>Ikon</t>
        </is>
      </c>
      <c r="G3303" s="7" t="inlineStr">
        <is>
          <t>KOPPURAVURI SRINIVASA RAO</t>
        </is>
      </c>
      <c r="H3303" s="7" t="inlineStr">
        <is>
          <t>Non-Captive</t>
        </is>
      </c>
      <c r="I3303" s="7" t="inlineStr">
        <is>
          <t>Exchange</t>
        </is>
      </c>
      <c r="J3303" s="8" t="n">
        <v>2009</v>
      </c>
      <c r="K3303" s="9" t="n">
        <v>210105</v>
      </c>
      <c r="L3303" s="10" t="n">
        <v>40000</v>
      </c>
      <c r="M3303" s="10" t="n">
        <v>4237</v>
      </c>
      <c r="N3303" s="11">
        <f>IF(M3303="","",ROUND(M3303*1.18,2))</f>
        <v/>
      </c>
      <c r="O3303" s="12">
        <f>IF(M3303="","",ROUND(N3303-M3303,2))</f>
        <v/>
      </c>
      <c r="P3303" s="13">
        <f>IF(AND(A3303&lt;&gt;"",B3303&lt;&gt;""), A3303&amp;" · "&amp;B3303, "")</f>
        <v/>
      </c>
    </row>
    <row r="3304">
      <c r="A3304" s="6" t="inlineStr">
        <is>
          <t>FY27</t>
        </is>
      </c>
      <c r="B3304" s="6" t="inlineStr">
        <is>
          <t>Aug</t>
        </is>
      </c>
      <c r="C3304" s="6" t="inlineStr">
        <is>
          <t>AP/TS</t>
        </is>
      </c>
      <c r="D3304" s="7" t="inlineStr">
        <is>
          <t>AP28DC0785</t>
        </is>
      </c>
      <c r="E3304" s="7" t="inlineStr">
        <is>
          <t>HYUNDAI</t>
        </is>
      </c>
      <c r="F3304" s="7" t="inlineStr">
        <is>
          <t>Santro</t>
        </is>
      </c>
      <c r="G3304" s="7" t="inlineStr">
        <is>
          <t>UPPARI SANDEEP KUMAR</t>
        </is>
      </c>
      <c r="H3304" s="7" t="inlineStr">
        <is>
          <t>Non-Captive</t>
        </is>
      </c>
      <c r="I3304" s="7" t="inlineStr">
        <is>
          <t>Puneet Gupta</t>
        </is>
      </c>
      <c r="J3304" s="8" t="n">
        <v>2009</v>
      </c>
      <c r="K3304" s="9" t="n">
        <v>110428</v>
      </c>
      <c r="L3304" s="10" t="n">
        <v>70000</v>
      </c>
      <c r="M3304" s="10" t="n">
        <v>4237</v>
      </c>
      <c r="N3304" s="11">
        <f>IF(M3304="","",ROUND(M3304*1.18,2))</f>
        <v/>
      </c>
      <c r="O3304" s="12">
        <f>IF(M3304="","",ROUND(N3304-M3304,2))</f>
        <v/>
      </c>
      <c r="P3304" s="13">
        <f>IF(AND(A3304&lt;&gt;"",B3304&lt;&gt;""), A3304&amp;" · "&amp;B3304, "")</f>
        <v/>
      </c>
    </row>
    <row r="3305">
      <c r="A3305" s="6" t="inlineStr">
        <is>
          <t>FY27</t>
        </is>
      </c>
      <c r="B3305" s="6" t="inlineStr">
        <is>
          <t>Aug</t>
        </is>
      </c>
      <c r="C3305" s="6" t="inlineStr">
        <is>
          <t>AP/TS</t>
        </is>
      </c>
      <c r="D3305" s="7" t="inlineStr">
        <is>
          <t>AP28DN9807</t>
        </is>
      </c>
      <c r="E3305" s="7" t="inlineStr">
        <is>
          <t>MARUTI SUZUKI</t>
        </is>
      </c>
      <c r="F3305" s="7" t="inlineStr">
        <is>
          <t>Alto K10</t>
        </is>
      </c>
      <c r="G3305" s="7" t="inlineStr">
        <is>
          <t>VISHNUKANT HEDA (SUB5 CARS</t>
        </is>
      </c>
      <c r="H3305" s="7" t="inlineStr">
        <is>
          <t>Non-Captive</t>
        </is>
      </c>
      <c r="I3305" s="7" t="inlineStr">
        <is>
          <t>Pudari Babu</t>
        </is>
      </c>
      <c r="J3305" s="8" t="n">
        <v>2012</v>
      </c>
      <c r="K3305" s="9" t="n">
        <v>57098</v>
      </c>
      <c r="L3305" s="10" t="n">
        <v>65000</v>
      </c>
      <c r="M3305" s="10" t="n">
        <v>4237</v>
      </c>
      <c r="N3305" s="11">
        <f>IF(M3305="","",ROUND(M3305*1.18,2))</f>
        <v/>
      </c>
      <c r="O3305" s="12">
        <f>IF(M3305="","",ROUND(N3305-M3305,2))</f>
        <v/>
      </c>
      <c r="P3305" s="13">
        <f>IF(AND(A3305&lt;&gt;"",B3305&lt;&gt;""), A3305&amp;" · "&amp;B3305, "")</f>
        <v/>
      </c>
    </row>
    <row r="3306">
      <c r="A3306" s="6" t="inlineStr">
        <is>
          <t>FY27</t>
        </is>
      </c>
      <c r="B3306" s="6" t="inlineStr">
        <is>
          <t>Aug</t>
        </is>
      </c>
      <c r="C3306" s="6" t="inlineStr">
        <is>
          <t>AP/TS</t>
        </is>
      </c>
      <c r="D3306" s="7" t="inlineStr">
        <is>
          <t>AP31AY0599</t>
        </is>
      </c>
      <c r="E3306" s="7" t="inlineStr">
        <is>
          <t>HONDA</t>
        </is>
      </c>
      <c r="F3306" s="7" t="inlineStr">
        <is>
          <t>City</t>
        </is>
      </c>
      <c r="G3306" s="7" t="inlineStr">
        <is>
          <t>GADI SRI BHARATHI</t>
        </is>
      </c>
      <c r="H3306" s="7" t="inlineStr">
        <is>
          <t>Non-Captive</t>
        </is>
      </c>
      <c r="I3306" s="7" t="inlineStr">
        <is>
          <t>Mohammed Adil</t>
        </is>
      </c>
      <c r="J3306" s="8" t="n">
        <v>2008</v>
      </c>
      <c r="K3306" s="9" t="n">
        <v>184751</v>
      </c>
      <c r="L3306" s="10" t="n">
        <v>96000</v>
      </c>
      <c r="M3306" s="10" t="n">
        <v>5085</v>
      </c>
      <c r="N3306" s="11">
        <f>IF(M3306="","",ROUND(M3306*1.18,2))</f>
        <v/>
      </c>
      <c r="O3306" s="12">
        <f>IF(M3306="","",ROUND(N3306-M3306,2))</f>
        <v/>
      </c>
      <c r="P3306" s="13">
        <f>IF(AND(A3306&lt;&gt;"",B3306&lt;&gt;""), A3306&amp;" · "&amp;B3306, "")</f>
        <v/>
      </c>
    </row>
    <row r="3307">
      <c r="A3307" s="6" t="inlineStr">
        <is>
          <t>FY27</t>
        </is>
      </c>
      <c r="B3307" s="6" t="inlineStr">
        <is>
          <t>Aug</t>
        </is>
      </c>
      <c r="C3307" s="6" t="inlineStr">
        <is>
          <t>AP/TS</t>
        </is>
      </c>
      <c r="D3307" s="7" t="inlineStr">
        <is>
          <t>AP31CH2439</t>
        </is>
      </c>
      <c r="E3307" s="7" t="inlineStr">
        <is>
          <t>HONDA</t>
        </is>
      </c>
      <c r="F3307" s="7" t="inlineStr">
        <is>
          <t>Amaze</t>
        </is>
      </c>
      <c r="G3307" s="7" t="inlineStr">
        <is>
          <t>KESIREDDI SAIKIRAN</t>
        </is>
      </c>
      <c r="H3307" s="7" t="inlineStr">
        <is>
          <t>Non-Captive</t>
        </is>
      </c>
      <c r="I3307" s="7" t="inlineStr">
        <is>
          <t>Exchange</t>
        </is>
      </c>
      <c r="J3307" s="8" t="n">
        <v>2013</v>
      </c>
      <c r="K3307" s="9" t="n">
        <v>30254</v>
      </c>
      <c r="L3307" s="10" t="n">
        <v>267000</v>
      </c>
      <c r="M3307" s="10" t="n">
        <v>14407</v>
      </c>
      <c r="N3307" s="11">
        <f>IF(M3307="","",ROUND(M3307*1.18,2))</f>
        <v/>
      </c>
      <c r="O3307" s="12">
        <f>IF(M3307="","",ROUND(N3307-M3307,2))</f>
        <v/>
      </c>
      <c r="P3307" s="13">
        <f>IF(AND(A3307&lt;&gt;"",B3307&lt;&gt;""), A3307&amp;" · "&amp;B3307, "")</f>
        <v/>
      </c>
    </row>
    <row r="3308">
      <c r="A3308" s="6" t="inlineStr">
        <is>
          <t>FY27</t>
        </is>
      </c>
      <c r="B3308" s="6" t="inlineStr">
        <is>
          <t>Aug</t>
        </is>
      </c>
      <c r="C3308" s="6" t="inlineStr">
        <is>
          <t>AP/TS</t>
        </is>
      </c>
      <c r="D3308" s="7" t="inlineStr">
        <is>
          <t>AP31CP0356</t>
        </is>
      </c>
      <c r="E3308" s="7" t="inlineStr">
        <is>
          <t>HONDA</t>
        </is>
      </c>
      <c r="F3308" s="7" t="inlineStr">
        <is>
          <t>Amaze</t>
        </is>
      </c>
      <c r="G3308" s="7" t="inlineStr">
        <is>
          <t>GADI SRI BHARATHI</t>
        </is>
      </c>
      <c r="H3308" s="7" t="inlineStr">
        <is>
          <t>Non-Captive</t>
        </is>
      </c>
      <c r="I3308" s="7" t="inlineStr">
        <is>
          <t>Exchange</t>
        </is>
      </c>
      <c r="J3308" s="8" t="n">
        <v>2014</v>
      </c>
      <c r="K3308" s="9" t="n">
        <v>90154</v>
      </c>
      <c r="L3308" s="10" t="n">
        <v>210000</v>
      </c>
      <c r="M3308" s="10" t="n">
        <v>8475</v>
      </c>
      <c r="N3308" s="11">
        <f>IF(M3308="","",ROUND(M3308*1.18,2))</f>
        <v/>
      </c>
      <c r="O3308" s="12">
        <f>IF(M3308="","",ROUND(N3308-M3308,2))</f>
        <v/>
      </c>
      <c r="P3308" s="13">
        <f>IF(AND(A3308&lt;&gt;"",B3308&lt;&gt;""), A3308&amp;" · "&amp;B3308, "")</f>
        <v/>
      </c>
    </row>
    <row r="3309">
      <c r="A3309" s="6" t="inlineStr">
        <is>
          <t>FY27</t>
        </is>
      </c>
      <c r="B3309" s="6" t="inlineStr">
        <is>
          <t>Aug</t>
        </is>
      </c>
      <c r="C3309" s="6" t="inlineStr">
        <is>
          <t>AP/TS</t>
        </is>
      </c>
      <c r="D3309" s="7" t="inlineStr">
        <is>
          <t>AP31CQ2772</t>
        </is>
      </c>
      <c r="E3309" s="7" t="inlineStr">
        <is>
          <t>HYUNDAI</t>
        </is>
      </c>
      <c r="F3309" s="7" t="inlineStr">
        <is>
          <t>Verna</t>
        </is>
      </c>
      <c r="G3309" s="7" t="inlineStr">
        <is>
          <t>SUNIL KUMAR BOTTA</t>
        </is>
      </c>
      <c r="H3309" s="7" t="inlineStr">
        <is>
          <t>Non-Captive</t>
        </is>
      </c>
      <c r="I3309" s="7" t="inlineStr">
        <is>
          <t>Exchange</t>
        </is>
      </c>
      <c r="J3309" s="8" t="n">
        <v>2014</v>
      </c>
      <c r="K3309" s="9" t="n">
        <v>234567</v>
      </c>
      <c r="L3309" s="10" t="n">
        <v>270000</v>
      </c>
      <c r="M3309" s="10" t="n">
        <v>12712</v>
      </c>
      <c r="N3309" s="11">
        <f>IF(M3309="","",ROUND(M3309*1.18,2))</f>
        <v/>
      </c>
      <c r="O3309" s="12">
        <f>IF(M3309="","",ROUND(N3309-M3309,2))</f>
        <v/>
      </c>
      <c r="P3309" s="13">
        <f>IF(AND(A3309&lt;&gt;"",B3309&lt;&gt;""), A3309&amp;" · "&amp;B3309, "")</f>
        <v/>
      </c>
    </row>
    <row r="3310">
      <c r="A3310" s="6" t="inlineStr">
        <is>
          <t>FY27</t>
        </is>
      </c>
      <c r="B3310" s="6" t="inlineStr">
        <is>
          <t>Aug</t>
        </is>
      </c>
      <c r="C3310" s="6" t="inlineStr">
        <is>
          <t>AP/TS</t>
        </is>
      </c>
      <c r="D3310" s="7" t="inlineStr">
        <is>
          <t>AP31TV6377</t>
        </is>
      </c>
      <c r="E3310" s="7" t="inlineStr">
        <is>
          <t>TOYOTA</t>
        </is>
      </c>
      <c r="F3310" s="7" t="inlineStr">
        <is>
          <t>Etios</t>
        </is>
      </c>
      <c r="G3310" s="7" t="inlineStr">
        <is>
          <t>TENALI SRINIVAS</t>
        </is>
      </c>
      <c r="H3310" s="7" t="inlineStr">
        <is>
          <t>Non-Captive</t>
        </is>
      </c>
      <c r="I3310" s="7" t="inlineStr">
        <is>
          <t>Exchange</t>
        </is>
      </c>
      <c r="J3310" s="8" t="n">
        <v>2014</v>
      </c>
      <c r="K3310" s="9" t="n">
        <v>163411</v>
      </c>
      <c r="L3310" s="10" t="n">
        <v>232500</v>
      </c>
      <c r="M3310" s="10" t="n">
        <v>6356</v>
      </c>
      <c r="N3310" s="11">
        <f>IF(M3310="","",ROUND(M3310*1.18,2))</f>
        <v/>
      </c>
      <c r="O3310" s="12">
        <f>IF(M3310="","",ROUND(N3310-M3310,2))</f>
        <v/>
      </c>
      <c r="P3310" s="13">
        <f>IF(AND(A3310&lt;&gt;"",B3310&lt;&gt;""), A3310&amp;" · "&amp;B3310, "")</f>
        <v/>
      </c>
    </row>
    <row r="3311">
      <c r="A3311" s="6" t="inlineStr">
        <is>
          <t>FY27</t>
        </is>
      </c>
      <c r="B3311" s="6" t="inlineStr">
        <is>
          <t>Aug</t>
        </is>
      </c>
      <c r="C3311" s="6" t="inlineStr">
        <is>
          <t>AP/TS</t>
        </is>
      </c>
      <c r="D3311" s="7" t="inlineStr">
        <is>
          <t>AP36AR9779</t>
        </is>
      </c>
      <c r="E3311" s="7" t="inlineStr">
        <is>
          <t>HONDA</t>
        </is>
      </c>
      <c r="F3311" s="7" t="inlineStr">
        <is>
          <t>Brio</t>
        </is>
      </c>
      <c r="G3311" s="7" t="inlineStr">
        <is>
          <t>PALAMARASETTI RAM KUMAR</t>
        </is>
      </c>
      <c r="H3311" s="7" t="inlineStr">
        <is>
          <t>Non-Captive</t>
        </is>
      </c>
      <c r="I3311" s="7" t="inlineStr">
        <is>
          <t>Ramesh Palley</t>
        </is>
      </c>
      <c r="J3311" s="8" t="n">
        <v>2012</v>
      </c>
      <c r="K3311" s="9" t="n">
        <v>120583</v>
      </c>
      <c r="L3311" s="10" t="n">
        <v>101000</v>
      </c>
      <c r="M3311" s="10" t="n">
        <v>5085</v>
      </c>
      <c r="N3311" s="11">
        <f>IF(M3311="","",ROUND(M3311*1.18,2))</f>
        <v/>
      </c>
      <c r="O3311" s="12">
        <f>IF(M3311="","",ROUND(N3311-M3311,2))</f>
        <v/>
      </c>
      <c r="P3311" s="13">
        <f>IF(AND(A3311&lt;&gt;"",B3311&lt;&gt;""), A3311&amp;" · "&amp;B3311, "")</f>
        <v/>
      </c>
    </row>
    <row r="3312">
      <c r="A3312" s="6" t="inlineStr">
        <is>
          <t>FY27</t>
        </is>
      </c>
      <c r="B3312" s="6" t="inlineStr">
        <is>
          <t>Aug</t>
        </is>
      </c>
      <c r="C3312" s="6" t="inlineStr">
        <is>
          <t>AP/TS</t>
        </is>
      </c>
      <c r="D3312" s="7" t="inlineStr">
        <is>
          <t>AP37DE4995</t>
        </is>
      </c>
      <c r="E3312" s="7" t="inlineStr">
        <is>
          <t>HYUNDAI</t>
        </is>
      </c>
      <c r="F3312" s="7" t="inlineStr">
        <is>
          <t>Vento</t>
        </is>
      </c>
      <c r="G3312" s="7" t="inlineStr">
        <is>
          <t>TENALI SRINIVAS</t>
        </is>
      </c>
      <c r="H3312" s="7" t="inlineStr">
        <is>
          <t>Non-Captive</t>
        </is>
      </c>
      <c r="I3312" s="7" t="inlineStr">
        <is>
          <t>Vinod Kumar Murari</t>
        </is>
      </c>
      <c r="J3312" s="8" t="n">
        <v>2016</v>
      </c>
      <c r="K3312" s="9" t="n">
        <v>124396</v>
      </c>
      <c r="L3312" s="10" t="n">
        <v>357500</v>
      </c>
      <c r="M3312" s="10" t="n">
        <v>6356</v>
      </c>
      <c r="N3312" s="11">
        <f>IF(M3312="","",ROUND(M3312*1.18,2))</f>
        <v/>
      </c>
      <c r="O3312" s="12">
        <f>IF(M3312="","",ROUND(N3312-M3312,2))</f>
        <v/>
      </c>
      <c r="P3312" s="13">
        <f>IF(AND(A3312&lt;&gt;"",B3312&lt;&gt;""), A3312&amp;" · "&amp;B3312, "")</f>
        <v/>
      </c>
    </row>
    <row r="3313">
      <c r="A3313" s="6" t="inlineStr">
        <is>
          <t>FY27</t>
        </is>
      </c>
      <c r="B3313" s="6" t="inlineStr">
        <is>
          <t>Aug</t>
        </is>
      </c>
      <c r="C3313" s="6" t="inlineStr">
        <is>
          <t>AP/TS</t>
        </is>
      </c>
      <c r="D3313" s="7" t="inlineStr">
        <is>
          <t>AP39AZ1589</t>
        </is>
      </c>
      <c r="E3313" s="7" t="inlineStr">
        <is>
          <t>HONDA</t>
        </is>
      </c>
      <c r="F3313" s="7" t="inlineStr">
        <is>
          <t>Jazz</t>
        </is>
      </c>
      <c r="G3313" s="7" t="inlineStr">
        <is>
          <t>TENALI SRINIVAS</t>
        </is>
      </c>
      <c r="H3313" s="7" t="inlineStr">
        <is>
          <t>Non-Captive</t>
        </is>
      </c>
      <c r="I3313" s="7" t="inlineStr">
        <is>
          <t>Vinod Kumar Murari</t>
        </is>
      </c>
      <c r="J3313" s="8" t="n">
        <v>2019</v>
      </c>
      <c r="K3313" s="9" t="n">
        <v>105435</v>
      </c>
      <c r="L3313" s="10" t="n">
        <v>387500</v>
      </c>
      <c r="M3313" s="10" t="n">
        <v>6356</v>
      </c>
      <c r="N3313" s="11">
        <f>IF(M3313="","",ROUND(M3313*1.18,2))</f>
        <v/>
      </c>
      <c r="O3313" s="12">
        <f>IF(M3313="","",ROUND(N3313-M3313,2))</f>
        <v/>
      </c>
      <c r="P3313" s="13">
        <f>IF(AND(A3313&lt;&gt;"",B3313&lt;&gt;""), A3313&amp;" · "&amp;B3313, "")</f>
        <v/>
      </c>
    </row>
    <row r="3314">
      <c r="A3314" s="6" t="inlineStr">
        <is>
          <t>FY27</t>
        </is>
      </c>
      <c r="B3314" s="6" t="inlineStr">
        <is>
          <t>Aug</t>
        </is>
      </c>
      <c r="C3314" s="6" t="inlineStr">
        <is>
          <t>AP/TS</t>
        </is>
      </c>
      <c r="D3314" s="7" t="inlineStr">
        <is>
          <t>AP39CK5137</t>
        </is>
      </c>
      <c r="E3314" s="7" t="inlineStr">
        <is>
          <t>HONDA</t>
        </is>
      </c>
      <c r="F3314" s="7" t="inlineStr">
        <is>
          <t>Amaze</t>
        </is>
      </c>
      <c r="G3314" s="7" t="inlineStr">
        <is>
          <t>KAKI DINESH KUMAR</t>
        </is>
      </c>
      <c r="H3314" s="7" t="inlineStr">
        <is>
          <t>Non-Captive</t>
        </is>
      </c>
      <c r="I3314" s="7" t="inlineStr">
        <is>
          <t>Exchange</t>
        </is>
      </c>
      <c r="J3314" s="8" t="n">
        <v>2019</v>
      </c>
      <c r="K3314" s="9" t="n">
        <v>59084</v>
      </c>
      <c r="L3314" s="10" t="n">
        <v>427000</v>
      </c>
      <c r="M3314" s="10" t="n">
        <v>10169</v>
      </c>
      <c r="N3314" s="11">
        <f>IF(M3314="","",ROUND(M3314*1.18,2))</f>
        <v/>
      </c>
      <c r="O3314" s="12">
        <f>IF(M3314="","",ROUND(N3314-M3314,2))</f>
        <v/>
      </c>
      <c r="P3314" s="13">
        <f>IF(AND(A3314&lt;&gt;"",B3314&lt;&gt;""), A3314&amp;" · "&amp;B3314, "")</f>
        <v/>
      </c>
    </row>
    <row r="3315">
      <c r="A3315" s="6" t="inlineStr">
        <is>
          <t>FY27</t>
        </is>
      </c>
      <c r="B3315" s="6" t="inlineStr">
        <is>
          <t>Aug</t>
        </is>
      </c>
      <c r="C3315" s="6" t="inlineStr">
        <is>
          <t>AP/TS</t>
        </is>
      </c>
      <c r="D3315" s="7" t="inlineStr">
        <is>
          <t>AP39HV0505</t>
        </is>
      </c>
      <c r="E3315" s="7" t="inlineStr">
        <is>
          <t>HYUNDAI</t>
        </is>
      </c>
      <c r="F3315" s="7" t="inlineStr">
        <is>
          <t>Creta</t>
        </is>
      </c>
      <c r="G3315" s="7" t="inlineStr">
        <is>
          <t>SURESH GINJUPALLI</t>
        </is>
      </c>
      <c r="H3315" s="7" t="inlineStr">
        <is>
          <t>Non-Captive</t>
        </is>
      </c>
      <c r="I3315" s="7" t="inlineStr">
        <is>
          <t>Exchange</t>
        </is>
      </c>
      <c r="J3315" s="8" t="n">
        <v>2021</v>
      </c>
      <c r="K3315" s="9" t="n">
        <v>173575</v>
      </c>
      <c r="L3315" s="10" t="n">
        <v>795000</v>
      </c>
      <c r="M3315" s="10" t="n">
        <v>12712</v>
      </c>
      <c r="N3315" s="11">
        <f>IF(M3315="","",ROUND(M3315*1.18,2))</f>
        <v/>
      </c>
      <c r="O3315" s="12">
        <f>IF(M3315="","",ROUND(N3315-M3315,2))</f>
        <v/>
      </c>
      <c r="P3315" s="13">
        <f>IF(AND(A3315&lt;&gt;"",B3315&lt;&gt;""), A3315&amp;" · "&amp;B3315, "")</f>
        <v/>
      </c>
    </row>
    <row r="3316">
      <c r="A3316" s="6" t="inlineStr">
        <is>
          <t>FY27</t>
        </is>
      </c>
      <c r="B3316" s="6" t="inlineStr">
        <is>
          <t>Aug</t>
        </is>
      </c>
      <c r="C3316" s="6" t="inlineStr">
        <is>
          <t>AP/TS</t>
        </is>
      </c>
      <c r="D3316" s="7" t="inlineStr">
        <is>
          <t>AP39KG4959</t>
        </is>
      </c>
      <c r="E3316" s="7" t="inlineStr">
        <is>
          <t>HONDA</t>
        </is>
      </c>
      <c r="F3316" s="7" t="inlineStr">
        <is>
          <t>City</t>
        </is>
      </c>
      <c r="G3316" s="7" t="inlineStr">
        <is>
          <t>YEKKALURUGOOTY MUSTAK</t>
        </is>
      </c>
      <c r="H3316" s="7" t="inlineStr">
        <is>
          <t>Non-Captive</t>
        </is>
      </c>
      <c r="I3316" s="7" t="inlineStr">
        <is>
          <t>Exchange</t>
        </is>
      </c>
      <c r="J3316" s="8" t="n">
        <v>2021</v>
      </c>
      <c r="K3316" s="9" t="n">
        <v>65383</v>
      </c>
      <c r="L3316" s="10" t="n">
        <v>540000</v>
      </c>
      <c r="M3316" s="10" t="n">
        <v>8475</v>
      </c>
      <c r="N3316" s="11">
        <f>IF(M3316="","",ROUND(M3316*1.18,2))</f>
        <v/>
      </c>
      <c r="O3316" s="12">
        <f>IF(M3316="","",ROUND(N3316-M3316,2))</f>
        <v/>
      </c>
      <c r="P3316" s="13">
        <f>IF(AND(A3316&lt;&gt;"",B3316&lt;&gt;""), A3316&amp;" · "&amp;B3316, "")</f>
        <v/>
      </c>
    </row>
    <row r="3317">
      <c r="A3317" s="6" t="inlineStr">
        <is>
          <t>FY27</t>
        </is>
      </c>
      <c r="B3317" s="6" t="inlineStr">
        <is>
          <t>Aug</t>
        </is>
      </c>
      <c r="C3317" s="6" t="inlineStr">
        <is>
          <t>AP/TS</t>
        </is>
      </c>
      <c r="D3317" s="7" t="inlineStr">
        <is>
          <t>AP40CR3633</t>
        </is>
      </c>
      <c r="E3317" s="7" t="inlineStr">
        <is>
          <t>HYUNDAI</t>
        </is>
      </c>
      <c r="F3317" s="7" t="inlineStr">
        <is>
          <t>Aura</t>
        </is>
      </c>
      <c r="G3317" s="7" t="inlineStr">
        <is>
          <t>MOHAMMED GOUSE BASHA</t>
        </is>
      </c>
      <c r="H3317" s="7" t="inlineStr">
        <is>
          <t>Non-Captive</t>
        </is>
      </c>
      <c r="I3317" s="7" t="inlineStr">
        <is>
          <t>Vinod Kumar Murari</t>
        </is>
      </c>
      <c r="J3317" s="8" t="n">
        <v>2024</v>
      </c>
      <c r="K3317" s="9" t="n">
        <v>23265</v>
      </c>
      <c r="L3317" s="10" t="n">
        <v>287500</v>
      </c>
      <c r="M3317" s="10" t="n">
        <v>6356</v>
      </c>
      <c r="N3317" s="11">
        <f>IF(M3317="","",ROUND(M3317*1.18,2))</f>
        <v/>
      </c>
      <c r="O3317" s="12">
        <f>IF(M3317="","",ROUND(N3317-M3317,2))</f>
        <v/>
      </c>
      <c r="P3317" s="13">
        <f>IF(AND(A3317&lt;&gt;"",B3317&lt;&gt;""), A3317&amp;" · "&amp;B3317, "")</f>
        <v/>
      </c>
    </row>
    <row r="3318">
      <c r="A3318" s="6" t="inlineStr">
        <is>
          <t>FY27</t>
        </is>
      </c>
      <c r="B3318" s="6" t="inlineStr">
        <is>
          <t>Aug</t>
        </is>
      </c>
      <c r="C3318" s="6" t="inlineStr">
        <is>
          <t>AP/TS</t>
        </is>
      </c>
      <c r="D3318" s="7" t="inlineStr">
        <is>
          <t>AP40H3536</t>
        </is>
      </c>
      <c r="E3318" s="7" t="inlineStr">
        <is>
          <t>HONDA</t>
        </is>
      </c>
      <c r="F3318" s="7" t="inlineStr">
        <is>
          <t>Amaze</t>
        </is>
      </c>
      <c r="G3318" s="7" t="inlineStr">
        <is>
          <t>GANDRAPU RAJA RATNAM</t>
        </is>
      </c>
      <c r="H3318" s="7" t="inlineStr">
        <is>
          <t>Non-Captive</t>
        </is>
      </c>
      <c r="I3318" s="7" t="inlineStr">
        <is>
          <t>Exchange</t>
        </is>
      </c>
      <c r="J3318" s="8" t="n">
        <v>2023</v>
      </c>
      <c r="K3318" s="9" t="n">
        <v>22969</v>
      </c>
      <c r="L3318" s="10" t="n">
        <v>510000</v>
      </c>
      <c r="M3318" s="10" t="n">
        <v>8475</v>
      </c>
      <c r="N3318" s="11">
        <f>IF(M3318="","",ROUND(M3318*1.18,2))</f>
        <v/>
      </c>
      <c r="O3318" s="12">
        <f>IF(M3318="","",ROUND(N3318-M3318,2))</f>
        <v/>
      </c>
      <c r="P3318" s="13">
        <f>IF(AND(A3318&lt;&gt;"",B3318&lt;&gt;""), A3318&amp;" · "&amp;B3318, "")</f>
        <v/>
      </c>
    </row>
    <row r="3319">
      <c r="A3319" s="6" t="inlineStr">
        <is>
          <t>FY27</t>
        </is>
      </c>
      <c r="B3319" s="6" t="inlineStr">
        <is>
          <t>Aug</t>
        </is>
      </c>
      <c r="C3319" s="6" t="inlineStr">
        <is>
          <t>AP/TS</t>
        </is>
      </c>
      <c r="D3319" s="7" t="inlineStr">
        <is>
          <t>TG08G7002</t>
        </is>
      </c>
      <c r="E3319" s="7" t="inlineStr">
        <is>
          <t>MARUTI SUZUKI</t>
        </is>
      </c>
      <c r="F3319" s="7" t="inlineStr">
        <is>
          <t>Wagon R</t>
        </is>
      </c>
      <c r="G3319" s="7" t="inlineStr">
        <is>
          <t>VISHNUKANT HEDA (SUB5 CARS</t>
        </is>
      </c>
      <c r="H3319" s="7" t="inlineStr">
        <is>
          <t>Non-Captive</t>
        </is>
      </c>
      <c r="I3319" s="7" t="inlineStr">
        <is>
          <t>Exchange</t>
        </is>
      </c>
      <c r="J3319" s="8" t="n">
        <v>2024</v>
      </c>
      <c r="K3319" s="9" t="n">
        <v>24094</v>
      </c>
      <c r="L3319" s="10" t="n">
        <v>440000</v>
      </c>
      <c r="M3319" s="10" t="n">
        <v>8475</v>
      </c>
      <c r="N3319" s="11">
        <f>IF(M3319="","",ROUND(M3319*1.18,2))</f>
        <v/>
      </c>
      <c r="O3319" s="12">
        <f>IF(M3319="","",ROUND(N3319-M3319,2))</f>
        <v/>
      </c>
      <c r="P3319" s="13">
        <f>IF(AND(A3319&lt;&gt;"",B3319&lt;&gt;""), A3319&amp;" · "&amp;B3319, "")</f>
        <v/>
      </c>
    </row>
    <row r="3320">
      <c r="A3320" s="6" t="inlineStr">
        <is>
          <t>FY27</t>
        </is>
      </c>
      <c r="B3320" s="6" t="inlineStr">
        <is>
          <t>Aug</t>
        </is>
      </c>
      <c r="C3320" s="6" t="inlineStr">
        <is>
          <t>AP/TS</t>
        </is>
      </c>
      <c r="D3320" s="7" t="inlineStr">
        <is>
          <t>TS06EL1111</t>
        </is>
      </c>
      <c r="E3320" s="7" t="inlineStr">
        <is>
          <t>VOLKSWAGEN</t>
        </is>
      </c>
      <c r="F3320" s="7" t="inlineStr">
        <is>
          <t>Vento</t>
        </is>
      </c>
      <c r="G3320" s="7" t="inlineStr">
        <is>
          <t>ODAPALLY SANDEEP</t>
        </is>
      </c>
      <c r="H3320" s="7" t="inlineStr">
        <is>
          <t>Non-Captive</t>
        </is>
      </c>
      <c r="I3320" s="7" t="inlineStr">
        <is>
          <t>Pudari Babu</t>
        </is>
      </c>
      <c r="J3320" s="8" t="n">
        <v>2015</v>
      </c>
      <c r="K3320" s="9" t="n">
        <v>146715</v>
      </c>
      <c r="L3320" s="10" t="n">
        <v>156000</v>
      </c>
      <c r="M3320" s="10" t="n">
        <v>5085</v>
      </c>
      <c r="N3320" s="11">
        <f>IF(M3320="","",ROUND(M3320*1.18,2))</f>
        <v/>
      </c>
      <c r="O3320" s="12">
        <f>IF(M3320="","",ROUND(N3320-M3320,2))</f>
        <v/>
      </c>
      <c r="P3320" s="13">
        <f>IF(AND(A3320&lt;&gt;"",B3320&lt;&gt;""), A3320&amp;" · "&amp;B3320, "")</f>
        <v/>
      </c>
    </row>
    <row r="3321">
      <c r="A3321" s="6" t="inlineStr">
        <is>
          <t>FY27</t>
        </is>
      </c>
      <c r="B3321" s="6" t="inlineStr">
        <is>
          <t>Aug</t>
        </is>
      </c>
      <c r="C3321" s="6" t="inlineStr">
        <is>
          <t>AP/TS</t>
        </is>
      </c>
      <c r="D3321" s="7" t="inlineStr">
        <is>
          <t>TS07EM2910</t>
        </is>
      </c>
      <c r="E3321" s="7" t="inlineStr">
        <is>
          <t>HYUNDAI</t>
        </is>
      </c>
      <c r="F3321" s="7" t="inlineStr">
        <is>
          <t>Eon</t>
        </is>
      </c>
      <c r="G3321" s="7" t="inlineStr">
        <is>
          <t>ODAPALLY SANDEEP</t>
        </is>
      </c>
      <c r="H3321" s="7" t="inlineStr">
        <is>
          <t>Non-Captive</t>
        </is>
      </c>
      <c r="I3321" s="7" t="inlineStr">
        <is>
          <t>Puneet Gupta</t>
        </is>
      </c>
      <c r="J3321" s="8" t="n">
        <v>2015</v>
      </c>
      <c r="K3321" s="9" t="n">
        <v>69287</v>
      </c>
      <c r="L3321" s="10" t="n">
        <v>95000</v>
      </c>
      <c r="M3321" s="10" t="n">
        <v>4237</v>
      </c>
      <c r="N3321" s="11">
        <f>IF(M3321="","",ROUND(M3321*1.18,2))</f>
        <v/>
      </c>
      <c r="O3321" s="12">
        <f>IF(M3321="","",ROUND(N3321-M3321,2))</f>
        <v/>
      </c>
      <c r="P3321" s="13">
        <f>IF(AND(A3321&lt;&gt;"",B3321&lt;&gt;""), A3321&amp;" · "&amp;B3321, "")</f>
        <v/>
      </c>
    </row>
    <row r="3322">
      <c r="A3322" s="6" t="inlineStr">
        <is>
          <t>FY27</t>
        </is>
      </c>
      <c r="B3322" s="6" t="inlineStr">
        <is>
          <t>Aug</t>
        </is>
      </c>
      <c r="C3322" s="6" t="inlineStr">
        <is>
          <t>AP/TS</t>
        </is>
      </c>
      <c r="D3322" s="7" t="inlineStr">
        <is>
          <t>TS07ES0250</t>
        </is>
      </c>
      <c r="E3322" s="7" t="inlineStr">
        <is>
          <t>MARUTI SUZUKI</t>
        </is>
      </c>
      <c r="F3322" s="7" t="inlineStr">
        <is>
          <t>Alto K10</t>
        </is>
      </c>
      <c r="G3322" s="7" t="inlineStr">
        <is>
          <t>VISHNUKANT HEDA (SUB5 CARS</t>
        </is>
      </c>
      <c r="H3322" s="7" t="inlineStr">
        <is>
          <t>Non-Captive</t>
        </is>
      </c>
      <c r="I3322" s="7" t="inlineStr">
        <is>
          <t>Pudari Babu</t>
        </is>
      </c>
      <c r="J3322" s="8" t="n">
        <v>2015</v>
      </c>
      <c r="K3322" s="9" t="n">
        <v>80608</v>
      </c>
      <c r="L3322" s="10" t="n">
        <v>90000</v>
      </c>
      <c r="M3322" s="10" t="n">
        <v>4237</v>
      </c>
      <c r="N3322" s="11">
        <f>IF(M3322="","",ROUND(M3322*1.18,2))</f>
        <v/>
      </c>
      <c r="O3322" s="12">
        <f>IF(M3322="","",ROUND(N3322-M3322,2))</f>
        <v/>
      </c>
      <c r="P3322" s="13">
        <f>IF(AND(A3322&lt;&gt;"",B3322&lt;&gt;""), A3322&amp;" · "&amp;B3322, "")</f>
        <v/>
      </c>
    </row>
    <row r="3323">
      <c r="A3323" s="6" t="inlineStr">
        <is>
          <t>FY27</t>
        </is>
      </c>
      <c r="B3323" s="6" t="inlineStr">
        <is>
          <t>Aug</t>
        </is>
      </c>
      <c r="C3323" s="6" t="inlineStr">
        <is>
          <t>AP/TS</t>
        </is>
      </c>
      <c r="D3323" s="7" t="inlineStr">
        <is>
          <t>TS07FY9449</t>
        </is>
      </c>
      <c r="E3323" s="7" t="inlineStr">
        <is>
          <t>MARUTI SUZUKI</t>
        </is>
      </c>
      <c r="F3323" s="7" t="inlineStr">
        <is>
          <t>Vitara Brezza</t>
        </is>
      </c>
      <c r="G3323" s="7" t="inlineStr">
        <is>
          <t>ODAPALLY SANDEEP</t>
        </is>
      </c>
      <c r="H3323" s="7" t="inlineStr">
        <is>
          <t>Non-Captive</t>
        </is>
      </c>
      <c r="I3323" s="7" t="inlineStr">
        <is>
          <t>Pudari Babu</t>
        </is>
      </c>
      <c r="J3323" s="8" t="n">
        <v>2017</v>
      </c>
      <c r="K3323" s="9" t="n">
        <v>38700</v>
      </c>
      <c r="L3323" s="10" t="n">
        <v>198000</v>
      </c>
      <c r="M3323" s="10" t="n">
        <v>6780</v>
      </c>
      <c r="N3323" s="11">
        <f>IF(M3323="","",ROUND(M3323*1.18,2))</f>
        <v/>
      </c>
      <c r="O3323" s="12">
        <f>IF(M3323="","",ROUND(N3323-M3323,2))</f>
        <v/>
      </c>
      <c r="P3323" s="13">
        <f>IF(AND(A3323&lt;&gt;"",B3323&lt;&gt;""), A3323&amp;" · "&amp;B3323, "")</f>
        <v/>
      </c>
    </row>
    <row r="3324">
      <c r="A3324" s="6" t="inlineStr">
        <is>
          <t>FY27</t>
        </is>
      </c>
      <c r="B3324" s="6" t="inlineStr">
        <is>
          <t>Aug</t>
        </is>
      </c>
      <c r="C3324" s="6" t="inlineStr">
        <is>
          <t>AP/TS</t>
        </is>
      </c>
      <c r="D3324" s="7" t="inlineStr">
        <is>
          <t>TS07GL5859</t>
        </is>
      </c>
      <c r="E3324" s="7" t="inlineStr">
        <is>
          <t>MARUTI SUZUKI</t>
        </is>
      </c>
      <c r="F3324" s="7" t="inlineStr">
        <is>
          <t>Swift</t>
        </is>
      </c>
      <c r="G3324" s="7" t="inlineStr">
        <is>
          <t>VISHNUKANT HEDA (SUB5 CARS</t>
        </is>
      </c>
      <c r="H3324" s="7" t="inlineStr">
        <is>
          <t>Non-Captive</t>
        </is>
      </c>
      <c r="I3324" s="7" t="inlineStr">
        <is>
          <t>Puneet Gupta</t>
        </is>
      </c>
      <c r="J3324" s="8" t="n">
        <v>2018</v>
      </c>
      <c r="K3324" s="9" t="n">
        <v>142264</v>
      </c>
      <c r="L3324" s="10" t="n">
        <v>207500</v>
      </c>
      <c r="M3324" s="10" t="n">
        <v>6356</v>
      </c>
      <c r="N3324" s="11">
        <f>IF(M3324="","",ROUND(M3324*1.18,2))</f>
        <v/>
      </c>
      <c r="O3324" s="12">
        <f>IF(M3324="","",ROUND(N3324-M3324,2))</f>
        <v/>
      </c>
      <c r="P3324" s="13">
        <f>IF(AND(A3324&lt;&gt;"",B3324&lt;&gt;""), A3324&amp;" · "&amp;B3324, "")</f>
        <v/>
      </c>
    </row>
    <row r="3325">
      <c r="A3325" s="6" t="inlineStr">
        <is>
          <t>FY27</t>
        </is>
      </c>
      <c r="B3325" s="6" t="inlineStr">
        <is>
          <t>Aug</t>
        </is>
      </c>
      <c r="C3325" s="6" t="inlineStr">
        <is>
          <t>AP/TS</t>
        </is>
      </c>
      <c r="D3325" s="7" t="inlineStr">
        <is>
          <t>TS08FV4500</t>
        </is>
      </c>
      <c r="E3325" s="7" t="inlineStr">
        <is>
          <t>HYUNDAI</t>
        </is>
      </c>
      <c r="F3325" s="7" t="inlineStr">
        <is>
          <t>Creta</t>
        </is>
      </c>
      <c r="G3325" s="7" t="inlineStr">
        <is>
          <t>VISHNUKANT HEDA (SUB5 CARS</t>
        </is>
      </c>
      <c r="H3325" s="7" t="inlineStr">
        <is>
          <t>Non-Captive</t>
        </is>
      </c>
      <c r="I3325" s="7" t="inlineStr">
        <is>
          <t>Puneet Gupta</t>
        </is>
      </c>
      <c r="J3325" s="8" t="n">
        <v>2018</v>
      </c>
      <c r="K3325" s="9" t="n">
        <v>94283</v>
      </c>
      <c r="L3325" s="10" t="n">
        <v>207500</v>
      </c>
      <c r="M3325" s="10" t="n">
        <v>6356</v>
      </c>
      <c r="N3325" s="11">
        <f>IF(M3325="","",ROUND(M3325*1.18,2))</f>
        <v/>
      </c>
      <c r="O3325" s="12">
        <f>IF(M3325="","",ROUND(N3325-M3325,2))</f>
        <v/>
      </c>
      <c r="P3325" s="13">
        <f>IF(AND(A3325&lt;&gt;"",B3325&lt;&gt;""), A3325&amp;" · "&amp;B3325, "")</f>
        <v/>
      </c>
    </row>
    <row r="3326">
      <c r="A3326" s="6" t="inlineStr">
        <is>
          <t>FY27</t>
        </is>
      </c>
      <c r="B3326" s="6" t="inlineStr">
        <is>
          <t>Aug</t>
        </is>
      </c>
      <c r="C3326" s="6" t="inlineStr">
        <is>
          <t>AP/TS</t>
        </is>
      </c>
      <c r="D3326" s="7" t="inlineStr">
        <is>
          <t>TS08GQ4270</t>
        </is>
      </c>
      <c r="E3326" s="7" t="inlineStr">
        <is>
          <t>HONDA</t>
        </is>
      </c>
      <c r="F3326" s="7" t="inlineStr">
        <is>
          <t>Amaze</t>
        </is>
      </c>
      <c r="G3326" s="7" t="inlineStr">
        <is>
          <t>ODAPALLY SANDEEP</t>
        </is>
      </c>
      <c r="H3326" s="7" t="inlineStr">
        <is>
          <t>Non-Captive</t>
        </is>
      </c>
      <c r="I3326" s="7" t="inlineStr">
        <is>
          <t>Exchange</t>
        </is>
      </c>
      <c r="J3326" s="8" t="n">
        <v>2019</v>
      </c>
      <c r="K3326" s="9" t="n">
        <v>41083</v>
      </c>
      <c r="L3326" s="10" t="n">
        <v>455000</v>
      </c>
      <c r="M3326" s="10" t="n">
        <v>8475</v>
      </c>
      <c r="N3326" s="11">
        <f>IF(M3326="","",ROUND(M3326*1.18,2))</f>
        <v/>
      </c>
      <c r="O3326" s="12">
        <f>IF(M3326="","",ROUND(N3326-M3326,2))</f>
        <v/>
      </c>
      <c r="P3326" s="13">
        <f>IF(AND(A3326&lt;&gt;"",B3326&lt;&gt;""), A3326&amp;" · "&amp;B3326, "")</f>
        <v/>
      </c>
    </row>
    <row r="3327">
      <c r="A3327" s="6" t="inlineStr">
        <is>
          <t>FY27</t>
        </is>
      </c>
      <c r="B3327" s="6" t="inlineStr">
        <is>
          <t>Aug</t>
        </is>
      </c>
      <c r="C3327" s="6" t="inlineStr">
        <is>
          <t>AP/TS</t>
        </is>
      </c>
      <c r="D3327" s="7" t="inlineStr">
        <is>
          <t>TS09EB2605</t>
        </is>
      </c>
      <c r="E3327" s="7" t="inlineStr">
        <is>
          <t>HONDA</t>
        </is>
      </c>
      <c r="F3327" s="7" t="inlineStr">
        <is>
          <t>City</t>
        </is>
      </c>
      <c r="G3327" s="7" t="inlineStr">
        <is>
          <t>UPPARI SANDEEP KUMAR</t>
        </is>
      </c>
      <c r="H3327" s="7" t="inlineStr">
        <is>
          <t>Non-Captive</t>
        </is>
      </c>
      <c r="I3327" s="7" t="inlineStr">
        <is>
          <t>Exchange</t>
        </is>
      </c>
      <c r="J3327" s="8" t="n">
        <v>2014</v>
      </c>
      <c r="K3327" s="9" t="n">
        <v>93520</v>
      </c>
      <c r="L3327" s="10" t="n">
        <v>330000</v>
      </c>
      <c r="M3327" s="10" t="n">
        <v>8475</v>
      </c>
      <c r="N3327" s="11">
        <f>IF(M3327="","",ROUND(M3327*1.18,2))</f>
        <v/>
      </c>
      <c r="O3327" s="12">
        <f>IF(M3327="","",ROUND(N3327-M3327,2))</f>
        <v/>
      </c>
      <c r="P3327" s="13">
        <f>IF(AND(A3327&lt;&gt;"",B3327&lt;&gt;""), A3327&amp;" · "&amp;B3327, "")</f>
        <v/>
      </c>
    </row>
    <row r="3328">
      <c r="A3328" s="6" t="inlineStr">
        <is>
          <t>FY27</t>
        </is>
      </c>
      <c r="B3328" s="6" t="inlineStr">
        <is>
          <t>Aug</t>
        </is>
      </c>
      <c r="C3328" s="6" t="inlineStr">
        <is>
          <t>AP/TS</t>
        </is>
      </c>
      <c r="D3328" s="7" t="inlineStr">
        <is>
          <t>TS09EH7429</t>
        </is>
      </c>
      <c r="E3328" s="7" t="inlineStr">
        <is>
          <t>HONDA</t>
        </is>
      </c>
      <c r="F3328" s="7" t="inlineStr">
        <is>
          <t>Mobilio</t>
        </is>
      </c>
      <c r="G3328" s="7" t="inlineStr">
        <is>
          <t>GORENKA BHAVANI PRASAD</t>
        </is>
      </c>
      <c r="H3328" s="7" t="inlineStr">
        <is>
          <t>Non-Captive</t>
        </is>
      </c>
      <c r="I3328" s="7" t="inlineStr">
        <is>
          <t>Puneet Gupta</t>
        </is>
      </c>
      <c r="J3328" s="8" t="n">
        <v>2015</v>
      </c>
      <c r="K3328" s="9" t="n">
        <v>182125</v>
      </c>
      <c r="L3328" s="10" t="n">
        <v>283000</v>
      </c>
      <c r="M3328" s="10" t="n">
        <v>6780</v>
      </c>
      <c r="N3328" s="11">
        <f>IF(M3328="","",ROUND(M3328*1.18,2))</f>
        <v/>
      </c>
      <c r="O3328" s="12">
        <f>IF(M3328="","",ROUND(N3328-M3328,2))</f>
        <v/>
      </c>
      <c r="P3328" s="13">
        <f>IF(AND(A3328&lt;&gt;"",B3328&lt;&gt;""), A3328&amp;" · "&amp;B3328, "")</f>
        <v/>
      </c>
    </row>
    <row r="3329">
      <c r="A3329" s="6" t="inlineStr">
        <is>
          <t>FY27</t>
        </is>
      </c>
      <c r="B3329" s="6" t="inlineStr">
        <is>
          <t>Aug</t>
        </is>
      </c>
      <c r="C3329" s="6" t="inlineStr">
        <is>
          <t>AP/TS</t>
        </is>
      </c>
      <c r="D3329" s="7" t="inlineStr">
        <is>
          <t>TS09FA5947</t>
        </is>
      </c>
      <c r="E3329" s="7" t="inlineStr">
        <is>
          <t>HONDA</t>
        </is>
      </c>
      <c r="F3329" s="7" t="inlineStr">
        <is>
          <t>WR-V</t>
        </is>
      </c>
      <c r="G3329" s="7" t="inlineStr">
        <is>
          <t>ODAPALLY SANDEEP</t>
        </is>
      </c>
      <c r="H3329" s="7" t="inlineStr">
        <is>
          <t>Non-Captive</t>
        </is>
      </c>
      <c r="I3329" s="7" t="inlineStr">
        <is>
          <t>Exchange</t>
        </is>
      </c>
      <c r="J3329" s="8" t="n">
        <v>2022</v>
      </c>
      <c r="K3329" s="9" t="n">
        <v>75473</v>
      </c>
      <c r="L3329" s="10" t="n">
        <v>555000</v>
      </c>
      <c r="M3329" s="10" t="n">
        <v>12712</v>
      </c>
      <c r="N3329" s="11">
        <f>IF(M3329="","",ROUND(M3329*1.18,2))</f>
        <v/>
      </c>
      <c r="O3329" s="12">
        <f>IF(M3329="","",ROUND(N3329-M3329,2))</f>
        <v/>
      </c>
      <c r="P3329" s="13">
        <f>IF(AND(A3329&lt;&gt;"",B3329&lt;&gt;""), A3329&amp;" · "&amp;B3329, "")</f>
        <v/>
      </c>
    </row>
    <row r="3330">
      <c r="A3330" s="6" t="inlineStr">
        <is>
          <t>FY27</t>
        </is>
      </c>
      <c r="B3330" s="6" t="inlineStr">
        <is>
          <t>Aug</t>
        </is>
      </c>
      <c r="C3330" s="6" t="inlineStr">
        <is>
          <t>AP/TS</t>
        </is>
      </c>
      <c r="D3330" s="7" t="inlineStr">
        <is>
          <t>TS09FG8731</t>
        </is>
      </c>
      <c r="E3330" s="7" t="inlineStr">
        <is>
          <t>HYUNDAI</t>
        </is>
      </c>
      <c r="F3330" s="7" t="inlineStr">
        <is>
          <t>Grand i10</t>
        </is>
      </c>
      <c r="G3330" s="7" t="inlineStr">
        <is>
          <t>VISHNUKANT HEDA (SUB5 CARS</t>
        </is>
      </c>
      <c r="H3330" s="7" t="inlineStr">
        <is>
          <t>Non-Captive</t>
        </is>
      </c>
      <c r="I3330" s="7" t="inlineStr">
        <is>
          <t>Exchange</t>
        </is>
      </c>
      <c r="J3330" s="8" t="n">
        <v>2019</v>
      </c>
      <c r="K3330" s="9" t="n">
        <v>49380</v>
      </c>
      <c r="L3330" s="10" t="n">
        <v>350000</v>
      </c>
      <c r="M3330" s="10" t="n">
        <v>8475</v>
      </c>
      <c r="N3330" s="11">
        <f>IF(M3330="","",ROUND(M3330*1.18,2))</f>
        <v/>
      </c>
      <c r="O3330" s="12">
        <f>IF(M3330="","",ROUND(N3330-M3330,2))</f>
        <v/>
      </c>
      <c r="P3330" s="13">
        <f>IF(AND(A3330&lt;&gt;"",B3330&lt;&gt;""), A3330&amp;" · "&amp;B3330, "")</f>
        <v/>
      </c>
    </row>
    <row r="3331">
      <c r="A3331" s="6" t="inlineStr">
        <is>
          <t>FY27</t>
        </is>
      </c>
      <c r="B3331" s="6" t="inlineStr">
        <is>
          <t>Aug</t>
        </is>
      </c>
      <c r="C3331" s="6" t="inlineStr">
        <is>
          <t>AP/TS</t>
        </is>
      </c>
      <c r="D3331" s="7" t="inlineStr">
        <is>
          <t>TS09FK2761</t>
        </is>
      </c>
      <c r="E3331" s="7" t="inlineStr">
        <is>
          <t>HONDA</t>
        </is>
      </c>
      <c r="F3331" s="7" t="inlineStr">
        <is>
          <t>City</t>
        </is>
      </c>
      <c r="G3331" s="7" t="inlineStr">
        <is>
          <t>PALAMARASETTI RAM KUMAR</t>
        </is>
      </c>
      <c r="H3331" s="7" t="inlineStr">
        <is>
          <t>Non-Captive</t>
        </is>
      </c>
      <c r="I3331" s="7" t="inlineStr">
        <is>
          <t>Ramesh Palley</t>
        </is>
      </c>
      <c r="J3331" s="8" t="n">
        <v>2004</v>
      </c>
      <c r="K3331" s="9" t="n">
        <v>145263</v>
      </c>
      <c r="L3331" s="10" t="n">
        <v>71000</v>
      </c>
      <c r="M3331" s="10" t="n">
        <v>5085</v>
      </c>
      <c r="N3331" s="11">
        <f>IF(M3331="","",ROUND(M3331*1.18,2))</f>
        <v/>
      </c>
      <c r="O3331" s="12">
        <f>IF(M3331="","",ROUND(N3331-M3331,2))</f>
        <v/>
      </c>
      <c r="P3331" s="13">
        <f>IF(AND(A3331&lt;&gt;"",B3331&lt;&gt;""), A3331&amp;" · "&amp;B3331, "")</f>
        <v/>
      </c>
    </row>
    <row r="3332">
      <c r="A3332" s="6" t="inlineStr">
        <is>
          <t>FY27</t>
        </is>
      </c>
      <c r="B3332" s="6" t="inlineStr">
        <is>
          <t>Aug</t>
        </is>
      </c>
      <c r="C3332" s="6" t="inlineStr">
        <is>
          <t>AP/TS</t>
        </is>
      </c>
      <c r="D3332" s="7" t="inlineStr">
        <is>
          <t>TS10EF1279</t>
        </is>
      </c>
      <c r="E3332" s="7" t="inlineStr">
        <is>
          <t>MARUTI SUZUKI</t>
        </is>
      </c>
      <c r="F3332" s="7" t="inlineStr">
        <is>
          <t>Ciaz</t>
        </is>
      </c>
      <c r="G3332" s="7" t="inlineStr">
        <is>
          <t>GORENKA BHAVANI PRASAD</t>
        </is>
      </c>
      <c r="H3332" s="7" t="inlineStr">
        <is>
          <t>Non-Captive</t>
        </is>
      </c>
      <c r="I3332" s="7" t="inlineStr">
        <is>
          <t>Exchange</t>
        </is>
      </c>
      <c r="J3332" s="8" t="n">
        <v>2015</v>
      </c>
      <c r="K3332" s="9" t="n">
        <v>115823</v>
      </c>
      <c r="L3332" s="10" t="n">
        <v>355000</v>
      </c>
      <c r="M3332" s="10" t="n">
        <v>12712</v>
      </c>
      <c r="N3332" s="11">
        <f>IF(M3332="","",ROUND(M3332*1.18,2))</f>
        <v/>
      </c>
      <c r="O3332" s="12">
        <f>IF(M3332="","",ROUND(N3332-M3332,2))</f>
        <v/>
      </c>
      <c r="P3332" s="13">
        <f>IF(AND(A3332&lt;&gt;"",B3332&lt;&gt;""), A3332&amp;" · "&amp;B3332, "")</f>
        <v/>
      </c>
    </row>
    <row r="3333">
      <c r="A3333" s="6" t="inlineStr">
        <is>
          <t>FY27</t>
        </is>
      </c>
      <c r="B3333" s="6" t="inlineStr">
        <is>
          <t>Aug</t>
        </is>
      </c>
      <c r="C3333" s="6" t="inlineStr">
        <is>
          <t>AP/TS</t>
        </is>
      </c>
      <c r="D3333" s="7" t="inlineStr">
        <is>
          <t>TS11ES7178</t>
        </is>
      </c>
      <c r="E3333" s="7" t="inlineStr">
        <is>
          <t>RENAULT</t>
        </is>
      </c>
      <c r="F3333" s="7" t="inlineStr">
        <is>
          <t>Kwid</t>
        </is>
      </c>
      <c r="G3333" s="7" t="inlineStr">
        <is>
          <t>ODAPALLY SANDEEP</t>
        </is>
      </c>
      <c r="H3333" s="7" t="inlineStr">
        <is>
          <t>Non-Captive</t>
        </is>
      </c>
      <c r="I3333" s="7" t="inlineStr">
        <is>
          <t>Pudari Babu</t>
        </is>
      </c>
      <c r="J3333" s="8" t="n">
        <v>2019</v>
      </c>
      <c r="K3333" s="9" t="n">
        <v>38701</v>
      </c>
      <c r="L3333" s="10" t="n">
        <v>186000</v>
      </c>
      <c r="M3333" s="10" t="n">
        <v>5085</v>
      </c>
      <c r="N3333" s="11">
        <f>IF(M3333="","",ROUND(M3333*1.18,2))</f>
        <v/>
      </c>
      <c r="O3333" s="12">
        <f>IF(M3333="","",ROUND(N3333-M3333,2))</f>
        <v/>
      </c>
      <c r="P3333" s="13">
        <f>IF(AND(A3333&lt;&gt;"",B3333&lt;&gt;""), A3333&amp;" · "&amp;B3333, "")</f>
        <v/>
      </c>
    </row>
    <row r="3334">
      <c r="A3334" s="6" t="inlineStr">
        <is>
          <t>FY27</t>
        </is>
      </c>
      <c r="B3334" s="6" t="inlineStr">
        <is>
          <t>Aug</t>
        </is>
      </c>
      <c r="C3334" s="6" t="inlineStr">
        <is>
          <t>Kerala</t>
        </is>
      </c>
      <c r="D3334" s="7" t="inlineStr">
        <is>
          <t>KL01AR4509</t>
        </is>
      </c>
      <c r="E3334" s="7" t="inlineStr">
        <is>
          <t>MARUTI SUZUKI</t>
        </is>
      </c>
      <c r="F3334" s="7" t="inlineStr">
        <is>
          <t>Alto</t>
        </is>
      </c>
      <c r="G3334" s="7" t="inlineStr">
        <is>
          <t>POPULAR MARUTI</t>
        </is>
      </c>
      <c r="H3334" s="7" t="inlineStr">
        <is>
          <t>Non-Captive</t>
        </is>
      </c>
      <c r="I3334" s="7" t="inlineStr">
        <is>
          <t>MAHESH KUMAR</t>
        </is>
      </c>
      <c r="J3334" s="8" t="n">
        <v>2007</v>
      </c>
      <c r="K3334" s="9" t="n">
        <v>112000</v>
      </c>
      <c r="L3334" s="10" t="n">
        <v>37000</v>
      </c>
      <c r="M3334" s="10" t="n">
        <v>5932</v>
      </c>
      <c r="N3334" s="11">
        <f>IF(M3334="","",ROUND(M3334*1.18,2))</f>
        <v/>
      </c>
      <c r="O3334" s="12">
        <f>IF(M3334="","",ROUND(N3334-M3334,2))</f>
        <v/>
      </c>
      <c r="P3334" s="13">
        <f>IF(AND(A3334&lt;&gt;"",B3334&lt;&gt;""), A3334&amp;" · "&amp;B3334, "")</f>
        <v/>
      </c>
    </row>
    <row r="3335">
      <c r="A3335" s="6" t="inlineStr">
        <is>
          <t>FY27</t>
        </is>
      </c>
      <c r="B3335" s="6" t="inlineStr">
        <is>
          <t>Aug</t>
        </is>
      </c>
      <c r="C3335" s="6" t="inlineStr">
        <is>
          <t>Kerala</t>
        </is>
      </c>
      <c r="D3335" s="7" t="inlineStr">
        <is>
          <t>KL01AU1985</t>
        </is>
      </c>
      <c r="E3335" s="7" t="inlineStr">
        <is>
          <t>MARUTI SUZUKI</t>
        </is>
      </c>
      <c r="F3335" s="7" t="inlineStr">
        <is>
          <t>Wagon R</t>
        </is>
      </c>
      <c r="G3335" s="7" t="inlineStr">
        <is>
          <t>POPULAR MARUTI</t>
        </is>
      </c>
      <c r="H3335" s="7" t="inlineStr">
        <is>
          <t>Non-Captive</t>
        </is>
      </c>
      <c r="I3335" s="7" t="inlineStr">
        <is>
          <t>Muhammed Rasin R</t>
        </is>
      </c>
      <c r="J3335" s="8" t="n">
        <v>2008</v>
      </c>
      <c r="K3335" s="9" t="n">
        <v>107500</v>
      </c>
      <c r="L3335" s="10" t="n">
        <v>90000</v>
      </c>
      <c r="M3335" s="10" t="n">
        <v>8475</v>
      </c>
      <c r="N3335" s="11">
        <f>IF(M3335="","",ROUND(M3335*1.18,2))</f>
        <v/>
      </c>
      <c r="O3335" s="12">
        <f>IF(M3335="","",ROUND(N3335-M3335,2))</f>
        <v/>
      </c>
      <c r="P3335" s="13">
        <f>IF(AND(A3335&lt;&gt;"",B3335&lt;&gt;""), A3335&amp;" · "&amp;B3335, "")</f>
        <v/>
      </c>
    </row>
    <row r="3336">
      <c r="A3336" s="6" t="inlineStr">
        <is>
          <t>FY27</t>
        </is>
      </c>
      <c r="B3336" s="6" t="inlineStr">
        <is>
          <t>Aug</t>
        </is>
      </c>
      <c r="C3336" s="6" t="inlineStr">
        <is>
          <t>Kerala</t>
        </is>
      </c>
      <c r="D3336" s="7" t="inlineStr">
        <is>
          <t>KL01AW0216</t>
        </is>
      </c>
      <c r="E3336" s="7" t="inlineStr">
        <is>
          <t>MAHINDRA</t>
        </is>
      </c>
      <c r="F3336" s="7" t="inlineStr">
        <is>
          <t>Bolero</t>
        </is>
      </c>
      <c r="G3336" s="7" t="inlineStr">
        <is>
          <t>VINOD KUMAR</t>
        </is>
      </c>
      <c r="H3336" s="7" t="inlineStr">
        <is>
          <t>Non-Captive</t>
        </is>
      </c>
      <c r="I3336" s="7" t="inlineStr">
        <is>
          <t>Autobot</t>
        </is>
      </c>
      <c r="J3336" s="8" t="n">
        <v>2009</v>
      </c>
      <c r="K3336" s="9" t="n">
        <v>117000</v>
      </c>
      <c r="L3336" s="10" t="n">
        <v>210000</v>
      </c>
      <c r="M3336" s="10" t="n">
        <v>8475</v>
      </c>
      <c r="N3336" s="11">
        <f>IF(M3336="","",ROUND(M3336*1.18,2))</f>
        <v/>
      </c>
      <c r="O3336" s="12">
        <f>IF(M3336="","",ROUND(N3336-M3336,2))</f>
        <v/>
      </c>
      <c r="P3336" s="13">
        <f>IF(AND(A3336&lt;&gt;"",B3336&lt;&gt;""), A3336&amp;" · "&amp;B3336, "")</f>
        <v/>
      </c>
    </row>
    <row r="3337">
      <c r="A3337" s="6" t="inlineStr">
        <is>
          <t>FY27</t>
        </is>
      </c>
      <c r="B3337" s="6" t="inlineStr">
        <is>
          <t>Aug</t>
        </is>
      </c>
      <c r="C3337" s="6" t="inlineStr">
        <is>
          <t>Kerala</t>
        </is>
      </c>
      <c r="D3337" s="7" t="inlineStr">
        <is>
          <t>KL01BG5671</t>
        </is>
      </c>
      <c r="E3337" s="7" t="inlineStr">
        <is>
          <t>HYUNDAI</t>
        </is>
      </c>
      <c r="F3337" s="7" t="inlineStr">
        <is>
          <t>i10</t>
        </is>
      </c>
      <c r="G3337" s="7" t="inlineStr">
        <is>
          <t>POPULAR HYUNDAI</t>
        </is>
      </c>
      <c r="H3337" s="7" t="inlineStr">
        <is>
          <t>Non-Captive</t>
        </is>
      </c>
      <c r="I3337" s="7" t="inlineStr">
        <is>
          <t>Abdul Salam P U</t>
        </is>
      </c>
      <c r="J3337" s="8" t="n">
        <v>2012</v>
      </c>
      <c r="K3337" s="9" t="n">
        <v>37340</v>
      </c>
      <c r="L3337" s="10" t="n">
        <v>160000</v>
      </c>
      <c r="M3337" s="10" t="n">
        <v>8475</v>
      </c>
      <c r="N3337" s="11">
        <f>IF(M3337="","",ROUND(M3337*1.18,2))</f>
        <v/>
      </c>
      <c r="O3337" s="12">
        <f>IF(M3337="","",ROUND(N3337-M3337,2))</f>
        <v/>
      </c>
      <c r="P3337" s="13">
        <f>IF(AND(A3337&lt;&gt;"",B3337&lt;&gt;""), A3337&amp;" · "&amp;B3337, "")</f>
        <v/>
      </c>
    </row>
    <row r="3338">
      <c r="A3338" s="6" t="inlineStr">
        <is>
          <t>FY27</t>
        </is>
      </c>
      <c r="B3338" s="6" t="inlineStr">
        <is>
          <t>Aug</t>
        </is>
      </c>
      <c r="C3338" s="6" t="inlineStr">
        <is>
          <t>Kerala</t>
        </is>
      </c>
      <c r="D3338" s="7" t="inlineStr">
        <is>
          <t>KL01BL3539</t>
        </is>
      </c>
      <c r="E3338" s="7" t="inlineStr">
        <is>
          <t>TATA</t>
        </is>
      </c>
      <c r="F3338" s="7" t="inlineStr">
        <is>
          <t>Nano</t>
        </is>
      </c>
      <c r="G3338" s="7" t="inlineStr">
        <is>
          <t>POPULAR MARUTI</t>
        </is>
      </c>
      <c r="H3338" s="7" t="inlineStr">
        <is>
          <t>Non-Captive</t>
        </is>
      </c>
      <c r="I3338" s="7" t="inlineStr">
        <is>
          <t>SAJIN</t>
        </is>
      </c>
      <c r="J3338" s="8" t="n">
        <v>2012</v>
      </c>
      <c r="K3338" s="9" t="n">
        <v>50887</v>
      </c>
      <c r="L3338" s="10" t="n">
        <v>27000</v>
      </c>
      <c r="M3338" s="10" t="n">
        <v>8051</v>
      </c>
      <c r="N3338" s="11">
        <f>IF(M3338="","",ROUND(M3338*1.18,2))</f>
        <v/>
      </c>
      <c r="O3338" s="12">
        <f>IF(M3338="","",ROUND(N3338-M3338,2))</f>
        <v/>
      </c>
      <c r="P3338" s="13">
        <f>IF(AND(A3338&lt;&gt;"",B3338&lt;&gt;""), A3338&amp;" · "&amp;B3338, "")</f>
        <v/>
      </c>
    </row>
    <row r="3339">
      <c r="A3339" s="6" t="inlineStr">
        <is>
          <t>FY27</t>
        </is>
      </c>
      <c r="B3339" s="6" t="inlineStr">
        <is>
          <t>Aug</t>
        </is>
      </c>
      <c r="C3339" s="6" t="inlineStr">
        <is>
          <t>Kerala</t>
        </is>
      </c>
      <c r="D3339" s="7" t="inlineStr">
        <is>
          <t>KL01BY1666</t>
        </is>
      </c>
      <c r="E3339" s="7" t="inlineStr">
        <is>
          <t>HYUNDAI</t>
        </is>
      </c>
      <c r="F3339" s="7" t="inlineStr">
        <is>
          <t>i20</t>
        </is>
      </c>
      <c r="G3339" s="7" t="inlineStr">
        <is>
          <t>INDUS MARUTI</t>
        </is>
      </c>
      <c r="H3339" s="7" t="inlineStr">
        <is>
          <t>Non-Captive</t>
        </is>
      </c>
      <c r="I3339" s="7" t="inlineStr">
        <is>
          <t>Muhammed Hassan S</t>
        </is>
      </c>
      <c r="J3339" s="8" t="n">
        <v>2016</v>
      </c>
      <c r="K3339" s="9" t="n">
        <v>71582</v>
      </c>
      <c r="L3339" s="10" t="n">
        <v>340000</v>
      </c>
      <c r="M3339" s="10" t="n">
        <v>8475</v>
      </c>
      <c r="N3339" s="11">
        <f>IF(M3339="","",ROUND(M3339*1.18,2))</f>
        <v/>
      </c>
      <c r="O3339" s="12">
        <f>IF(M3339="","",ROUND(N3339-M3339,2))</f>
        <v/>
      </c>
      <c r="P3339" s="13">
        <f>IF(AND(A3339&lt;&gt;"",B3339&lt;&gt;""), A3339&amp;" · "&amp;B3339, "")</f>
        <v/>
      </c>
    </row>
    <row r="3340">
      <c r="A3340" s="6" t="inlineStr">
        <is>
          <t>FY27</t>
        </is>
      </c>
      <c r="B3340" s="6" t="inlineStr">
        <is>
          <t>Aug</t>
        </is>
      </c>
      <c r="C3340" s="6" t="inlineStr">
        <is>
          <t>Kerala</t>
        </is>
      </c>
      <c r="D3340" s="7" t="inlineStr">
        <is>
          <t>KL01CH1323</t>
        </is>
      </c>
      <c r="E3340" s="7" t="inlineStr">
        <is>
          <t>MARUTI SUZUKI</t>
        </is>
      </c>
      <c r="F3340" s="7" t="inlineStr">
        <is>
          <t>Swift</t>
        </is>
      </c>
      <c r="G3340" s="7" t="inlineStr">
        <is>
          <t>POPULAR MARUTI</t>
        </is>
      </c>
      <c r="H3340" s="7" t="inlineStr">
        <is>
          <t>Non-Captive</t>
        </is>
      </c>
      <c r="I3340" s="7" t="inlineStr">
        <is>
          <t>BINU VARGHESE</t>
        </is>
      </c>
      <c r="J3340" s="8" t="n">
        <v>2018</v>
      </c>
      <c r="K3340" s="9" t="n">
        <v>118800</v>
      </c>
      <c r="L3340" s="10" t="n">
        <v>410000</v>
      </c>
      <c r="M3340" s="10" t="n">
        <v>8475</v>
      </c>
      <c r="N3340" s="11">
        <f>IF(M3340="","",ROUND(M3340*1.18,2))</f>
        <v/>
      </c>
      <c r="O3340" s="12">
        <f>IF(M3340="","",ROUND(N3340-M3340,2))</f>
        <v/>
      </c>
      <c r="P3340" s="13">
        <f>IF(AND(A3340&lt;&gt;"",B3340&lt;&gt;""), A3340&amp;" · "&amp;B3340, "")</f>
        <v/>
      </c>
    </row>
    <row r="3341">
      <c r="A3341" s="6" t="inlineStr">
        <is>
          <t>FY27</t>
        </is>
      </c>
      <c r="B3341" s="6" t="inlineStr">
        <is>
          <t>Aug</t>
        </is>
      </c>
      <c r="C3341" s="6" t="inlineStr">
        <is>
          <t>Kerala</t>
        </is>
      </c>
      <c r="D3341" s="7" t="inlineStr">
        <is>
          <t>KL01CT0223</t>
        </is>
      </c>
      <c r="E3341" s="7" t="inlineStr">
        <is>
          <t>MARUTI SUZUKI</t>
        </is>
      </c>
      <c r="F3341" s="7" t="inlineStr">
        <is>
          <t>S-Presso</t>
        </is>
      </c>
      <c r="G3341" s="7" t="inlineStr">
        <is>
          <t>MG FORTUNE</t>
        </is>
      </c>
      <c r="H3341" s="7" t="inlineStr">
        <is>
          <t>Non-Captive</t>
        </is>
      </c>
      <c r="I3341" s="7" t="inlineStr">
        <is>
          <t>MARVEL MOTORS</t>
        </is>
      </c>
      <c r="J3341" s="8" t="n">
        <v>2021</v>
      </c>
      <c r="K3341" s="9" t="n">
        <v>37200</v>
      </c>
      <c r="L3341" s="10" t="n">
        <v>337000</v>
      </c>
      <c r="M3341" s="10" t="n">
        <v>7627</v>
      </c>
      <c r="N3341" s="11">
        <f>IF(M3341="","",ROUND(M3341*1.18,2))</f>
        <v/>
      </c>
      <c r="O3341" s="12">
        <f>IF(M3341="","",ROUND(N3341-M3341,2))</f>
        <v/>
      </c>
      <c r="P3341" s="13">
        <f>IF(AND(A3341&lt;&gt;"",B3341&lt;&gt;""), A3341&amp;" · "&amp;B3341, "")</f>
        <v/>
      </c>
    </row>
    <row r="3342">
      <c r="A3342" s="6" t="inlineStr">
        <is>
          <t>FY27</t>
        </is>
      </c>
      <c r="B3342" s="6" t="inlineStr">
        <is>
          <t>Aug</t>
        </is>
      </c>
      <c r="C3342" s="6" t="inlineStr">
        <is>
          <t>Kerala</t>
        </is>
      </c>
      <c r="D3342" s="7" t="inlineStr">
        <is>
          <t>KL01CV3406</t>
        </is>
      </c>
      <c r="E3342" s="7" t="inlineStr">
        <is>
          <t>TATA</t>
        </is>
      </c>
      <c r="F3342" s="7" t="inlineStr">
        <is>
          <t>Punch</t>
        </is>
      </c>
      <c r="G3342" s="7" t="inlineStr">
        <is>
          <t>MARIKAR NISSAN</t>
        </is>
      </c>
      <c r="H3342" s="7" t="inlineStr">
        <is>
          <t>Non-Captive</t>
        </is>
      </c>
      <c r="I3342" s="7" t="inlineStr">
        <is>
          <t>Autobot</t>
        </is>
      </c>
      <c r="J3342" s="8" t="n">
        <v>2022</v>
      </c>
      <c r="K3342" s="9" t="n">
        <v>18000</v>
      </c>
      <c r="L3342" s="10" t="n">
        <v>578000</v>
      </c>
      <c r="M3342" s="10" t="n">
        <v>6780</v>
      </c>
      <c r="N3342" s="11">
        <f>IF(M3342="","",ROUND(M3342*1.18,2))</f>
        <v/>
      </c>
      <c r="O3342" s="12">
        <f>IF(M3342="","",ROUND(N3342-M3342,2))</f>
        <v/>
      </c>
      <c r="P3342" s="13">
        <f>IF(AND(A3342&lt;&gt;"",B3342&lt;&gt;""), A3342&amp;" · "&amp;B3342, "")</f>
        <v/>
      </c>
    </row>
    <row r="3343">
      <c r="A3343" s="6" t="inlineStr">
        <is>
          <t>FY27</t>
        </is>
      </c>
      <c r="B3343" s="6" t="inlineStr">
        <is>
          <t>Aug</t>
        </is>
      </c>
      <c r="C3343" s="6" t="inlineStr">
        <is>
          <t>Kerala</t>
        </is>
      </c>
      <c r="D3343" s="7" t="inlineStr">
        <is>
          <t>KL02AB3864</t>
        </is>
      </c>
      <c r="E3343" s="7" t="inlineStr">
        <is>
          <t>MARUTI SUZUKI</t>
        </is>
      </c>
      <c r="F3343" s="7" t="inlineStr">
        <is>
          <t>800</t>
        </is>
      </c>
      <c r="G3343" s="7" t="inlineStr">
        <is>
          <t>LUXON TATA</t>
        </is>
      </c>
      <c r="H3343" s="7" t="inlineStr">
        <is>
          <t>Non-Captive</t>
        </is>
      </c>
      <c r="I3343" s="7" t="inlineStr">
        <is>
          <t>ATHUL RAJ</t>
        </is>
      </c>
      <c r="J3343" s="8" t="n">
        <v>2007</v>
      </c>
      <c r="K3343" s="9" t="n">
        <v>65000</v>
      </c>
      <c r="L3343" s="10" t="n">
        <v>37000</v>
      </c>
      <c r="M3343" s="10" t="n">
        <v>5932</v>
      </c>
      <c r="N3343" s="11">
        <f>IF(M3343="","",ROUND(M3343*1.18,2))</f>
        <v/>
      </c>
      <c r="O3343" s="12">
        <f>IF(M3343="","",ROUND(N3343-M3343,2))</f>
        <v/>
      </c>
      <c r="P3343" s="13">
        <f>IF(AND(A3343&lt;&gt;"",B3343&lt;&gt;""), A3343&amp;" · "&amp;B3343, "")</f>
        <v/>
      </c>
    </row>
    <row r="3344">
      <c r="A3344" s="6" t="inlineStr">
        <is>
          <t>FY27</t>
        </is>
      </c>
      <c r="B3344" s="6" t="inlineStr">
        <is>
          <t>Aug</t>
        </is>
      </c>
      <c r="C3344" s="6" t="inlineStr">
        <is>
          <t>Kerala</t>
        </is>
      </c>
      <c r="D3344" s="7" t="inlineStr">
        <is>
          <t>KL02AF4005</t>
        </is>
      </c>
      <c r="E3344" s="7" t="inlineStr">
        <is>
          <t>MARUTI SUZUKI</t>
        </is>
      </c>
      <c r="F3344" s="7" t="inlineStr">
        <is>
          <t>Swift</t>
        </is>
      </c>
      <c r="G3344" s="7" t="inlineStr">
        <is>
          <t>INDUS MARUTI</t>
        </is>
      </c>
      <c r="H3344" s="7" t="inlineStr">
        <is>
          <t>Non-Captive</t>
        </is>
      </c>
      <c r="I3344" s="7" t="inlineStr">
        <is>
          <t>RENJITH</t>
        </is>
      </c>
      <c r="J3344" s="8" t="n">
        <v>2010</v>
      </c>
      <c r="K3344" s="9" t="n">
        <v>102554</v>
      </c>
      <c r="L3344" s="10" t="n">
        <v>87000</v>
      </c>
      <c r="M3344" s="10" t="n">
        <v>5932</v>
      </c>
      <c r="N3344" s="11">
        <f>IF(M3344="","",ROUND(M3344*1.18,2))</f>
        <v/>
      </c>
      <c r="O3344" s="12">
        <f>IF(M3344="","",ROUND(N3344-M3344,2))</f>
        <v/>
      </c>
      <c r="P3344" s="13">
        <f>IF(AND(A3344&lt;&gt;"",B3344&lt;&gt;""), A3344&amp;" · "&amp;B3344, "")</f>
        <v/>
      </c>
    </row>
    <row r="3345">
      <c r="A3345" s="6" t="inlineStr">
        <is>
          <t>FY27</t>
        </is>
      </c>
      <c r="B3345" s="6" t="inlineStr">
        <is>
          <t>Aug</t>
        </is>
      </c>
      <c r="C3345" s="6" t="inlineStr">
        <is>
          <t>Kerala</t>
        </is>
      </c>
      <c r="D3345" s="7" t="inlineStr">
        <is>
          <t>KL02AF8117</t>
        </is>
      </c>
      <c r="E3345" s="7" t="inlineStr">
        <is>
          <t>MARUTI SUZUKI</t>
        </is>
      </c>
      <c r="F3345" s="7" t="inlineStr">
        <is>
          <t>Alto</t>
        </is>
      </c>
      <c r="G3345" s="7" t="inlineStr">
        <is>
          <t>LUXON TATA</t>
        </is>
      </c>
      <c r="H3345" s="7" t="inlineStr">
        <is>
          <t>Non-Captive</t>
        </is>
      </c>
      <c r="I3345" s="7" t="inlineStr">
        <is>
          <t>ATHUL RAJ</t>
        </is>
      </c>
      <c r="J3345" s="8" t="n">
        <v>2010</v>
      </c>
      <c r="K3345" s="9" t="n">
        <v>54000</v>
      </c>
      <c r="L3345" s="10" t="n">
        <v>128500</v>
      </c>
      <c r="M3345" s="10" t="n">
        <v>7203</v>
      </c>
      <c r="N3345" s="11">
        <f>IF(M3345="","",ROUND(M3345*1.18,2))</f>
        <v/>
      </c>
      <c r="O3345" s="12">
        <f>IF(M3345="","",ROUND(N3345-M3345,2))</f>
        <v/>
      </c>
      <c r="P3345" s="13">
        <f>IF(AND(A3345&lt;&gt;"",B3345&lt;&gt;""), A3345&amp;" · "&amp;B3345, "")</f>
        <v/>
      </c>
    </row>
    <row r="3346">
      <c r="A3346" s="6" t="inlineStr">
        <is>
          <t>FY27</t>
        </is>
      </c>
      <c r="B3346" s="6" t="inlineStr">
        <is>
          <t>Aug</t>
        </is>
      </c>
      <c r="C3346" s="6" t="inlineStr">
        <is>
          <t>Kerala</t>
        </is>
      </c>
      <c r="D3346" s="7" t="inlineStr">
        <is>
          <t>KL02AG4106</t>
        </is>
      </c>
      <c r="E3346" s="7" t="inlineStr">
        <is>
          <t>TATA</t>
        </is>
      </c>
      <c r="F3346" s="7" t="inlineStr">
        <is>
          <t>Indigo</t>
        </is>
      </c>
      <c r="G3346" s="7" t="inlineStr">
        <is>
          <t>PPS SKODA</t>
        </is>
      </c>
      <c r="H3346" s="7" t="inlineStr">
        <is>
          <t>Non-Captive</t>
        </is>
      </c>
      <c r="I3346" s="7" t="inlineStr">
        <is>
          <t>Shahar T</t>
        </is>
      </c>
      <c r="J3346" s="8" t="n">
        <v>2011</v>
      </c>
      <c r="K3346" s="9" t="n">
        <v>240000</v>
      </c>
      <c r="L3346" s="10" t="n">
        <v>55000</v>
      </c>
      <c r="M3346" s="10" t="n">
        <v>4237</v>
      </c>
      <c r="N3346" s="11">
        <f>IF(M3346="","",ROUND(M3346*1.18,2))</f>
        <v/>
      </c>
      <c r="O3346" s="12">
        <f>IF(M3346="","",ROUND(N3346-M3346,2))</f>
        <v/>
      </c>
      <c r="P3346" s="13">
        <f>IF(AND(A3346&lt;&gt;"",B3346&lt;&gt;""), A3346&amp;" · "&amp;B3346, "")</f>
        <v/>
      </c>
    </row>
    <row r="3347">
      <c r="A3347" s="6" t="inlineStr">
        <is>
          <t>FY27</t>
        </is>
      </c>
      <c r="B3347" s="6" t="inlineStr">
        <is>
          <t>Aug</t>
        </is>
      </c>
      <c r="C3347" s="6" t="inlineStr">
        <is>
          <t>Kerala</t>
        </is>
      </c>
      <c r="D3347" s="7" t="inlineStr">
        <is>
          <t>KL02AK1400</t>
        </is>
      </c>
      <c r="E3347" s="7" t="inlineStr">
        <is>
          <t>MARUTI SUZUKI</t>
        </is>
      </c>
      <c r="F3347" s="7" t="inlineStr">
        <is>
          <t>Dzire</t>
        </is>
      </c>
      <c r="G3347" s="7" t="inlineStr">
        <is>
          <t>MUTHOOT TATA</t>
        </is>
      </c>
      <c r="H3347" s="7" t="inlineStr">
        <is>
          <t>Non-Captive</t>
        </is>
      </c>
      <c r="I3347" s="7" t="inlineStr">
        <is>
          <t>Muhammed Nasim PM</t>
        </is>
      </c>
      <c r="J3347" s="8" t="n">
        <v>2012</v>
      </c>
      <c r="K3347" s="9" t="n">
        <v>240000</v>
      </c>
      <c r="L3347" s="10" t="n">
        <v>182000</v>
      </c>
      <c r="M3347" s="10" t="n">
        <v>5932</v>
      </c>
      <c r="N3347" s="11">
        <f>IF(M3347="","",ROUND(M3347*1.18,2))</f>
        <v/>
      </c>
      <c r="O3347" s="12">
        <f>IF(M3347="","",ROUND(N3347-M3347,2))</f>
        <v/>
      </c>
      <c r="P3347" s="13">
        <f>IF(AND(A3347&lt;&gt;"",B3347&lt;&gt;""), A3347&amp;" · "&amp;B3347, "")</f>
        <v/>
      </c>
    </row>
    <row r="3348">
      <c r="A3348" s="6" t="inlineStr">
        <is>
          <t>FY27</t>
        </is>
      </c>
      <c r="B3348" s="6" t="inlineStr">
        <is>
          <t>Aug</t>
        </is>
      </c>
      <c r="C3348" s="6" t="inlineStr">
        <is>
          <t>Kerala</t>
        </is>
      </c>
      <c r="D3348" s="7" t="inlineStr">
        <is>
          <t>KL02AL2917</t>
        </is>
      </c>
      <c r="E3348" s="7" t="inlineStr">
        <is>
          <t>MARUTI SUZUKI</t>
        </is>
      </c>
      <c r="F3348" s="7" t="inlineStr">
        <is>
          <t>Alto</t>
        </is>
      </c>
      <c r="G3348" s="7" t="inlineStr">
        <is>
          <t>POPULAR MARUTI</t>
        </is>
      </c>
      <c r="H3348" s="7" t="inlineStr">
        <is>
          <t>Non-Captive</t>
        </is>
      </c>
      <c r="I3348" s="7" t="inlineStr">
        <is>
          <t>MAXX MOTORS</t>
        </is>
      </c>
      <c r="J3348" s="8" t="n">
        <v>2012</v>
      </c>
      <c r="K3348" s="9" t="n">
        <v>84000</v>
      </c>
      <c r="L3348" s="10" t="n">
        <v>85000</v>
      </c>
      <c r="M3348" s="10" t="n">
        <v>8475</v>
      </c>
      <c r="N3348" s="11">
        <f>IF(M3348="","",ROUND(M3348*1.18,2))</f>
        <v/>
      </c>
      <c r="O3348" s="12">
        <f>IF(M3348="","",ROUND(N3348-M3348,2))</f>
        <v/>
      </c>
      <c r="P3348" s="13">
        <f>IF(AND(A3348&lt;&gt;"",B3348&lt;&gt;""), A3348&amp;" · "&amp;B3348, "")</f>
        <v/>
      </c>
    </row>
    <row r="3349">
      <c r="A3349" s="6" t="inlineStr">
        <is>
          <t>FY27</t>
        </is>
      </c>
      <c r="B3349" s="6" t="inlineStr">
        <is>
          <t>Aug</t>
        </is>
      </c>
      <c r="C3349" s="6" t="inlineStr">
        <is>
          <t>Kerala</t>
        </is>
      </c>
      <c r="D3349" s="7" t="inlineStr">
        <is>
          <t>KL02AS1141</t>
        </is>
      </c>
      <c r="E3349" s="7" t="inlineStr">
        <is>
          <t>HYUNDAI</t>
        </is>
      </c>
      <c r="F3349" s="7" t="inlineStr">
        <is>
          <t>Eon</t>
        </is>
      </c>
      <c r="G3349" s="7" t="inlineStr">
        <is>
          <t>POPULAR HYUNDAI</t>
        </is>
      </c>
      <c r="H3349" s="7" t="inlineStr">
        <is>
          <t>Non-Captive</t>
        </is>
      </c>
      <c r="I3349" s="7" t="inlineStr">
        <is>
          <t>MAXX MOTORS</t>
        </is>
      </c>
      <c r="J3349" s="8" t="n">
        <v>2014</v>
      </c>
      <c r="K3349" s="9" t="n">
        <v>57228</v>
      </c>
      <c r="L3349" s="10" t="n">
        <v>132000</v>
      </c>
      <c r="M3349" s="10" t="n">
        <v>6780</v>
      </c>
      <c r="N3349" s="11">
        <f>IF(M3349="","",ROUND(M3349*1.18,2))</f>
        <v/>
      </c>
      <c r="O3349" s="12">
        <f>IF(M3349="","",ROUND(N3349-M3349,2))</f>
        <v/>
      </c>
      <c r="P3349" s="13">
        <f>IF(AND(A3349&lt;&gt;"",B3349&lt;&gt;""), A3349&amp;" · "&amp;B3349, "")</f>
        <v/>
      </c>
    </row>
    <row r="3350">
      <c r="A3350" s="6" t="inlineStr">
        <is>
          <t>FY27</t>
        </is>
      </c>
      <c r="B3350" s="6" t="inlineStr">
        <is>
          <t>Aug</t>
        </is>
      </c>
      <c r="C3350" s="6" t="inlineStr">
        <is>
          <t>Kerala</t>
        </is>
      </c>
      <c r="D3350" s="7" t="inlineStr">
        <is>
          <t>KL02AT5079</t>
        </is>
      </c>
      <c r="E3350" s="7" t="inlineStr">
        <is>
          <t>RENAULT</t>
        </is>
      </c>
      <c r="F3350" s="7" t="inlineStr">
        <is>
          <t>Duster</t>
        </is>
      </c>
      <c r="G3350" s="7" t="inlineStr">
        <is>
          <t>SAI NEXA</t>
        </is>
      </c>
      <c r="H3350" s="7" t="inlineStr">
        <is>
          <t>Non-Captive</t>
        </is>
      </c>
      <c r="I3350" s="7" t="inlineStr">
        <is>
          <t>DINESH P S</t>
        </is>
      </c>
      <c r="J3350" s="8" t="n">
        <v>2014</v>
      </c>
      <c r="K3350" s="9" t="n">
        <v>66411</v>
      </c>
      <c r="L3350" s="10" t="n">
        <v>260000</v>
      </c>
      <c r="M3350" s="10" t="n">
        <v>8475</v>
      </c>
      <c r="N3350" s="11">
        <f>IF(M3350="","",ROUND(M3350*1.18,2))</f>
        <v/>
      </c>
      <c r="O3350" s="12">
        <f>IF(M3350="","",ROUND(N3350-M3350,2))</f>
        <v/>
      </c>
      <c r="P3350" s="13">
        <f>IF(AND(A3350&lt;&gt;"",B3350&lt;&gt;""), A3350&amp;" · "&amp;B3350, "")</f>
        <v/>
      </c>
    </row>
    <row r="3351">
      <c r="A3351" s="6" t="inlineStr">
        <is>
          <t>FY27</t>
        </is>
      </c>
      <c r="B3351" s="6" t="inlineStr">
        <is>
          <t>Aug</t>
        </is>
      </c>
      <c r="C3351" s="6" t="inlineStr">
        <is>
          <t>Kerala</t>
        </is>
      </c>
      <c r="D3351" s="7" t="inlineStr">
        <is>
          <t>KL02BS0310</t>
        </is>
      </c>
      <c r="E3351" s="7" t="inlineStr">
        <is>
          <t>RENAULT</t>
        </is>
      </c>
      <c r="F3351" s="7" t="inlineStr">
        <is>
          <t>Kiger</t>
        </is>
      </c>
      <c r="G3351" s="7" t="inlineStr">
        <is>
          <t>KESHVIN HYUNDAI</t>
        </is>
      </c>
      <c r="H3351" s="7" t="inlineStr">
        <is>
          <t>Non-Captive</t>
        </is>
      </c>
      <c r="I3351" s="7" t="inlineStr">
        <is>
          <t>ABDUL KAHAR</t>
        </is>
      </c>
      <c r="J3351" s="8" t="n">
        <v>2022</v>
      </c>
      <c r="K3351" s="9" t="n">
        <v>36182</v>
      </c>
      <c r="L3351" s="10" t="n">
        <v>410000</v>
      </c>
      <c r="M3351" s="10" t="n">
        <v>8475</v>
      </c>
      <c r="N3351" s="11">
        <f>IF(M3351="","",ROUND(M3351*1.18,2))</f>
        <v/>
      </c>
      <c r="O3351" s="12">
        <f>IF(M3351="","",ROUND(N3351-M3351,2))</f>
        <v/>
      </c>
      <c r="P3351" s="13">
        <f>IF(AND(A3351&lt;&gt;"",B3351&lt;&gt;""), A3351&amp;" · "&amp;B3351, "")</f>
        <v/>
      </c>
    </row>
    <row r="3352">
      <c r="A3352" s="6" t="inlineStr">
        <is>
          <t>FY27</t>
        </is>
      </c>
      <c r="B3352" s="6" t="inlineStr">
        <is>
          <t>Aug</t>
        </is>
      </c>
      <c r="C3352" s="6" t="inlineStr">
        <is>
          <t>Kerala</t>
        </is>
      </c>
      <c r="D3352" s="7" t="inlineStr">
        <is>
          <t>KL02BU8931</t>
        </is>
      </c>
      <c r="E3352" s="7" t="inlineStr">
        <is>
          <t>MARUTI SUZUKI</t>
        </is>
      </c>
      <c r="F3352" s="7" t="inlineStr">
        <is>
          <t>Vitara Brezza</t>
        </is>
      </c>
      <c r="G3352" s="7" t="inlineStr">
        <is>
          <t>INCHEON KIA</t>
        </is>
      </c>
      <c r="H3352" s="7" t="inlineStr">
        <is>
          <t>Non-Captive</t>
        </is>
      </c>
      <c r="I3352" s="7" t="inlineStr">
        <is>
          <t>Rohan Joseph Vijuline</t>
        </is>
      </c>
      <c r="J3352" s="8" t="n">
        <v>2023</v>
      </c>
      <c r="K3352" s="9" t="n">
        <v>28132</v>
      </c>
      <c r="L3352" s="10" t="n">
        <v>990000</v>
      </c>
      <c r="M3352" s="10" t="n">
        <v>8475</v>
      </c>
      <c r="N3352" s="11">
        <f>IF(M3352="","",ROUND(M3352*1.18,2))</f>
        <v/>
      </c>
      <c r="O3352" s="12">
        <f>IF(M3352="","",ROUND(N3352-M3352,2))</f>
        <v/>
      </c>
      <c r="P3352" s="13">
        <f>IF(AND(A3352&lt;&gt;"",B3352&lt;&gt;""), A3352&amp;" · "&amp;B3352, "")</f>
        <v/>
      </c>
    </row>
    <row r="3353">
      <c r="A3353" s="6" t="inlineStr">
        <is>
          <t>FY27</t>
        </is>
      </c>
      <c r="B3353" s="6" t="inlineStr">
        <is>
          <t>Aug</t>
        </is>
      </c>
      <c r="C3353" s="6" t="inlineStr">
        <is>
          <t>Kerala</t>
        </is>
      </c>
      <c r="D3353" s="7" t="inlineStr">
        <is>
          <t>KL03V2573</t>
        </is>
      </c>
      <c r="E3353" s="7" t="inlineStr">
        <is>
          <t>TATA</t>
        </is>
      </c>
      <c r="F3353" s="7" t="inlineStr">
        <is>
          <t>Indica</t>
        </is>
      </c>
      <c r="G3353" s="7" t="inlineStr">
        <is>
          <t>EVM MG</t>
        </is>
      </c>
      <c r="H3353" s="7" t="inlineStr">
        <is>
          <t>Non-Captive</t>
        </is>
      </c>
      <c r="I3353" s="7" t="inlineStr">
        <is>
          <t>SANOOP K M</t>
        </is>
      </c>
      <c r="J3353" s="8" t="n"/>
      <c r="K3353" s="9" t="n">
        <v>120000</v>
      </c>
      <c r="L3353" s="10" t="n">
        <v>47000</v>
      </c>
      <c r="M3353" s="10" t="n">
        <v>5932</v>
      </c>
      <c r="N3353" s="11">
        <f>IF(M3353="","",ROUND(M3353*1.18,2))</f>
        <v/>
      </c>
      <c r="O3353" s="12">
        <f>IF(M3353="","",ROUND(N3353-M3353,2))</f>
        <v/>
      </c>
      <c r="P3353" s="13">
        <f>IF(AND(A3353&lt;&gt;"",B3353&lt;&gt;""), A3353&amp;" · "&amp;B3353, "")</f>
        <v/>
      </c>
    </row>
    <row r="3354">
      <c r="A3354" s="6" t="inlineStr">
        <is>
          <t>FY27</t>
        </is>
      </c>
      <c r="B3354" s="6" t="inlineStr">
        <is>
          <t>Aug</t>
        </is>
      </c>
      <c r="C3354" s="6" t="inlineStr">
        <is>
          <t>Kerala</t>
        </is>
      </c>
      <c r="D3354" s="7" t="inlineStr">
        <is>
          <t>KL03X486</t>
        </is>
      </c>
      <c r="E3354" s="7" t="inlineStr">
        <is>
          <t>MARUTI SUZUKI</t>
        </is>
      </c>
      <c r="F3354" s="7" t="inlineStr">
        <is>
          <t>Alto</t>
        </is>
      </c>
      <c r="G3354" s="7" t="inlineStr">
        <is>
          <t>POPULAR MARUTI</t>
        </is>
      </c>
      <c r="H3354" s="7" t="inlineStr">
        <is>
          <t>Non-Captive</t>
        </is>
      </c>
      <c r="I3354" s="7" t="inlineStr">
        <is>
          <t>MAXX MOTORS</t>
        </is>
      </c>
      <c r="J3354" s="8" t="n"/>
      <c r="K3354" s="9" t="n">
        <v>91280</v>
      </c>
      <c r="L3354" s="10" t="n">
        <v>130000</v>
      </c>
      <c r="M3354" s="10" t="n">
        <v>8475</v>
      </c>
      <c r="N3354" s="11">
        <f>IF(M3354="","",ROUND(M3354*1.18,2))</f>
        <v/>
      </c>
      <c r="O3354" s="12">
        <f>IF(M3354="","",ROUND(N3354-M3354,2))</f>
        <v/>
      </c>
      <c r="P3354" s="13">
        <f>IF(AND(A3354&lt;&gt;"",B3354&lt;&gt;""), A3354&amp;" · "&amp;B3354, "")</f>
        <v/>
      </c>
    </row>
    <row r="3355">
      <c r="A3355" s="6" t="inlineStr">
        <is>
          <t>FY27</t>
        </is>
      </c>
      <c r="B3355" s="6" t="inlineStr">
        <is>
          <t>Aug</t>
        </is>
      </c>
      <c r="C3355" s="6" t="inlineStr">
        <is>
          <t>Kerala</t>
        </is>
      </c>
      <c r="D3355" s="7" t="inlineStr">
        <is>
          <t>KL05AD3666</t>
        </is>
      </c>
      <c r="E3355" s="7" t="inlineStr">
        <is>
          <t>MARUTI SUZUKI</t>
        </is>
      </c>
      <c r="F3355" s="7" t="inlineStr">
        <is>
          <t>Alto</t>
        </is>
      </c>
      <c r="G3355" s="7" t="inlineStr">
        <is>
          <t>POPULAR MARUTI</t>
        </is>
      </c>
      <c r="H3355" s="7" t="inlineStr">
        <is>
          <t>Non-Captive</t>
        </is>
      </c>
      <c r="I3355" s="7" t="inlineStr">
        <is>
          <t>AKHIL KT</t>
        </is>
      </c>
      <c r="J3355" s="8" t="n">
        <v>2011</v>
      </c>
      <c r="K3355" s="9" t="n">
        <v>65632</v>
      </c>
      <c r="L3355" s="10" t="n">
        <v>65000</v>
      </c>
      <c r="M3355" s="10" t="n">
        <v>12712</v>
      </c>
      <c r="N3355" s="11">
        <f>IF(M3355="","",ROUND(M3355*1.18,2))</f>
        <v/>
      </c>
      <c r="O3355" s="12">
        <f>IF(M3355="","",ROUND(N3355-M3355,2))</f>
        <v/>
      </c>
      <c r="P3355" s="13">
        <f>IF(AND(A3355&lt;&gt;"",B3355&lt;&gt;""), A3355&amp;" · "&amp;B3355, "")</f>
        <v/>
      </c>
    </row>
    <row r="3356">
      <c r="A3356" s="6" t="inlineStr">
        <is>
          <t>FY27</t>
        </is>
      </c>
      <c r="B3356" s="6" t="inlineStr">
        <is>
          <t>Aug</t>
        </is>
      </c>
      <c r="C3356" s="6" t="inlineStr">
        <is>
          <t>Kerala</t>
        </is>
      </c>
      <c r="D3356" s="7" t="inlineStr">
        <is>
          <t>KL05AG2652</t>
        </is>
      </c>
      <c r="E3356" s="7" t="inlineStr">
        <is>
          <t>RENAULT</t>
        </is>
      </c>
      <c r="F3356" s="7" t="inlineStr">
        <is>
          <t>Duster</t>
        </is>
      </c>
      <c r="G3356" s="7" t="inlineStr">
        <is>
          <t>POPULAR HYUNDAI</t>
        </is>
      </c>
      <c r="H3356" s="7" t="inlineStr">
        <is>
          <t>Non-Captive</t>
        </is>
      </c>
      <c r="I3356" s="7" t="inlineStr">
        <is>
          <t>RAJEEV A C</t>
        </is>
      </c>
      <c r="J3356" s="8" t="n">
        <v>2013</v>
      </c>
      <c r="K3356" s="9" t="n">
        <v>122011</v>
      </c>
      <c r="L3356" s="10" t="n">
        <v>190000</v>
      </c>
      <c r="M3356" s="10" t="n">
        <v>8475</v>
      </c>
      <c r="N3356" s="11">
        <f>IF(M3356="","",ROUND(M3356*1.18,2))</f>
        <v/>
      </c>
      <c r="O3356" s="12">
        <f>IF(M3356="","",ROUND(N3356-M3356,2))</f>
        <v/>
      </c>
      <c r="P3356" s="13">
        <f>IF(AND(A3356&lt;&gt;"",B3356&lt;&gt;""), A3356&amp;" · "&amp;B3356, "")</f>
        <v/>
      </c>
    </row>
    <row r="3357">
      <c r="A3357" s="6" t="inlineStr">
        <is>
          <t>FY27</t>
        </is>
      </c>
      <c r="B3357" s="6" t="inlineStr">
        <is>
          <t>Aug</t>
        </is>
      </c>
      <c r="C3357" s="6" t="inlineStr">
        <is>
          <t>Kerala</t>
        </is>
      </c>
      <c r="D3357" s="7" t="inlineStr">
        <is>
          <t>KL05AJ1672</t>
        </is>
      </c>
      <c r="E3357" s="7" t="inlineStr">
        <is>
          <t>MARUTI SUZUKI</t>
        </is>
      </c>
      <c r="F3357" s="7" t="inlineStr">
        <is>
          <t>Eeco</t>
        </is>
      </c>
      <c r="G3357" s="7" t="inlineStr">
        <is>
          <t>POPULAR MARUTI</t>
        </is>
      </c>
      <c r="H3357" s="7" t="inlineStr">
        <is>
          <t>Non-Captive</t>
        </is>
      </c>
      <c r="I3357" s="7" t="inlineStr">
        <is>
          <t>SAIF RASHEED</t>
        </is>
      </c>
      <c r="J3357" s="8" t="n">
        <v>2013</v>
      </c>
      <c r="K3357" s="9" t="n">
        <v>344786</v>
      </c>
      <c r="L3357" s="10" t="n">
        <v>100000</v>
      </c>
      <c r="M3357" s="10" t="n">
        <v>12712</v>
      </c>
      <c r="N3357" s="11">
        <f>IF(M3357="","",ROUND(M3357*1.18,2))</f>
        <v/>
      </c>
      <c r="O3357" s="12">
        <f>IF(M3357="","",ROUND(N3357-M3357,2))</f>
        <v/>
      </c>
      <c r="P3357" s="13">
        <f>IF(AND(A3357&lt;&gt;"",B3357&lt;&gt;""), A3357&amp;" · "&amp;B3357, "")</f>
        <v/>
      </c>
    </row>
    <row r="3358">
      <c r="A3358" s="6" t="inlineStr">
        <is>
          <t>FY27</t>
        </is>
      </c>
      <c r="B3358" s="6" t="inlineStr">
        <is>
          <t>Aug</t>
        </is>
      </c>
      <c r="C3358" s="6" t="inlineStr">
        <is>
          <t>Kerala</t>
        </is>
      </c>
      <c r="D3358" s="7" t="inlineStr">
        <is>
          <t>KL05AP2393</t>
        </is>
      </c>
      <c r="E3358" s="7" t="inlineStr">
        <is>
          <t>MARUTI SUZUKI</t>
        </is>
      </c>
      <c r="F3358" s="7" t="inlineStr">
        <is>
          <t>Alto 800</t>
        </is>
      </c>
      <c r="G3358" s="7" t="inlineStr">
        <is>
          <t>AMRITH V CHANDY</t>
        </is>
      </c>
      <c r="H3358" s="7" t="inlineStr">
        <is>
          <t>Non-Captive</t>
        </is>
      </c>
      <c r="I3358" s="7" t="inlineStr">
        <is>
          <t>SIJO</t>
        </is>
      </c>
      <c r="J3358" s="8" t="n">
        <v>2016</v>
      </c>
      <c r="K3358" s="9" t="n">
        <v>65365</v>
      </c>
      <c r="L3358" s="10" t="n">
        <v>195000</v>
      </c>
      <c r="M3358" s="10" t="n">
        <v>8475</v>
      </c>
      <c r="N3358" s="11">
        <f>IF(M3358="","",ROUND(M3358*1.18,2))</f>
        <v/>
      </c>
      <c r="O3358" s="12">
        <f>IF(M3358="","",ROUND(N3358-M3358,2))</f>
        <v/>
      </c>
      <c r="P3358" s="13">
        <f>IF(AND(A3358&lt;&gt;"",B3358&lt;&gt;""), A3358&amp;" · "&amp;B3358, "")</f>
        <v/>
      </c>
    </row>
    <row r="3359">
      <c r="A3359" s="6" t="inlineStr">
        <is>
          <t>FY27</t>
        </is>
      </c>
      <c r="B3359" s="6" t="inlineStr">
        <is>
          <t>Aug</t>
        </is>
      </c>
      <c r="C3359" s="6" t="inlineStr">
        <is>
          <t>Kerala</t>
        </is>
      </c>
      <c r="D3359" s="7" t="inlineStr">
        <is>
          <t>KL05AZ6325</t>
        </is>
      </c>
      <c r="E3359" s="7" t="inlineStr">
        <is>
          <t>HYUNDAI</t>
        </is>
      </c>
      <c r="F3359" s="7" t="inlineStr">
        <is>
          <t>Grand i10 Nios</t>
        </is>
      </c>
      <c r="G3359" s="7" t="inlineStr">
        <is>
          <t>ANAS VH</t>
        </is>
      </c>
      <c r="H3359" s="7" t="inlineStr">
        <is>
          <t>Non-Captive</t>
        </is>
      </c>
      <c r="I3359" s="7" t="inlineStr">
        <is>
          <t>POPULAR MARUTI KTM</t>
        </is>
      </c>
      <c r="J3359" s="8" t="n">
        <v>2022</v>
      </c>
      <c r="K3359" s="9" t="n">
        <v>66545</v>
      </c>
      <c r="L3359" s="10" t="n">
        <v>455800</v>
      </c>
      <c r="M3359" s="10" t="n">
        <v>5000</v>
      </c>
      <c r="N3359" s="11">
        <f>IF(M3359="","",ROUND(M3359*1.18,2))</f>
        <v/>
      </c>
      <c r="O3359" s="12">
        <f>IF(M3359="","",ROUND(N3359-M3359,2))</f>
        <v/>
      </c>
      <c r="P3359" s="13">
        <f>IF(AND(A3359&lt;&gt;"",B3359&lt;&gt;""), A3359&amp;" · "&amp;B3359, "")</f>
        <v/>
      </c>
    </row>
    <row r="3360">
      <c r="A3360" s="6" t="inlineStr">
        <is>
          <t>FY27</t>
        </is>
      </c>
      <c r="B3360" s="6" t="inlineStr">
        <is>
          <t>Aug</t>
        </is>
      </c>
      <c r="C3360" s="6" t="inlineStr">
        <is>
          <t>Kerala</t>
        </is>
      </c>
      <c r="D3360" s="7" t="inlineStr">
        <is>
          <t>KL06F3470</t>
        </is>
      </c>
      <c r="E3360" s="7" t="inlineStr">
        <is>
          <t>MARUTI SUZUKI</t>
        </is>
      </c>
      <c r="F3360" s="7" t="inlineStr">
        <is>
          <t>Swift</t>
        </is>
      </c>
      <c r="G3360" s="7" t="inlineStr">
        <is>
          <t>CARS24</t>
        </is>
      </c>
      <c r="H3360" s="7" t="inlineStr">
        <is>
          <t>Non-Captive</t>
        </is>
      </c>
      <c r="I3360" s="7" t="inlineStr">
        <is>
          <t>VTJ</t>
        </is>
      </c>
      <c r="J3360" s="8" t="n">
        <v>2012</v>
      </c>
      <c r="K3360" s="9" t="n">
        <v>299000</v>
      </c>
      <c r="L3360" s="10" t="n">
        <v>130000</v>
      </c>
      <c r="M3360" s="10" t="n">
        <v>8475</v>
      </c>
      <c r="N3360" s="11">
        <f>IF(M3360="","",ROUND(M3360*1.18,2))</f>
        <v/>
      </c>
      <c r="O3360" s="12">
        <f>IF(M3360="","",ROUND(N3360-M3360,2))</f>
        <v/>
      </c>
      <c r="P3360" s="13">
        <f>IF(AND(A3360&lt;&gt;"",B3360&lt;&gt;""), A3360&amp;" · "&amp;B3360, "")</f>
        <v/>
      </c>
    </row>
    <row r="3361">
      <c r="A3361" s="6" t="inlineStr">
        <is>
          <t>FY27</t>
        </is>
      </c>
      <c r="B3361" s="6" t="inlineStr">
        <is>
          <t>Aug</t>
        </is>
      </c>
      <c r="C3361" s="6" t="inlineStr">
        <is>
          <t>Kerala</t>
        </is>
      </c>
      <c r="D3361" s="7" t="inlineStr">
        <is>
          <t>KL06J8686</t>
        </is>
      </c>
      <c r="E3361" s="7" t="inlineStr">
        <is>
          <t>RENAULT</t>
        </is>
      </c>
      <c r="F3361" s="7" t="inlineStr">
        <is>
          <t>Kwid</t>
        </is>
      </c>
      <c r="G3361" s="7" t="inlineStr">
        <is>
          <t>POPULAR HYUNDAI</t>
        </is>
      </c>
      <c r="H3361" s="7" t="inlineStr">
        <is>
          <t>Non-Captive</t>
        </is>
      </c>
      <c r="I3361" s="7" t="inlineStr">
        <is>
          <t>GREEN LIGHT PRE OWNED CARS-MANOJ K</t>
        </is>
      </c>
      <c r="J3361" s="8" t="n">
        <v>2018</v>
      </c>
      <c r="K3361" s="9" t="n">
        <v>43158</v>
      </c>
      <c r="L3361" s="10" t="n">
        <v>285000</v>
      </c>
      <c r="M3361" s="10" t="n">
        <v>8475</v>
      </c>
      <c r="N3361" s="11">
        <f>IF(M3361="","",ROUND(M3361*1.18,2))</f>
        <v/>
      </c>
      <c r="O3361" s="12">
        <f>IF(M3361="","",ROUND(N3361-M3361,2))</f>
        <v/>
      </c>
      <c r="P3361" s="13">
        <f>IF(AND(A3361&lt;&gt;"",B3361&lt;&gt;""), A3361&amp;" · "&amp;B3361, "")</f>
        <v/>
      </c>
    </row>
    <row r="3362">
      <c r="A3362" s="6" t="inlineStr">
        <is>
          <t>FY27</t>
        </is>
      </c>
      <c r="B3362" s="6" t="inlineStr">
        <is>
          <t>Aug</t>
        </is>
      </c>
      <c r="C3362" s="6" t="inlineStr">
        <is>
          <t>Kerala</t>
        </is>
      </c>
      <c r="D3362" s="7" t="inlineStr">
        <is>
          <t>KL07BK3248</t>
        </is>
      </c>
      <c r="E3362" s="7" t="inlineStr">
        <is>
          <t>HYUNDAI</t>
        </is>
      </c>
      <c r="F3362" s="7" t="inlineStr">
        <is>
          <t>i10</t>
        </is>
      </c>
      <c r="G3362" s="7" t="inlineStr">
        <is>
          <t>POPULAR MARUTI</t>
        </is>
      </c>
      <c r="H3362" s="7" t="inlineStr">
        <is>
          <t>Non-Captive</t>
        </is>
      </c>
      <c r="I3362" s="7" t="inlineStr">
        <is>
          <t>RAFEEK T A</t>
        </is>
      </c>
      <c r="J3362" s="8" t="n">
        <v>2008</v>
      </c>
      <c r="K3362" s="9" t="n">
        <v>69949</v>
      </c>
      <c r="L3362" s="10" t="n">
        <v>90000</v>
      </c>
      <c r="M3362" s="10" t="n">
        <v>11017</v>
      </c>
      <c r="N3362" s="11">
        <f>IF(M3362="","",ROUND(M3362*1.18,2))</f>
        <v/>
      </c>
      <c r="O3362" s="12">
        <f>IF(M3362="","",ROUND(N3362-M3362,2))</f>
        <v/>
      </c>
      <c r="P3362" s="13">
        <f>IF(AND(A3362&lt;&gt;"",B3362&lt;&gt;""), A3362&amp;" · "&amp;B3362, "")</f>
        <v/>
      </c>
    </row>
    <row r="3363">
      <c r="A3363" s="6" t="inlineStr">
        <is>
          <t>FY27</t>
        </is>
      </c>
      <c r="B3363" s="6" t="inlineStr">
        <is>
          <t>Aug</t>
        </is>
      </c>
      <c r="C3363" s="6" t="inlineStr">
        <is>
          <t>Kerala</t>
        </is>
      </c>
      <c r="D3363" s="7" t="inlineStr">
        <is>
          <t>KL07BR7600</t>
        </is>
      </c>
      <c r="E3363" s="7" t="inlineStr">
        <is>
          <t>MAHINDRA</t>
        </is>
      </c>
      <c r="F3363" s="7" t="inlineStr">
        <is>
          <t>Verito</t>
        </is>
      </c>
      <c r="G3363" s="7" t="inlineStr">
        <is>
          <t>POPULAR MARUTI</t>
        </is>
      </c>
      <c r="H3363" s="7" t="inlineStr">
        <is>
          <t>Non-Captive</t>
        </is>
      </c>
      <c r="I3363" s="7" t="inlineStr">
        <is>
          <t>Umesh Kumar T U</t>
        </is>
      </c>
      <c r="J3363" s="8" t="n">
        <v>2011</v>
      </c>
      <c r="K3363" s="9" t="n">
        <v>65000</v>
      </c>
      <c r="L3363" s="10" t="n">
        <v>110000</v>
      </c>
      <c r="M3363" s="10" t="n">
        <v>8475</v>
      </c>
      <c r="N3363" s="11">
        <f>IF(M3363="","",ROUND(M3363*1.18,2))</f>
        <v/>
      </c>
      <c r="O3363" s="12">
        <f>IF(M3363="","",ROUND(N3363-M3363,2))</f>
        <v/>
      </c>
      <c r="P3363" s="13">
        <f>IF(AND(A3363&lt;&gt;"",B3363&lt;&gt;""), A3363&amp;" · "&amp;B3363, "")</f>
        <v/>
      </c>
    </row>
    <row r="3364">
      <c r="A3364" s="6" t="inlineStr">
        <is>
          <t>FY27</t>
        </is>
      </c>
      <c r="B3364" s="6" t="inlineStr">
        <is>
          <t>Aug</t>
        </is>
      </c>
      <c r="C3364" s="6" t="inlineStr">
        <is>
          <t>Kerala</t>
        </is>
      </c>
      <c r="D3364" s="7" t="inlineStr">
        <is>
          <t>KL07BT9617</t>
        </is>
      </c>
      <c r="E3364" s="7" t="inlineStr">
        <is>
          <t>HYUNDAI</t>
        </is>
      </c>
      <c r="F3364" s="7" t="inlineStr">
        <is>
          <t>i10</t>
        </is>
      </c>
      <c r="G3364" s="7" t="inlineStr">
        <is>
          <t>POPULAR MARUTI</t>
        </is>
      </c>
      <c r="H3364" s="7" t="inlineStr">
        <is>
          <t>Non-Captive</t>
        </is>
      </c>
      <c r="I3364" s="7" t="inlineStr">
        <is>
          <t>ASALAM</t>
        </is>
      </c>
      <c r="J3364" s="8" t="n">
        <v>2012</v>
      </c>
      <c r="K3364" s="9" t="n">
        <v>93215</v>
      </c>
      <c r="L3364" s="10" t="n">
        <v>125000</v>
      </c>
      <c r="M3364" s="10" t="n">
        <v>12712</v>
      </c>
      <c r="N3364" s="11">
        <f>IF(M3364="","",ROUND(M3364*1.18,2))</f>
        <v/>
      </c>
      <c r="O3364" s="12">
        <f>IF(M3364="","",ROUND(N3364-M3364,2))</f>
        <v/>
      </c>
      <c r="P3364" s="13">
        <f>IF(AND(A3364&lt;&gt;"",B3364&lt;&gt;""), A3364&amp;" · "&amp;B3364, "")</f>
        <v/>
      </c>
    </row>
    <row r="3365">
      <c r="A3365" s="6" t="inlineStr">
        <is>
          <t>FY27</t>
        </is>
      </c>
      <c r="B3365" s="6" t="inlineStr">
        <is>
          <t>Aug</t>
        </is>
      </c>
      <c r="C3365" s="6" t="inlineStr">
        <is>
          <t>Kerala</t>
        </is>
      </c>
      <c r="D3365" s="7" t="inlineStr">
        <is>
          <t>KL07BX7854</t>
        </is>
      </c>
      <c r="E3365" s="7" t="inlineStr">
        <is>
          <t>HYUNDAI</t>
        </is>
      </c>
      <c r="F3365" s="7" t="inlineStr">
        <is>
          <t>i10</t>
        </is>
      </c>
      <c r="G3365" s="7" t="inlineStr">
        <is>
          <t>MG FORTUNE</t>
        </is>
      </c>
      <c r="H3365" s="7" t="inlineStr">
        <is>
          <t>Non-Captive</t>
        </is>
      </c>
      <c r="I3365" s="7" t="inlineStr">
        <is>
          <t>RENJITH</t>
        </is>
      </c>
      <c r="J3365" s="8" t="n">
        <v>2013</v>
      </c>
      <c r="K3365" s="9" t="n">
        <v>80997</v>
      </c>
      <c r="L3365" s="10" t="n">
        <v>137500</v>
      </c>
      <c r="M3365" s="10" t="n">
        <v>10593</v>
      </c>
      <c r="N3365" s="11">
        <f>IF(M3365="","",ROUND(M3365*1.18,2))</f>
        <v/>
      </c>
      <c r="O3365" s="12">
        <f>IF(M3365="","",ROUND(N3365-M3365,2))</f>
        <v/>
      </c>
      <c r="P3365" s="13">
        <f>IF(AND(A3365&lt;&gt;"",B3365&lt;&gt;""), A3365&amp;" · "&amp;B3365, "")</f>
        <v/>
      </c>
    </row>
    <row r="3366">
      <c r="A3366" s="6" t="inlineStr">
        <is>
          <t>FY27</t>
        </is>
      </c>
      <c r="B3366" s="6" t="inlineStr">
        <is>
          <t>Aug</t>
        </is>
      </c>
      <c r="C3366" s="6" t="inlineStr">
        <is>
          <t>Kerala</t>
        </is>
      </c>
      <c r="D3366" s="7" t="inlineStr">
        <is>
          <t>KL07BY2002</t>
        </is>
      </c>
      <c r="E3366" s="7" t="inlineStr">
        <is>
          <t>MARUTI SUZUKI</t>
        </is>
      </c>
      <c r="F3366" s="7" t="inlineStr">
        <is>
          <t>Wagon R</t>
        </is>
      </c>
      <c r="G3366" s="7" t="inlineStr">
        <is>
          <t>POPULAR MARUTI</t>
        </is>
      </c>
      <c r="H3366" s="7" t="inlineStr">
        <is>
          <t>Non-Captive</t>
        </is>
      </c>
      <c r="I3366" s="7" t="inlineStr">
        <is>
          <t>VARUN P M</t>
        </is>
      </c>
      <c r="J3366" s="8" t="n">
        <v>2013</v>
      </c>
      <c r="K3366" s="9" t="n">
        <v>114962</v>
      </c>
      <c r="L3366" s="10" t="n">
        <v>195000</v>
      </c>
      <c r="M3366" s="10" t="n">
        <v>8475</v>
      </c>
      <c r="N3366" s="11">
        <f>IF(M3366="","",ROUND(M3366*1.18,2))</f>
        <v/>
      </c>
      <c r="O3366" s="12">
        <f>IF(M3366="","",ROUND(N3366-M3366,2))</f>
        <v/>
      </c>
      <c r="P3366" s="13">
        <f>IF(AND(A3366&lt;&gt;"",B3366&lt;&gt;""), A3366&amp;" · "&amp;B3366, "")</f>
        <v/>
      </c>
    </row>
    <row r="3367">
      <c r="A3367" s="6" t="inlineStr">
        <is>
          <t>FY27</t>
        </is>
      </c>
      <c r="B3367" s="6" t="inlineStr">
        <is>
          <t>Aug</t>
        </is>
      </c>
      <c r="C3367" s="6" t="inlineStr">
        <is>
          <t>Kerala</t>
        </is>
      </c>
      <c r="D3367" s="7" t="inlineStr">
        <is>
          <t>KL07CB3897</t>
        </is>
      </c>
      <c r="E3367" s="7" t="inlineStr">
        <is>
          <t>MARUTI SUZUKI</t>
        </is>
      </c>
      <c r="F3367" s="7" t="inlineStr">
        <is>
          <t>Celerio</t>
        </is>
      </c>
      <c r="G3367" s="7" t="inlineStr">
        <is>
          <t>POPULAR MARUTI</t>
        </is>
      </c>
      <c r="H3367" s="7" t="inlineStr">
        <is>
          <t>Non-Captive</t>
        </is>
      </c>
      <c r="I3367" s="7" t="inlineStr">
        <is>
          <t>DELUXE MOTORS</t>
        </is>
      </c>
      <c r="J3367" s="8" t="n">
        <v>2014</v>
      </c>
      <c r="K3367" s="9" t="n">
        <v>150000</v>
      </c>
      <c r="L3367" s="10" t="n">
        <v>180000</v>
      </c>
      <c r="M3367" s="10" t="n">
        <v>8475</v>
      </c>
      <c r="N3367" s="11">
        <f>IF(M3367="","",ROUND(M3367*1.18,2))</f>
        <v/>
      </c>
      <c r="O3367" s="12">
        <f>IF(M3367="","",ROUND(N3367-M3367,2))</f>
        <v/>
      </c>
      <c r="P3367" s="13">
        <f>IF(AND(A3367&lt;&gt;"",B3367&lt;&gt;""), A3367&amp;" · "&amp;B3367, "")</f>
        <v/>
      </c>
    </row>
    <row r="3368">
      <c r="A3368" s="6" t="inlineStr">
        <is>
          <t>FY27</t>
        </is>
      </c>
      <c r="B3368" s="6" t="inlineStr">
        <is>
          <t>Aug</t>
        </is>
      </c>
      <c r="C3368" s="6" t="inlineStr">
        <is>
          <t>Kerala</t>
        </is>
      </c>
      <c r="D3368" s="7" t="inlineStr">
        <is>
          <t>KL07CK8084</t>
        </is>
      </c>
      <c r="E3368" s="7" t="inlineStr">
        <is>
          <t>MARUTI SUZUKI</t>
        </is>
      </c>
      <c r="F3368" s="7" t="inlineStr">
        <is>
          <t>Dzire</t>
        </is>
      </c>
      <c r="G3368" s="7" t="inlineStr">
        <is>
          <t>INCHEON KIA</t>
        </is>
      </c>
      <c r="H3368" s="7" t="inlineStr">
        <is>
          <t>Non-Captive</t>
        </is>
      </c>
      <c r="I3368" s="7" t="inlineStr">
        <is>
          <t>PRAJOD</t>
        </is>
      </c>
      <c r="J3368" s="8" t="n">
        <v>2017</v>
      </c>
      <c r="K3368" s="9" t="n">
        <v>204900</v>
      </c>
      <c r="L3368" s="10" t="n">
        <v>210000</v>
      </c>
      <c r="M3368" s="10" t="n">
        <v>8475</v>
      </c>
      <c r="N3368" s="11">
        <f>IF(M3368="","",ROUND(M3368*1.18,2))</f>
        <v/>
      </c>
      <c r="O3368" s="12">
        <f>IF(M3368="","",ROUND(N3368-M3368,2))</f>
        <v/>
      </c>
      <c r="P3368" s="13">
        <f>IF(AND(A3368&lt;&gt;"",B3368&lt;&gt;""), A3368&amp;" · "&amp;B3368, "")</f>
        <v/>
      </c>
    </row>
    <row r="3369">
      <c r="A3369" s="6" t="inlineStr">
        <is>
          <t>FY27</t>
        </is>
      </c>
      <c r="B3369" s="6" t="inlineStr">
        <is>
          <t>Aug</t>
        </is>
      </c>
      <c r="C3369" s="6" t="inlineStr">
        <is>
          <t>Kerala</t>
        </is>
      </c>
      <c r="D3369" s="7" t="inlineStr">
        <is>
          <t>KL07CT8772</t>
        </is>
      </c>
      <c r="E3369" s="7" t="inlineStr">
        <is>
          <t>HYUNDAI</t>
        </is>
      </c>
      <c r="F3369" s="7" t="inlineStr">
        <is>
          <t>Venue</t>
        </is>
      </c>
      <c r="G3369" s="7" t="inlineStr">
        <is>
          <t>EVM NISSAN</t>
        </is>
      </c>
      <c r="H3369" s="7" t="inlineStr">
        <is>
          <t>Non-Captive</t>
        </is>
      </c>
      <c r="I3369" s="7" t="inlineStr">
        <is>
          <t>ABDUL KAHAR</t>
        </is>
      </c>
      <c r="J3369" s="8" t="n">
        <v>2020</v>
      </c>
      <c r="K3369" s="9" t="n">
        <v>51216</v>
      </c>
      <c r="L3369" s="10" t="n">
        <v>405000</v>
      </c>
      <c r="M3369" s="10" t="n">
        <v>12712</v>
      </c>
      <c r="N3369" s="11">
        <f>IF(M3369="","",ROUND(M3369*1.18,2))</f>
        <v/>
      </c>
      <c r="O3369" s="12">
        <f>IF(M3369="","",ROUND(N3369-M3369,2))</f>
        <v/>
      </c>
      <c r="P3369" s="13">
        <f>IF(AND(A3369&lt;&gt;"",B3369&lt;&gt;""), A3369&amp;" · "&amp;B3369, "")</f>
        <v/>
      </c>
    </row>
    <row r="3370">
      <c r="A3370" s="6" t="inlineStr">
        <is>
          <t>FY27</t>
        </is>
      </c>
      <c r="B3370" s="6" t="inlineStr">
        <is>
          <t>Aug</t>
        </is>
      </c>
      <c r="C3370" s="6" t="inlineStr">
        <is>
          <t>Kerala</t>
        </is>
      </c>
      <c r="D3370" s="7" t="inlineStr">
        <is>
          <t>KL07CY5229</t>
        </is>
      </c>
      <c r="E3370" s="7" t="inlineStr">
        <is>
          <t>HYUNDAI</t>
        </is>
      </c>
      <c r="F3370" s="7" t="inlineStr">
        <is>
          <t>Creta</t>
        </is>
      </c>
      <c r="G3370" s="7" t="inlineStr">
        <is>
          <t>KESHVIN HYUNDAI</t>
        </is>
      </c>
      <c r="H3370" s="7" t="inlineStr">
        <is>
          <t>Non-Captive</t>
        </is>
      </c>
      <c r="I3370" s="7" t="inlineStr">
        <is>
          <t>SANOOB V A</t>
        </is>
      </c>
      <c r="J3370" s="8" t="n">
        <v>2022</v>
      </c>
      <c r="K3370" s="9" t="n">
        <v>18867</v>
      </c>
      <c r="L3370" s="10" t="n">
        <v>690000</v>
      </c>
      <c r="M3370" s="10" t="n">
        <v>8475</v>
      </c>
      <c r="N3370" s="11">
        <f>IF(M3370="","",ROUND(M3370*1.18,2))</f>
        <v/>
      </c>
      <c r="O3370" s="12">
        <f>IF(M3370="","",ROUND(N3370-M3370,2))</f>
        <v/>
      </c>
      <c r="P3370" s="13">
        <f>IF(AND(A3370&lt;&gt;"",B3370&lt;&gt;""), A3370&amp;" · "&amp;B3370, "")</f>
        <v/>
      </c>
    </row>
    <row r="3371">
      <c r="A3371" s="6" t="inlineStr">
        <is>
          <t>FY27</t>
        </is>
      </c>
      <c r="B3371" s="6" t="inlineStr">
        <is>
          <t>Aug</t>
        </is>
      </c>
      <c r="C3371" s="6" t="inlineStr">
        <is>
          <t>Kerala</t>
        </is>
      </c>
      <c r="D3371" s="7" t="inlineStr">
        <is>
          <t>KL07DE6364</t>
        </is>
      </c>
      <c r="E3371" s="7" t="inlineStr">
        <is>
          <t>TOYOTA</t>
        </is>
      </c>
      <c r="F3371" s="7" t="inlineStr">
        <is>
          <t>Hyryder</t>
        </is>
      </c>
      <c r="G3371" s="7" t="inlineStr">
        <is>
          <t>KESHVIN HYUNDAI</t>
        </is>
      </c>
      <c r="H3371" s="7" t="inlineStr">
        <is>
          <t>Non-Captive</t>
        </is>
      </c>
      <c r="I3371" s="7" t="inlineStr">
        <is>
          <t>Abdul Salam P U</t>
        </is>
      </c>
      <c r="J3371" s="8" t="n">
        <v>2024</v>
      </c>
      <c r="K3371" s="9" t="n">
        <v>17189</v>
      </c>
      <c r="L3371" s="10" t="n">
        <v>1790000</v>
      </c>
      <c r="M3371" s="10" t="n">
        <v>16949</v>
      </c>
      <c r="N3371" s="11">
        <f>IF(M3371="","",ROUND(M3371*1.18,2))</f>
        <v/>
      </c>
      <c r="O3371" s="12">
        <f>IF(M3371="","",ROUND(N3371-M3371,2))</f>
        <v/>
      </c>
      <c r="P3371" s="13">
        <f>IF(AND(A3371&lt;&gt;"",B3371&lt;&gt;""), A3371&amp;" · "&amp;B3371, "")</f>
        <v/>
      </c>
    </row>
    <row r="3372">
      <c r="A3372" s="6" t="inlineStr">
        <is>
          <t>FY27</t>
        </is>
      </c>
      <c r="B3372" s="6" t="inlineStr">
        <is>
          <t>Aug</t>
        </is>
      </c>
      <c r="C3372" s="6" t="inlineStr">
        <is>
          <t>Kerala</t>
        </is>
      </c>
      <c r="D3372" s="7" t="inlineStr">
        <is>
          <t>KL08AB4811</t>
        </is>
      </c>
      <c r="E3372" s="7" t="inlineStr">
        <is>
          <t>MARUTI SUZUKI</t>
        </is>
      </c>
      <c r="F3372" s="7" t="inlineStr">
        <is>
          <t>Zen</t>
        </is>
      </c>
      <c r="G3372" s="7" t="inlineStr">
        <is>
          <t>POPULAR MARUTI</t>
        </is>
      </c>
      <c r="H3372" s="7" t="inlineStr">
        <is>
          <t>Non-Captive</t>
        </is>
      </c>
      <c r="I3372" s="7" t="inlineStr">
        <is>
          <t>Afsal</t>
        </is>
      </c>
      <c r="J3372" s="8" t="n">
        <v>2004</v>
      </c>
      <c r="K3372" s="9" t="n">
        <v>52517</v>
      </c>
      <c r="L3372" s="10" t="n">
        <v>60000</v>
      </c>
      <c r="M3372" s="10" t="n">
        <v>8475</v>
      </c>
      <c r="N3372" s="11">
        <f>IF(M3372="","",ROUND(M3372*1.18,2))</f>
        <v/>
      </c>
      <c r="O3372" s="12">
        <f>IF(M3372="","",ROUND(N3372-M3372,2))</f>
        <v/>
      </c>
      <c r="P3372" s="13">
        <f>IF(AND(A3372&lt;&gt;"",B3372&lt;&gt;""), A3372&amp;" · "&amp;B3372, "")</f>
        <v/>
      </c>
    </row>
    <row r="3373">
      <c r="A3373" s="6" t="inlineStr">
        <is>
          <t>FY27</t>
        </is>
      </c>
      <c r="B3373" s="6" t="inlineStr">
        <is>
          <t>Aug</t>
        </is>
      </c>
      <c r="C3373" s="6" t="inlineStr">
        <is>
          <t>Kerala</t>
        </is>
      </c>
      <c r="D3373" s="7" t="inlineStr">
        <is>
          <t>KL08AP4539</t>
        </is>
      </c>
      <c r="E3373" s="7" t="inlineStr">
        <is>
          <t>TATA</t>
        </is>
      </c>
      <c r="F3373" s="7" t="inlineStr">
        <is>
          <t>Indica</t>
        </is>
      </c>
      <c r="G3373" s="7" t="inlineStr">
        <is>
          <t>POPULAR MARUTI</t>
        </is>
      </c>
      <c r="H3373" s="7" t="inlineStr">
        <is>
          <t>Non-Captive</t>
        </is>
      </c>
      <c r="I3373" s="7" t="inlineStr">
        <is>
          <t>Afsal</t>
        </is>
      </c>
      <c r="J3373" s="8" t="n">
        <v>2008</v>
      </c>
      <c r="K3373" s="9" t="n">
        <v>83282</v>
      </c>
      <c r="L3373" s="10" t="n">
        <v>40000</v>
      </c>
      <c r="M3373" s="10" t="n">
        <v>8475</v>
      </c>
      <c r="N3373" s="11">
        <f>IF(M3373="","",ROUND(M3373*1.18,2))</f>
        <v/>
      </c>
      <c r="O3373" s="12">
        <f>IF(M3373="","",ROUND(N3373-M3373,2))</f>
        <v/>
      </c>
      <c r="P3373" s="13">
        <f>IF(AND(A3373&lt;&gt;"",B3373&lt;&gt;""), A3373&amp;" · "&amp;B3373, "")</f>
        <v/>
      </c>
    </row>
    <row r="3374">
      <c r="A3374" s="6" t="inlineStr">
        <is>
          <t>FY27</t>
        </is>
      </c>
      <c r="B3374" s="6" t="inlineStr">
        <is>
          <t>Aug</t>
        </is>
      </c>
      <c r="C3374" s="6" t="inlineStr">
        <is>
          <t>Kerala</t>
        </is>
      </c>
      <c r="D3374" s="7" t="inlineStr">
        <is>
          <t>KL08AT0347</t>
        </is>
      </c>
      <c r="E3374" s="7" t="inlineStr">
        <is>
          <t>CHEVROLET</t>
        </is>
      </c>
      <c r="F3374" s="7" t="inlineStr">
        <is>
          <t>Beat</t>
        </is>
      </c>
      <c r="G3374" s="7" t="inlineStr">
        <is>
          <t>POPULAR MARUTI</t>
        </is>
      </c>
      <c r="H3374" s="7" t="inlineStr">
        <is>
          <t>Non-Captive</t>
        </is>
      </c>
      <c r="I3374" s="7" t="inlineStr">
        <is>
          <t>RajendranS</t>
        </is>
      </c>
      <c r="J3374" s="8" t="n">
        <v>2010</v>
      </c>
      <c r="K3374" s="9" t="n">
        <v>110000</v>
      </c>
      <c r="L3374" s="10" t="n">
        <v>60000</v>
      </c>
      <c r="M3374" s="10" t="n">
        <v>8475</v>
      </c>
      <c r="N3374" s="11">
        <f>IF(M3374="","",ROUND(M3374*1.18,2))</f>
        <v/>
      </c>
      <c r="O3374" s="12">
        <f>IF(M3374="","",ROUND(N3374-M3374,2))</f>
        <v/>
      </c>
      <c r="P3374" s="13">
        <f>IF(AND(A3374&lt;&gt;"",B3374&lt;&gt;""), A3374&amp;" · "&amp;B3374, "")</f>
        <v/>
      </c>
    </row>
    <row r="3375">
      <c r="A3375" s="6" t="inlineStr">
        <is>
          <t>FY27</t>
        </is>
      </c>
      <c r="B3375" s="6" t="inlineStr">
        <is>
          <t>Aug</t>
        </is>
      </c>
      <c r="C3375" s="6" t="inlineStr">
        <is>
          <t>Kerala</t>
        </is>
      </c>
      <c r="D3375" s="7" t="inlineStr">
        <is>
          <t>KL08BT5759</t>
        </is>
      </c>
      <c r="E3375" s="7" t="inlineStr">
        <is>
          <t>ASHOK LEYLAND</t>
        </is>
      </c>
      <c r="F3375" s="7" t="inlineStr">
        <is>
          <t>Dosth</t>
        </is>
      </c>
      <c r="G3375" s="7" t="inlineStr">
        <is>
          <t>VINESH</t>
        </is>
      </c>
      <c r="H3375" s="7" t="inlineStr">
        <is>
          <t>Non-Captive</t>
        </is>
      </c>
      <c r="I3375" s="7" t="inlineStr">
        <is>
          <t>Sajith,Leaps Trucks</t>
        </is>
      </c>
      <c r="J3375" s="8" t="n"/>
      <c r="K3375" s="9" t="n">
        <v>175000</v>
      </c>
      <c r="L3375" s="10" t="n">
        <v>356000</v>
      </c>
      <c r="M3375" s="10" t="n">
        <v>5085</v>
      </c>
      <c r="N3375" s="11">
        <f>IF(M3375="","",ROUND(M3375*1.18,2))</f>
        <v/>
      </c>
      <c r="O3375" s="12">
        <f>IF(M3375="","",ROUND(N3375-M3375,2))</f>
        <v/>
      </c>
      <c r="P3375" s="13">
        <f>IF(AND(A3375&lt;&gt;"",B3375&lt;&gt;""), A3375&amp;" · "&amp;B3375, "")</f>
        <v/>
      </c>
    </row>
    <row r="3376">
      <c r="A3376" s="6" t="inlineStr">
        <is>
          <t>FY27</t>
        </is>
      </c>
      <c r="B3376" s="6" t="inlineStr">
        <is>
          <t>Aug</t>
        </is>
      </c>
      <c r="C3376" s="6" t="inlineStr">
        <is>
          <t>Kerala</t>
        </is>
      </c>
      <c r="D3376" s="7" t="inlineStr">
        <is>
          <t>KL08CA8182</t>
        </is>
      </c>
      <c r="E3376" s="7" t="inlineStr">
        <is>
          <t>MAHINDRA</t>
        </is>
      </c>
      <c r="F3376" s="7" t="inlineStr">
        <is>
          <t>Scorpio</t>
        </is>
      </c>
      <c r="G3376" s="7" t="inlineStr">
        <is>
          <t>ERAM MOTORS</t>
        </is>
      </c>
      <c r="H3376" s="7" t="inlineStr">
        <is>
          <t>Non-Captive</t>
        </is>
      </c>
      <c r="I3376" s="7" t="inlineStr">
        <is>
          <t>T G 7 CARS 4 U</t>
        </is>
      </c>
      <c r="J3376" s="8" t="n">
        <v>2023</v>
      </c>
      <c r="K3376" s="9" t="n">
        <v>38000</v>
      </c>
      <c r="L3376" s="10" t="n">
        <v>1407500</v>
      </c>
      <c r="M3376" s="10" t="n">
        <v>10593</v>
      </c>
      <c r="N3376" s="11">
        <f>IF(M3376="","",ROUND(M3376*1.18,2))</f>
        <v/>
      </c>
      <c r="O3376" s="12">
        <f>IF(M3376="","",ROUND(N3376-M3376,2))</f>
        <v/>
      </c>
      <c r="P3376" s="13">
        <f>IF(AND(A3376&lt;&gt;"",B3376&lt;&gt;""), A3376&amp;" · "&amp;B3376, "")</f>
        <v/>
      </c>
    </row>
    <row r="3377">
      <c r="A3377" s="6" t="inlineStr">
        <is>
          <t>FY27</t>
        </is>
      </c>
      <c r="B3377" s="6" t="inlineStr">
        <is>
          <t>Aug</t>
        </is>
      </c>
      <c r="C3377" s="6" t="inlineStr">
        <is>
          <t>Kerala</t>
        </is>
      </c>
      <c r="D3377" s="7" t="inlineStr">
        <is>
          <t>KL08CB0140</t>
        </is>
      </c>
      <c r="E3377" s="7" t="inlineStr">
        <is>
          <t>MARUTI SUZUKI</t>
        </is>
      </c>
      <c r="F3377" s="7" t="inlineStr">
        <is>
          <t>Wagon R</t>
        </is>
      </c>
      <c r="G3377" s="7" t="inlineStr">
        <is>
          <t>AMANA TOYOTA</t>
        </is>
      </c>
      <c r="H3377" s="7" t="inlineStr">
        <is>
          <t>Non-Captive</t>
        </is>
      </c>
      <c r="I3377" s="7" t="inlineStr">
        <is>
          <t>Aitos Cars</t>
        </is>
      </c>
      <c r="J3377" s="8" t="n">
        <v>2023</v>
      </c>
      <c r="K3377" s="9" t="n">
        <v>16911</v>
      </c>
      <c r="L3377" s="10" t="n">
        <v>582500</v>
      </c>
      <c r="M3377" s="10" t="n">
        <v>10593</v>
      </c>
      <c r="N3377" s="11">
        <f>IF(M3377="","",ROUND(M3377*1.18,2))</f>
        <v/>
      </c>
      <c r="O3377" s="12">
        <f>IF(M3377="","",ROUND(N3377-M3377,2))</f>
        <v/>
      </c>
      <c r="P3377" s="13">
        <f>IF(AND(A3377&lt;&gt;"",B3377&lt;&gt;""), A3377&amp;" · "&amp;B3377, "")</f>
        <v/>
      </c>
    </row>
    <row r="3378">
      <c r="A3378" s="6" t="inlineStr">
        <is>
          <t>FY27</t>
        </is>
      </c>
      <c r="B3378" s="6" t="inlineStr">
        <is>
          <t>Aug</t>
        </is>
      </c>
      <c r="C3378" s="6" t="inlineStr">
        <is>
          <t>Kerala</t>
        </is>
      </c>
      <c r="D3378" s="7" t="inlineStr">
        <is>
          <t>KL10AN6663</t>
        </is>
      </c>
      <c r="E3378" s="7" t="inlineStr">
        <is>
          <t>HYUNDAI</t>
        </is>
      </c>
      <c r="F3378" s="7" t="inlineStr">
        <is>
          <t>Eon</t>
        </is>
      </c>
      <c r="G3378" s="7" t="inlineStr">
        <is>
          <t>POPULAR MARUTI</t>
        </is>
      </c>
      <c r="H3378" s="7" t="inlineStr">
        <is>
          <t>Non-Captive</t>
        </is>
      </c>
      <c r="I3378" s="7" t="inlineStr">
        <is>
          <t>UNAIS</t>
        </is>
      </c>
      <c r="J3378" s="8" t="n">
        <v>2013</v>
      </c>
      <c r="K3378" s="9" t="n">
        <v>120000</v>
      </c>
      <c r="L3378" s="10" t="n">
        <v>105000</v>
      </c>
      <c r="M3378" s="10" t="n">
        <v>8475</v>
      </c>
      <c r="N3378" s="11">
        <f>IF(M3378="","",ROUND(M3378*1.18,2))</f>
        <v/>
      </c>
      <c r="O3378" s="12">
        <f>IF(M3378="","",ROUND(N3378-M3378,2))</f>
        <v/>
      </c>
      <c r="P3378" s="13">
        <f>IF(AND(A3378&lt;&gt;"",B3378&lt;&gt;""), A3378&amp;" · "&amp;B3378, "")</f>
        <v/>
      </c>
    </row>
    <row r="3379">
      <c r="A3379" s="6" t="inlineStr">
        <is>
          <t>FY27</t>
        </is>
      </c>
      <c r="B3379" s="6" t="inlineStr">
        <is>
          <t>Aug</t>
        </is>
      </c>
      <c r="C3379" s="6" t="inlineStr">
        <is>
          <t>Kerala</t>
        </is>
      </c>
      <c r="D3379" s="7" t="inlineStr">
        <is>
          <t>KL11AB3312</t>
        </is>
      </c>
      <c r="E3379" s="7" t="inlineStr">
        <is>
          <t>CHEVROLET</t>
        </is>
      </c>
      <c r="F3379" s="7" t="inlineStr">
        <is>
          <t>Spark</t>
        </is>
      </c>
      <c r="G3379" s="7" t="inlineStr">
        <is>
          <t>POPULAR</t>
        </is>
      </c>
      <c r="H3379" s="7" t="inlineStr">
        <is>
          <t>Non-Captive</t>
        </is>
      </c>
      <c r="I3379" s="7" t="inlineStr">
        <is>
          <t>AUTOTRUST</t>
        </is>
      </c>
      <c r="J3379" s="8" t="n"/>
      <c r="K3379" s="9" t="n">
        <v>130000</v>
      </c>
      <c r="L3379" s="10" t="n">
        <v>13000</v>
      </c>
      <c r="M3379" s="10" t="n">
        <v>5085</v>
      </c>
      <c r="N3379" s="11">
        <f>IF(M3379="","",ROUND(M3379*1.18,2))</f>
        <v/>
      </c>
      <c r="O3379" s="12">
        <f>IF(M3379="","",ROUND(N3379-M3379,2))</f>
        <v/>
      </c>
      <c r="P3379" s="13">
        <f>IF(AND(A3379&lt;&gt;"",B3379&lt;&gt;""), A3379&amp;" · "&amp;B3379, "")</f>
        <v/>
      </c>
    </row>
    <row r="3380">
      <c r="A3380" s="6" t="inlineStr">
        <is>
          <t>FY27</t>
        </is>
      </c>
      <c r="B3380" s="6" t="inlineStr">
        <is>
          <t>Aug</t>
        </is>
      </c>
      <c r="C3380" s="6" t="inlineStr">
        <is>
          <t>Kerala</t>
        </is>
      </c>
      <c r="D3380" s="7" t="inlineStr">
        <is>
          <t>KL11AB8791</t>
        </is>
      </c>
      <c r="E3380" s="7" t="inlineStr">
        <is>
          <t>HYUNDAI</t>
        </is>
      </c>
      <c r="F3380" s="7" t="inlineStr">
        <is>
          <t>Santro</t>
        </is>
      </c>
      <c r="G3380" s="7" t="inlineStr">
        <is>
          <t>BIMAL</t>
        </is>
      </c>
      <c r="H3380" s="7" t="inlineStr">
        <is>
          <t>Non-Captive</t>
        </is>
      </c>
      <c r="I3380" s="7" t="inlineStr">
        <is>
          <t>Binillal M P</t>
        </is>
      </c>
      <c r="J3380" s="8" t="n"/>
      <c r="K3380" s="9" t="n">
        <v>122000</v>
      </c>
      <c r="L3380" s="10" t="n">
        <v>55000</v>
      </c>
      <c r="M3380" s="10" t="n">
        <v>4237</v>
      </c>
      <c r="N3380" s="11">
        <f>IF(M3380="","",ROUND(M3380*1.18,2))</f>
        <v/>
      </c>
      <c r="O3380" s="12">
        <f>IF(M3380="","",ROUND(N3380-M3380,2))</f>
        <v/>
      </c>
      <c r="P3380" s="13">
        <f>IF(AND(A3380&lt;&gt;"",B3380&lt;&gt;""), A3380&amp;" · "&amp;B3380, "")</f>
        <v/>
      </c>
    </row>
    <row r="3381">
      <c r="A3381" s="6" t="inlineStr">
        <is>
          <t>FY27</t>
        </is>
      </c>
      <c r="B3381" s="6" t="inlineStr">
        <is>
          <t>Aug</t>
        </is>
      </c>
      <c r="C3381" s="6" t="inlineStr">
        <is>
          <t>Kerala</t>
        </is>
      </c>
      <c r="D3381" s="7" t="inlineStr">
        <is>
          <t>KL11AE5833</t>
        </is>
      </c>
      <c r="E3381" s="7" t="inlineStr">
        <is>
          <t>MARUTI SUZUKI</t>
        </is>
      </c>
      <c r="F3381" s="7" t="inlineStr">
        <is>
          <t>Alto</t>
        </is>
      </c>
      <c r="G3381" s="7" t="inlineStr">
        <is>
          <t>POPULAR MARUTI</t>
        </is>
      </c>
      <c r="H3381" s="7" t="inlineStr">
        <is>
          <t>Non-Captive</t>
        </is>
      </c>
      <c r="I3381" s="7" t="inlineStr">
        <is>
          <t>NIZAMUDEEN P K</t>
        </is>
      </c>
      <c r="J3381" s="8" t="n">
        <v>2010</v>
      </c>
      <c r="K3381" s="9" t="n">
        <v>80000</v>
      </c>
      <c r="L3381" s="10" t="n">
        <v>88000</v>
      </c>
      <c r="M3381" s="10" t="n">
        <v>6780</v>
      </c>
      <c r="N3381" s="11">
        <f>IF(M3381="","",ROUND(M3381*1.18,2))</f>
        <v/>
      </c>
      <c r="O3381" s="12">
        <f>IF(M3381="","",ROUND(N3381-M3381,2))</f>
        <v/>
      </c>
      <c r="P3381" s="13">
        <f>IF(AND(A3381&lt;&gt;"",B3381&lt;&gt;""), A3381&amp;" · "&amp;B3381, "")</f>
        <v/>
      </c>
    </row>
    <row r="3382">
      <c r="A3382" s="6" t="inlineStr">
        <is>
          <t>FY27</t>
        </is>
      </c>
      <c r="B3382" s="6" t="inlineStr">
        <is>
          <t>Aug</t>
        </is>
      </c>
      <c r="C3382" s="6" t="inlineStr">
        <is>
          <t>Kerala</t>
        </is>
      </c>
      <c r="D3382" s="7" t="inlineStr">
        <is>
          <t>KL11AK3022</t>
        </is>
      </c>
      <c r="E3382" s="7" t="inlineStr">
        <is>
          <t>MARUTI SUZUKI</t>
        </is>
      </c>
      <c r="F3382" s="7" t="inlineStr">
        <is>
          <t>Swift</t>
        </is>
      </c>
      <c r="G3382" s="7" t="inlineStr">
        <is>
          <t>POPULAR MARUTI</t>
        </is>
      </c>
      <c r="H3382" s="7" t="inlineStr">
        <is>
          <t>Non-Captive</t>
        </is>
      </c>
      <c r="I3382" s="7" t="inlineStr">
        <is>
          <t>Mohammed Aslam K</t>
        </is>
      </c>
      <c r="J3382" s="8" t="n">
        <v>2011</v>
      </c>
      <c r="K3382" s="9" t="n">
        <v>42000</v>
      </c>
      <c r="L3382" s="10" t="n">
        <v>145000</v>
      </c>
      <c r="M3382" s="10" t="n">
        <v>8475</v>
      </c>
      <c r="N3382" s="11">
        <f>IF(M3382="","",ROUND(M3382*1.18,2))</f>
        <v/>
      </c>
      <c r="O3382" s="12">
        <f>IF(M3382="","",ROUND(N3382-M3382,2))</f>
        <v/>
      </c>
      <c r="P3382" s="13">
        <f>IF(AND(A3382&lt;&gt;"",B3382&lt;&gt;""), A3382&amp;" · "&amp;B3382, "")</f>
        <v/>
      </c>
    </row>
    <row r="3383">
      <c r="A3383" s="6" t="inlineStr">
        <is>
          <t>FY27</t>
        </is>
      </c>
      <c r="B3383" s="6" t="inlineStr">
        <is>
          <t>Aug</t>
        </is>
      </c>
      <c r="C3383" s="6" t="inlineStr">
        <is>
          <t>Kerala</t>
        </is>
      </c>
      <c r="D3383" s="7" t="inlineStr">
        <is>
          <t>KL11AN5206</t>
        </is>
      </c>
      <c r="E3383" s="7" t="inlineStr">
        <is>
          <t>MARUTI SUZUKI</t>
        </is>
      </c>
      <c r="F3383" s="7" t="inlineStr">
        <is>
          <t>Alto</t>
        </is>
      </c>
      <c r="G3383" s="7" t="inlineStr">
        <is>
          <t>POPULAR MARUTI</t>
        </is>
      </c>
      <c r="H3383" s="7" t="inlineStr">
        <is>
          <t>Non-Captive</t>
        </is>
      </c>
      <c r="I3383" s="7" t="inlineStr">
        <is>
          <t>Mohammed Aslam K</t>
        </is>
      </c>
      <c r="J3383" s="8" t="n">
        <v>2012</v>
      </c>
      <c r="K3383" s="9" t="n">
        <v>92000</v>
      </c>
      <c r="L3383" s="10" t="n">
        <v>101000</v>
      </c>
      <c r="M3383" s="10" t="n">
        <v>9322</v>
      </c>
      <c r="N3383" s="11">
        <f>IF(M3383="","",ROUND(M3383*1.18,2))</f>
        <v/>
      </c>
      <c r="O3383" s="12">
        <f>IF(M3383="","",ROUND(N3383-M3383,2))</f>
        <v/>
      </c>
      <c r="P3383" s="13">
        <f>IF(AND(A3383&lt;&gt;"",B3383&lt;&gt;""), A3383&amp;" · "&amp;B3383, "")</f>
        <v/>
      </c>
    </row>
    <row r="3384">
      <c r="A3384" s="6" t="inlineStr">
        <is>
          <t>FY27</t>
        </is>
      </c>
      <c r="B3384" s="6" t="inlineStr">
        <is>
          <t>Aug</t>
        </is>
      </c>
      <c r="C3384" s="6" t="inlineStr">
        <is>
          <t>Kerala</t>
        </is>
      </c>
      <c r="D3384" s="7" t="inlineStr">
        <is>
          <t>KL11AT4400</t>
        </is>
      </c>
      <c r="E3384" s="7" t="inlineStr">
        <is>
          <t>MARUTI SUZUKI</t>
        </is>
      </c>
      <c r="F3384" s="7" t="inlineStr">
        <is>
          <t>Alto 800</t>
        </is>
      </c>
      <c r="G3384" s="7" t="inlineStr">
        <is>
          <t>POPULAR MARUTI</t>
        </is>
      </c>
      <c r="H3384" s="7" t="inlineStr">
        <is>
          <t>Non-Captive</t>
        </is>
      </c>
      <c r="I3384" s="7" t="inlineStr">
        <is>
          <t>MUNEER</t>
        </is>
      </c>
      <c r="J3384" s="8" t="n">
        <v>2013</v>
      </c>
      <c r="K3384" s="9" t="n">
        <v>110005</v>
      </c>
      <c r="L3384" s="10" t="n">
        <v>120000</v>
      </c>
      <c r="M3384" s="10" t="n">
        <v>8475</v>
      </c>
      <c r="N3384" s="11">
        <f>IF(M3384="","",ROUND(M3384*1.18,2))</f>
        <v/>
      </c>
      <c r="O3384" s="12">
        <f>IF(M3384="","",ROUND(N3384-M3384,2))</f>
        <v/>
      </c>
      <c r="P3384" s="13">
        <f>IF(AND(A3384&lt;&gt;"",B3384&lt;&gt;""), A3384&amp;" · "&amp;B3384, "")</f>
        <v/>
      </c>
    </row>
    <row r="3385">
      <c r="A3385" s="6" t="inlineStr">
        <is>
          <t>FY27</t>
        </is>
      </c>
      <c r="B3385" s="6" t="inlineStr">
        <is>
          <t>Aug</t>
        </is>
      </c>
      <c r="C3385" s="6" t="inlineStr">
        <is>
          <t>Kerala</t>
        </is>
      </c>
      <c r="D3385" s="7" t="inlineStr">
        <is>
          <t>KL11AU1320</t>
        </is>
      </c>
      <c r="E3385" s="7" t="inlineStr">
        <is>
          <t>MARUTI SUZUKI</t>
        </is>
      </c>
      <c r="F3385" s="7" t="inlineStr">
        <is>
          <t>Alto 800</t>
        </is>
      </c>
      <c r="G3385" s="7" t="inlineStr">
        <is>
          <t>POPULAR MARUTI</t>
        </is>
      </c>
      <c r="H3385" s="7" t="inlineStr">
        <is>
          <t>Non-Captive</t>
        </is>
      </c>
      <c r="I3385" s="7" t="inlineStr">
        <is>
          <t>CAR ONE USED CARS-LATHEEF</t>
        </is>
      </c>
      <c r="J3385" s="8" t="n">
        <v>2013</v>
      </c>
      <c r="K3385" s="9" t="n">
        <v>67000</v>
      </c>
      <c r="L3385" s="10" t="n">
        <v>144400</v>
      </c>
      <c r="M3385" s="10" t="n">
        <v>7966</v>
      </c>
      <c r="N3385" s="11">
        <f>IF(M3385="","",ROUND(M3385*1.18,2))</f>
        <v/>
      </c>
      <c r="O3385" s="12">
        <f>IF(M3385="","",ROUND(N3385-M3385,2))</f>
        <v/>
      </c>
      <c r="P3385" s="13">
        <f>IF(AND(A3385&lt;&gt;"",B3385&lt;&gt;""), A3385&amp;" · "&amp;B3385, "")</f>
        <v/>
      </c>
    </row>
    <row r="3386">
      <c r="A3386" s="6" t="inlineStr">
        <is>
          <t>FY27</t>
        </is>
      </c>
      <c r="B3386" s="6" t="inlineStr">
        <is>
          <t>Aug</t>
        </is>
      </c>
      <c r="C3386" s="6" t="inlineStr">
        <is>
          <t>Kerala</t>
        </is>
      </c>
      <c r="D3386" s="7" t="inlineStr">
        <is>
          <t>KL11BK1144</t>
        </is>
      </c>
      <c r="E3386" s="7" t="inlineStr">
        <is>
          <t>RENAULT</t>
        </is>
      </c>
      <c r="F3386" s="7" t="inlineStr">
        <is>
          <t>Duster</t>
        </is>
      </c>
      <c r="G3386" s="7" t="inlineStr">
        <is>
          <t>ERAM MAHINDRA</t>
        </is>
      </c>
      <c r="H3386" s="7" t="inlineStr">
        <is>
          <t>Non-Captive</t>
        </is>
      </c>
      <c r="I3386" s="7" t="inlineStr">
        <is>
          <t>SANOOP K M</t>
        </is>
      </c>
      <c r="J3386" s="8" t="n">
        <v>2017</v>
      </c>
      <c r="K3386" s="9" t="n">
        <v>64000</v>
      </c>
      <c r="L3386" s="10" t="n">
        <v>553000</v>
      </c>
      <c r="M3386" s="10" t="n">
        <v>6780</v>
      </c>
      <c r="N3386" s="11">
        <f>IF(M3386="","",ROUND(M3386*1.18,2))</f>
        <v/>
      </c>
      <c r="O3386" s="12">
        <f>IF(M3386="","",ROUND(N3386-M3386,2))</f>
        <v/>
      </c>
      <c r="P3386" s="13">
        <f>IF(AND(A3386&lt;&gt;"",B3386&lt;&gt;""), A3386&amp;" · "&amp;B3386, "")</f>
        <v/>
      </c>
    </row>
    <row r="3387">
      <c r="A3387" s="6" t="inlineStr">
        <is>
          <t>FY27</t>
        </is>
      </c>
      <c r="B3387" s="6" t="inlineStr">
        <is>
          <t>Aug</t>
        </is>
      </c>
      <c r="C3387" s="6" t="inlineStr">
        <is>
          <t>Kerala</t>
        </is>
      </c>
      <c r="D3387" s="7" t="inlineStr">
        <is>
          <t>KL11H8408</t>
        </is>
      </c>
      <c r="E3387" s="7" t="inlineStr">
        <is>
          <t>MARUTI SUZUKI</t>
        </is>
      </c>
      <c r="F3387" s="7" t="inlineStr">
        <is>
          <t>800</t>
        </is>
      </c>
      <c r="G3387" s="7" t="inlineStr">
        <is>
          <t>POPULAR</t>
        </is>
      </c>
      <c r="H3387" s="7" t="inlineStr">
        <is>
          <t>Non-Captive</t>
        </is>
      </c>
      <c r="I3387" s="7" t="inlineStr">
        <is>
          <t>AUTOTRUST</t>
        </is>
      </c>
      <c r="J3387" s="8" t="n"/>
      <c r="K3387" s="9" t="n">
        <v>150000</v>
      </c>
      <c r="L3387" s="10" t="n">
        <v>13000</v>
      </c>
      <c r="M3387" s="10" t="n">
        <v>5085</v>
      </c>
      <c r="N3387" s="11">
        <f>IF(M3387="","",ROUND(M3387*1.18,2))</f>
        <v/>
      </c>
      <c r="O3387" s="12">
        <f>IF(M3387="","",ROUND(N3387-M3387,2))</f>
        <v/>
      </c>
      <c r="P3387" s="13">
        <f>IF(AND(A3387&lt;&gt;"",B3387&lt;&gt;""), A3387&amp;" · "&amp;B3387, "")</f>
        <v/>
      </c>
    </row>
    <row r="3388">
      <c r="A3388" s="6" t="inlineStr">
        <is>
          <t>FY27</t>
        </is>
      </c>
      <c r="B3388" s="6" t="inlineStr">
        <is>
          <t>Aug</t>
        </is>
      </c>
      <c r="C3388" s="6" t="inlineStr">
        <is>
          <t>Kerala</t>
        </is>
      </c>
      <c r="D3388" s="7" t="inlineStr">
        <is>
          <t>KL13AE7594</t>
        </is>
      </c>
      <c r="E3388" s="7" t="inlineStr">
        <is>
          <t>MARUTI SUZUKI</t>
        </is>
      </c>
      <c r="F3388" s="7" t="inlineStr">
        <is>
          <t>Wagon R</t>
        </is>
      </c>
      <c r="G3388" s="7" t="inlineStr">
        <is>
          <t>KVR TATA</t>
        </is>
      </c>
      <c r="H3388" s="7" t="inlineStr">
        <is>
          <t>Non-Captive</t>
        </is>
      </c>
      <c r="I3388" s="7" t="inlineStr">
        <is>
          <t>ABIJITH V K</t>
        </is>
      </c>
      <c r="J3388" s="8" t="n">
        <v>2015</v>
      </c>
      <c r="K3388" s="9" t="n">
        <v>102000</v>
      </c>
      <c r="L3388" s="10" t="n">
        <v>240000</v>
      </c>
      <c r="M3388" s="10" t="n">
        <v>4237</v>
      </c>
      <c r="N3388" s="11">
        <f>IF(M3388="","",ROUND(M3388*1.18,2))</f>
        <v/>
      </c>
      <c r="O3388" s="12">
        <f>IF(M3388="","",ROUND(N3388-M3388,2))</f>
        <v/>
      </c>
      <c r="P3388" s="13">
        <f>IF(AND(A3388&lt;&gt;"",B3388&lt;&gt;""), A3388&amp;" · "&amp;B3388, "")</f>
        <v/>
      </c>
    </row>
    <row r="3389">
      <c r="A3389" s="6" t="inlineStr">
        <is>
          <t>FY27</t>
        </is>
      </c>
      <c r="B3389" s="6" t="inlineStr">
        <is>
          <t>Aug</t>
        </is>
      </c>
      <c r="C3389" s="6" t="inlineStr">
        <is>
          <t>Kerala</t>
        </is>
      </c>
      <c r="D3389" s="7" t="inlineStr">
        <is>
          <t>KL13AG6360</t>
        </is>
      </c>
      <c r="E3389" s="7" t="inlineStr">
        <is>
          <t>HONDA</t>
        </is>
      </c>
      <c r="F3389" s="7" t="inlineStr">
        <is>
          <t>Amaze</t>
        </is>
      </c>
      <c r="G3389" s="7" t="inlineStr">
        <is>
          <t>KVR MARUTI</t>
        </is>
      </c>
      <c r="H3389" s="7" t="inlineStr">
        <is>
          <t>Non-Captive</t>
        </is>
      </c>
      <c r="I3389" s="7" t="inlineStr">
        <is>
          <t>SILSHA AJAYGHOSH</t>
        </is>
      </c>
      <c r="J3389" s="8" t="n">
        <v>2016</v>
      </c>
      <c r="K3389" s="9" t="n">
        <v>110000</v>
      </c>
      <c r="L3389" s="10" t="n">
        <v>325000</v>
      </c>
      <c r="M3389" s="10" t="n">
        <v>8475</v>
      </c>
      <c r="N3389" s="11">
        <f>IF(M3389="","",ROUND(M3389*1.18,2))</f>
        <v/>
      </c>
      <c r="O3389" s="12">
        <f>IF(M3389="","",ROUND(N3389-M3389,2))</f>
        <v/>
      </c>
      <c r="P3389" s="13">
        <f>IF(AND(A3389&lt;&gt;"",B3389&lt;&gt;""), A3389&amp;" · "&amp;B3389, "")</f>
        <v/>
      </c>
    </row>
    <row r="3390">
      <c r="A3390" s="6" t="inlineStr">
        <is>
          <t>FY27</t>
        </is>
      </c>
      <c r="B3390" s="6" t="inlineStr">
        <is>
          <t>Aug</t>
        </is>
      </c>
      <c r="C3390" s="6" t="inlineStr">
        <is>
          <t>Kerala</t>
        </is>
      </c>
      <c r="D3390" s="7" t="inlineStr">
        <is>
          <t>KL13AR9509</t>
        </is>
      </c>
      <c r="E3390" s="7" t="inlineStr">
        <is>
          <t>TATA</t>
        </is>
      </c>
      <c r="F3390" s="7" t="inlineStr">
        <is>
          <t>Nexon</t>
        </is>
      </c>
      <c r="G3390" s="7" t="inlineStr">
        <is>
          <t>KVR TATA</t>
        </is>
      </c>
      <c r="H3390" s="7" t="inlineStr">
        <is>
          <t>Non-Captive</t>
        </is>
      </c>
      <c r="I3390" s="7" t="inlineStr">
        <is>
          <t>KANNUR PLATINUM DRIVE</t>
        </is>
      </c>
      <c r="J3390" s="8" t="n">
        <v>2020</v>
      </c>
      <c r="K3390" s="9" t="n">
        <v>69000</v>
      </c>
      <c r="L3390" s="10" t="n">
        <v>587000</v>
      </c>
      <c r="M3390" s="10" t="n">
        <v>5932</v>
      </c>
      <c r="N3390" s="11">
        <f>IF(M3390="","",ROUND(M3390*1.18,2))</f>
        <v/>
      </c>
      <c r="O3390" s="12">
        <f>IF(M3390="","",ROUND(N3390-M3390,2))</f>
        <v/>
      </c>
      <c r="P3390" s="13">
        <f>IF(AND(A3390&lt;&gt;"",B3390&lt;&gt;""), A3390&amp;" · "&amp;B3390, "")</f>
        <v/>
      </c>
    </row>
    <row r="3391">
      <c r="A3391" s="6" t="inlineStr">
        <is>
          <t>FY27</t>
        </is>
      </c>
      <c r="B3391" s="6" t="inlineStr">
        <is>
          <t>Aug</t>
        </is>
      </c>
      <c r="C3391" s="6" t="inlineStr">
        <is>
          <t>Kerala</t>
        </is>
      </c>
      <c r="D3391" s="7" t="inlineStr">
        <is>
          <t>KL13AS4720</t>
        </is>
      </c>
      <c r="E3391" s="7" t="inlineStr">
        <is>
          <t>TOYOTA</t>
        </is>
      </c>
      <c r="F3391" s="7" t="inlineStr">
        <is>
          <t>Glanza</t>
        </is>
      </c>
      <c r="G3391" s="7" t="inlineStr">
        <is>
          <t>APCO HYUNDAI</t>
        </is>
      </c>
      <c r="H3391" s="7" t="inlineStr">
        <is>
          <t>Non-Captive</t>
        </is>
      </c>
      <c r="I3391" s="7" t="inlineStr">
        <is>
          <t>VASIL AUTOBOT</t>
        </is>
      </c>
      <c r="J3391" s="8" t="n">
        <v>2020</v>
      </c>
      <c r="K3391" s="9" t="n">
        <v>56000</v>
      </c>
      <c r="L3391" s="10" t="n">
        <v>517000</v>
      </c>
      <c r="M3391" s="10" t="n">
        <v>5932</v>
      </c>
      <c r="N3391" s="11">
        <f>IF(M3391="","",ROUND(M3391*1.18,2))</f>
        <v/>
      </c>
      <c r="O3391" s="12">
        <f>IF(M3391="","",ROUND(N3391-M3391,2))</f>
        <v/>
      </c>
      <c r="P3391" s="13">
        <f>IF(AND(A3391&lt;&gt;"",B3391&lt;&gt;""), A3391&amp;" · "&amp;B3391, "")</f>
        <v/>
      </c>
    </row>
    <row r="3392">
      <c r="A3392" s="6" t="inlineStr">
        <is>
          <t>FY27</t>
        </is>
      </c>
      <c r="B3392" s="6" t="inlineStr">
        <is>
          <t>Aug</t>
        </is>
      </c>
      <c r="C3392" s="6" t="inlineStr">
        <is>
          <t>Kerala</t>
        </is>
      </c>
      <c r="D3392" s="7" t="inlineStr">
        <is>
          <t>KL13H1913</t>
        </is>
      </c>
      <c r="E3392" s="7" t="inlineStr">
        <is>
          <t>MARUTI SUZUKI</t>
        </is>
      </c>
      <c r="F3392" s="7" t="inlineStr">
        <is>
          <t>Alto</t>
        </is>
      </c>
      <c r="G3392" s="7" t="inlineStr">
        <is>
          <t>POPULAR MARUTI</t>
        </is>
      </c>
      <c r="H3392" s="7" t="inlineStr">
        <is>
          <t>Non-Captive</t>
        </is>
      </c>
      <c r="I3392" s="7" t="inlineStr">
        <is>
          <t>ASHAMS</t>
        </is>
      </c>
      <c r="J3392" s="8" t="n">
        <v>2001</v>
      </c>
      <c r="K3392" s="9" t="n">
        <v>234531</v>
      </c>
      <c r="L3392" s="10" t="n">
        <v>11000</v>
      </c>
      <c r="M3392" s="10" t="n">
        <v>4237</v>
      </c>
      <c r="N3392" s="11">
        <f>IF(M3392="","",ROUND(M3392*1.18,2))</f>
        <v/>
      </c>
      <c r="O3392" s="12">
        <f>IF(M3392="","",ROUND(N3392-M3392,2))</f>
        <v/>
      </c>
      <c r="P3392" s="13">
        <f>IF(AND(A3392&lt;&gt;"",B3392&lt;&gt;""), A3392&amp;" · "&amp;B3392, "")</f>
        <v/>
      </c>
    </row>
    <row r="3393">
      <c r="A3393" s="6" t="inlineStr">
        <is>
          <t>FY27</t>
        </is>
      </c>
      <c r="B3393" s="6" t="inlineStr">
        <is>
          <t>Aug</t>
        </is>
      </c>
      <c r="C3393" s="6" t="inlineStr">
        <is>
          <t>Kerala</t>
        </is>
      </c>
      <c r="D3393" s="7" t="inlineStr">
        <is>
          <t>KL13N2101</t>
        </is>
      </c>
      <c r="E3393" s="7" t="inlineStr">
        <is>
          <t>MARUTI SUZUKI</t>
        </is>
      </c>
      <c r="F3393" s="7" t="inlineStr">
        <is>
          <t>Alto</t>
        </is>
      </c>
      <c r="G3393" s="7" t="inlineStr">
        <is>
          <t>POPULAR MARUTI</t>
        </is>
      </c>
      <c r="H3393" s="7" t="inlineStr">
        <is>
          <t>Non-Captive</t>
        </is>
      </c>
      <c r="I3393" s="7" t="inlineStr">
        <is>
          <t>ABDUL BASHEER</t>
        </is>
      </c>
      <c r="J3393" s="8" t="n">
        <v>2005</v>
      </c>
      <c r="K3393" s="9" t="n">
        <v>134000</v>
      </c>
      <c r="L3393" s="10" t="n">
        <v>45000</v>
      </c>
      <c r="M3393" s="10" t="n">
        <v>8475</v>
      </c>
      <c r="N3393" s="11">
        <f>IF(M3393="","",ROUND(M3393*1.18,2))</f>
        <v/>
      </c>
      <c r="O3393" s="12">
        <f>IF(M3393="","",ROUND(N3393-M3393,2))</f>
        <v/>
      </c>
      <c r="P3393" s="13">
        <f>IF(AND(A3393&lt;&gt;"",B3393&lt;&gt;""), A3393&amp;" · "&amp;B3393, "")</f>
        <v/>
      </c>
    </row>
    <row r="3394">
      <c r="A3394" s="6" t="inlineStr">
        <is>
          <t>FY27</t>
        </is>
      </c>
      <c r="B3394" s="6" t="inlineStr">
        <is>
          <t>Aug</t>
        </is>
      </c>
      <c r="C3394" s="6" t="inlineStr">
        <is>
          <t>Kerala</t>
        </is>
      </c>
      <c r="D3394" s="7" t="inlineStr">
        <is>
          <t>KL13N4071</t>
        </is>
      </c>
      <c r="E3394" s="7" t="inlineStr">
        <is>
          <t>MARUTI SUZUKI</t>
        </is>
      </c>
      <c r="F3394" s="7" t="inlineStr">
        <is>
          <t>800</t>
        </is>
      </c>
      <c r="G3394" s="7" t="inlineStr">
        <is>
          <t>POPULAR MARUTI</t>
        </is>
      </c>
      <c r="H3394" s="7" t="inlineStr">
        <is>
          <t>Non-Captive</t>
        </is>
      </c>
      <c r="I3394" s="7" t="inlineStr">
        <is>
          <t>ASHAMS</t>
        </is>
      </c>
      <c r="J3394" s="8" t="n">
        <v>2005</v>
      </c>
      <c r="K3394" s="9" t="n">
        <v>134555</v>
      </c>
      <c r="L3394" s="10" t="n">
        <v>11000</v>
      </c>
      <c r="M3394" s="10" t="n">
        <v>4237</v>
      </c>
      <c r="N3394" s="11">
        <f>IF(M3394="","",ROUND(M3394*1.18,2))</f>
        <v/>
      </c>
      <c r="O3394" s="12">
        <f>IF(M3394="","",ROUND(N3394-M3394,2))</f>
        <v/>
      </c>
      <c r="P3394" s="13">
        <f>IF(AND(A3394&lt;&gt;"",B3394&lt;&gt;""), A3394&amp;" · "&amp;B3394, "")</f>
        <v/>
      </c>
    </row>
    <row r="3395">
      <c r="A3395" s="6" t="inlineStr">
        <is>
          <t>FY27</t>
        </is>
      </c>
      <c r="B3395" s="6" t="inlineStr">
        <is>
          <t>Aug</t>
        </is>
      </c>
      <c r="C3395" s="6" t="inlineStr">
        <is>
          <t>Kerala</t>
        </is>
      </c>
      <c r="D3395" s="7" t="inlineStr">
        <is>
          <t>KL13U1735</t>
        </is>
      </c>
      <c r="E3395" s="7" t="inlineStr">
        <is>
          <t>HYUNDAI</t>
        </is>
      </c>
      <c r="F3395" s="7" t="inlineStr">
        <is>
          <t>i10</t>
        </is>
      </c>
      <c r="G3395" s="7" t="inlineStr">
        <is>
          <t>POPULAR MARUTI</t>
        </is>
      </c>
      <c r="H3395" s="7" t="inlineStr">
        <is>
          <t>Non-Captive</t>
        </is>
      </c>
      <c r="I3395" s="7" t="inlineStr">
        <is>
          <t>NIZAMUDEEN P K</t>
        </is>
      </c>
      <c r="J3395" s="8" t="n">
        <v>2009</v>
      </c>
      <c r="K3395" s="9" t="n">
        <v>71000</v>
      </c>
      <c r="L3395" s="10" t="n">
        <v>77000</v>
      </c>
      <c r="M3395" s="10" t="n">
        <v>5932</v>
      </c>
      <c r="N3395" s="11">
        <f>IF(M3395="","",ROUND(M3395*1.18,2))</f>
        <v/>
      </c>
      <c r="O3395" s="12">
        <f>IF(M3395="","",ROUND(N3395-M3395,2))</f>
        <v/>
      </c>
      <c r="P3395" s="13">
        <f>IF(AND(A3395&lt;&gt;"",B3395&lt;&gt;""), A3395&amp;" · "&amp;B3395, "")</f>
        <v/>
      </c>
    </row>
    <row r="3396">
      <c r="A3396" s="6" t="inlineStr">
        <is>
          <t>FY27</t>
        </is>
      </c>
      <c r="B3396" s="6" t="inlineStr">
        <is>
          <t>Aug</t>
        </is>
      </c>
      <c r="C3396" s="6" t="inlineStr">
        <is>
          <t>Kerala</t>
        </is>
      </c>
      <c r="D3396" s="7" t="inlineStr">
        <is>
          <t>KL13W9221</t>
        </is>
      </c>
      <c r="E3396" s="7" t="inlineStr">
        <is>
          <t>MARUTI SUZUKI</t>
        </is>
      </c>
      <c r="F3396" s="7" t="inlineStr">
        <is>
          <t>Alto</t>
        </is>
      </c>
      <c r="G3396" s="7" t="inlineStr">
        <is>
          <t>POPULAR MARUTI</t>
        </is>
      </c>
      <c r="H3396" s="7" t="inlineStr">
        <is>
          <t>Non-Captive</t>
        </is>
      </c>
      <c r="I3396" s="7" t="inlineStr">
        <is>
          <t>FAREEDA BHANU</t>
        </is>
      </c>
      <c r="J3396" s="8" t="n">
        <v>2011</v>
      </c>
      <c r="K3396" s="9" t="n">
        <v>123000</v>
      </c>
      <c r="L3396" s="10" t="n">
        <v>75000</v>
      </c>
      <c r="M3396" s="10" t="n">
        <v>5932</v>
      </c>
      <c r="N3396" s="11">
        <f>IF(M3396="","",ROUND(M3396*1.18,2))</f>
        <v/>
      </c>
      <c r="O3396" s="12">
        <f>IF(M3396="","",ROUND(N3396-M3396,2))</f>
        <v/>
      </c>
      <c r="P3396" s="13">
        <f>IF(AND(A3396&lt;&gt;"",B3396&lt;&gt;""), A3396&amp;" · "&amp;B3396, "")</f>
        <v/>
      </c>
    </row>
    <row r="3397">
      <c r="A3397" s="6" t="inlineStr">
        <is>
          <t>FY27</t>
        </is>
      </c>
      <c r="B3397" s="6" t="inlineStr">
        <is>
          <t>Aug</t>
        </is>
      </c>
      <c r="C3397" s="6" t="inlineStr">
        <is>
          <t>Kerala</t>
        </is>
      </c>
      <c r="D3397" s="7" t="inlineStr">
        <is>
          <t>KL13X4943</t>
        </is>
      </c>
      <c r="E3397" s="7" t="inlineStr">
        <is>
          <t>HYUNDAI</t>
        </is>
      </c>
      <c r="F3397" s="7" t="inlineStr">
        <is>
          <t>Eon</t>
        </is>
      </c>
      <c r="G3397" s="7" t="inlineStr">
        <is>
          <t>POPULAR MARUTI</t>
        </is>
      </c>
      <c r="H3397" s="7" t="inlineStr">
        <is>
          <t>Non-Captive</t>
        </is>
      </c>
      <c r="I3397" s="7" t="inlineStr">
        <is>
          <t>NIZAMUDEEN P K</t>
        </is>
      </c>
      <c r="J3397" s="8" t="n">
        <v>2011</v>
      </c>
      <c r="K3397" s="9" t="n">
        <v>99000</v>
      </c>
      <c r="L3397" s="10" t="n">
        <v>57000</v>
      </c>
      <c r="M3397" s="10" t="n">
        <v>5932</v>
      </c>
      <c r="N3397" s="11">
        <f>IF(M3397="","",ROUND(M3397*1.18,2))</f>
        <v/>
      </c>
      <c r="O3397" s="12">
        <f>IF(M3397="","",ROUND(N3397-M3397,2))</f>
        <v/>
      </c>
      <c r="P3397" s="13">
        <f>IF(AND(A3397&lt;&gt;"",B3397&lt;&gt;""), A3397&amp;" · "&amp;B3397, "")</f>
        <v/>
      </c>
    </row>
    <row r="3398">
      <c r="A3398" s="6" t="inlineStr">
        <is>
          <t>FY27</t>
        </is>
      </c>
      <c r="B3398" s="6" t="inlineStr">
        <is>
          <t>Aug</t>
        </is>
      </c>
      <c r="C3398" s="6" t="inlineStr">
        <is>
          <t>Kerala</t>
        </is>
      </c>
      <c r="D3398" s="7" t="inlineStr">
        <is>
          <t>KL13X9301</t>
        </is>
      </c>
      <c r="E3398" s="7" t="inlineStr">
        <is>
          <t>MARUTI SUZUKI</t>
        </is>
      </c>
      <c r="F3398" s="7" t="inlineStr">
        <is>
          <t>Alto</t>
        </is>
      </c>
      <c r="G3398" s="7" t="inlineStr">
        <is>
          <t>POPULAR MARUTI</t>
        </is>
      </c>
      <c r="H3398" s="7" t="inlineStr">
        <is>
          <t>Non-Captive</t>
        </is>
      </c>
      <c r="I3398" s="7" t="inlineStr">
        <is>
          <t>Non Stop Motors-MUJEEB KOMBAN</t>
        </is>
      </c>
      <c r="J3398" s="8" t="n">
        <v>2012</v>
      </c>
      <c r="K3398" s="9" t="n">
        <v>71000</v>
      </c>
      <c r="L3398" s="10" t="n">
        <v>100000</v>
      </c>
      <c r="M3398" s="10" t="n">
        <v>8475</v>
      </c>
      <c r="N3398" s="11">
        <f>IF(M3398="","",ROUND(M3398*1.18,2))</f>
        <v/>
      </c>
      <c r="O3398" s="12">
        <f>IF(M3398="","",ROUND(N3398-M3398,2))</f>
        <v/>
      </c>
      <c r="P3398" s="13">
        <f>IF(AND(A3398&lt;&gt;"",B3398&lt;&gt;""), A3398&amp;" · "&amp;B3398, "")</f>
        <v/>
      </c>
    </row>
    <row r="3399">
      <c r="A3399" s="6" t="inlineStr">
        <is>
          <t>FY27</t>
        </is>
      </c>
      <c r="B3399" s="6" t="inlineStr">
        <is>
          <t>Aug</t>
        </is>
      </c>
      <c r="C3399" s="6" t="inlineStr">
        <is>
          <t>Kerala</t>
        </is>
      </c>
      <c r="D3399" s="7" t="inlineStr">
        <is>
          <t>KL13Y9322</t>
        </is>
      </c>
      <c r="E3399" s="7" t="inlineStr">
        <is>
          <t>HONDA</t>
        </is>
      </c>
      <c r="F3399" s="7" t="inlineStr">
        <is>
          <t>Brio</t>
        </is>
      </c>
      <c r="G3399" s="7" t="inlineStr">
        <is>
          <t>POPULAR MARUTI</t>
        </is>
      </c>
      <c r="H3399" s="7" t="inlineStr">
        <is>
          <t>Non-Captive</t>
        </is>
      </c>
      <c r="I3399" s="7" t="inlineStr">
        <is>
          <t>Basheer P K</t>
        </is>
      </c>
      <c r="J3399" s="8" t="n">
        <v>2012</v>
      </c>
      <c r="K3399" s="9" t="n">
        <v>130000</v>
      </c>
      <c r="L3399" s="10" t="n">
        <v>150000</v>
      </c>
      <c r="M3399" s="10" t="n">
        <v>8475</v>
      </c>
      <c r="N3399" s="11">
        <f>IF(M3399="","",ROUND(M3399*1.18,2))</f>
        <v/>
      </c>
      <c r="O3399" s="12">
        <f>IF(M3399="","",ROUND(N3399-M3399,2))</f>
        <v/>
      </c>
      <c r="P3399" s="13">
        <f>IF(AND(A3399&lt;&gt;"",B3399&lt;&gt;""), A3399&amp;" · "&amp;B3399, "")</f>
        <v/>
      </c>
    </row>
    <row r="3400">
      <c r="A3400" s="6" t="inlineStr">
        <is>
          <t>FY27</t>
        </is>
      </c>
      <c r="B3400" s="6" t="inlineStr">
        <is>
          <t>Aug</t>
        </is>
      </c>
      <c r="C3400" s="6" t="inlineStr">
        <is>
          <t>Kerala</t>
        </is>
      </c>
      <c r="D3400" s="7" t="inlineStr">
        <is>
          <t>KL14AA2527</t>
        </is>
      </c>
      <c r="E3400" s="7" t="inlineStr">
        <is>
          <t>TOYOTA</t>
        </is>
      </c>
      <c r="F3400" s="7" t="inlineStr">
        <is>
          <t>Etios</t>
        </is>
      </c>
      <c r="G3400" s="7" t="inlineStr">
        <is>
          <t>KVR TATA</t>
        </is>
      </c>
      <c r="H3400" s="7" t="inlineStr">
        <is>
          <t>Non-Captive</t>
        </is>
      </c>
      <c r="I3400" s="7" t="inlineStr">
        <is>
          <t>KANNUR PLATINUM DRIVE</t>
        </is>
      </c>
      <c r="J3400" s="8" t="n">
        <v>2011</v>
      </c>
      <c r="K3400" s="9" t="n">
        <v>74000</v>
      </c>
      <c r="L3400" s="10" t="n">
        <v>185000</v>
      </c>
      <c r="M3400" s="10" t="n">
        <v>4237</v>
      </c>
      <c r="N3400" s="11">
        <f>IF(M3400="","",ROUND(M3400*1.18,2))</f>
        <v/>
      </c>
      <c r="O3400" s="12">
        <f>IF(M3400="","",ROUND(N3400-M3400,2))</f>
        <v/>
      </c>
      <c r="P3400" s="13">
        <f>IF(AND(A3400&lt;&gt;"",B3400&lt;&gt;""), A3400&amp;" · "&amp;B3400, "")</f>
        <v/>
      </c>
    </row>
    <row r="3401">
      <c r="A3401" s="6" t="inlineStr">
        <is>
          <t>FY27</t>
        </is>
      </c>
      <c r="B3401" s="6" t="inlineStr">
        <is>
          <t>Aug</t>
        </is>
      </c>
      <c r="C3401" s="6" t="inlineStr">
        <is>
          <t>Kerala</t>
        </is>
      </c>
      <c r="D3401" s="7" t="inlineStr">
        <is>
          <t>KL16E3792</t>
        </is>
      </c>
      <c r="E3401" s="7" t="inlineStr">
        <is>
          <t>MARUTI SUZUKI</t>
        </is>
      </c>
      <c r="F3401" s="7" t="inlineStr">
        <is>
          <t>Wagon R</t>
        </is>
      </c>
      <c r="G3401" s="7" t="inlineStr">
        <is>
          <t>INDUS MARUTI</t>
        </is>
      </c>
      <c r="H3401" s="7" t="inlineStr">
        <is>
          <t>Non-Captive</t>
        </is>
      </c>
      <c r="I3401" s="7" t="inlineStr">
        <is>
          <t>SHAHAR</t>
        </is>
      </c>
      <c r="J3401" s="8" t="n">
        <v>2008</v>
      </c>
      <c r="K3401" s="9" t="n">
        <v>173000</v>
      </c>
      <c r="L3401" s="10" t="n">
        <v>46000</v>
      </c>
      <c r="M3401" s="10" t="n">
        <v>5085</v>
      </c>
      <c r="N3401" s="11">
        <f>IF(M3401="","",ROUND(M3401*1.18,2))</f>
        <v/>
      </c>
      <c r="O3401" s="12">
        <f>IF(M3401="","",ROUND(N3401-M3401,2))</f>
        <v/>
      </c>
      <c r="P3401" s="13">
        <f>IF(AND(A3401&lt;&gt;"",B3401&lt;&gt;""), A3401&amp;" · "&amp;B3401, "")</f>
        <v/>
      </c>
    </row>
    <row r="3402">
      <c r="A3402" s="6" t="inlineStr">
        <is>
          <t>FY27</t>
        </is>
      </c>
      <c r="B3402" s="6" t="inlineStr">
        <is>
          <t>Aug</t>
        </is>
      </c>
      <c r="C3402" s="6" t="inlineStr">
        <is>
          <t>Kerala</t>
        </is>
      </c>
      <c r="D3402" s="7" t="inlineStr">
        <is>
          <t>KL16F6979</t>
        </is>
      </c>
      <c r="E3402" s="7" t="inlineStr">
        <is>
          <t>HONDA</t>
        </is>
      </c>
      <c r="F3402" s="7" t="inlineStr">
        <is>
          <t>City</t>
        </is>
      </c>
      <c r="G3402" s="7" t="inlineStr">
        <is>
          <t>POPULAR MARUTI</t>
        </is>
      </c>
      <c r="H3402" s="7" t="inlineStr">
        <is>
          <t>Non-Captive</t>
        </is>
      </c>
      <c r="I3402" s="7" t="inlineStr">
        <is>
          <t>SAIF RASHEED</t>
        </is>
      </c>
      <c r="J3402" s="8" t="n">
        <v>2010</v>
      </c>
      <c r="K3402" s="9" t="n">
        <v>1654435</v>
      </c>
      <c r="L3402" s="10" t="n">
        <v>90000</v>
      </c>
      <c r="M3402" s="10" t="n">
        <v>12712</v>
      </c>
      <c r="N3402" s="11">
        <f>IF(M3402="","",ROUND(M3402*1.18,2))</f>
        <v/>
      </c>
      <c r="O3402" s="12">
        <f>IF(M3402="","",ROUND(N3402-M3402,2))</f>
        <v/>
      </c>
      <c r="P3402" s="13">
        <f>IF(AND(A3402&lt;&gt;"",B3402&lt;&gt;""), A3402&amp;" · "&amp;B3402, "")</f>
        <v/>
      </c>
    </row>
    <row r="3403">
      <c r="A3403" s="6" t="inlineStr">
        <is>
          <t>FY27</t>
        </is>
      </c>
      <c r="B3403" s="6" t="inlineStr">
        <is>
          <t>Aug</t>
        </is>
      </c>
      <c r="C3403" s="6" t="inlineStr">
        <is>
          <t>Kerala</t>
        </is>
      </c>
      <c r="D3403" s="7" t="inlineStr">
        <is>
          <t>KL18L2625</t>
        </is>
      </c>
      <c r="E3403" s="7" t="inlineStr">
        <is>
          <t>MARUTI SUZUKI</t>
        </is>
      </c>
      <c r="F3403" s="7" t="inlineStr">
        <is>
          <t>Wagon R</t>
        </is>
      </c>
      <c r="G3403" s="7" t="inlineStr">
        <is>
          <t>APCO HYUNDAI</t>
        </is>
      </c>
      <c r="H3403" s="7" t="inlineStr">
        <is>
          <t>Non-Captive</t>
        </is>
      </c>
      <c r="I3403" s="7" t="inlineStr">
        <is>
          <t>KC SHUKUR</t>
        </is>
      </c>
      <c r="J3403" s="8" t="n"/>
      <c r="K3403" s="9" t="n">
        <v>90000</v>
      </c>
      <c r="L3403" s="10" t="n">
        <v>185000</v>
      </c>
      <c r="M3403" s="10" t="n">
        <v>4237</v>
      </c>
      <c r="N3403" s="11">
        <f>IF(M3403="","",ROUND(M3403*1.18,2))</f>
        <v/>
      </c>
      <c r="O3403" s="12">
        <f>IF(M3403="","",ROUND(N3403-M3403,2))</f>
        <v/>
      </c>
      <c r="P3403" s="13">
        <f>IF(AND(A3403&lt;&gt;"",B3403&lt;&gt;""), A3403&amp;" · "&amp;B3403, "")</f>
        <v/>
      </c>
    </row>
    <row r="3404">
      <c r="A3404" s="6" t="inlineStr">
        <is>
          <t>FY27</t>
        </is>
      </c>
      <c r="B3404" s="6" t="inlineStr">
        <is>
          <t>Aug</t>
        </is>
      </c>
      <c r="C3404" s="6" t="inlineStr">
        <is>
          <t>Kerala</t>
        </is>
      </c>
      <c r="D3404" s="7" t="inlineStr">
        <is>
          <t>KL22D8585</t>
        </is>
      </c>
      <c r="E3404" s="7" t="inlineStr">
        <is>
          <t>MARUTI SUZUKI</t>
        </is>
      </c>
      <c r="F3404" s="7" t="inlineStr">
        <is>
          <t>Alto K10</t>
        </is>
      </c>
      <c r="G3404" s="7" t="inlineStr">
        <is>
          <t>POPULAR MARUTI</t>
        </is>
      </c>
      <c r="H3404" s="7" t="inlineStr">
        <is>
          <t>Non-Captive</t>
        </is>
      </c>
      <c r="I3404" s="7" t="inlineStr">
        <is>
          <t>Abraham John</t>
        </is>
      </c>
      <c r="J3404" s="8" t="n">
        <v>2012</v>
      </c>
      <c r="K3404" s="9" t="n">
        <v>12800</v>
      </c>
      <c r="L3404" s="10" t="n">
        <v>95000</v>
      </c>
      <c r="M3404" s="10" t="n">
        <v>8475</v>
      </c>
      <c r="N3404" s="11">
        <f>IF(M3404="","",ROUND(M3404*1.18,2))</f>
        <v/>
      </c>
      <c r="O3404" s="12">
        <f>IF(M3404="","",ROUND(N3404-M3404,2))</f>
        <v/>
      </c>
      <c r="P3404" s="13">
        <f>IF(AND(A3404&lt;&gt;"",B3404&lt;&gt;""), A3404&amp;" · "&amp;B3404, "")</f>
        <v/>
      </c>
    </row>
    <row r="3405">
      <c r="A3405" s="6" t="inlineStr">
        <is>
          <t>FY27</t>
        </is>
      </c>
      <c r="B3405" s="6" t="inlineStr">
        <is>
          <t>Aug</t>
        </is>
      </c>
      <c r="C3405" s="6" t="inlineStr">
        <is>
          <t>Kerala</t>
        </is>
      </c>
      <c r="D3405" s="7" t="inlineStr">
        <is>
          <t>KL23A4333</t>
        </is>
      </c>
      <c r="E3405" s="7" t="inlineStr">
        <is>
          <t>MARUTI SUZUKI</t>
        </is>
      </c>
      <c r="F3405" s="7" t="inlineStr">
        <is>
          <t>Wagon R</t>
        </is>
      </c>
      <c r="G3405" s="7" t="inlineStr">
        <is>
          <t>POPULAR MAHINDRA</t>
        </is>
      </c>
      <c r="H3405" s="7" t="inlineStr">
        <is>
          <t>Non-Captive</t>
        </is>
      </c>
      <c r="I3405" s="7" t="inlineStr">
        <is>
          <t>HONEY RAJ</t>
        </is>
      </c>
      <c r="J3405" s="8" t="n">
        <v>2008</v>
      </c>
      <c r="K3405" s="9" t="n">
        <v>65000</v>
      </c>
      <c r="L3405" s="10" t="n">
        <v>90000</v>
      </c>
      <c r="M3405" s="10" t="n">
        <v>5932</v>
      </c>
      <c r="N3405" s="11">
        <f>IF(M3405="","",ROUND(M3405*1.18,2))</f>
        <v/>
      </c>
      <c r="O3405" s="12">
        <f>IF(M3405="","",ROUND(N3405-M3405,2))</f>
        <v/>
      </c>
      <c r="P3405" s="13">
        <f>IF(AND(A3405&lt;&gt;"",B3405&lt;&gt;""), A3405&amp;" · "&amp;B3405, "")</f>
        <v/>
      </c>
    </row>
    <row r="3406">
      <c r="A3406" s="6" t="inlineStr">
        <is>
          <t>FY27</t>
        </is>
      </c>
      <c r="B3406" s="6" t="inlineStr">
        <is>
          <t>Aug</t>
        </is>
      </c>
      <c r="C3406" s="6" t="inlineStr">
        <is>
          <t>Kerala</t>
        </is>
      </c>
      <c r="D3406" s="7" t="inlineStr">
        <is>
          <t>KL24J3606</t>
        </is>
      </c>
      <c r="E3406" s="7" t="inlineStr">
        <is>
          <t>MAHINDRA</t>
        </is>
      </c>
      <c r="F3406" s="7" t="inlineStr">
        <is>
          <t>XUV500</t>
        </is>
      </c>
      <c r="G3406" s="7" t="inlineStr">
        <is>
          <t>LUXON TATA</t>
        </is>
      </c>
      <c r="H3406" s="7" t="inlineStr">
        <is>
          <t>Non-Captive</t>
        </is>
      </c>
      <c r="I3406" s="7" t="inlineStr">
        <is>
          <t>HAVEN MOTORS</t>
        </is>
      </c>
      <c r="J3406" s="8" t="n">
        <v>2014</v>
      </c>
      <c r="K3406" s="9" t="n">
        <v>120059</v>
      </c>
      <c r="L3406" s="10" t="n">
        <v>435000</v>
      </c>
      <c r="M3406" s="10" t="n">
        <v>8475</v>
      </c>
      <c r="N3406" s="11">
        <f>IF(M3406="","",ROUND(M3406*1.18,2))</f>
        <v/>
      </c>
      <c r="O3406" s="12">
        <f>IF(M3406="","",ROUND(N3406-M3406,2))</f>
        <v/>
      </c>
      <c r="P3406" s="13">
        <f>IF(AND(A3406&lt;&gt;"",B3406&lt;&gt;""), A3406&amp;" · "&amp;B3406, "")</f>
        <v/>
      </c>
    </row>
    <row r="3407">
      <c r="A3407" s="6" t="inlineStr">
        <is>
          <t>FY27</t>
        </is>
      </c>
      <c r="B3407" s="6" t="inlineStr">
        <is>
          <t>Aug</t>
        </is>
      </c>
      <c r="C3407" s="6" t="inlineStr">
        <is>
          <t>Kerala</t>
        </is>
      </c>
      <c r="D3407" s="7" t="inlineStr">
        <is>
          <t>KL24K7093</t>
        </is>
      </c>
      <c r="E3407" s="7" t="inlineStr">
        <is>
          <t>MARUTI SUZUKI</t>
        </is>
      </c>
      <c r="F3407" s="7" t="inlineStr">
        <is>
          <t>Alto</t>
        </is>
      </c>
      <c r="G3407" s="7" t="inlineStr">
        <is>
          <t>ANJEL MOTORS</t>
        </is>
      </c>
      <c r="H3407" s="7" t="inlineStr">
        <is>
          <t>Non-Captive</t>
        </is>
      </c>
      <c r="I3407" s="7" t="inlineStr">
        <is>
          <t>ABHISHEK</t>
        </is>
      </c>
      <c r="J3407" s="8" t="n">
        <v>2015</v>
      </c>
      <c r="K3407" s="9" t="n">
        <v>59400</v>
      </c>
      <c r="L3407" s="10" t="n">
        <v>160000</v>
      </c>
      <c r="M3407" s="10" t="n">
        <v>8475</v>
      </c>
      <c r="N3407" s="11">
        <f>IF(M3407="","",ROUND(M3407*1.18,2))</f>
        <v/>
      </c>
      <c r="O3407" s="12">
        <f>IF(M3407="","",ROUND(N3407-M3407,2))</f>
        <v/>
      </c>
      <c r="P3407" s="13">
        <f>IF(AND(A3407&lt;&gt;"",B3407&lt;&gt;""), A3407&amp;" · "&amp;B3407, "")</f>
        <v/>
      </c>
    </row>
    <row r="3408">
      <c r="A3408" s="6" t="inlineStr">
        <is>
          <t>FY27</t>
        </is>
      </c>
      <c r="B3408" s="6" t="inlineStr">
        <is>
          <t>Aug</t>
        </is>
      </c>
      <c r="C3408" s="6" t="inlineStr">
        <is>
          <t>Kerala</t>
        </is>
      </c>
      <c r="D3408" s="7" t="inlineStr">
        <is>
          <t>KL24L9639</t>
        </is>
      </c>
      <c r="E3408" s="7" t="inlineStr">
        <is>
          <t>MARUTI SUZUKI</t>
        </is>
      </c>
      <c r="F3408" s="7" t="inlineStr">
        <is>
          <t>Wagon R</t>
        </is>
      </c>
      <c r="G3408" s="7" t="inlineStr">
        <is>
          <t>SPRICE HYUNDAI</t>
        </is>
      </c>
      <c r="H3408" s="7" t="inlineStr">
        <is>
          <t>Non-Captive</t>
        </is>
      </c>
      <c r="I3408" s="7" t="inlineStr">
        <is>
          <t>MUJEEB RAHUMAN</t>
        </is>
      </c>
      <c r="J3408" s="8" t="n">
        <v>2016</v>
      </c>
      <c r="K3408" s="9" t="n">
        <v>86000</v>
      </c>
      <c r="L3408" s="10" t="n">
        <v>228000</v>
      </c>
      <c r="M3408" s="10" t="n">
        <v>6780</v>
      </c>
      <c r="N3408" s="11">
        <f>IF(M3408="","",ROUND(M3408*1.18,2))</f>
        <v/>
      </c>
      <c r="O3408" s="12">
        <f>IF(M3408="","",ROUND(N3408-M3408,2))</f>
        <v/>
      </c>
      <c r="P3408" s="13">
        <f>IF(AND(A3408&lt;&gt;"",B3408&lt;&gt;""), A3408&amp;" · "&amp;B3408, "")</f>
        <v/>
      </c>
    </row>
    <row r="3409">
      <c r="A3409" s="6" t="inlineStr">
        <is>
          <t>FY27</t>
        </is>
      </c>
      <c r="B3409" s="6" t="inlineStr">
        <is>
          <t>Aug</t>
        </is>
      </c>
      <c r="C3409" s="6" t="inlineStr">
        <is>
          <t>Kerala</t>
        </is>
      </c>
      <c r="D3409" s="7" t="inlineStr">
        <is>
          <t>KL25A9192</t>
        </is>
      </c>
      <c r="E3409" s="7" t="inlineStr">
        <is>
          <t>HYUNDAI</t>
        </is>
      </c>
      <c r="F3409" s="7" t="inlineStr">
        <is>
          <t>Santro</t>
        </is>
      </c>
      <c r="G3409" s="7" t="inlineStr">
        <is>
          <t>POPULAR MARUTI</t>
        </is>
      </c>
      <c r="H3409" s="7" t="inlineStr">
        <is>
          <t>Non-Captive</t>
        </is>
      </c>
      <c r="I3409" s="7" t="inlineStr">
        <is>
          <t>RAFEEK</t>
        </is>
      </c>
      <c r="J3409" s="8" t="n">
        <v>2010</v>
      </c>
      <c r="K3409" s="9" t="n">
        <v>85000</v>
      </c>
      <c r="L3409" s="10" t="n">
        <v>75000</v>
      </c>
      <c r="M3409" s="10" t="n">
        <v>8475</v>
      </c>
      <c r="N3409" s="11">
        <f>IF(M3409="","",ROUND(M3409*1.18,2))</f>
        <v/>
      </c>
      <c r="O3409" s="12">
        <f>IF(M3409="","",ROUND(N3409-M3409,2))</f>
        <v/>
      </c>
      <c r="P3409" s="13">
        <f>IF(AND(A3409&lt;&gt;"",B3409&lt;&gt;""), A3409&amp;" · "&amp;B3409, "")</f>
        <v/>
      </c>
    </row>
    <row r="3410">
      <c r="A3410" s="6" t="inlineStr">
        <is>
          <t>FY27</t>
        </is>
      </c>
      <c r="B3410" s="6" t="inlineStr">
        <is>
          <t>Aug</t>
        </is>
      </c>
      <c r="C3410" s="6" t="inlineStr">
        <is>
          <t>Kerala</t>
        </is>
      </c>
      <c r="D3410" s="7" t="inlineStr">
        <is>
          <t>KL25H5030</t>
        </is>
      </c>
      <c r="E3410" s="7" t="inlineStr">
        <is>
          <t>VOLKSWAGEN</t>
        </is>
      </c>
      <c r="F3410" s="7" t="inlineStr">
        <is>
          <t>Polo</t>
        </is>
      </c>
      <c r="G3410" s="7" t="inlineStr">
        <is>
          <t>PPS SKODA</t>
        </is>
      </c>
      <c r="H3410" s="7" t="inlineStr">
        <is>
          <t>Non-Captive</t>
        </is>
      </c>
      <c r="I3410" s="7" t="inlineStr">
        <is>
          <t>SHAMSUDEEN</t>
        </is>
      </c>
      <c r="J3410" s="8" t="n">
        <v>2015</v>
      </c>
      <c r="K3410" s="9" t="n">
        <v>98603</v>
      </c>
      <c r="L3410" s="10" t="n">
        <v>525000</v>
      </c>
      <c r="M3410" s="10" t="n">
        <v>8475</v>
      </c>
      <c r="N3410" s="11">
        <f>IF(M3410="","",ROUND(M3410*1.18,2))</f>
        <v/>
      </c>
      <c r="O3410" s="12">
        <f>IF(M3410="","",ROUND(N3410-M3410,2))</f>
        <v/>
      </c>
      <c r="P3410" s="13">
        <f>IF(AND(A3410&lt;&gt;"",B3410&lt;&gt;""), A3410&amp;" · "&amp;B3410, "")</f>
        <v/>
      </c>
    </row>
    <row r="3411">
      <c r="A3411" s="6" t="inlineStr">
        <is>
          <t>FY27</t>
        </is>
      </c>
      <c r="B3411" s="6" t="inlineStr">
        <is>
          <t>Aug</t>
        </is>
      </c>
      <c r="C3411" s="6" t="inlineStr">
        <is>
          <t>Kerala</t>
        </is>
      </c>
      <c r="D3411" s="7" t="inlineStr">
        <is>
          <t>KL25P6282</t>
        </is>
      </c>
      <c r="E3411" s="7" t="inlineStr">
        <is>
          <t>TATA</t>
        </is>
      </c>
      <c r="F3411" s="7" t="inlineStr">
        <is>
          <t>Tiago</t>
        </is>
      </c>
      <c r="G3411" s="7" t="inlineStr">
        <is>
          <t>INCHEON KIA</t>
        </is>
      </c>
      <c r="H3411" s="7" t="inlineStr">
        <is>
          <t>Non-Captive</t>
        </is>
      </c>
      <c r="I3411" s="7" t="inlineStr">
        <is>
          <t>RENJITH</t>
        </is>
      </c>
      <c r="J3411" s="8" t="n">
        <v>2021</v>
      </c>
      <c r="K3411" s="9" t="n">
        <v>94000</v>
      </c>
      <c r="L3411" s="10" t="n">
        <v>432500</v>
      </c>
      <c r="M3411" s="10" t="n">
        <v>10593</v>
      </c>
      <c r="N3411" s="11">
        <f>IF(M3411="","",ROUND(M3411*1.18,2))</f>
        <v/>
      </c>
      <c r="O3411" s="12">
        <f>IF(M3411="","",ROUND(N3411-M3411,2))</f>
        <v/>
      </c>
      <c r="P3411" s="13">
        <f>IF(AND(A3411&lt;&gt;"",B3411&lt;&gt;""), A3411&amp;" · "&amp;B3411, "")</f>
        <v/>
      </c>
    </row>
    <row r="3412">
      <c r="A3412" s="6" t="inlineStr">
        <is>
          <t>FY27</t>
        </is>
      </c>
      <c r="B3412" s="6" t="inlineStr">
        <is>
          <t>Aug</t>
        </is>
      </c>
      <c r="C3412" s="6" t="inlineStr">
        <is>
          <t>Kerala</t>
        </is>
      </c>
      <c r="D3412" s="7" t="inlineStr">
        <is>
          <t>KL26C1109</t>
        </is>
      </c>
      <c r="E3412" s="7" t="inlineStr">
        <is>
          <t>MARUTI SUZUKI</t>
        </is>
      </c>
      <c r="F3412" s="7" t="inlineStr">
        <is>
          <t>Eeco</t>
        </is>
      </c>
      <c r="G3412" s="7" t="inlineStr">
        <is>
          <t>POPULAR MARUTI</t>
        </is>
      </c>
      <c r="H3412" s="7" t="inlineStr">
        <is>
          <t>Non-Captive</t>
        </is>
      </c>
      <c r="I3412" s="7" t="inlineStr">
        <is>
          <t>ARUN K NARAYANAN</t>
        </is>
      </c>
      <c r="J3412" s="8" t="n">
        <v>2011</v>
      </c>
      <c r="K3412" s="9" t="n">
        <v>128794</v>
      </c>
      <c r="L3412" s="10" t="n">
        <v>115000</v>
      </c>
      <c r="M3412" s="10" t="n">
        <v>12712</v>
      </c>
      <c r="N3412" s="11">
        <f>IF(M3412="","",ROUND(M3412*1.18,2))</f>
        <v/>
      </c>
      <c r="O3412" s="12">
        <f>IF(M3412="","",ROUND(N3412-M3412,2))</f>
        <v/>
      </c>
      <c r="P3412" s="13">
        <f>IF(AND(A3412&lt;&gt;"",B3412&lt;&gt;""), A3412&amp;" · "&amp;B3412, "")</f>
        <v/>
      </c>
    </row>
    <row r="3413">
      <c r="A3413" s="6" t="inlineStr">
        <is>
          <t>FY27</t>
        </is>
      </c>
      <c r="B3413" s="6" t="inlineStr">
        <is>
          <t>Aug</t>
        </is>
      </c>
      <c r="C3413" s="6" t="inlineStr">
        <is>
          <t>Kerala</t>
        </is>
      </c>
      <c r="D3413" s="7" t="inlineStr">
        <is>
          <t>KL28B0379</t>
        </is>
      </c>
      <c r="E3413" s="7" t="inlineStr">
        <is>
          <t>MARUTI SUZUKI</t>
        </is>
      </c>
      <c r="F3413" s="7" t="inlineStr">
        <is>
          <t>Wagon R</t>
        </is>
      </c>
      <c r="G3413" s="7" t="inlineStr">
        <is>
          <t>ANAS VH</t>
        </is>
      </c>
      <c r="H3413" s="7" t="inlineStr">
        <is>
          <t>Non-Captive</t>
        </is>
      </c>
      <c r="I3413" s="7" t="inlineStr">
        <is>
          <t>AKHIL KT</t>
        </is>
      </c>
      <c r="J3413" s="8" t="n">
        <v>2013</v>
      </c>
      <c r="K3413" s="9" t="n">
        <v>98970</v>
      </c>
      <c r="L3413" s="10" t="n">
        <v>140000</v>
      </c>
      <c r="M3413" s="10" t="n">
        <v>8475</v>
      </c>
      <c r="N3413" s="11">
        <f>IF(M3413="","",ROUND(M3413*1.18,2))</f>
        <v/>
      </c>
      <c r="O3413" s="12">
        <f>IF(M3413="","",ROUND(N3413-M3413,2))</f>
        <v/>
      </c>
      <c r="P3413" s="13">
        <f>IF(AND(A3413&lt;&gt;"",B3413&lt;&gt;""), A3413&amp;" · "&amp;B3413, "")</f>
        <v/>
      </c>
    </row>
    <row r="3414">
      <c r="A3414" s="6" t="inlineStr">
        <is>
          <t>FY27</t>
        </is>
      </c>
      <c r="B3414" s="6" t="inlineStr">
        <is>
          <t>Aug</t>
        </is>
      </c>
      <c r="C3414" s="6" t="inlineStr">
        <is>
          <t>Kerala</t>
        </is>
      </c>
      <c r="D3414" s="7" t="inlineStr">
        <is>
          <t>KL341618</t>
        </is>
      </c>
      <c r="E3414" s="7" t="inlineStr">
        <is>
          <t>MARUTI SUZUKI</t>
        </is>
      </c>
      <c r="F3414" s="7" t="inlineStr">
        <is>
          <t>Wagon R</t>
        </is>
      </c>
      <c r="G3414" s="7" t="inlineStr">
        <is>
          <t>POPULAR MARUTI</t>
        </is>
      </c>
      <c r="H3414" s="7" t="inlineStr">
        <is>
          <t>Non-Captive</t>
        </is>
      </c>
      <c r="I3414" s="7" t="inlineStr">
        <is>
          <t>RAFEEK T A</t>
        </is>
      </c>
      <c r="J3414" s="8" t="n">
        <v>2006</v>
      </c>
      <c r="K3414" s="9" t="n">
        <v>175232</v>
      </c>
      <c r="L3414" s="10" t="n">
        <v>40000</v>
      </c>
      <c r="M3414" s="10" t="n">
        <v>8475</v>
      </c>
      <c r="N3414" s="11">
        <f>IF(M3414="","",ROUND(M3414*1.18,2))</f>
        <v/>
      </c>
      <c r="O3414" s="12">
        <f>IF(M3414="","",ROUND(N3414-M3414,2))</f>
        <v/>
      </c>
      <c r="P3414" s="13">
        <f>IF(AND(A3414&lt;&gt;"",B3414&lt;&gt;""), A3414&amp;" · "&amp;B3414, "")</f>
        <v/>
      </c>
    </row>
    <row r="3415">
      <c r="A3415" s="6" t="inlineStr">
        <is>
          <t>FY27</t>
        </is>
      </c>
      <c r="B3415" s="6" t="inlineStr">
        <is>
          <t>Aug</t>
        </is>
      </c>
      <c r="C3415" s="6" t="inlineStr">
        <is>
          <t>Kerala</t>
        </is>
      </c>
      <c r="D3415" s="7" t="inlineStr">
        <is>
          <t>KL34C7579</t>
        </is>
      </c>
      <c r="E3415" s="7" t="inlineStr">
        <is>
          <t>MARUTI SUZUKI</t>
        </is>
      </c>
      <c r="F3415" s="7" t="inlineStr">
        <is>
          <t>Alto K10</t>
        </is>
      </c>
      <c r="G3415" s="7" t="inlineStr">
        <is>
          <t>ALBIN</t>
        </is>
      </c>
      <c r="H3415" s="7" t="inlineStr">
        <is>
          <t>Non-Captive</t>
        </is>
      </c>
      <c r="I3415" s="7" t="inlineStr">
        <is>
          <t>DREAM DRIVE</t>
        </is>
      </c>
      <c r="J3415" s="8" t="n">
        <v>2014</v>
      </c>
      <c r="K3415" s="9" t="n">
        <v>45317</v>
      </c>
      <c r="L3415" s="10" t="n">
        <v>165000</v>
      </c>
      <c r="M3415" s="10" t="n">
        <v>8475</v>
      </c>
      <c r="N3415" s="11">
        <f>IF(M3415="","",ROUND(M3415*1.18,2))</f>
        <v/>
      </c>
      <c r="O3415" s="12">
        <f>IF(M3415="","",ROUND(N3415-M3415,2))</f>
        <v/>
      </c>
      <c r="P3415" s="13">
        <f>IF(AND(A3415&lt;&gt;"",B3415&lt;&gt;""), A3415&amp;" · "&amp;B3415, "")</f>
        <v/>
      </c>
    </row>
    <row r="3416">
      <c r="A3416" s="6" t="inlineStr">
        <is>
          <t>FY27</t>
        </is>
      </c>
      <c r="B3416" s="6" t="inlineStr">
        <is>
          <t>Aug</t>
        </is>
      </c>
      <c r="C3416" s="6" t="inlineStr">
        <is>
          <t>Kerala</t>
        </is>
      </c>
      <c r="D3416" s="7" t="inlineStr">
        <is>
          <t>KL35A6390</t>
        </is>
      </c>
      <c r="E3416" s="7" t="inlineStr">
        <is>
          <t>MARUTI SUZUKI</t>
        </is>
      </c>
      <c r="F3416" s="7" t="inlineStr">
        <is>
          <t>Alto</t>
        </is>
      </c>
      <c r="G3416" s="7" t="inlineStr">
        <is>
          <t>POPULAR MARUTI</t>
        </is>
      </c>
      <c r="H3416" s="7" t="inlineStr">
        <is>
          <t>Non-Captive</t>
        </is>
      </c>
      <c r="I3416" s="7" t="inlineStr">
        <is>
          <t>DREAM DRIVE</t>
        </is>
      </c>
      <c r="J3416" s="8" t="n">
        <v>2009</v>
      </c>
      <c r="K3416" s="9" t="n">
        <v>101348</v>
      </c>
      <c r="L3416" s="10" t="n">
        <v>65000</v>
      </c>
      <c r="M3416" s="10" t="n">
        <v>8475</v>
      </c>
      <c r="N3416" s="11">
        <f>IF(M3416="","",ROUND(M3416*1.18,2))</f>
        <v/>
      </c>
      <c r="O3416" s="12">
        <f>IF(M3416="","",ROUND(N3416-M3416,2))</f>
        <v/>
      </c>
      <c r="P3416" s="13">
        <f>IF(AND(A3416&lt;&gt;"",B3416&lt;&gt;""), A3416&amp;" · "&amp;B3416, "")</f>
        <v/>
      </c>
    </row>
    <row r="3417">
      <c r="A3417" s="6" t="inlineStr">
        <is>
          <t>FY27</t>
        </is>
      </c>
      <c r="B3417" s="6" t="inlineStr">
        <is>
          <t>Aug</t>
        </is>
      </c>
      <c r="C3417" s="6" t="inlineStr">
        <is>
          <t>Kerala</t>
        </is>
      </c>
      <c r="D3417" s="7" t="inlineStr">
        <is>
          <t>KL35D6598</t>
        </is>
      </c>
      <c r="E3417" s="7" t="inlineStr">
        <is>
          <t>HYUNDAI</t>
        </is>
      </c>
      <c r="F3417" s="7" t="inlineStr">
        <is>
          <t>Eon</t>
        </is>
      </c>
      <c r="G3417" s="7" t="inlineStr">
        <is>
          <t>POPULAR MARUTI</t>
        </is>
      </c>
      <c r="H3417" s="7" t="inlineStr">
        <is>
          <t>Non-Captive</t>
        </is>
      </c>
      <c r="I3417" s="7" t="inlineStr">
        <is>
          <t>SAMEER V H</t>
        </is>
      </c>
      <c r="J3417" s="8" t="n">
        <v>2012</v>
      </c>
      <c r="K3417" s="9" t="n">
        <v>91579</v>
      </c>
      <c r="L3417" s="10" t="n">
        <v>90000</v>
      </c>
      <c r="M3417" s="10" t="n">
        <v>16949</v>
      </c>
      <c r="N3417" s="11">
        <f>IF(M3417="","",ROUND(M3417*1.18,2))</f>
        <v/>
      </c>
      <c r="O3417" s="12">
        <f>IF(M3417="","",ROUND(N3417-M3417,2))</f>
        <v/>
      </c>
      <c r="P3417" s="13">
        <f>IF(AND(A3417&lt;&gt;"",B3417&lt;&gt;""), A3417&amp;" · "&amp;B3417, "")</f>
        <v/>
      </c>
    </row>
    <row r="3418">
      <c r="A3418" s="6" t="inlineStr">
        <is>
          <t>FY27</t>
        </is>
      </c>
      <c r="B3418" s="6" t="inlineStr">
        <is>
          <t>Aug</t>
        </is>
      </c>
      <c r="C3418" s="6" t="inlineStr">
        <is>
          <t>Kerala</t>
        </is>
      </c>
      <c r="D3418" s="7" t="inlineStr">
        <is>
          <t>KL35F4755</t>
        </is>
      </c>
      <c r="E3418" s="7" t="inlineStr">
        <is>
          <t>MARUTI SUZUKI</t>
        </is>
      </c>
      <c r="F3418" s="7" t="inlineStr">
        <is>
          <t>Alto K10</t>
        </is>
      </c>
      <c r="G3418" s="7" t="inlineStr">
        <is>
          <t>POPULAR MARUTI</t>
        </is>
      </c>
      <c r="H3418" s="7" t="inlineStr">
        <is>
          <t>Non-Captive</t>
        </is>
      </c>
      <c r="I3418" s="7" t="inlineStr">
        <is>
          <t>DREAM DRIVE</t>
        </is>
      </c>
      <c r="J3418" s="8" t="n">
        <v>2014</v>
      </c>
      <c r="K3418" s="9" t="n">
        <v>106867</v>
      </c>
      <c r="L3418" s="10" t="n">
        <v>160000</v>
      </c>
      <c r="M3418" s="10" t="n">
        <v>12712</v>
      </c>
      <c r="N3418" s="11">
        <f>IF(M3418="","",ROUND(M3418*1.18,2))</f>
        <v/>
      </c>
      <c r="O3418" s="12">
        <f>IF(M3418="","",ROUND(N3418-M3418,2))</f>
        <v/>
      </c>
      <c r="P3418" s="13">
        <f>IF(AND(A3418&lt;&gt;"",B3418&lt;&gt;""), A3418&amp;" · "&amp;B3418, "")</f>
        <v/>
      </c>
    </row>
    <row r="3419">
      <c r="A3419" s="6" t="inlineStr">
        <is>
          <t>FY27</t>
        </is>
      </c>
      <c r="B3419" s="6" t="inlineStr">
        <is>
          <t>Aug</t>
        </is>
      </c>
      <c r="C3419" s="6" t="inlineStr">
        <is>
          <t>Kerala</t>
        </is>
      </c>
      <c r="D3419" s="7" t="inlineStr">
        <is>
          <t>KL38C4437</t>
        </is>
      </c>
      <c r="E3419" s="7" t="inlineStr">
        <is>
          <t>MARUTI SUZUKI</t>
        </is>
      </c>
      <c r="F3419" s="7" t="inlineStr">
        <is>
          <t>Alto K10</t>
        </is>
      </c>
      <c r="G3419" s="7" t="inlineStr">
        <is>
          <t>POPULAR MARUTI</t>
        </is>
      </c>
      <c r="H3419" s="7" t="inlineStr">
        <is>
          <t>Non-Captive</t>
        </is>
      </c>
      <c r="I3419" s="7" t="inlineStr">
        <is>
          <t>HUSSAIN O E</t>
        </is>
      </c>
      <c r="J3419" s="8" t="n">
        <v>2012</v>
      </c>
      <c r="K3419" s="9" t="n">
        <v>224902</v>
      </c>
      <c r="L3419" s="10" t="n">
        <v>110000</v>
      </c>
      <c r="M3419" s="10" t="n">
        <v>10169</v>
      </c>
      <c r="N3419" s="11">
        <f>IF(M3419="","",ROUND(M3419*1.18,2))</f>
        <v/>
      </c>
      <c r="O3419" s="12">
        <f>IF(M3419="","",ROUND(N3419-M3419,2))</f>
        <v/>
      </c>
      <c r="P3419" s="13">
        <f>IF(AND(A3419&lt;&gt;"",B3419&lt;&gt;""), A3419&amp;" · "&amp;B3419, "")</f>
        <v/>
      </c>
    </row>
    <row r="3420">
      <c r="A3420" s="6" t="inlineStr">
        <is>
          <t>FY27</t>
        </is>
      </c>
      <c r="B3420" s="6" t="inlineStr">
        <is>
          <t>Aug</t>
        </is>
      </c>
      <c r="C3420" s="6" t="inlineStr">
        <is>
          <t>Kerala</t>
        </is>
      </c>
      <c r="D3420" s="7" t="inlineStr">
        <is>
          <t>KL38F5590</t>
        </is>
      </c>
      <c r="E3420" s="7" t="inlineStr">
        <is>
          <t>RENAULT</t>
        </is>
      </c>
      <c r="F3420" s="7" t="inlineStr">
        <is>
          <t>Kwid</t>
        </is>
      </c>
      <c r="G3420" s="7" t="inlineStr">
        <is>
          <t>INDUS MARUTI</t>
        </is>
      </c>
      <c r="H3420" s="7" t="inlineStr">
        <is>
          <t>Non-Captive</t>
        </is>
      </c>
      <c r="I3420" s="7" t="inlineStr">
        <is>
          <t>SAIF RASHEED</t>
        </is>
      </c>
      <c r="J3420" s="8" t="n">
        <v>2017</v>
      </c>
      <c r="K3420" s="9" t="n">
        <v>128310</v>
      </c>
      <c r="L3420" s="10" t="n">
        <v>110000</v>
      </c>
      <c r="M3420" s="10" t="n">
        <v>8475</v>
      </c>
      <c r="N3420" s="11">
        <f>IF(M3420="","",ROUND(M3420*1.18,2))</f>
        <v/>
      </c>
      <c r="O3420" s="12">
        <f>IF(M3420="","",ROUND(N3420-M3420,2))</f>
        <v/>
      </c>
      <c r="P3420" s="13">
        <f>IF(AND(A3420&lt;&gt;"",B3420&lt;&gt;""), A3420&amp;" · "&amp;B3420, "")</f>
        <v/>
      </c>
    </row>
    <row r="3421">
      <c r="A3421" s="6" t="inlineStr">
        <is>
          <t>FY27</t>
        </is>
      </c>
      <c r="B3421" s="6" t="inlineStr">
        <is>
          <t>Aug</t>
        </is>
      </c>
      <c r="C3421" s="6" t="inlineStr">
        <is>
          <t>Kerala</t>
        </is>
      </c>
      <c r="D3421" s="7" t="inlineStr">
        <is>
          <t>KL38K3636</t>
        </is>
      </c>
      <c r="E3421" s="7" t="inlineStr">
        <is>
          <t>TATA</t>
        </is>
      </c>
      <c r="F3421" s="7" t="inlineStr">
        <is>
          <t>Nexon</t>
        </is>
      </c>
      <c r="G3421" s="7" t="inlineStr">
        <is>
          <t>GOKULAM TATA</t>
        </is>
      </c>
      <c r="H3421" s="7" t="inlineStr">
        <is>
          <t>Non-Captive</t>
        </is>
      </c>
      <c r="I3421" s="7" t="inlineStr">
        <is>
          <t>Aitos Cars</t>
        </is>
      </c>
      <c r="J3421" s="8" t="n">
        <v>2022</v>
      </c>
      <c r="K3421" s="9" t="n">
        <v>56000</v>
      </c>
      <c r="L3421" s="10" t="n">
        <v>740000</v>
      </c>
      <c r="M3421" s="10" t="n">
        <v>8475</v>
      </c>
      <c r="N3421" s="11">
        <f>IF(M3421="","",ROUND(M3421*1.18,2))</f>
        <v/>
      </c>
      <c r="O3421" s="12">
        <f>IF(M3421="","",ROUND(N3421-M3421,2))</f>
        <v/>
      </c>
      <c r="P3421" s="13">
        <f>IF(AND(A3421&lt;&gt;"",B3421&lt;&gt;""), A3421&amp;" · "&amp;B3421, "")</f>
        <v/>
      </c>
    </row>
    <row r="3422">
      <c r="A3422" s="6" t="inlineStr">
        <is>
          <t>FY27</t>
        </is>
      </c>
      <c r="B3422" s="6" t="inlineStr">
        <is>
          <t>Aug</t>
        </is>
      </c>
      <c r="C3422" s="6" t="inlineStr">
        <is>
          <t>Kerala</t>
        </is>
      </c>
      <c r="D3422" s="7" t="inlineStr">
        <is>
          <t>KL39F5047</t>
        </is>
      </c>
      <c r="E3422" s="7" t="inlineStr">
        <is>
          <t>HONDA</t>
        </is>
      </c>
      <c r="F3422" s="7" t="inlineStr">
        <is>
          <t>Amaze</t>
        </is>
      </c>
      <c r="G3422" s="7" t="inlineStr">
        <is>
          <t>MAIJO MARUTI</t>
        </is>
      </c>
      <c r="H3422" s="7" t="inlineStr">
        <is>
          <t>Non-Captive</t>
        </is>
      </c>
      <c r="I3422" s="7" t="inlineStr">
        <is>
          <t>HUSSAIN O E</t>
        </is>
      </c>
      <c r="J3422" s="8" t="n">
        <v>2013</v>
      </c>
      <c r="K3422" s="9" t="n">
        <v>198865</v>
      </c>
      <c r="L3422" s="10" t="n">
        <v>150000</v>
      </c>
      <c r="M3422" s="10" t="n">
        <v>8475</v>
      </c>
      <c r="N3422" s="11">
        <f>IF(M3422="","",ROUND(M3422*1.18,2))</f>
        <v/>
      </c>
      <c r="O3422" s="12">
        <f>IF(M3422="","",ROUND(N3422-M3422,2))</f>
        <v/>
      </c>
      <c r="P3422" s="13">
        <f>IF(AND(A3422&lt;&gt;"",B3422&lt;&gt;""), A3422&amp;" · "&amp;B3422, "")</f>
        <v/>
      </c>
    </row>
    <row r="3423">
      <c r="A3423" s="6" t="inlineStr">
        <is>
          <t>FY27</t>
        </is>
      </c>
      <c r="B3423" s="6" t="inlineStr">
        <is>
          <t>Aug</t>
        </is>
      </c>
      <c r="C3423" s="6" t="inlineStr">
        <is>
          <t>Kerala</t>
        </is>
      </c>
      <c r="D3423" s="7" t="inlineStr">
        <is>
          <t>KL39H1301</t>
        </is>
      </c>
      <c r="E3423" s="7" t="inlineStr">
        <is>
          <t>HYUNDAI</t>
        </is>
      </c>
      <c r="F3423" s="7" t="inlineStr">
        <is>
          <t>i20</t>
        </is>
      </c>
      <c r="G3423" s="7" t="inlineStr">
        <is>
          <t>DREAM DRIVE</t>
        </is>
      </c>
      <c r="H3423" s="7" t="inlineStr">
        <is>
          <t>Non-Captive</t>
        </is>
      </c>
      <c r="I3423" s="7" t="inlineStr">
        <is>
          <t>ALBIN</t>
        </is>
      </c>
      <c r="J3423" s="8" t="n">
        <v>2015</v>
      </c>
      <c r="K3423" s="9" t="n">
        <v>78647</v>
      </c>
      <c r="L3423" s="10" t="n">
        <v>335000</v>
      </c>
      <c r="M3423" s="10" t="n">
        <v>8475</v>
      </c>
      <c r="N3423" s="11">
        <f>IF(M3423="","",ROUND(M3423*1.18,2))</f>
        <v/>
      </c>
      <c r="O3423" s="12">
        <f>IF(M3423="","",ROUND(N3423-M3423,2))</f>
        <v/>
      </c>
      <c r="P3423" s="13">
        <f>IF(AND(A3423&lt;&gt;"",B3423&lt;&gt;""), A3423&amp;" · "&amp;B3423, "")</f>
        <v/>
      </c>
    </row>
    <row r="3424">
      <c r="A3424" s="6" t="inlineStr">
        <is>
          <t>FY27</t>
        </is>
      </c>
      <c r="B3424" s="6" t="inlineStr">
        <is>
          <t>Aug</t>
        </is>
      </c>
      <c r="C3424" s="6" t="inlineStr">
        <is>
          <t>Kerala</t>
        </is>
      </c>
      <c r="D3424" s="7" t="inlineStr">
        <is>
          <t>KL39N7595</t>
        </is>
      </c>
      <c r="E3424" s="7" t="inlineStr">
        <is>
          <t>MARUTI SUZUKI</t>
        </is>
      </c>
      <c r="F3424" s="7" t="inlineStr">
        <is>
          <t>Alto K10</t>
        </is>
      </c>
      <c r="G3424" s="7" t="inlineStr">
        <is>
          <t>CARS24</t>
        </is>
      </c>
      <c r="H3424" s="7" t="inlineStr">
        <is>
          <t>Non-Captive</t>
        </is>
      </c>
      <c r="I3424" s="7" t="inlineStr">
        <is>
          <t>VISHNU M S</t>
        </is>
      </c>
      <c r="J3424" s="8" t="n">
        <v>2012</v>
      </c>
      <c r="K3424" s="9" t="n">
        <v>22844</v>
      </c>
      <c r="L3424" s="10" t="n">
        <v>100000</v>
      </c>
      <c r="M3424" s="10" t="n">
        <v>8475</v>
      </c>
      <c r="N3424" s="11">
        <f>IF(M3424="","",ROUND(M3424*1.18,2))</f>
        <v/>
      </c>
      <c r="O3424" s="12">
        <f>IF(M3424="","",ROUND(N3424-M3424,2))</f>
        <v/>
      </c>
      <c r="P3424" s="13">
        <f>IF(AND(A3424&lt;&gt;"",B3424&lt;&gt;""), A3424&amp;" · "&amp;B3424, "")</f>
        <v/>
      </c>
    </row>
    <row r="3425">
      <c r="A3425" s="6" t="inlineStr">
        <is>
          <t>FY27</t>
        </is>
      </c>
      <c r="B3425" s="6" t="inlineStr">
        <is>
          <t>Aug</t>
        </is>
      </c>
      <c r="C3425" s="6" t="inlineStr">
        <is>
          <t>Kerala</t>
        </is>
      </c>
      <c r="D3425" s="7" t="inlineStr">
        <is>
          <t>KL40Q0223</t>
        </is>
      </c>
      <c r="E3425" s="7" t="inlineStr">
        <is>
          <t>MARUTI SUZUKI</t>
        </is>
      </c>
      <c r="F3425" s="7" t="inlineStr">
        <is>
          <t>S-Cross</t>
        </is>
      </c>
      <c r="G3425" s="7" t="inlineStr">
        <is>
          <t>ABDUL SALAM P U</t>
        </is>
      </c>
      <c r="H3425" s="7" t="inlineStr">
        <is>
          <t>Non-Captive</t>
        </is>
      </c>
      <c r="I3425" s="7" t="inlineStr">
        <is>
          <t>HUSSAIN O E</t>
        </is>
      </c>
      <c r="J3425" s="8" t="n">
        <v>2018</v>
      </c>
      <c r="K3425" s="9" t="n">
        <v>148866</v>
      </c>
      <c r="L3425" s="10" t="n">
        <v>385000</v>
      </c>
      <c r="M3425" s="10" t="n">
        <v>8475</v>
      </c>
      <c r="N3425" s="11">
        <f>IF(M3425="","",ROUND(M3425*1.18,2))</f>
        <v/>
      </c>
      <c r="O3425" s="12">
        <f>IF(M3425="","",ROUND(N3425-M3425,2))</f>
        <v/>
      </c>
      <c r="P3425" s="13">
        <f>IF(AND(A3425&lt;&gt;"",B3425&lt;&gt;""), A3425&amp;" · "&amp;B3425, "")</f>
        <v/>
      </c>
    </row>
    <row r="3426">
      <c r="A3426" s="6" t="inlineStr">
        <is>
          <t>FY27</t>
        </is>
      </c>
      <c r="B3426" s="6" t="inlineStr">
        <is>
          <t>Aug</t>
        </is>
      </c>
      <c r="C3426" s="6" t="inlineStr">
        <is>
          <t>Kerala</t>
        </is>
      </c>
      <c r="D3426" s="7" t="inlineStr">
        <is>
          <t>KL40Q0815</t>
        </is>
      </c>
      <c r="E3426" s="7" t="inlineStr">
        <is>
          <t>RENAULT</t>
        </is>
      </c>
      <c r="F3426" s="7" t="inlineStr">
        <is>
          <t>Kwid</t>
        </is>
      </c>
      <c r="G3426" s="7" t="inlineStr">
        <is>
          <t>EVM SKODA</t>
        </is>
      </c>
      <c r="H3426" s="7" t="inlineStr">
        <is>
          <t>Non-Captive</t>
        </is>
      </c>
      <c r="I3426" s="7" t="inlineStr">
        <is>
          <t>RAFEEK T A</t>
        </is>
      </c>
      <c r="J3426" s="8" t="n">
        <v>2018</v>
      </c>
      <c r="K3426" s="9" t="n">
        <v>69543</v>
      </c>
      <c r="L3426" s="10" t="n">
        <v>190000</v>
      </c>
      <c r="M3426" s="10" t="n">
        <v>8475</v>
      </c>
      <c r="N3426" s="11">
        <f>IF(M3426="","",ROUND(M3426*1.18,2))</f>
        <v/>
      </c>
      <c r="O3426" s="12">
        <f>IF(M3426="","",ROUND(N3426-M3426,2))</f>
        <v/>
      </c>
      <c r="P3426" s="13">
        <f>IF(AND(A3426&lt;&gt;"",B3426&lt;&gt;""), A3426&amp;" · "&amp;B3426, "")</f>
        <v/>
      </c>
    </row>
    <row r="3427">
      <c r="A3427" s="6" t="inlineStr">
        <is>
          <t>FY27</t>
        </is>
      </c>
      <c r="B3427" s="6" t="inlineStr">
        <is>
          <t>Aug</t>
        </is>
      </c>
      <c r="C3427" s="6" t="inlineStr">
        <is>
          <t>Kerala</t>
        </is>
      </c>
      <c r="D3427" s="7" t="inlineStr">
        <is>
          <t>KL40R7232</t>
        </is>
      </c>
      <c r="E3427" s="7" t="inlineStr">
        <is>
          <t>HYUNDAI</t>
        </is>
      </c>
      <c r="F3427" s="7" t="inlineStr">
        <is>
          <t>Grand i10</t>
        </is>
      </c>
      <c r="G3427" s="7" t="inlineStr">
        <is>
          <t>EVM SKODA</t>
        </is>
      </c>
      <c r="H3427" s="7" t="inlineStr">
        <is>
          <t>Non-Captive</t>
        </is>
      </c>
      <c r="I3427" s="7" t="inlineStr">
        <is>
          <t>Aitos Cars</t>
        </is>
      </c>
      <c r="J3427" s="8" t="n">
        <v>2019</v>
      </c>
      <c r="K3427" s="9" t="n">
        <v>53561</v>
      </c>
      <c r="L3427" s="10" t="n">
        <v>375000</v>
      </c>
      <c r="M3427" s="10" t="n">
        <v>8475</v>
      </c>
      <c r="N3427" s="11">
        <f>IF(M3427="","",ROUND(M3427*1.18,2))</f>
        <v/>
      </c>
      <c r="O3427" s="12">
        <f>IF(M3427="","",ROUND(N3427-M3427,2))</f>
        <v/>
      </c>
      <c r="P3427" s="13">
        <f>IF(AND(A3427&lt;&gt;"",B3427&lt;&gt;""), A3427&amp;" · "&amp;B3427, "")</f>
        <v/>
      </c>
    </row>
    <row r="3428">
      <c r="A3428" s="6" t="inlineStr">
        <is>
          <t>FY27</t>
        </is>
      </c>
      <c r="B3428" s="6" t="inlineStr">
        <is>
          <t>Aug</t>
        </is>
      </c>
      <c r="C3428" s="6" t="inlineStr">
        <is>
          <t>Kerala</t>
        </is>
      </c>
      <c r="D3428" s="7" t="inlineStr">
        <is>
          <t>KL41C7206</t>
        </is>
      </c>
      <c r="E3428" s="7" t="inlineStr">
        <is>
          <t>MARUTI SUZUKI</t>
        </is>
      </c>
      <c r="F3428" s="7" t="inlineStr">
        <is>
          <t>Swift</t>
        </is>
      </c>
      <c r="G3428" s="7" t="inlineStr">
        <is>
          <t>POPULAR MARUTI</t>
        </is>
      </c>
      <c r="H3428" s="7" t="inlineStr">
        <is>
          <t>Non-Captive</t>
        </is>
      </c>
      <c r="I3428" s="7" t="inlineStr">
        <is>
          <t>HUSSAIN O E</t>
        </is>
      </c>
      <c r="J3428" s="8" t="n">
        <v>2010</v>
      </c>
      <c r="K3428" s="9" t="n">
        <v>123951</v>
      </c>
      <c r="L3428" s="10" t="n">
        <v>147000</v>
      </c>
      <c r="M3428" s="10" t="n">
        <v>10169</v>
      </c>
      <c r="N3428" s="11">
        <f>IF(M3428="","",ROUND(M3428*1.18,2))</f>
        <v/>
      </c>
      <c r="O3428" s="12">
        <f>IF(M3428="","",ROUND(N3428-M3428,2))</f>
        <v/>
      </c>
      <c r="P3428" s="13">
        <f>IF(AND(A3428&lt;&gt;"",B3428&lt;&gt;""), A3428&amp;" · "&amp;B3428, "")</f>
        <v/>
      </c>
    </row>
    <row r="3429">
      <c r="A3429" s="6" t="inlineStr">
        <is>
          <t>FY27</t>
        </is>
      </c>
      <c r="B3429" s="6" t="inlineStr">
        <is>
          <t>Aug</t>
        </is>
      </c>
      <c r="C3429" s="6" t="inlineStr">
        <is>
          <t>Kerala</t>
        </is>
      </c>
      <c r="D3429" s="7" t="inlineStr">
        <is>
          <t>KL41K1953</t>
        </is>
      </c>
      <c r="E3429" s="7" t="inlineStr">
        <is>
          <t>FORD</t>
        </is>
      </c>
      <c r="F3429" s="7" t="inlineStr">
        <is>
          <t>Aspire</t>
        </is>
      </c>
      <c r="G3429" s="7" t="inlineStr">
        <is>
          <t>AUTOMOTIVE</t>
        </is>
      </c>
      <c r="H3429" s="7" t="inlineStr">
        <is>
          <t>Non-Captive</t>
        </is>
      </c>
      <c r="I3429" s="7" t="inlineStr">
        <is>
          <t>Aitos Cars</t>
        </is>
      </c>
      <c r="J3429" s="8" t="n">
        <v>2015</v>
      </c>
      <c r="K3429" s="9" t="n">
        <v>95000</v>
      </c>
      <c r="L3429" s="10" t="n">
        <v>235000</v>
      </c>
      <c r="M3429" s="10" t="n">
        <v>8475</v>
      </c>
      <c r="N3429" s="11">
        <f>IF(M3429="","",ROUND(M3429*1.18,2))</f>
        <v/>
      </c>
      <c r="O3429" s="12">
        <f>IF(M3429="","",ROUND(N3429-M3429,2))</f>
        <v/>
      </c>
      <c r="P3429" s="13">
        <f>IF(AND(A3429&lt;&gt;"",B3429&lt;&gt;""), A3429&amp;" · "&amp;B3429, "")</f>
        <v/>
      </c>
    </row>
    <row r="3430">
      <c r="A3430" s="6" t="inlineStr">
        <is>
          <t>FY27</t>
        </is>
      </c>
      <c r="B3430" s="6" t="inlineStr">
        <is>
          <t>Aug</t>
        </is>
      </c>
      <c r="C3430" s="6" t="inlineStr">
        <is>
          <t>Kerala</t>
        </is>
      </c>
      <c r="D3430" s="7" t="inlineStr">
        <is>
          <t>KL41S4128</t>
        </is>
      </c>
      <c r="E3430" s="7" t="inlineStr">
        <is>
          <t>VOLKSWAGEN</t>
        </is>
      </c>
      <c r="F3430" s="7" t="inlineStr">
        <is>
          <t>Taigun</t>
        </is>
      </c>
      <c r="G3430" s="7" t="inlineStr">
        <is>
          <t>AUTOMOTIVE</t>
        </is>
      </c>
      <c r="H3430" s="7" t="inlineStr">
        <is>
          <t>Non-Captive</t>
        </is>
      </c>
      <c r="I3430" s="7" t="inlineStr">
        <is>
          <t>YAHIYA</t>
        </is>
      </c>
      <c r="J3430" s="8" t="n">
        <v>2021</v>
      </c>
      <c r="K3430" s="9" t="n">
        <v>42221</v>
      </c>
      <c r="L3430" s="10" t="n">
        <v>780000</v>
      </c>
      <c r="M3430" s="10" t="n">
        <v>8475</v>
      </c>
      <c r="N3430" s="11">
        <f>IF(M3430="","",ROUND(M3430*1.18,2))</f>
        <v/>
      </c>
      <c r="O3430" s="12">
        <f>IF(M3430="","",ROUND(N3430-M3430,2))</f>
        <v/>
      </c>
      <c r="P3430" s="13">
        <f>IF(AND(A3430&lt;&gt;"",B3430&lt;&gt;""), A3430&amp;" · "&amp;B3430, "")</f>
        <v/>
      </c>
    </row>
    <row r="3431">
      <c r="A3431" s="6" t="inlineStr">
        <is>
          <t>FY27</t>
        </is>
      </c>
      <c r="B3431" s="6" t="inlineStr">
        <is>
          <t>Aug</t>
        </is>
      </c>
      <c r="C3431" s="6" t="inlineStr">
        <is>
          <t>Kerala</t>
        </is>
      </c>
      <c r="D3431" s="7" t="inlineStr">
        <is>
          <t>KL42T7195</t>
        </is>
      </c>
      <c r="E3431" s="7" t="inlineStr">
        <is>
          <t>FORD</t>
        </is>
      </c>
      <c r="F3431" s="7" t="inlineStr">
        <is>
          <t>EcoSport</t>
        </is>
      </c>
      <c r="G3431" s="7" t="inlineStr">
        <is>
          <t>KESHVIN HYUNDAI</t>
        </is>
      </c>
      <c r="H3431" s="7" t="inlineStr">
        <is>
          <t>Non-Captive</t>
        </is>
      </c>
      <c r="I3431" s="7" t="inlineStr">
        <is>
          <t>ABDUL SALAM K K</t>
        </is>
      </c>
      <c r="J3431" s="8" t="n">
        <v>2021</v>
      </c>
      <c r="K3431" s="9" t="n">
        <v>68280</v>
      </c>
      <c r="L3431" s="10" t="n">
        <v>640000</v>
      </c>
      <c r="M3431" s="10" t="n">
        <v>8475</v>
      </c>
      <c r="N3431" s="11">
        <f>IF(M3431="","",ROUND(M3431*1.18,2))</f>
        <v/>
      </c>
      <c r="O3431" s="12">
        <f>IF(M3431="","",ROUND(N3431-M3431,2))</f>
        <v/>
      </c>
      <c r="P3431" s="13">
        <f>IF(AND(A3431&lt;&gt;"",B3431&lt;&gt;""), A3431&amp;" · "&amp;B3431, "")</f>
        <v/>
      </c>
    </row>
    <row r="3432">
      <c r="A3432" s="6" t="inlineStr">
        <is>
          <t>FY27</t>
        </is>
      </c>
      <c r="B3432" s="6" t="inlineStr">
        <is>
          <t>Aug</t>
        </is>
      </c>
      <c r="C3432" s="6" t="inlineStr">
        <is>
          <t>Kerala</t>
        </is>
      </c>
      <c r="D3432" s="7" t="inlineStr">
        <is>
          <t>KL434031</t>
        </is>
      </c>
      <c r="E3432" s="7" t="inlineStr">
        <is>
          <t>MARUTI SUZUKI</t>
        </is>
      </c>
      <c r="F3432" s="7" t="inlineStr">
        <is>
          <t>Wagon R</t>
        </is>
      </c>
      <c r="G3432" s="7" t="inlineStr">
        <is>
          <t>POPULAR MARUTI</t>
        </is>
      </c>
      <c r="H3432" s="7" t="inlineStr">
        <is>
          <t>Non-Captive</t>
        </is>
      </c>
      <c r="I3432" s="7" t="inlineStr">
        <is>
          <t>RAFEEK</t>
        </is>
      </c>
      <c r="J3432" s="8" t="n">
        <v>2006</v>
      </c>
      <c r="K3432" s="9" t="n">
        <v>86229</v>
      </c>
      <c r="L3432" s="10" t="n">
        <v>40000</v>
      </c>
      <c r="M3432" s="10" t="n">
        <v>8475</v>
      </c>
      <c r="N3432" s="11">
        <f>IF(M3432="","",ROUND(M3432*1.18,2))</f>
        <v/>
      </c>
      <c r="O3432" s="12">
        <f>IF(M3432="","",ROUND(N3432-M3432,2))</f>
        <v/>
      </c>
      <c r="P3432" s="13">
        <f>IF(AND(A3432&lt;&gt;"",B3432&lt;&gt;""), A3432&amp;" · "&amp;B3432, "")</f>
        <v/>
      </c>
    </row>
    <row r="3433">
      <c r="A3433" s="6" t="inlineStr">
        <is>
          <t>FY27</t>
        </is>
      </c>
      <c r="B3433" s="6" t="inlineStr">
        <is>
          <t>Aug</t>
        </is>
      </c>
      <c r="C3433" s="6" t="inlineStr">
        <is>
          <t>Kerala</t>
        </is>
      </c>
      <c r="D3433" s="7" t="inlineStr">
        <is>
          <t>KL43H6054</t>
        </is>
      </c>
      <c r="E3433" s="7" t="inlineStr">
        <is>
          <t>MARUTI SUZUKI</t>
        </is>
      </c>
      <c r="F3433" s="7" t="inlineStr">
        <is>
          <t>Dzire</t>
        </is>
      </c>
      <c r="G3433" s="7" t="inlineStr">
        <is>
          <t>POPULAR HYUNDAI</t>
        </is>
      </c>
      <c r="H3433" s="7" t="inlineStr">
        <is>
          <t>Non-Captive</t>
        </is>
      </c>
      <c r="I3433" s="7" t="inlineStr">
        <is>
          <t>Abdul Salam P U</t>
        </is>
      </c>
      <c r="J3433" s="8" t="n">
        <v>2016</v>
      </c>
      <c r="K3433" s="9" t="n">
        <v>180905</v>
      </c>
      <c r="L3433" s="10" t="n">
        <v>160000</v>
      </c>
      <c r="M3433" s="10" t="n">
        <v>8475</v>
      </c>
      <c r="N3433" s="11">
        <f>IF(M3433="","",ROUND(M3433*1.18,2))</f>
        <v/>
      </c>
      <c r="O3433" s="12">
        <f>IF(M3433="","",ROUND(N3433-M3433,2))</f>
        <v/>
      </c>
      <c r="P3433" s="13">
        <f>IF(AND(A3433&lt;&gt;"",B3433&lt;&gt;""), A3433&amp;" · "&amp;B3433, "")</f>
        <v/>
      </c>
    </row>
    <row r="3434">
      <c r="A3434" s="6" t="inlineStr">
        <is>
          <t>FY27</t>
        </is>
      </c>
      <c r="B3434" s="6" t="inlineStr">
        <is>
          <t>Aug</t>
        </is>
      </c>
      <c r="C3434" s="6" t="inlineStr">
        <is>
          <t>Kerala</t>
        </is>
      </c>
      <c r="D3434" s="7" t="inlineStr">
        <is>
          <t>KL44H3366</t>
        </is>
      </c>
      <c r="E3434" s="7" t="inlineStr">
        <is>
          <t>TOYOTA</t>
        </is>
      </c>
      <c r="F3434" s="7" t="inlineStr">
        <is>
          <t>Glanza</t>
        </is>
      </c>
      <c r="G3434" s="7" t="inlineStr">
        <is>
          <t>AUTOMOTIVE</t>
        </is>
      </c>
      <c r="H3434" s="7" t="inlineStr">
        <is>
          <t>Non-Captive</t>
        </is>
      </c>
      <c r="I3434" s="7" t="inlineStr">
        <is>
          <t>Autobot</t>
        </is>
      </c>
      <c r="J3434" s="8" t="n">
        <v>2022</v>
      </c>
      <c r="K3434" s="9" t="n">
        <v>22000</v>
      </c>
      <c r="L3434" s="10" t="n">
        <v>745000</v>
      </c>
      <c r="M3434" s="10" t="n">
        <v>8475</v>
      </c>
      <c r="N3434" s="11">
        <f>IF(M3434="","",ROUND(M3434*1.18,2))</f>
        <v/>
      </c>
      <c r="O3434" s="12">
        <f>IF(M3434="","",ROUND(N3434-M3434,2))</f>
        <v/>
      </c>
      <c r="P3434" s="13">
        <f>IF(AND(A3434&lt;&gt;"",B3434&lt;&gt;""), A3434&amp;" · "&amp;B3434, "")</f>
        <v/>
      </c>
    </row>
    <row r="3435">
      <c r="A3435" s="6" t="inlineStr">
        <is>
          <t>FY27</t>
        </is>
      </c>
      <c r="B3435" s="6" t="inlineStr">
        <is>
          <t>Aug</t>
        </is>
      </c>
      <c r="C3435" s="6" t="inlineStr">
        <is>
          <t>Kerala</t>
        </is>
      </c>
      <c r="D3435" s="7" t="inlineStr">
        <is>
          <t>KL45H5656</t>
        </is>
      </c>
      <c r="E3435" s="7" t="inlineStr">
        <is>
          <t>MARUTI SUZUKI</t>
        </is>
      </c>
      <c r="F3435" s="7" t="inlineStr">
        <is>
          <t>Swift</t>
        </is>
      </c>
      <c r="G3435" s="7" t="inlineStr">
        <is>
          <t>POPULAR MARUTI</t>
        </is>
      </c>
      <c r="H3435" s="7" t="inlineStr">
        <is>
          <t>Non-Captive</t>
        </is>
      </c>
      <c r="I3435" s="7" t="inlineStr">
        <is>
          <t>FABITH</t>
        </is>
      </c>
      <c r="J3435" s="8" t="n">
        <v>2012</v>
      </c>
      <c r="K3435" s="9" t="n">
        <v>143000</v>
      </c>
      <c r="L3435" s="10" t="n">
        <v>210000</v>
      </c>
      <c r="M3435" s="10" t="n">
        <v>8475</v>
      </c>
      <c r="N3435" s="11">
        <f>IF(M3435="","",ROUND(M3435*1.18,2))</f>
        <v/>
      </c>
      <c r="O3435" s="12">
        <f>IF(M3435="","",ROUND(N3435-M3435,2))</f>
        <v/>
      </c>
      <c r="P3435" s="13">
        <f>IF(AND(A3435&lt;&gt;"",B3435&lt;&gt;""), A3435&amp;" · "&amp;B3435, "")</f>
        <v/>
      </c>
    </row>
    <row r="3436">
      <c r="A3436" s="6" t="inlineStr">
        <is>
          <t>FY27</t>
        </is>
      </c>
      <c r="B3436" s="6" t="inlineStr">
        <is>
          <t>Aug</t>
        </is>
      </c>
      <c r="C3436" s="6" t="inlineStr">
        <is>
          <t>Kerala</t>
        </is>
      </c>
      <c r="D3436" s="7" t="inlineStr">
        <is>
          <t>KL45P4136</t>
        </is>
      </c>
      <c r="E3436" s="7" t="inlineStr">
        <is>
          <t>HYUNDAI</t>
        </is>
      </c>
      <c r="F3436" s="7" t="inlineStr">
        <is>
          <t>Eon</t>
        </is>
      </c>
      <c r="G3436" s="7" t="inlineStr">
        <is>
          <t>POPULAR HYUNDAI</t>
        </is>
      </c>
      <c r="H3436" s="7" t="inlineStr">
        <is>
          <t>Non-Captive</t>
        </is>
      </c>
      <c r="I3436" s="7" t="inlineStr">
        <is>
          <t>Umesh Kumar T U</t>
        </is>
      </c>
      <c r="J3436" s="8" t="n">
        <v>2017</v>
      </c>
      <c r="K3436" s="9" t="n">
        <v>29050</v>
      </c>
      <c r="L3436" s="10" t="n">
        <v>212500</v>
      </c>
      <c r="M3436" s="10" t="n">
        <v>10593</v>
      </c>
      <c r="N3436" s="11">
        <f>IF(M3436="","",ROUND(M3436*1.18,2))</f>
        <v/>
      </c>
      <c r="O3436" s="12">
        <f>IF(M3436="","",ROUND(N3436-M3436,2))</f>
        <v/>
      </c>
      <c r="P3436" s="13">
        <f>IF(AND(A3436&lt;&gt;"",B3436&lt;&gt;""), A3436&amp;" · "&amp;B3436, "")</f>
        <v/>
      </c>
    </row>
    <row r="3437">
      <c r="A3437" s="6" t="inlineStr">
        <is>
          <t>FY27</t>
        </is>
      </c>
      <c r="B3437" s="6" t="inlineStr">
        <is>
          <t>Aug</t>
        </is>
      </c>
      <c r="C3437" s="6" t="inlineStr">
        <is>
          <t>Kerala</t>
        </is>
      </c>
      <c r="D3437" s="7" t="inlineStr">
        <is>
          <t>KL46X3888</t>
        </is>
      </c>
      <c r="E3437" s="7" t="inlineStr">
        <is>
          <t>TATA</t>
        </is>
      </c>
      <c r="F3437" s="7" t="inlineStr">
        <is>
          <t>Punch</t>
        </is>
      </c>
      <c r="G3437" s="7" t="inlineStr">
        <is>
          <t>AUTOMOTIVE</t>
        </is>
      </c>
      <c r="H3437" s="7" t="inlineStr">
        <is>
          <t>Non-Captive</t>
        </is>
      </c>
      <c r="I3437" s="7" t="inlineStr">
        <is>
          <t>Aitos Cars</t>
        </is>
      </c>
      <c r="J3437" s="8" t="n">
        <v>2022</v>
      </c>
      <c r="K3437" s="9" t="n">
        <v>27342</v>
      </c>
      <c r="L3437" s="10" t="n">
        <v>535000</v>
      </c>
      <c r="M3437" s="10" t="n">
        <v>8475</v>
      </c>
      <c r="N3437" s="11">
        <f>IF(M3437="","",ROUND(M3437*1.18,2))</f>
        <v/>
      </c>
      <c r="O3437" s="12">
        <f>IF(M3437="","",ROUND(N3437-M3437,2))</f>
        <v/>
      </c>
      <c r="P3437" s="13">
        <f>IF(AND(A3437&lt;&gt;"",B3437&lt;&gt;""), A3437&amp;" · "&amp;B3437, "")</f>
        <v/>
      </c>
    </row>
    <row r="3438">
      <c r="A3438" s="6" t="inlineStr">
        <is>
          <t>FY27</t>
        </is>
      </c>
      <c r="B3438" s="6" t="inlineStr">
        <is>
          <t>Aug</t>
        </is>
      </c>
      <c r="C3438" s="6" t="inlineStr">
        <is>
          <t>Kerala</t>
        </is>
      </c>
      <c r="D3438" s="7" t="inlineStr">
        <is>
          <t>KL48G7160</t>
        </is>
      </c>
      <c r="E3438" s="7" t="inlineStr">
        <is>
          <t>MAHINDRA</t>
        </is>
      </c>
      <c r="F3438" s="7" t="inlineStr">
        <is>
          <t>Load King</t>
        </is>
      </c>
      <c r="G3438" s="7" t="inlineStr">
        <is>
          <t>ALI HAPPY DRIVE</t>
        </is>
      </c>
      <c r="H3438" s="7" t="inlineStr">
        <is>
          <t>Non-Captive</t>
        </is>
      </c>
      <c r="I3438" s="7" t="inlineStr">
        <is>
          <t>Kunjumon</t>
        </is>
      </c>
      <c r="J3438" s="8" t="n"/>
      <c r="K3438" s="9" t="n">
        <v>160000</v>
      </c>
      <c r="L3438" s="10" t="n">
        <v>506000</v>
      </c>
      <c r="M3438" s="10" t="n">
        <v>5085</v>
      </c>
      <c r="N3438" s="11">
        <f>IF(M3438="","",ROUND(M3438*1.18,2))</f>
        <v/>
      </c>
      <c r="O3438" s="12">
        <f>IF(M3438="","",ROUND(N3438-M3438,2))</f>
        <v/>
      </c>
      <c r="P3438" s="13">
        <f>IF(AND(A3438&lt;&gt;"",B3438&lt;&gt;""), A3438&amp;" · "&amp;B3438, "")</f>
        <v/>
      </c>
    </row>
    <row r="3439">
      <c r="A3439" s="6" t="inlineStr">
        <is>
          <t>FY27</t>
        </is>
      </c>
      <c r="B3439" s="6" t="inlineStr">
        <is>
          <t>Aug</t>
        </is>
      </c>
      <c r="C3439" s="6" t="inlineStr">
        <is>
          <t>Kerala</t>
        </is>
      </c>
      <c r="D3439" s="7" t="inlineStr">
        <is>
          <t>KL541964</t>
        </is>
      </c>
      <c r="E3439" s="7" t="inlineStr">
        <is>
          <t>MARUTI SUZUKI</t>
        </is>
      </c>
      <c r="F3439" s="7" t="inlineStr">
        <is>
          <t>Alto</t>
        </is>
      </c>
      <c r="G3439" s="7" t="inlineStr">
        <is>
          <t>POPULAR MARUTI</t>
        </is>
      </c>
      <c r="H3439" s="7" t="inlineStr">
        <is>
          <t>Non-Captive</t>
        </is>
      </c>
      <c r="I3439" s="7" t="inlineStr">
        <is>
          <t>AUTOTRUST</t>
        </is>
      </c>
      <c r="J3439" s="8" t="n"/>
      <c r="K3439" s="9" t="n">
        <v>132453</v>
      </c>
      <c r="L3439" s="10" t="n">
        <v>6000</v>
      </c>
      <c r="M3439" s="10" t="n">
        <v>5085</v>
      </c>
      <c r="N3439" s="11">
        <f>IF(M3439="","",ROUND(M3439*1.18,2))</f>
        <v/>
      </c>
      <c r="O3439" s="12">
        <f>IF(M3439="","",ROUND(N3439-M3439,2))</f>
        <v/>
      </c>
      <c r="P3439" s="13">
        <f>IF(AND(A3439&lt;&gt;"",B3439&lt;&gt;""), A3439&amp;" · "&amp;B3439, "")</f>
        <v/>
      </c>
    </row>
    <row r="3440">
      <c r="A3440" s="6" t="inlineStr">
        <is>
          <t>FY27</t>
        </is>
      </c>
      <c r="B3440" s="6" t="inlineStr">
        <is>
          <t>Aug</t>
        </is>
      </c>
      <c r="C3440" s="6" t="inlineStr">
        <is>
          <t>Kerala</t>
        </is>
      </c>
      <c r="D3440" s="7" t="inlineStr">
        <is>
          <t>KL54M0411</t>
        </is>
      </c>
      <c r="E3440" s="7" t="inlineStr">
        <is>
          <t>RENAULT</t>
        </is>
      </c>
      <c r="F3440" s="7" t="inlineStr">
        <is>
          <t>Kwid</t>
        </is>
      </c>
      <c r="G3440" s="7" t="inlineStr">
        <is>
          <t>ERAM MAHINDRA</t>
        </is>
      </c>
      <c r="H3440" s="7" t="inlineStr">
        <is>
          <t>Non-Captive</t>
        </is>
      </c>
      <c r="I3440" s="7" t="inlineStr">
        <is>
          <t>BASHEER</t>
        </is>
      </c>
      <c r="J3440" s="8" t="n">
        <v>2019</v>
      </c>
      <c r="K3440" s="9" t="n">
        <v>72000</v>
      </c>
      <c r="L3440" s="10" t="n">
        <v>220000</v>
      </c>
      <c r="M3440" s="10" t="n">
        <v>8475</v>
      </c>
      <c r="N3440" s="11">
        <f>IF(M3440="","",ROUND(M3440*1.18,2))</f>
        <v/>
      </c>
      <c r="O3440" s="12">
        <f>IF(M3440="","",ROUND(N3440-M3440,2))</f>
        <v/>
      </c>
      <c r="P3440" s="13">
        <f>IF(AND(A3440&lt;&gt;"",B3440&lt;&gt;""), A3440&amp;" · "&amp;B3440, "")</f>
        <v/>
      </c>
    </row>
    <row r="3441">
      <c r="A3441" s="6" t="inlineStr">
        <is>
          <t>FY27</t>
        </is>
      </c>
      <c r="B3441" s="6" t="inlineStr">
        <is>
          <t>Aug</t>
        </is>
      </c>
      <c r="C3441" s="6" t="inlineStr">
        <is>
          <t>Kerala</t>
        </is>
      </c>
      <c r="D3441" s="7" t="inlineStr">
        <is>
          <t>KL55S3876</t>
        </is>
      </c>
      <c r="E3441" s="7" t="inlineStr">
        <is>
          <t>MARUTI SUZUKI</t>
        </is>
      </c>
      <c r="F3441" s="7" t="inlineStr">
        <is>
          <t>Wagon R</t>
        </is>
      </c>
      <c r="G3441" s="7" t="inlineStr">
        <is>
          <t>BIMAL MARUTI</t>
        </is>
      </c>
      <c r="H3441" s="7" t="inlineStr">
        <is>
          <t>Non-Captive</t>
        </is>
      </c>
      <c r="I3441" s="7" t="inlineStr">
        <is>
          <t>Mohammed Aslam K</t>
        </is>
      </c>
      <c r="J3441" s="8" t="n">
        <v>2015</v>
      </c>
      <c r="K3441" s="9" t="n">
        <v>82000</v>
      </c>
      <c r="L3441" s="10" t="n">
        <v>250000</v>
      </c>
      <c r="M3441" s="10" t="n">
        <v>8475</v>
      </c>
      <c r="N3441" s="11">
        <f>IF(M3441="","",ROUND(M3441*1.18,2))</f>
        <v/>
      </c>
      <c r="O3441" s="12">
        <f>IF(M3441="","",ROUND(N3441-M3441,2))</f>
        <v/>
      </c>
      <c r="P3441" s="13">
        <f>IF(AND(A3441&lt;&gt;"",B3441&lt;&gt;""), A3441&amp;" · "&amp;B3441, "")</f>
        <v/>
      </c>
    </row>
    <row r="3442">
      <c r="A3442" s="6" t="inlineStr">
        <is>
          <t>FY27</t>
        </is>
      </c>
      <c r="B3442" s="6" t="inlineStr">
        <is>
          <t>Aug</t>
        </is>
      </c>
      <c r="C3442" s="6" t="inlineStr">
        <is>
          <t>Kerala</t>
        </is>
      </c>
      <c r="D3442" s="7" t="inlineStr">
        <is>
          <t>KL56D8358</t>
        </is>
      </c>
      <c r="E3442" s="7" t="inlineStr">
        <is>
          <t>MARUTI SUZUKI</t>
        </is>
      </c>
      <c r="F3442" s="7" t="inlineStr">
        <is>
          <t>Alto</t>
        </is>
      </c>
      <c r="G3442" s="7" t="inlineStr">
        <is>
          <t>POPULAR MARUTI</t>
        </is>
      </c>
      <c r="H3442" s="7" t="inlineStr">
        <is>
          <t>Non-Captive</t>
        </is>
      </c>
      <c r="I3442" s="7" t="inlineStr">
        <is>
          <t>UNAIS</t>
        </is>
      </c>
      <c r="J3442" s="8" t="n">
        <v>2011</v>
      </c>
      <c r="K3442" s="9" t="n">
        <v>147000</v>
      </c>
      <c r="L3442" s="10" t="n">
        <v>80000</v>
      </c>
      <c r="M3442" s="10" t="n">
        <v>8475</v>
      </c>
      <c r="N3442" s="11">
        <f>IF(M3442="","",ROUND(M3442*1.18,2))</f>
        <v/>
      </c>
      <c r="O3442" s="12">
        <f>IF(M3442="","",ROUND(N3442-M3442,2))</f>
        <v/>
      </c>
      <c r="P3442" s="13">
        <f>IF(AND(A3442&lt;&gt;"",B3442&lt;&gt;""), A3442&amp;" · "&amp;B3442, "")</f>
        <v/>
      </c>
    </row>
    <row r="3443">
      <c r="A3443" s="6" t="inlineStr">
        <is>
          <t>FY27</t>
        </is>
      </c>
      <c r="B3443" s="6" t="inlineStr">
        <is>
          <t>Aug</t>
        </is>
      </c>
      <c r="C3443" s="6" t="inlineStr">
        <is>
          <t>Kerala</t>
        </is>
      </c>
      <c r="D3443" s="7" t="inlineStr">
        <is>
          <t>KL56E2645</t>
        </is>
      </c>
      <c r="E3443" s="7" t="inlineStr">
        <is>
          <t>HYUNDAI</t>
        </is>
      </c>
      <c r="F3443" s="7" t="inlineStr">
        <is>
          <t>Eon</t>
        </is>
      </c>
      <c r="G3443" s="7" t="inlineStr">
        <is>
          <t>POPULAR MARUTI</t>
        </is>
      </c>
      <c r="H3443" s="7" t="inlineStr">
        <is>
          <t>Non-Captive</t>
        </is>
      </c>
      <c r="I3443" s="7" t="inlineStr">
        <is>
          <t>SANOOP K M</t>
        </is>
      </c>
      <c r="J3443" s="8" t="n">
        <v>2012</v>
      </c>
      <c r="K3443" s="9" t="n">
        <v>65000</v>
      </c>
      <c r="L3443" s="10" t="n">
        <v>75000</v>
      </c>
      <c r="M3443" s="10" t="n">
        <v>8475</v>
      </c>
      <c r="N3443" s="11">
        <f>IF(M3443="","",ROUND(M3443*1.18,2))</f>
        <v/>
      </c>
      <c r="O3443" s="12">
        <f>IF(M3443="","",ROUND(N3443-M3443,2))</f>
        <v/>
      </c>
      <c r="P3443" s="13">
        <f>IF(AND(A3443&lt;&gt;"",B3443&lt;&gt;""), A3443&amp;" · "&amp;B3443, "")</f>
        <v/>
      </c>
    </row>
    <row r="3444">
      <c r="A3444" s="6" t="inlineStr">
        <is>
          <t>FY27</t>
        </is>
      </c>
      <c r="B3444" s="6" t="inlineStr">
        <is>
          <t>Aug</t>
        </is>
      </c>
      <c r="C3444" s="6" t="inlineStr">
        <is>
          <t>Kerala</t>
        </is>
      </c>
      <c r="D3444" s="7" t="inlineStr">
        <is>
          <t>KL56Q5411</t>
        </is>
      </c>
      <c r="E3444" s="7" t="inlineStr">
        <is>
          <t>MARUTI SUZUKI</t>
        </is>
      </c>
      <c r="F3444" s="7" t="inlineStr">
        <is>
          <t>Celerio</t>
        </is>
      </c>
      <c r="G3444" s="7" t="inlineStr">
        <is>
          <t>VW</t>
        </is>
      </c>
      <c r="H3444" s="7" t="inlineStr">
        <is>
          <t>Non-Captive</t>
        </is>
      </c>
      <c r="I3444" s="7" t="inlineStr">
        <is>
          <t>DELUXE MOTORS</t>
        </is>
      </c>
      <c r="J3444" s="8" t="n">
        <v>2017</v>
      </c>
      <c r="K3444" s="9" t="n">
        <v>56000</v>
      </c>
      <c r="L3444" s="10" t="n">
        <v>315000</v>
      </c>
      <c r="M3444" s="10" t="n">
        <v>12712</v>
      </c>
      <c r="N3444" s="11">
        <f>IF(M3444="","",ROUND(M3444*1.18,2))</f>
        <v/>
      </c>
      <c r="O3444" s="12">
        <f>IF(M3444="","",ROUND(N3444-M3444,2))</f>
        <v/>
      </c>
      <c r="P3444" s="13">
        <f>IF(AND(A3444&lt;&gt;"",B3444&lt;&gt;""), A3444&amp;" · "&amp;B3444, "")</f>
        <v/>
      </c>
    </row>
    <row r="3445">
      <c r="A3445" s="6" t="inlineStr">
        <is>
          <t>FY27</t>
        </is>
      </c>
      <c r="B3445" s="6" t="inlineStr">
        <is>
          <t>Aug</t>
        </is>
      </c>
      <c r="C3445" s="6" t="inlineStr">
        <is>
          <t>Kerala</t>
        </is>
      </c>
      <c r="D3445" s="7" t="inlineStr">
        <is>
          <t>KL57L8628</t>
        </is>
      </c>
      <c r="E3445" s="7" t="inlineStr">
        <is>
          <t>MARUTI SUZUKI</t>
        </is>
      </c>
      <c r="F3445" s="7" t="inlineStr">
        <is>
          <t>Wagon R</t>
        </is>
      </c>
      <c r="G3445" s="7" t="inlineStr">
        <is>
          <t>BIMAL</t>
        </is>
      </c>
      <c r="H3445" s="7" t="inlineStr">
        <is>
          <t>Non-Captive</t>
        </is>
      </c>
      <c r="I3445" s="7" t="inlineStr">
        <is>
          <t>MUHAMMED NISAB</t>
        </is>
      </c>
      <c r="J3445" s="8" t="n"/>
      <c r="K3445" s="9" t="n">
        <v>71900</v>
      </c>
      <c r="L3445" s="10" t="n">
        <v>285000</v>
      </c>
      <c r="M3445" s="10" t="n">
        <v>8475</v>
      </c>
      <c r="N3445" s="11">
        <f>IF(M3445="","",ROUND(M3445*1.18,2))</f>
        <v/>
      </c>
      <c r="O3445" s="12">
        <f>IF(M3445="","",ROUND(N3445-M3445,2))</f>
        <v/>
      </c>
      <c r="P3445" s="13">
        <f>IF(AND(A3445&lt;&gt;"",B3445&lt;&gt;""), A3445&amp;" · "&amp;B3445, "")</f>
        <v/>
      </c>
    </row>
    <row r="3446">
      <c r="A3446" s="6" t="inlineStr">
        <is>
          <t>FY27</t>
        </is>
      </c>
      <c r="B3446" s="6" t="inlineStr">
        <is>
          <t>Aug</t>
        </is>
      </c>
      <c r="C3446" s="6" t="inlineStr">
        <is>
          <t>Kerala</t>
        </is>
      </c>
      <c r="D3446" s="7" t="inlineStr">
        <is>
          <t>KL58B3563</t>
        </is>
      </c>
      <c r="E3446" s="7" t="inlineStr">
        <is>
          <t>MARUTI SUZUKI</t>
        </is>
      </c>
      <c r="F3446" s="7" t="inlineStr">
        <is>
          <t>Alto</t>
        </is>
      </c>
      <c r="G3446" s="7" t="inlineStr">
        <is>
          <t>POPULAR MARUTI</t>
        </is>
      </c>
      <c r="H3446" s="7" t="inlineStr">
        <is>
          <t>Non-Captive</t>
        </is>
      </c>
      <c r="I3446" s="7" t="inlineStr">
        <is>
          <t>SHANMUKHADAS C</t>
        </is>
      </c>
      <c r="J3446" s="8" t="n">
        <v>2008</v>
      </c>
      <c r="K3446" s="9" t="n">
        <v>80000</v>
      </c>
      <c r="L3446" s="10" t="n">
        <v>88000</v>
      </c>
      <c r="M3446" s="10" t="n">
        <v>6780</v>
      </c>
      <c r="N3446" s="11">
        <f>IF(M3446="","",ROUND(M3446*1.18,2))</f>
        <v/>
      </c>
      <c r="O3446" s="12">
        <f>IF(M3446="","",ROUND(N3446-M3446,2))</f>
        <v/>
      </c>
      <c r="P3446" s="13">
        <f>IF(AND(A3446&lt;&gt;"",B3446&lt;&gt;""), A3446&amp;" · "&amp;B3446, "")</f>
        <v/>
      </c>
    </row>
    <row r="3447">
      <c r="A3447" s="6" t="inlineStr">
        <is>
          <t>FY27</t>
        </is>
      </c>
      <c r="B3447" s="6" t="inlineStr">
        <is>
          <t>Aug</t>
        </is>
      </c>
      <c r="C3447" s="6" t="inlineStr">
        <is>
          <t>Kerala</t>
        </is>
      </c>
      <c r="D3447" s="7" t="inlineStr">
        <is>
          <t>KL58M2069</t>
        </is>
      </c>
      <c r="E3447" s="7" t="inlineStr">
        <is>
          <t>MARUTI SUZUKI</t>
        </is>
      </c>
      <c r="F3447" s="7" t="inlineStr">
        <is>
          <t>Alto 800</t>
        </is>
      </c>
      <c r="G3447" s="7" t="inlineStr">
        <is>
          <t>POPULAR MARUTI</t>
        </is>
      </c>
      <c r="H3447" s="7" t="inlineStr">
        <is>
          <t>Non-Captive</t>
        </is>
      </c>
      <c r="I3447" s="7" t="inlineStr">
        <is>
          <t>MAHESH CARBAZAR</t>
        </is>
      </c>
      <c r="J3447" s="8" t="n">
        <v>2013</v>
      </c>
      <c r="K3447" s="9" t="n">
        <v>150000</v>
      </c>
      <c r="L3447" s="10" t="n">
        <v>125000</v>
      </c>
      <c r="M3447" s="10" t="n">
        <v>8475</v>
      </c>
      <c r="N3447" s="11">
        <f>IF(M3447="","",ROUND(M3447*1.18,2))</f>
        <v/>
      </c>
      <c r="O3447" s="12">
        <f>IF(M3447="","",ROUND(N3447-M3447,2))</f>
        <v/>
      </c>
      <c r="P3447" s="13">
        <f>IF(AND(A3447&lt;&gt;"",B3447&lt;&gt;""), A3447&amp;" · "&amp;B3447, "")</f>
        <v/>
      </c>
    </row>
    <row r="3448">
      <c r="A3448" s="6" t="inlineStr">
        <is>
          <t>FY27</t>
        </is>
      </c>
      <c r="B3448" s="6" t="inlineStr">
        <is>
          <t>Aug</t>
        </is>
      </c>
      <c r="C3448" s="6" t="inlineStr">
        <is>
          <t>Kerala</t>
        </is>
      </c>
      <c r="D3448" s="7" t="inlineStr">
        <is>
          <t>KL592444</t>
        </is>
      </c>
      <c r="E3448" s="7" t="inlineStr">
        <is>
          <t>MARUTI SUZUKI</t>
        </is>
      </c>
      <c r="F3448" s="7" t="inlineStr">
        <is>
          <t>Alto</t>
        </is>
      </c>
      <c r="G3448" s="7" t="inlineStr">
        <is>
          <t>POPULAR MARUTI</t>
        </is>
      </c>
      <c r="H3448" s="7" t="inlineStr">
        <is>
          <t>Non-Captive</t>
        </is>
      </c>
      <c r="I3448" s="7" t="inlineStr">
        <is>
          <t>MUSTAFA POOKOYA</t>
        </is>
      </c>
      <c r="J3448" s="8" t="n">
        <v>2006</v>
      </c>
      <c r="K3448" s="9" t="n">
        <v>139000</v>
      </c>
      <c r="L3448" s="10" t="n">
        <v>28500</v>
      </c>
      <c r="M3448" s="10" t="n">
        <v>7203</v>
      </c>
      <c r="N3448" s="11">
        <f>IF(M3448="","",ROUND(M3448*1.18,2))</f>
        <v/>
      </c>
      <c r="O3448" s="12">
        <f>IF(M3448="","",ROUND(N3448-M3448,2))</f>
        <v/>
      </c>
      <c r="P3448" s="13">
        <f>IF(AND(A3448&lt;&gt;"",B3448&lt;&gt;""), A3448&amp;" · "&amp;B3448, "")</f>
        <v/>
      </c>
    </row>
    <row r="3449">
      <c r="A3449" s="6" t="inlineStr">
        <is>
          <t>FY27</t>
        </is>
      </c>
      <c r="B3449" s="6" t="inlineStr">
        <is>
          <t>Aug</t>
        </is>
      </c>
      <c r="C3449" s="6" t="inlineStr">
        <is>
          <t>Kerala</t>
        </is>
      </c>
      <c r="D3449" s="7" t="inlineStr">
        <is>
          <t>KL59H5931</t>
        </is>
      </c>
      <c r="E3449" s="7" t="inlineStr">
        <is>
          <t>MARUTI SUZUKI</t>
        </is>
      </c>
      <c r="F3449" s="7" t="inlineStr">
        <is>
          <t>Alto 800</t>
        </is>
      </c>
      <c r="G3449" s="7" t="inlineStr">
        <is>
          <t>POPULAR MARUTI</t>
        </is>
      </c>
      <c r="H3449" s="7" t="inlineStr">
        <is>
          <t>Non-Captive</t>
        </is>
      </c>
      <c r="I3449" s="7" t="inlineStr">
        <is>
          <t>KANNUR PLATINUM DRIVE</t>
        </is>
      </c>
      <c r="J3449" s="8" t="n">
        <v>2013</v>
      </c>
      <c r="K3449" s="9" t="n">
        <v>77000</v>
      </c>
      <c r="L3449" s="10" t="n">
        <v>140000</v>
      </c>
      <c r="M3449" s="10" t="n">
        <v>8475</v>
      </c>
      <c r="N3449" s="11">
        <f>IF(M3449="","",ROUND(M3449*1.18,2))</f>
        <v/>
      </c>
      <c r="O3449" s="12">
        <f>IF(M3449="","",ROUND(N3449-M3449,2))</f>
        <v/>
      </c>
      <c r="P3449" s="13">
        <f>IF(AND(A3449&lt;&gt;"",B3449&lt;&gt;""), A3449&amp;" · "&amp;B3449, "")</f>
        <v/>
      </c>
    </row>
    <row r="3450">
      <c r="A3450" s="6" t="inlineStr">
        <is>
          <t>FY27</t>
        </is>
      </c>
      <c r="B3450" s="6" t="inlineStr">
        <is>
          <t>Aug</t>
        </is>
      </c>
      <c r="C3450" s="6" t="inlineStr">
        <is>
          <t>Kerala</t>
        </is>
      </c>
      <c r="D3450" s="7" t="inlineStr">
        <is>
          <t>KL59J7247</t>
        </is>
      </c>
      <c r="E3450" s="7" t="inlineStr">
        <is>
          <t>MARUTI SUZUKI</t>
        </is>
      </c>
      <c r="F3450" s="7" t="inlineStr">
        <is>
          <t>Alto 800</t>
        </is>
      </c>
      <c r="G3450" s="7" t="inlineStr">
        <is>
          <t>KVR TATA</t>
        </is>
      </c>
      <c r="H3450" s="7" t="inlineStr">
        <is>
          <t>Non-Captive</t>
        </is>
      </c>
      <c r="I3450" s="7" t="inlineStr">
        <is>
          <t>SABITH</t>
        </is>
      </c>
      <c r="J3450" s="8" t="n">
        <v>2014</v>
      </c>
      <c r="K3450" s="9" t="n">
        <v>178000</v>
      </c>
      <c r="L3450" s="10" t="n">
        <v>95000</v>
      </c>
      <c r="M3450" s="10" t="n">
        <v>4237</v>
      </c>
      <c r="N3450" s="11">
        <f>IF(M3450="","",ROUND(M3450*1.18,2))</f>
        <v/>
      </c>
      <c r="O3450" s="12">
        <f>IF(M3450="","",ROUND(N3450-M3450,2))</f>
        <v/>
      </c>
      <c r="P3450" s="13">
        <f>IF(AND(A3450&lt;&gt;"",B3450&lt;&gt;""), A3450&amp;" · "&amp;B3450, "")</f>
        <v/>
      </c>
    </row>
    <row r="3451">
      <c r="A3451" s="6" t="inlineStr">
        <is>
          <t>FY27</t>
        </is>
      </c>
      <c r="B3451" s="6" t="inlineStr">
        <is>
          <t>Aug</t>
        </is>
      </c>
      <c r="C3451" s="6" t="inlineStr">
        <is>
          <t>Kerala</t>
        </is>
      </c>
      <c r="D3451" s="7" t="inlineStr">
        <is>
          <t>KL59K6635</t>
        </is>
      </c>
      <c r="E3451" s="7" t="inlineStr">
        <is>
          <t>MARUTI SUZUKI</t>
        </is>
      </c>
      <c r="F3451" s="7" t="inlineStr">
        <is>
          <t>Celerio</t>
        </is>
      </c>
      <c r="G3451" s="7" t="inlineStr">
        <is>
          <t>POPULAR MARUTI</t>
        </is>
      </c>
      <c r="H3451" s="7" t="inlineStr">
        <is>
          <t>Non-Captive</t>
        </is>
      </c>
      <c r="I3451" s="7" t="inlineStr">
        <is>
          <t>MUHAMMED ANEES T C</t>
        </is>
      </c>
      <c r="J3451" s="8" t="n">
        <v>2014</v>
      </c>
      <c r="K3451" s="9" t="n">
        <v>88000</v>
      </c>
      <c r="L3451" s="10" t="n">
        <v>240000</v>
      </c>
      <c r="M3451" s="10" t="n">
        <v>8475</v>
      </c>
      <c r="N3451" s="11">
        <f>IF(M3451="","",ROUND(M3451*1.18,2))</f>
        <v/>
      </c>
      <c r="O3451" s="12">
        <f>IF(M3451="","",ROUND(N3451-M3451,2))</f>
        <v/>
      </c>
      <c r="P3451" s="13">
        <f>IF(AND(A3451&lt;&gt;"",B3451&lt;&gt;""), A3451&amp;" · "&amp;B3451, "")</f>
        <v/>
      </c>
    </row>
    <row r="3452">
      <c r="A3452" s="6" t="inlineStr">
        <is>
          <t>FY27</t>
        </is>
      </c>
      <c r="B3452" s="6" t="inlineStr">
        <is>
          <t>Aug</t>
        </is>
      </c>
      <c r="C3452" s="6" t="inlineStr">
        <is>
          <t>Kerala</t>
        </is>
      </c>
      <c r="D3452" s="7" t="inlineStr">
        <is>
          <t>KL59Q8815</t>
        </is>
      </c>
      <c r="E3452" s="7" t="inlineStr">
        <is>
          <t>MARUTI SUZUKI</t>
        </is>
      </c>
      <c r="F3452" s="7" t="inlineStr">
        <is>
          <t>Swift</t>
        </is>
      </c>
      <c r="G3452" s="7" t="inlineStr">
        <is>
          <t>DKH KIA</t>
        </is>
      </c>
      <c r="H3452" s="7" t="inlineStr">
        <is>
          <t>Non-Captive</t>
        </is>
      </c>
      <c r="I3452" s="7" t="inlineStr">
        <is>
          <t>AKHIL K</t>
        </is>
      </c>
      <c r="J3452" s="8" t="n">
        <v>2017</v>
      </c>
      <c r="K3452" s="9" t="n">
        <v>99000</v>
      </c>
      <c r="L3452" s="10" t="n">
        <v>385000</v>
      </c>
      <c r="M3452" s="10" t="n">
        <v>4237</v>
      </c>
      <c r="N3452" s="11">
        <f>IF(M3452="","",ROUND(M3452*1.18,2))</f>
        <v/>
      </c>
      <c r="O3452" s="12">
        <f>IF(M3452="","",ROUND(N3452-M3452,2))</f>
        <v/>
      </c>
      <c r="P3452" s="13">
        <f>IF(AND(A3452&lt;&gt;"",B3452&lt;&gt;""), A3452&amp;" · "&amp;B3452, "")</f>
        <v/>
      </c>
    </row>
    <row r="3453">
      <c r="A3453" s="6" t="inlineStr">
        <is>
          <t>FY27</t>
        </is>
      </c>
      <c r="B3453" s="6" t="inlineStr">
        <is>
          <t>Aug</t>
        </is>
      </c>
      <c r="C3453" s="6" t="inlineStr">
        <is>
          <t>Kerala</t>
        </is>
      </c>
      <c r="D3453" s="7" t="inlineStr">
        <is>
          <t>KL60B2199</t>
        </is>
      </c>
      <c r="E3453" s="7" t="inlineStr">
        <is>
          <t>MARUTI SUZUKI</t>
        </is>
      </c>
      <c r="F3453" s="7" t="inlineStr">
        <is>
          <t>Alto</t>
        </is>
      </c>
      <c r="G3453" s="7" t="inlineStr">
        <is>
          <t>POPULAR MARUTI</t>
        </is>
      </c>
      <c r="H3453" s="7" t="inlineStr">
        <is>
          <t>Non-Captive</t>
        </is>
      </c>
      <c r="I3453" s="7" t="inlineStr">
        <is>
          <t>HIBA NAZRIN</t>
        </is>
      </c>
      <c r="J3453" s="8" t="n">
        <v>2009</v>
      </c>
      <c r="K3453" s="9" t="n">
        <v>104000</v>
      </c>
      <c r="L3453" s="10" t="n">
        <v>78000</v>
      </c>
      <c r="M3453" s="10" t="n">
        <v>6780</v>
      </c>
      <c r="N3453" s="11">
        <f>IF(M3453="","",ROUND(M3453*1.18,2))</f>
        <v/>
      </c>
      <c r="O3453" s="12">
        <f>IF(M3453="","",ROUND(N3453-M3453,2))</f>
        <v/>
      </c>
      <c r="P3453" s="13">
        <f>IF(AND(A3453&lt;&gt;"",B3453&lt;&gt;""), A3453&amp;" · "&amp;B3453, "")</f>
        <v/>
      </c>
    </row>
    <row r="3454">
      <c r="A3454" s="6" t="inlineStr">
        <is>
          <t>FY27</t>
        </is>
      </c>
      <c r="B3454" s="6" t="inlineStr">
        <is>
          <t>Aug</t>
        </is>
      </c>
      <c r="C3454" s="6" t="inlineStr">
        <is>
          <t>Kerala</t>
        </is>
      </c>
      <c r="D3454" s="7" t="inlineStr">
        <is>
          <t>KL60B9539</t>
        </is>
      </c>
      <c r="E3454" s="7" t="inlineStr">
        <is>
          <t>MARUTI SUZUKI</t>
        </is>
      </c>
      <c r="F3454" s="7" t="inlineStr">
        <is>
          <t>Alto</t>
        </is>
      </c>
      <c r="G3454" s="7" t="inlineStr">
        <is>
          <t>POPULAR MARUTI</t>
        </is>
      </c>
      <c r="H3454" s="7" t="inlineStr">
        <is>
          <t>Non-Captive</t>
        </is>
      </c>
      <c r="I3454" s="7" t="inlineStr">
        <is>
          <t>JIMMY THOMAS</t>
        </is>
      </c>
      <c r="J3454" s="8" t="n">
        <v>2010</v>
      </c>
      <c r="K3454" s="9" t="n">
        <v>99000</v>
      </c>
      <c r="L3454" s="10" t="n">
        <v>70000</v>
      </c>
      <c r="M3454" s="10" t="n">
        <v>8475</v>
      </c>
      <c r="N3454" s="11">
        <f>IF(M3454="","",ROUND(M3454*1.18,2))</f>
        <v/>
      </c>
      <c r="O3454" s="12">
        <f>IF(M3454="","",ROUND(N3454-M3454,2))</f>
        <v/>
      </c>
      <c r="P3454" s="13">
        <f>IF(AND(A3454&lt;&gt;"",B3454&lt;&gt;""), A3454&amp;" · "&amp;B3454, "")</f>
        <v/>
      </c>
    </row>
    <row r="3455">
      <c r="A3455" s="6" t="inlineStr">
        <is>
          <t>FY27</t>
        </is>
      </c>
      <c r="B3455" s="6" t="inlineStr">
        <is>
          <t>Aug</t>
        </is>
      </c>
      <c r="C3455" s="6" t="inlineStr">
        <is>
          <t>Kerala</t>
        </is>
      </c>
      <c r="D3455" s="7" t="inlineStr">
        <is>
          <t>KL60C4953</t>
        </is>
      </c>
      <c r="E3455" s="7" t="inlineStr">
        <is>
          <t>MARUTI SUZUKI</t>
        </is>
      </c>
      <c r="F3455" s="7" t="inlineStr">
        <is>
          <t>Alto</t>
        </is>
      </c>
      <c r="G3455" s="7" t="inlineStr">
        <is>
          <t>POPULAR MARUTI</t>
        </is>
      </c>
      <c r="H3455" s="7" t="inlineStr">
        <is>
          <t>Non-Captive</t>
        </is>
      </c>
      <c r="I3455" s="7" t="inlineStr">
        <is>
          <t>BASHEER</t>
        </is>
      </c>
      <c r="J3455" s="8" t="n">
        <v>2011</v>
      </c>
      <c r="K3455" s="9" t="n">
        <v>90000</v>
      </c>
      <c r="L3455" s="10" t="n">
        <v>85000</v>
      </c>
      <c r="M3455" s="10" t="n">
        <v>8475</v>
      </c>
      <c r="N3455" s="11">
        <f>IF(M3455="","",ROUND(M3455*1.18,2))</f>
        <v/>
      </c>
      <c r="O3455" s="12">
        <f>IF(M3455="","",ROUND(N3455-M3455,2))</f>
        <v/>
      </c>
      <c r="P3455" s="13">
        <f>IF(AND(A3455&lt;&gt;"",B3455&lt;&gt;""), A3455&amp;" · "&amp;B3455, "")</f>
        <v/>
      </c>
    </row>
    <row r="3456">
      <c r="A3456" s="6" t="inlineStr">
        <is>
          <t>FY27</t>
        </is>
      </c>
      <c r="B3456" s="6" t="inlineStr">
        <is>
          <t>Aug</t>
        </is>
      </c>
      <c r="C3456" s="6" t="inlineStr">
        <is>
          <t>Kerala</t>
        </is>
      </c>
      <c r="D3456" s="7" t="inlineStr">
        <is>
          <t>KL60E9392</t>
        </is>
      </c>
      <c r="E3456" s="7" t="inlineStr">
        <is>
          <t>MARUTI SUZUKI</t>
        </is>
      </c>
      <c r="F3456" s="7" t="inlineStr">
        <is>
          <t>Alto 800</t>
        </is>
      </c>
      <c r="G3456" s="7" t="inlineStr">
        <is>
          <t>POPULAR MARUTI</t>
        </is>
      </c>
      <c r="H3456" s="7" t="inlineStr">
        <is>
          <t>Non-Captive</t>
        </is>
      </c>
      <c r="I3456" s="7" t="inlineStr">
        <is>
          <t>FAREEDA CARS</t>
        </is>
      </c>
      <c r="J3456" s="8" t="n">
        <v>2012</v>
      </c>
      <c r="K3456" s="9" t="n">
        <v>123000</v>
      </c>
      <c r="L3456" s="10" t="n">
        <v>115000</v>
      </c>
      <c r="M3456" s="10" t="n">
        <v>8475</v>
      </c>
      <c r="N3456" s="11">
        <f>IF(M3456="","",ROUND(M3456*1.18,2))</f>
        <v/>
      </c>
      <c r="O3456" s="12">
        <f>IF(M3456="","",ROUND(N3456-M3456,2))</f>
        <v/>
      </c>
      <c r="P3456" s="13">
        <f>IF(AND(A3456&lt;&gt;"",B3456&lt;&gt;""), A3456&amp;" · "&amp;B3456, "")</f>
        <v/>
      </c>
    </row>
    <row r="3457">
      <c r="A3457" s="6" t="inlineStr">
        <is>
          <t>FY27</t>
        </is>
      </c>
      <c r="B3457" s="6" t="inlineStr">
        <is>
          <t>Aug</t>
        </is>
      </c>
      <c r="C3457" s="6" t="inlineStr">
        <is>
          <t>Kerala</t>
        </is>
      </c>
      <c r="D3457" s="7" t="inlineStr">
        <is>
          <t>KL60G5547</t>
        </is>
      </c>
      <c r="E3457" s="7" t="inlineStr">
        <is>
          <t>MARUTI SUZUKI</t>
        </is>
      </c>
      <c r="F3457" s="7" t="inlineStr">
        <is>
          <t>Ritz</t>
        </is>
      </c>
      <c r="G3457" s="7" t="inlineStr">
        <is>
          <t>POPULAR MARUTI</t>
        </is>
      </c>
      <c r="H3457" s="7" t="inlineStr">
        <is>
          <t>Non-Captive</t>
        </is>
      </c>
      <c r="I3457" s="7" t="inlineStr">
        <is>
          <t>SHANMUKHADAS C</t>
        </is>
      </c>
      <c r="J3457" s="8" t="n">
        <v>2014</v>
      </c>
      <c r="K3457" s="9" t="n">
        <v>115000</v>
      </c>
      <c r="L3457" s="10" t="n">
        <v>240000</v>
      </c>
      <c r="M3457" s="10" t="n">
        <v>8475</v>
      </c>
      <c r="N3457" s="11">
        <f>IF(M3457="","",ROUND(M3457*1.18,2))</f>
        <v/>
      </c>
      <c r="O3457" s="12">
        <f>IF(M3457="","",ROUND(N3457-M3457,2))</f>
        <v/>
      </c>
      <c r="P3457" s="13">
        <f>IF(AND(A3457&lt;&gt;"",B3457&lt;&gt;""), A3457&amp;" · "&amp;B3457, "")</f>
        <v/>
      </c>
    </row>
    <row r="3458">
      <c r="A3458" s="6" t="inlineStr">
        <is>
          <t>FY27</t>
        </is>
      </c>
      <c r="B3458" s="6" t="inlineStr">
        <is>
          <t>Aug</t>
        </is>
      </c>
      <c r="C3458" s="6" t="inlineStr">
        <is>
          <t>Kerala</t>
        </is>
      </c>
      <c r="D3458" s="7" t="inlineStr">
        <is>
          <t>KL61B0231</t>
        </is>
      </c>
      <c r="E3458" s="7" t="inlineStr">
        <is>
          <t>MARUTI SUZUKI</t>
        </is>
      </c>
      <c r="F3458" s="7" t="inlineStr">
        <is>
          <t>Alto</t>
        </is>
      </c>
      <c r="G3458" s="7" t="inlineStr">
        <is>
          <t>POPULAR MARUTI</t>
        </is>
      </c>
      <c r="H3458" s="7" t="inlineStr">
        <is>
          <t>Non-Captive</t>
        </is>
      </c>
      <c r="I3458" s="7" t="inlineStr">
        <is>
          <t>MARVEL MOTORS</t>
        </is>
      </c>
      <c r="J3458" s="8" t="n">
        <v>2014</v>
      </c>
      <c r="K3458" s="9" t="n">
        <v>104526</v>
      </c>
      <c r="L3458" s="10" t="n">
        <v>150000</v>
      </c>
      <c r="M3458" s="10" t="n">
        <v>8475</v>
      </c>
      <c r="N3458" s="11">
        <f>IF(M3458="","",ROUND(M3458*1.18,2))</f>
        <v/>
      </c>
      <c r="O3458" s="12">
        <f>IF(M3458="","",ROUND(N3458-M3458,2))</f>
        <v/>
      </c>
      <c r="P3458" s="13">
        <f>IF(AND(A3458&lt;&gt;"",B3458&lt;&gt;""), A3458&amp;" · "&amp;B3458, "")</f>
        <v/>
      </c>
    </row>
    <row r="3459">
      <c r="A3459" s="6" t="inlineStr">
        <is>
          <t>FY27</t>
        </is>
      </c>
      <c r="B3459" s="6" t="inlineStr">
        <is>
          <t>Aug</t>
        </is>
      </c>
      <c r="C3459" s="6" t="inlineStr">
        <is>
          <t>Kerala</t>
        </is>
      </c>
      <c r="D3459" s="7" t="inlineStr">
        <is>
          <t>KL61D4843</t>
        </is>
      </c>
      <c r="E3459" s="7" t="inlineStr">
        <is>
          <t>HYUNDAI</t>
        </is>
      </c>
      <c r="F3459" s="7" t="inlineStr">
        <is>
          <t>Eon</t>
        </is>
      </c>
      <c r="G3459" s="7" t="inlineStr">
        <is>
          <t>MG FORTUNE</t>
        </is>
      </c>
      <c r="H3459" s="7" t="inlineStr">
        <is>
          <t>Non-Captive</t>
        </is>
      </c>
      <c r="I3459" s="7" t="inlineStr">
        <is>
          <t>AKHILNATH</t>
        </is>
      </c>
      <c r="J3459" s="8" t="n">
        <v>2018</v>
      </c>
      <c r="K3459" s="9" t="n">
        <v>54777</v>
      </c>
      <c r="L3459" s="10" t="n">
        <v>187500</v>
      </c>
      <c r="M3459" s="10" t="n">
        <v>6356</v>
      </c>
      <c r="N3459" s="11">
        <f>IF(M3459="","",ROUND(M3459*1.18,2))</f>
        <v/>
      </c>
      <c r="O3459" s="12">
        <f>IF(M3459="","",ROUND(N3459-M3459,2))</f>
        <v/>
      </c>
      <c r="P3459" s="13">
        <f>IF(AND(A3459&lt;&gt;"",B3459&lt;&gt;""), A3459&amp;" · "&amp;B3459, "")</f>
        <v/>
      </c>
    </row>
    <row r="3460">
      <c r="A3460" s="6" t="inlineStr">
        <is>
          <t>FY27</t>
        </is>
      </c>
      <c r="B3460" s="6" t="inlineStr">
        <is>
          <t>Aug</t>
        </is>
      </c>
      <c r="C3460" s="6" t="inlineStr">
        <is>
          <t>Kerala</t>
        </is>
      </c>
      <c r="D3460" s="7" t="inlineStr">
        <is>
          <t>KL632343</t>
        </is>
      </c>
      <c r="E3460" s="7" t="inlineStr">
        <is>
          <t>FORD</t>
        </is>
      </c>
      <c r="F3460" s="7" t="inlineStr">
        <is>
          <t>Figo</t>
        </is>
      </c>
      <c r="G3460" s="7" t="inlineStr">
        <is>
          <t>CARS24</t>
        </is>
      </c>
      <c r="H3460" s="7" t="inlineStr">
        <is>
          <t>Non-Captive</t>
        </is>
      </c>
      <c r="I3460" s="7" t="inlineStr">
        <is>
          <t>VTJ</t>
        </is>
      </c>
      <c r="J3460" s="8" t="n">
        <v>2011</v>
      </c>
      <c r="K3460" s="9" t="n">
        <v>167910</v>
      </c>
      <c r="L3460" s="10" t="n">
        <v>100000</v>
      </c>
      <c r="M3460" s="10" t="n">
        <v>8475</v>
      </c>
      <c r="N3460" s="11">
        <f>IF(M3460="","",ROUND(M3460*1.18,2))</f>
        <v/>
      </c>
      <c r="O3460" s="12">
        <f>IF(M3460="","",ROUND(N3460-M3460,2))</f>
        <v/>
      </c>
      <c r="P3460" s="13">
        <f>IF(AND(A3460&lt;&gt;"",B3460&lt;&gt;""), A3460&amp;" · "&amp;B3460, "")</f>
        <v/>
      </c>
    </row>
    <row r="3461">
      <c r="A3461" s="6" t="inlineStr">
        <is>
          <t>FY27</t>
        </is>
      </c>
      <c r="B3461" s="6" t="inlineStr">
        <is>
          <t>Aug</t>
        </is>
      </c>
      <c r="C3461" s="6" t="inlineStr">
        <is>
          <t>Kerala</t>
        </is>
      </c>
      <c r="D3461" s="7" t="inlineStr">
        <is>
          <t>KL67A8647</t>
        </is>
      </c>
      <c r="E3461" s="7" t="inlineStr">
        <is>
          <t>HYUNDAI</t>
        </is>
      </c>
      <c r="F3461" s="7" t="inlineStr">
        <is>
          <t>Eon</t>
        </is>
      </c>
      <c r="G3461" s="7" t="inlineStr">
        <is>
          <t>SAIF RASHEED</t>
        </is>
      </c>
      <c r="H3461" s="7" t="inlineStr">
        <is>
          <t>Non-Captive</t>
        </is>
      </c>
      <c r="I3461" s="7" t="inlineStr">
        <is>
          <t>ANAS VH</t>
        </is>
      </c>
      <c r="J3461" s="8" t="n">
        <v>2017</v>
      </c>
      <c r="K3461" s="9" t="n">
        <v>135454</v>
      </c>
      <c r="L3461" s="10" t="n">
        <v>185000</v>
      </c>
      <c r="M3461" s="10" t="n">
        <v>8475</v>
      </c>
      <c r="N3461" s="11">
        <f>IF(M3461="","",ROUND(M3461*1.18,2))</f>
        <v/>
      </c>
      <c r="O3461" s="12">
        <f>IF(M3461="","",ROUND(N3461-M3461,2))</f>
        <v/>
      </c>
      <c r="P3461" s="13">
        <f>IF(AND(A3461&lt;&gt;"",B3461&lt;&gt;""), A3461&amp;" · "&amp;B3461, "")</f>
        <v/>
      </c>
    </row>
    <row r="3462">
      <c r="A3462" s="6" t="inlineStr">
        <is>
          <t>FY27</t>
        </is>
      </c>
      <c r="B3462" s="6" t="inlineStr">
        <is>
          <t>Aug</t>
        </is>
      </c>
      <c r="C3462" s="6" t="inlineStr">
        <is>
          <t>Kerala</t>
        </is>
      </c>
      <c r="D3462" s="7" t="inlineStr">
        <is>
          <t>KL70E8465</t>
        </is>
      </c>
      <c r="E3462" s="7" t="inlineStr">
        <is>
          <t>HYUNDAI</t>
        </is>
      </c>
      <c r="F3462" s="7" t="inlineStr">
        <is>
          <t>Venue</t>
        </is>
      </c>
      <c r="G3462" s="7" t="inlineStr">
        <is>
          <t>PINNACLE MOTORS</t>
        </is>
      </c>
      <c r="H3462" s="7" t="inlineStr">
        <is>
          <t>Non-Captive</t>
        </is>
      </c>
      <c r="I3462" s="7" t="inlineStr">
        <is>
          <t>JAMSHEER</t>
        </is>
      </c>
      <c r="J3462" s="8" t="n">
        <v>2019</v>
      </c>
      <c r="K3462" s="9" t="n">
        <v>109000</v>
      </c>
      <c r="L3462" s="10" t="n">
        <v>460000</v>
      </c>
      <c r="M3462" s="10" t="n">
        <v>8475</v>
      </c>
      <c r="N3462" s="11">
        <f>IF(M3462="","",ROUND(M3462*1.18,2))</f>
        <v/>
      </c>
      <c r="O3462" s="12">
        <f>IF(M3462="","",ROUND(N3462-M3462,2))</f>
        <v/>
      </c>
      <c r="P3462" s="13">
        <f>IF(AND(A3462&lt;&gt;"",B3462&lt;&gt;""), A3462&amp;" · "&amp;B3462, "")</f>
        <v/>
      </c>
    </row>
    <row r="3463">
      <c r="A3463" s="6" t="inlineStr">
        <is>
          <t>FY27</t>
        </is>
      </c>
      <c r="B3463" s="6" t="inlineStr">
        <is>
          <t>Aug</t>
        </is>
      </c>
      <c r="C3463" s="6" t="inlineStr">
        <is>
          <t>TN</t>
        </is>
      </c>
      <c r="D3463" s="7" t="inlineStr">
        <is>
          <t>AP28BV8283</t>
        </is>
      </c>
      <c r="E3463" s="7" t="inlineStr">
        <is>
          <t>HONDA</t>
        </is>
      </c>
      <c r="F3463" s="7" t="inlineStr">
        <is>
          <t>Amaze</t>
        </is>
      </c>
      <c r="G3463" s="7" t="inlineStr">
        <is>
          <t>EXCHANGE ROTN</t>
        </is>
      </c>
      <c r="H3463" s="7" t="inlineStr">
        <is>
          <t>Captive</t>
        </is>
      </c>
      <c r="I3463" s="7" t="inlineStr">
        <is>
          <t>KSM Auto Consulting</t>
        </is>
      </c>
      <c r="J3463" s="8" t="n">
        <v>2013</v>
      </c>
      <c r="K3463" s="9" t="n">
        <v>120764</v>
      </c>
      <c r="L3463" s="10" t="n">
        <v>138830</v>
      </c>
      <c r="M3463" s="10" t="n">
        <v>16949.15</v>
      </c>
      <c r="N3463" s="11">
        <f>IF(M3463="","",ROUND(M3463*1.18,2))</f>
        <v/>
      </c>
      <c r="O3463" s="12">
        <f>IF(M3463="","",ROUND(N3463-M3463,2))</f>
        <v/>
      </c>
      <c r="P3463" s="13">
        <f>IF(AND(A3463&lt;&gt;"",B3463&lt;&gt;""), A3463&amp;" · "&amp;B3463, "")</f>
        <v/>
      </c>
    </row>
    <row r="3464">
      <c r="A3464" s="6" t="inlineStr">
        <is>
          <t>FY27</t>
        </is>
      </c>
      <c r="B3464" s="6" t="inlineStr">
        <is>
          <t>Aug</t>
        </is>
      </c>
      <c r="C3464" s="6" t="inlineStr">
        <is>
          <t>TN</t>
        </is>
      </c>
      <c r="D3464" s="7" t="inlineStr">
        <is>
          <t>KL01BR9042</t>
        </is>
      </c>
      <c r="E3464" s="7" t="inlineStr">
        <is>
          <t>MARUTI SUZUKI</t>
        </is>
      </c>
      <c r="F3464" s="7" t="inlineStr">
        <is>
          <t>Dzire</t>
        </is>
      </c>
      <c r="G3464" s="7" t="inlineStr">
        <is>
          <t>NIPPON MOTOR CORPORATION PVT LTD</t>
        </is>
      </c>
      <c r="H3464" s="7" t="inlineStr">
        <is>
          <t>Non-Captive</t>
        </is>
      </c>
      <c r="I3464" s="7" t="inlineStr">
        <is>
          <t>SHAMNAD AH</t>
        </is>
      </c>
      <c r="J3464" s="8" t="n">
        <v>2014</v>
      </c>
      <c r="K3464" s="9" t="n">
        <v>175084</v>
      </c>
      <c r="L3464" s="10" t="n">
        <v>155000</v>
      </c>
      <c r="M3464" s="10" t="n">
        <v>6016.95</v>
      </c>
      <c r="N3464" s="11">
        <f>IF(M3464="","",ROUND(M3464*1.18,2))</f>
        <v/>
      </c>
      <c r="O3464" s="12">
        <f>IF(M3464="","",ROUND(N3464-M3464,2))</f>
        <v/>
      </c>
      <c r="P3464" s="13">
        <f>IF(AND(A3464&lt;&gt;"",B3464&lt;&gt;""), A3464&amp;" · "&amp;B3464, "")</f>
        <v/>
      </c>
    </row>
    <row r="3465">
      <c r="A3465" s="6" t="inlineStr">
        <is>
          <t>FY27</t>
        </is>
      </c>
      <c r="B3465" s="6" t="inlineStr">
        <is>
          <t>Aug</t>
        </is>
      </c>
      <c r="C3465" s="6" t="inlineStr">
        <is>
          <t>TN</t>
        </is>
      </c>
      <c r="D3465" s="7" t="inlineStr">
        <is>
          <t>KL01BZ8100</t>
        </is>
      </c>
      <c r="E3465" s="7" t="inlineStr">
        <is>
          <t>HYUNDAI</t>
        </is>
      </c>
      <c r="F3465" s="7" t="inlineStr">
        <is>
          <t>Grand i10</t>
        </is>
      </c>
      <c r="G3465" s="7" t="inlineStr">
        <is>
          <t>SABU MATHEW</t>
        </is>
      </c>
      <c r="H3465" s="7" t="inlineStr">
        <is>
          <t>Non-Captive</t>
        </is>
      </c>
      <c r="I3465" s="7" t="inlineStr">
        <is>
          <t>Popular Thrissur</t>
        </is>
      </c>
      <c r="J3465" s="8" t="n">
        <v>2016</v>
      </c>
      <c r="K3465" s="9" t="n">
        <v>99518</v>
      </c>
      <c r="L3465" s="10" t="n">
        <v>155000</v>
      </c>
      <c r="M3465" s="10" t="n">
        <v>5000</v>
      </c>
      <c r="N3465" s="11">
        <f>IF(M3465="","",ROUND(M3465*1.18,2))</f>
        <v/>
      </c>
      <c r="O3465" s="12">
        <f>IF(M3465="","",ROUND(N3465-M3465,2))</f>
        <v/>
      </c>
      <c r="P3465" s="13">
        <f>IF(AND(A3465&lt;&gt;"",B3465&lt;&gt;""), A3465&amp;" · "&amp;B3465, "")</f>
        <v/>
      </c>
    </row>
    <row r="3466">
      <c r="A3466" s="6" t="inlineStr">
        <is>
          <t>FY27</t>
        </is>
      </c>
      <c r="B3466" s="6" t="inlineStr">
        <is>
          <t>Aug</t>
        </is>
      </c>
      <c r="C3466" s="6" t="inlineStr">
        <is>
          <t>TN</t>
        </is>
      </c>
      <c r="D3466" s="7" t="inlineStr">
        <is>
          <t>KL01CA593</t>
        </is>
      </c>
      <c r="E3466" s="7" t="inlineStr">
        <is>
          <t>MARUTI SUZUKI</t>
        </is>
      </c>
      <c r="F3466" s="7" t="inlineStr">
        <is>
          <t>Wagon R</t>
        </is>
      </c>
      <c r="G3466" s="7" t="inlineStr">
        <is>
          <t>&lt;NA&gt;</t>
        </is>
      </c>
      <c r="H3466" s="7" t="inlineStr">
        <is>
          <t>Non-Captive</t>
        </is>
      </c>
      <c r="I3466" s="7" t="inlineStr">
        <is>
          <t>SHAMNAD AH</t>
        </is>
      </c>
      <c r="J3466" s="8" t="n"/>
      <c r="K3466" s="9" t="n">
        <v>30875</v>
      </c>
      <c r="L3466" s="10" t="n">
        <v>150000</v>
      </c>
      <c r="M3466" s="10" t="n">
        <v>8474.58</v>
      </c>
      <c r="N3466" s="11">
        <f>IF(M3466="","",ROUND(M3466*1.18,2))</f>
        <v/>
      </c>
      <c r="O3466" s="12">
        <f>IF(M3466="","",ROUND(N3466-M3466,2))</f>
        <v/>
      </c>
      <c r="P3466" s="13">
        <f>IF(AND(A3466&lt;&gt;"",B3466&lt;&gt;""), A3466&amp;" · "&amp;B3466, "")</f>
        <v/>
      </c>
    </row>
    <row r="3467">
      <c r="A3467" s="6" t="inlineStr">
        <is>
          <t>FY27</t>
        </is>
      </c>
      <c r="B3467" s="6" t="inlineStr">
        <is>
          <t>Aug</t>
        </is>
      </c>
      <c r="C3467" s="6" t="inlineStr">
        <is>
          <t>TN</t>
        </is>
      </c>
      <c r="D3467" s="7" t="inlineStr">
        <is>
          <t>KL01CZ7262</t>
        </is>
      </c>
      <c r="E3467" s="7" t="inlineStr">
        <is>
          <t>MARUTI SUZUKI</t>
        </is>
      </c>
      <c r="F3467" s="7" t="inlineStr">
        <is>
          <t>S-Presso</t>
        </is>
      </c>
      <c r="G3467" s="7" t="inlineStr">
        <is>
          <t>&lt;NA&gt;</t>
        </is>
      </c>
      <c r="H3467" s="7" t="inlineStr">
        <is>
          <t>Non-Captive</t>
        </is>
      </c>
      <c r="I3467" s="7" t="inlineStr">
        <is>
          <t>Popular Thrissur</t>
        </is>
      </c>
      <c r="J3467" s="8" t="n"/>
      <c r="K3467" s="9" t="n">
        <v>37651</v>
      </c>
      <c r="L3467" s="10" t="n">
        <v>165000</v>
      </c>
      <c r="M3467" s="10" t="n">
        <v>5000</v>
      </c>
      <c r="N3467" s="11">
        <f>IF(M3467="","",ROUND(M3467*1.18,2))</f>
        <v/>
      </c>
      <c r="O3467" s="12">
        <f>IF(M3467="","",ROUND(N3467-M3467,2))</f>
        <v/>
      </c>
      <c r="P3467" s="13">
        <f>IF(AND(A3467&lt;&gt;"",B3467&lt;&gt;""), A3467&amp;" · "&amp;B3467, "")</f>
        <v/>
      </c>
    </row>
    <row r="3468">
      <c r="A3468" s="6" t="inlineStr">
        <is>
          <t>FY27</t>
        </is>
      </c>
      <c r="B3468" s="6" t="inlineStr">
        <is>
          <t>Aug</t>
        </is>
      </c>
      <c r="C3468" s="6" t="inlineStr">
        <is>
          <t>TN</t>
        </is>
      </c>
      <c r="D3468" s="7" t="inlineStr">
        <is>
          <t>KL01R8228</t>
        </is>
      </c>
      <c r="E3468" s="7" t="inlineStr">
        <is>
          <t>&lt;NA&gt;</t>
        </is>
      </c>
      <c r="F3468" s="7" t="inlineStr">
        <is>
          <t>&lt;NA&gt;</t>
        </is>
      </c>
      <c r="G3468" s="7" t="inlineStr">
        <is>
          <t>&lt;NA&gt;</t>
        </is>
      </c>
      <c r="H3468" s="7" t="inlineStr">
        <is>
          <t>Non-Captive</t>
        </is>
      </c>
      <c r="I3468" s="7" t="inlineStr">
        <is>
          <t>Sivashankar Cars</t>
        </is>
      </c>
      <c r="J3468" s="8" t="n"/>
      <c r="K3468" s="9" t="n"/>
      <c r="L3468" s="10" t="n">
        <v>15000</v>
      </c>
      <c r="M3468" s="10" t="n">
        <v>4237.29</v>
      </c>
      <c r="N3468" s="11">
        <f>IF(M3468="","",ROUND(M3468*1.18,2))</f>
        <v/>
      </c>
      <c r="O3468" s="12">
        <f>IF(M3468="","",ROUND(N3468-M3468,2))</f>
        <v/>
      </c>
      <c r="P3468" s="13">
        <f>IF(AND(A3468&lt;&gt;"",B3468&lt;&gt;""), A3468&amp;" · "&amp;B3468, "")</f>
        <v/>
      </c>
    </row>
    <row r="3469">
      <c r="A3469" s="6" t="inlineStr">
        <is>
          <t>FY27</t>
        </is>
      </c>
      <c r="B3469" s="6" t="inlineStr">
        <is>
          <t>Aug</t>
        </is>
      </c>
      <c r="C3469" s="6" t="inlineStr">
        <is>
          <t>TN</t>
        </is>
      </c>
      <c r="D3469" s="7" t="inlineStr">
        <is>
          <t>KL02AU7723</t>
        </is>
      </c>
      <c r="E3469" s="7" t="inlineStr">
        <is>
          <t>MARUTI SUZUKI</t>
        </is>
      </c>
      <c r="F3469" s="7" t="inlineStr">
        <is>
          <t>Wagon R</t>
        </is>
      </c>
      <c r="G3469" s="7" t="inlineStr">
        <is>
          <t>&lt;NA&gt;</t>
        </is>
      </c>
      <c r="H3469" s="7" t="inlineStr">
        <is>
          <t>Non-Captive</t>
        </is>
      </c>
      <c r="I3469" s="7" t="inlineStr">
        <is>
          <t>Popular Thrissur</t>
        </is>
      </c>
      <c r="J3469" s="8" t="n"/>
      <c r="K3469" s="9" t="n"/>
      <c r="L3469" s="10" t="n">
        <v>135000</v>
      </c>
      <c r="M3469" s="10" t="n">
        <v>5000</v>
      </c>
      <c r="N3469" s="11">
        <f>IF(M3469="","",ROUND(M3469*1.18,2))</f>
        <v/>
      </c>
      <c r="O3469" s="12">
        <f>IF(M3469="","",ROUND(N3469-M3469,2))</f>
        <v/>
      </c>
      <c r="P3469" s="13">
        <f>IF(AND(A3469&lt;&gt;"",B3469&lt;&gt;""), A3469&amp;" · "&amp;B3469, "")</f>
        <v/>
      </c>
    </row>
    <row r="3470">
      <c r="A3470" s="6" t="inlineStr">
        <is>
          <t>FY27</t>
        </is>
      </c>
      <c r="B3470" s="6" t="inlineStr">
        <is>
          <t>Aug</t>
        </is>
      </c>
      <c r="C3470" s="6" t="inlineStr">
        <is>
          <t>TN</t>
        </is>
      </c>
      <c r="D3470" s="7" t="inlineStr">
        <is>
          <t>KL02BN8429</t>
        </is>
      </c>
      <c r="E3470" s="7" t="inlineStr">
        <is>
          <t>MARUTI SUZUKI</t>
        </is>
      </c>
      <c r="F3470" s="7" t="inlineStr">
        <is>
          <t>S-Presso</t>
        </is>
      </c>
      <c r="G3470" s="7" t="inlineStr">
        <is>
          <t>&lt;NA&gt;</t>
        </is>
      </c>
      <c r="H3470" s="7" t="inlineStr">
        <is>
          <t>Non-Captive</t>
        </is>
      </c>
      <c r="I3470" s="7" t="inlineStr">
        <is>
          <t>GENUINE CARS</t>
        </is>
      </c>
      <c r="J3470" s="8" t="n"/>
      <c r="K3470" s="9" t="n">
        <v>67192</v>
      </c>
      <c r="L3470" s="10" t="n">
        <v>180000</v>
      </c>
      <c r="M3470" s="10" t="n">
        <v>8474.58</v>
      </c>
      <c r="N3470" s="11">
        <f>IF(M3470="","",ROUND(M3470*1.18,2))</f>
        <v/>
      </c>
      <c r="O3470" s="12">
        <f>IF(M3470="","",ROUND(N3470-M3470,2))</f>
        <v/>
      </c>
      <c r="P3470" s="13">
        <f>IF(AND(A3470&lt;&gt;"",B3470&lt;&gt;""), A3470&amp;" · "&amp;B3470, "")</f>
        <v/>
      </c>
    </row>
    <row r="3471">
      <c r="A3471" s="6" t="inlineStr">
        <is>
          <t>FY27</t>
        </is>
      </c>
      <c r="B3471" s="6" t="inlineStr">
        <is>
          <t>Aug</t>
        </is>
      </c>
      <c r="C3471" s="6" t="inlineStr">
        <is>
          <t>TN</t>
        </is>
      </c>
      <c r="D3471" s="7" t="inlineStr">
        <is>
          <t>KL02CA8787</t>
        </is>
      </c>
      <c r="E3471" s="7" t="inlineStr">
        <is>
          <t>MARUTI SUZUKI</t>
        </is>
      </c>
      <c r="F3471" s="7" t="inlineStr">
        <is>
          <t>Swift</t>
        </is>
      </c>
      <c r="G3471" s="7" t="inlineStr">
        <is>
          <t>&lt;NA&gt;</t>
        </is>
      </c>
      <c r="H3471" s="7" t="inlineStr">
        <is>
          <t>Non-Captive</t>
        </is>
      </c>
      <c r="I3471" s="7" t="inlineStr">
        <is>
          <t>SHAMNAD AH</t>
        </is>
      </c>
      <c r="J3471" s="8" t="n"/>
      <c r="K3471" s="9" t="n"/>
      <c r="L3471" s="10" t="n">
        <v>170000</v>
      </c>
      <c r="M3471" s="10" t="n">
        <v>8474.58</v>
      </c>
      <c r="N3471" s="11">
        <f>IF(M3471="","",ROUND(M3471*1.18,2))</f>
        <v/>
      </c>
      <c r="O3471" s="12">
        <f>IF(M3471="","",ROUND(N3471-M3471,2))</f>
        <v/>
      </c>
      <c r="P3471" s="13">
        <f>IF(AND(A3471&lt;&gt;"",B3471&lt;&gt;""), A3471&amp;" · "&amp;B3471, "")</f>
        <v/>
      </c>
    </row>
    <row r="3472">
      <c r="A3472" s="6" t="inlineStr">
        <is>
          <t>FY27</t>
        </is>
      </c>
      <c r="B3472" s="6" t="inlineStr">
        <is>
          <t>Aug</t>
        </is>
      </c>
      <c r="C3472" s="6" t="inlineStr">
        <is>
          <t>TN</t>
        </is>
      </c>
      <c r="D3472" s="7" t="inlineStr">
        <is>
          <t>KL16AC0900</t>
        </is>
      </c>
      <c r="E3472" s="7" t="inlineStr">
        <is>
          <t>TOYOTA</t>
        </is>
      </c>
      <c r="F3472" s="7" t="inlineStr">
        <is>
          <t>Taisor</t>
        </is>
      </c>
      <c r="G3472" s="7" t="inlineStr">
        <is>
          <t>NIPPON MOTOR CORPORATION PVT LTD</t>
        </is>
      </c>
      <c r="H3472" s="7" t="inlineStr">
        <is>
          <t>Non-Captive</t>
        </is>
      </c>
      <c r="I3472" s="7" t="inlineStr">
        <is>
          <t>SHAMNAD AH</t>
        </is>
      </c>
      <c r="J3472" s="8" t="n">
        <v>2024</v>
      </c>
      <c r="K3472" s="9" t="n">
        <v>94102</v>
      </c>
      <c r="L3472" s="10" t="n">
        <v>160000</v>
      </c>
      <c r="M3472" s="10" t="n">
        <v>6016.95</v>
      </c>
      <c r="N3472" s="11">
        <f>IF(M3472="","",ROUND(M3472*1.18,2))</f>
        <v/>
      </c>
      <c r="O3472" s="12">
        <f>IF(M3472="","",ROUND(N3472-M3472,2))</f>
        <v/>
      </c>
      <c r="P3472" s="13">
        <f>IF(AND(A3472&lt;&gt;"",B3472&lt;&gt;""), A3472&amp;" · "&amp;B3472, "")</f>
        <v/>
      </c>
    </row>
    <row r="3473">
      <c r="A3473" s="6" t="inlineStr">
        <is>
          <t>FY27</t>
        </is>
      </c>
      <c r="B3473" s="6" t="inlineStr">
        <is>
          <t>Aug</t>
        </is>
      </c>
      <c r="C3473" s="6" t="inlineStr">
        <is>
          <t>TN</t>
        </is>
      </c>
      <c r="D3473" s="7" t="inlineStr">
        <is>
          <t>KL16Z9193</t>
        </is>
      </c>
      <c r="E3473" s="7" t="inlineStr">
        <is>
          <t>MARUTI SUZUKI</t>
        </is>
      </c>
      <c r="F3473" s="7" t="inlineStr">
        <is>
          <t>S-Presso</t>
        </is>
      </c>
      <c r="G3473" s="7" t="inlineStr">
        <is>
          <t>TRUST N DRIVE</t>
        </is>
      </c>
      <c r="H3473" s="7" t="inlineStr">
        <is>
          <t>Non-Captive</t>
        </is>
      </c>
      <c r="I3473" s="7" t="inlineStr">
        <is>
          <t>Popular Thrissur</t>
        </is>
      </c>
      <c r="J3473" s="8" t="n">
        <v>2022</v>
      </c>
      <c r="K3473" s="9" t="n">
        <v>28490</v>
      </c>
      <c r="L3473" s="10" t="n">
        <v>180000</v>
      </c>
      <c r="M3473" s="10" t="n">
        <v>5000</v>
      </c>
      <c r="N3473" s="11">
        <f>IF(M3473="","",ROUND(M3473*1.18,2))</f>
        <v/>
      </c>
      <c r="O3473" s="12">
        <f>IF(M3473="","",ROUND(N3473-M3473,2))</f>
        <v/>
      </c>
      <c r="P3473" s="13">
        <f>IF(AND(A3473&lt;&gt;"",B3473&lt;&gt;""), A3473&amp;" · "&amp;B3473, "")</f>
        <v/>
      </c>
    </row>
    <row r="3474">
      <c r="A3474" s="6" t="inlineStr">
        <is>
          <t>FY27</t>
        </is>
      </c>
      <c r="B3474" s="6" t="inlineStr">
        <is>
          <t>Aug</t>
        </is>
      </c>
      <c r="C3474" s="6" t="inlineStr">
        <is>
          <t>TN</t>
        </is>
      </c>
      <c r="D3474" s="7" t="inlineStr">
        <is>
          <t>KL20L3040</t>
        </is>
      </c>
      <c r="E3474" s="7" t="inlineStr">
        <is>
          <t>MARUTI SUZUKI</t>
        </is>
      </c>
      <c r="F3474" s="7" t="inlineStr">
        <is>
          <t>Baleno</t>
        </is>
      </c>
      <c r="G3474" s="7" t="inlineStr">
        <is>
          <t>&lt;NA&gt;</t>
        </is>
      </c>
      <c r="H3474" s="7" t="inlineStr">
        <is>
          <t>Non-Captive</t>
        </is>
      </c>
      <c r="I3474" s="7" t="inlineStr">
        <is>
          <t>Popular Kottayam</t>
        </is>
      </c>
      <c r="J3474" s="8" t="n"/>
      <c r="K3474" s="9" t="n"/>
      <c r="L3474" s="10" t="n">
        <v>180000</v>
      </c>
      <c r="M3474" s="10" t="n">
        <v>5000</v>
      </c>
      <c r="N3474" s="11">
        <f>IF(M3474="","",ROUND(M3474*1.18,2))</f>
        <v/>
      </c>
      <c r="O3474" s="12">
        <f>IF(M3474="","",ROUND(N3474-M3474,2))</f>
        <v/>
      </c>
      <c r="P3474" s="13">
        <f>IF(AND(A3474&lt;&gt;"",B3474&lt;&gt;""), A3474&amp;" · "&amp;B3474, "")</f>
        <v/>
      </c>
    </row>
    <row r="3475">
      <c r="A3475" s="6" t="inlineStr">
        <is>
          <t>FY27</t>
        </is>
      </c>
      <c r="B3475" s="6" t="inlineStr">
        <is>
          <t>Aug</t>
        </is>
      </c>
      <c r="C3475" s="6" t="inlineStr">
        <is>
          <t>TN</t>
        </is>
      </c>
      <c r="D3475" s="7" t="inlineStr">
        <is>
          <t>KL20P8565</t>
        </is>
      </c>
      <c r="E3475" s="7" t="inlineStr">
        <is>
          <t>MARUTI SUZUKI</t>
        </is>
      </c>
      <c r="F3475" s="7" t="inlineStr">
        <is>
          <t>Baleno</t>
        </is>
      </c>
      <c r="G3475" s="7" t="inlineStr">
        <is>
          <t>NIPPON MOTOR CORPORATION PVT LTD</t>
        </is>
      </c>
      <c r="H3475" s="7" t="inlineStr">
        <is>
          <t>Non-Captive</t>
        </is>
      </c>
      <c r="I3475" s="7" t="inlineStr">
        <is>
          <t>Popular Thrissur</t>
        </is>
      </c>
      <c r="J3475" s="8" t="n">
        <v>2019</v>
      </c>
      <c r="K3475" s="9" t="n">
        <v>11938</v>
      </c>
      <c r="L3475" s="10" t="n">
        <v>170000</v>
      </c>
      <c r="M3475" s="10" t="n">
        <v>5000</v>
      </c>
      <c r="N3475" s="11">
        <f>IF(M3475="","",ROUND(M3475*1.18,2))</f>
        <v/>
      </c>
      <c r="O3475" s="12">
        <f>IF(M3475="","",ROUND(N3475-M3475,2))</f>
        <v/>
      </c>
      <c r="P3475" s="13">
        <f>IF(AND(A3475&lt;&gt;"",B3475&lt;&gt;""), A3475&amp;" · "&amp;B3475, "")</f>
        <v/>
      </c>
    </row>
    <row r="3476">
      <c r="A3476" s="6" t="inlineStr">
        <is>
          <t>FY27</t>
        </is>
      </c>
      <c r="B3476" s="6" t="inlineStr">
        <is>
          <t>Aug</t>
        </is>
      </c>
      <c r="C3476" s="6" t="inlineStr">
        <is>
          <t>TN</t>
        </is>
      </c>
      <c r="D3476" s="7" t="inlineStr">
        <is>
          <t>KL21P9573</t>
        </is>
      </c>
      <c r="E3476" s="7" t="inlineStr">
        <is>
          <t>MARUTI SUZUKI</t>
        </is>
      </c>
      <c r="F3476" s="7" t="inlineStr">
        <is>
          <t>Swift</t>
        </is>
      </c>
      <c r="G3476" s="7" t="inlineStr">
        <is>
          <t>&lt;NA&gt;</t>
        </is>
      </c>
      <c r="H3476" s="7" t="inlineStr">
        <is>
          <t>Non-Captive</t>
        </is>
      </c>
      <c r="I3476" s="7" t="inlineStr">
        <is>
          <t>Popular Alleppy</t>
        </is>
      </c>
      <c r="J3476" s="8" t="n"/>
      <c r="K3476" s="9" t="n"/>
      <c r="L3476" s="10" t="n">
        <v>180000</v>
      </c>
      <c r="M3476" s="10" t="n">
        <v>5000</v>
      </c>
      <c r="N3476" s="11">
        <f>IF(M3476="","",ROUND(M3476*1.18,2))</f>
        <v/>
      </c>
      <c r="O3476" s="12">
        <f>IF(M3476="","",ROUND(N3476-M3476,2))</f>
        <v/>
      </c>
      <c r="P3476" s="13">
        <f>IF(AND(A3476&lt;&gt;"",B3476&lt;&gt;""), A3476&amp;" · "&amp;B3476, "")</f>
        <v/>
      </c>
    </row>
    <row r="3477">
      <c r="A3477" s="6" t="inlineStr">
        <is>
          <t>FY27</t>
        </is>
      </c>
      <c r="B3477" s="6" t="inlineStr">
        <is>
          <t>Aug</t>
        </is>
      </c>
      <c r="C3477" s="6" t="inlineStr">
        <is>
          <t>TN</t>
        </is>
      </c>
      <c r="D3477" s="7" t="inlineStr">
        <is>
          <t>KL22P1511</t>
        </is>
      </c>
      <c r="E3477" s="7" t="inlineStr">
        <is>
          <t>HYUNDAI</t>
        </is>
      </c>
      <c r="F3477" s="7" t="inlineStr">
        <is>
          <t>Venue</t>
        </is>
      </c>
      <c r="G3477" s="7" t="inlineStr">
        <is>
          <t>POPULAR MOTORWORLD PVT LTD</t>
        </is>
      </c>
      <c r="H3477" s="7" t="inlineStr">
        <is>
          <t>Non-Captive</t>
        </is>
      </c>
      <c r="I3477" s="7" t="inlineStr">
        <is>
          <t>SHAMNAD AH</t>
        </is>
      </c>
      <c r="J3477" s="8" t="n">
        <v>2020</v>
      </c>
      <c r="K3477" s="9" t="n">
        <v>38702</v>
      </c>
      <c r="L3477" s="10" t="n">
        <v>155000</v>
      </c>
      <c r="M3477" s="10" t="n">
        <v>8474.58</v>
      </c>
      <c r="N3477" s="11">
        <f>IF(M3477="","",ROUND(M3477*1.18,2))</f>
        <v/>
      </c>
      <c r="O3477" s="12">
        <f>IF(M3477="","",ROUND(N3477-M3477,2))</f>
        <v/>
      </c>
      <c r="P3477" s="13">
        <f>IF(AND(A3477&lt;&gt;"",B3477&lt;&gt;""), A3477&amp;" · "&amp;B3477, "")</f>
        <v/>
      </c>
    </row>
    <row r="3478">
      <c r="A3478" s="6" t="inlineStr">
        <is>
          <t>FY27</t>
        </is>
      </c>
      <c r="B3478" s="6" t="inlineStr">
        <is>
          <t>Aug</t>
        </is>
      </c>
      <c r="C3478" s="6" t="inlineStr">
        <is>
          <t>TN</t>
        </is>
      </c>
      <c r="D3478" s="7" t="inlineStr">
        <is>
          <t>KL22S4556</t>
        </is>
      </c>
      <c r="E3478" s="7" t="inlineStr">
        <is>
          <t>MARUTI SUZUKI</t>
        </is>
      </c>
      <c r="F3478" s="7" t="inlineStr">
        <is>
          <t>Swift</t>
        </is>
      </c>
      <c r="G3478" s="7" t="inlineStr">
        <is>
          <t>&lt;NA&gt;</t>
        </is>
      </c>
      <c r="H3478" s="7" t="inlineStr">
        <is>
          <t>Non-Captive</t>
        </is>
      </c>
      <c r="I3478" s="7" t="inlineStr">
        <is>
          <t>Popular Kottayam</t>
        </is>
      </c>
      <c r="J3478" s="8" t="n"/>
      <c r="K3478" s="9" t="n"/>
      <c r="L3478" s="10" t="n">
        <v>170000</v>
      </c>
      <c r="M3478" s="10" t="n">
        <v>5000</v>
      </c>
      <c r="N3478" s="11">
        <f>IF(M3478="","",ROUND(M3478*1.18,2))</f>
        <v/>
      </c>
      <c r="O3478" s="12">
        <f>IF(M3478="","",ROUND(N3478-M3478,2))</f>
        <v/>
      </c>
      <c r="P3478" s="13">
        <f>IF(AND(A3478&lt;&gt;"",B3478&lt;&gt;""), A3478&amp;" · "&amp;B3478, "")</f>
        <v/>
      </c>
    </row>
    <row r="3479">
      <c r="A3479" s="6" t="inlineStr">
        <is>
          <t>FY27</t>
        </is>
      </c>
      <c r="B3479" s="6" t="inlineStr">
        <is>
          <t>Aug</t>
        </is>
      </c>
      <c r="C3479" s="6" t="inlineStr">
        <is>
          <t>TN</t>
        </is>
      </c>
      <c r="D3479" s="7" t="inlineStr">
        <is>
          <t>KL25F1188</t>
        </is>
      </c>
      <c r="E3479" s="7" t="inlineStr">
        <is>
          <t>MARUTI SUZUKI</t>
        </is>
      </c>
      <c r="F3479" s="7" t="inlineStr">
        <is>
          <t>Ritz</t>
        </is>
      </c>
      <c r="G3479" s="7" t="inlineStr">
        <is>
          <t>&lt;NA&gt;</t>
        </is>
      </c>
      <c r="H3479" s="7" t="inlineStr">
        <is>
          <t>Non-Captive</t>
        </is>
      </c>
      <c r="I3479" s="7" t="inlineStr">
        <is>
          <t>GENUINE CARS</t>
        </is>
      </c>
      <c r="J3479" s="8" t="n"/>
      <c r="K3479" s="9" t="n">
        <v>75231</v>
      </c>
      <c r="L3479" s="10" t="n">
        <v>188000</v>
      </c>
      <c r="M3479" s="10" t="n">
        <v>8474.58</v>
      </c>
      <c r="N3479" s="11">
        <f>IF(M3479="","",ROUND(M3479*1.18,2))</f>
        <v/>
      </c>
      <c r="O3479" s="12">
        <f>IF(M3479="","",ROUND(N3479-M3479,2))</f>
        <v/>
      </c>
      <c r="P3479" s="13">
        <f>IF(AND(A3479&lt;&gt;"",B3479&lt;&gt;""), A3479&amp;" · "&amp;B3479, "")</f>
        <v/>
      </c>
    </row>
    <row r="3480">
      <c r="A3480" s="6" t="inlineStr">
        <is>
          <t>FY27</t>
        </is>
      </c>
      <c r="B3480" s="6" t="inlineStr">
        <is>
          <t>Aug</t>
        </is>
      </c>
      <c r="C3480" s="6" t="inlineStr">
        <is>
          <t>TN</t>
        </is>
      </c>
      <c r="D3480" s="7" t="inlineStr">
        <is>
          <t>KL40T2987</t>
        </is>
      </c>
      <c r="E3480" s="7" t="inlineStr">
        <is>
          <t>TATA</t>
        </is>
      </c>
      <c r="F3480" s="7" t="inlineStr">
        <is>
          <t>Nexon</t>
        </is>
      </c>
      <c r="G3480" s="7" t="inlineStr">
        <is>
          <t>POPULAR MOTORWORLD PVT LTD</t>
        </is>
      </c>
      <c r="H3480" s="7" t="inlineStr">
        <is>
          <t>Non-Captive</t>
        </is>
      </c>
      <c r="I3480" s="7" t="inlineStr">
        <is>
          <t>SHAMNAD AH</t>
        </is>
      </c>
      <c r="J3480" s="8" t="n">
        <v>2021</v>
      </c>
      <c r="K3480" s="9" t="n">
        <v>34585</v>
      </c>
      <c r="L3480" s="10" t="n">
        <v>170000</v>
      </c>
      <c r="M3480" s="10" t="n">
        <v>8474.58</v>
      </c>
      <c r="N3480" s="11">
        <f>IF(M3480="","",ROUND(M3480*1.18,2))</f>
        <v/>
      </c>
      <c r="O3480" s="12">
        <f>IF(M3480="","",ROUND(N3480-M3480,2))</f>
        <v/>
      </c>
      <c r="P3480" s="13">
        <f>IF(AND(A3480&lt;&gt;"",B3480&lt;&gt;""), A3480&amp;" · "&amp;B3480, "")</f>
        <v/>
      </c>
    </row>
    <row r="3481">
      <c r="A3481" s="6" t="inlineStr">
        <is>
          <t>FY27</t>
        </is>
      </c>
      <c r="B3481" s="6" t="inlineStr">
        <is>
          <t>Aug</t>
        </is>
      </c>
      <c r="C3481" s="6" t="inlineStr">
        <is>
          <t>TN</t>
        </is>
      </c>
      <c r="D3481" s="7" t="inlineStr">
        <is>
          <t>KL61F7087</t>
        </is>
      </c>
      <c r="E3481" s="7" t="inlineStr">
        <is>
          <t>MAHINDRA</t>
        </is>
      </c>
      <c r="F3481" s="7" t="inlineStr">
        <is>
          <t>XUV300</t>
        </is>
      </c>
      <c r="G3481" s="7" t="inlineStr">
        <is>
          <t>NIPPON MOTOR CORPORATION PVT LTD</t>
        </is>
      </c>
      <c r="H3481" s="7" t="inlineStr">
        <is>
          <t>Non-Captive</t>
        </is>
      </c>
      <c r="I3481" s="7" t="inlineStr">
        <is>
          <t>SHAMNAD AH</t>
        </is>
      </c>
      <c r="J3481" s="8" t="n">
        <v>2022</v>
      </c>
      <c r="K3481" s="9" t="n">
        <v>78000</v>
      </c>
      <c r="L3481" s="10" t="n">
        <v>180000</v>
      </c>
      <c r="M3481" s="10" t="n">
        <v>6016.95</v>
      </c>
      <c r="N3481" s="11">
        <f>IF(M3481="","",ROUND(M3481*1.18,2))</f>
        <v/>
      </c>
      <c r="O3481" s="12">
        <f>IF(M3481="","",ROUND(N3481-M3481,2))</f>
        <v/>
      </c>
      <c r="P3481" s="13">
        <f>IF(AND(A3481&lt;&gt;"",B3481&lt;&gt;""), A3481&amp;" · "&amp;B3481, "")</f>
        <v/>
      </c>
    </row>
    <row r="3482">
      <c r="A3482" s="6" t="inlineStr">
        <is>
          <t>FY27</t>
        </is>
      </c>
      <c r="B3482" s="6" t="inlineStr">
        <is>
          <t>Aug</t>
        </is>
      </c>
      <c r="C3482" s="6" t="inlineStr">
        <is>
          <t>TN</t>
        </is>
      </c>
      <c r="D3482" s="7" t="inlineStr">
        <is>
          <t>KL81A9496</t>
        </is>
      </c>
      <c r="E3482" s="7" t="inlineStr">
        <is>
          <t>MARUTI SUZUKI</t>
        </is>
      </c>
      <c r="F3482" s="7" t="inlineStr">
        <is>
          <t>Celerio</t>
        </is>
      </c>
      <c r="G3482" s="7" t="inlineStr">
        <is>
          <t>&lt;NA&gt;</t>
        </is>
      </c>
      <c r="H3482" s="7" t="inlineStr">
        <is>
          <t>Non-Captive</t>
        </is>
      </c>
      <c r="I3482" s="7" t="inlineStr">
        <is>
          <t>Popular Thrissur</t>
        </is>
      </c>
      <c r="J3482" s="8" t="n"/>
      <c r="K3482" s="9" t="n"/>
      <c r="L3482" s="10" t="n">
        <v>140000</v>
      </c>
      <c r="M3482" s="10" t="n">
        <v>5000</v>
      </c>
      <c r="N3482" s="11">
        <f>IF(M3482="","",ROUND(M3482*1.18,2))</f>
        <v/>
      </c>
      <c r="O3482" s="12">
        <f>IF(M3482="","",ROUND(N3482-M3482,2))</f>
        <v/>
      </c>
      <c r="P3482" s="13">
        <f>IF(AND(A3482&lt;&gt;"",B3482&lt;&gt;""), A3482&amp;" · "&amp;B3482, "")</f>
        <v/>
      </c>
    </row>
    <row r="3483">
      <c r="A3483" s="6" t="inlineStr">
        <is>
          <t>FY27</t>
        </is>
      </c>
      <c r="B3483" s="6" t="inlineStr">
        <is>
          <t>Aug</t>
        </is>
      </c>
      <c r="C3483" s="6" t="inlineStr">
        <is>
          <t>TN</t>
        </is>
      </c>
      <c r="D3483" s="7" t="inlineStr">
        <is>
          <t>MH14EU4059</t>
        </is>
      </c>
      <c r="E3483" s="7" t="inlineStr">
        <is>
          <t>HYUNDAI</t>
        </is>
      </c>
      <c r="F3483" s="7" t="inlineStr">
        <is>
          <t>i10</t>
        </is>
      </c>
      <c r="G3483" s="7" t="inlineStr">
        <is>
          <t>S M CAR PRIVATE LIMITED</t>
        </is>
      </c>
      <c r="H3483" s="7" t="inlineStr">
        <is>
          <t>Non-Captive</t>
        </is>
      </c>
      <c r="I3483" s="7" t="inlineStr">
        <is>
          <t>APM cars</t>
        </is>
      </c>
      <c r="J3483" s="8" t="n">
        <v>2014</v>
      </c>
      <c r="K3483" s="9" t="n">
        <v>49995</v>
      </c>
      <c r="L3483" s="10" t="n">
        <v>75000</v>
      </c>
      <c r="M3483" s="10" t="n">
        <v>4237.29</v>
      </c>
      <c r="N3483" s="11">
        <f>IF(M3483="","",ROUND(M3483*1.18,2))</f>
        <v/>
      </c>
      <c r="O3483" s="12">
        <f>IF(M3483="","",ROUND(N3483-M3483,2))</f>
        <v/>
      </c>
      <c r="P3483" s="13">
        <f>IF(AND(A3483&lt;&gt;"",B3483&lt;&gt;""), A3483&amp;" · "&amp;B3483, "")</f>
        <v/>
      </c>
    </row>
    <row r="3484">
      <c r="A3484" s="6" t="inlineStr">
        <is>
          <t>FY27</t>
        </is>
      </c>
      <c r="B3484" s="6" t="inlineStr">
        <is>
          <t>Aug</t>
        </is>
      </c>
      <c r="C3484" s="6" t="inlineStr">
        <is>
          <t>TN</t>
        </is>
      </c>
      <c r="D3484" s="7" t="inlineStr">
        <is>
          <t>MH46X4671</t>
        </is>
      </c>
      <c r="E3484" s="7" t="inlineStr">
        <is>
          <t>TOYOTA</t>
        </is>
      </c>
      <c r="F3484" s="7" t="inlineStr">
        <is>
          <t>Etios</t>
        </is>
      </c>
      <c r="G3484" s="7" t="inlineStr">
        <is>
          <t>CASTLE TRADERS MARUTI</t>
        </is>
      </c>
      <c r="H3484" s="7" t="inlineStr">
        <is>
          <t>Non-Captive</t>
        </is>
      </c>
      <c r="I3484" s="7" t="inlineStr">
        <is>
          <t>9miles</t>
        </is>
      </c>
      <c r="J3484" s="8" t="n">
        <v>2013</v>
      </c>
      <c r="K3484" s="9" t="n">
        <v>111523</v>
      </c>
      <c r="L3484" s="10" t="n">
        <v>157000</v>
      </c>
      <c r="M3484" s="10" t="n">
        <v>4237.29</v>
      </c>
      <c r="N3484" s="11">
        <f>IF(M3484="","",ROUND(M3484*1.18,2))</f>
        <v/>
      </c>
      <c r="O3484" s="12">
        <f>IF(M3484="","",ROUND(N3484-M3484,2))</f>
        <v/>
      </c>
      <c r="P3484" s="13">
        <f>IF(AND(A3484&lt;&gt;"",B3484&lt;&gt;""), A3484&amp;" · "&amp;B3484, "")</f>
        <v/>
      </c>
    </row>
    <row r="3485">
      <c r="A3485" s="6" t="inlineStr">
        <is>
          <t>FY27</t>
        </is>
      </c>
      <c r="B3485" s="6" t="inlineStr">
        <is>
          <t>Aug</t>
        </is>
      </c>
      <c r="C3485" s="6" t="inlineStr">
        <is>
          <t>TN</t>
        </is>
      </c>
      <c r="D3485" s="7" t="inlineStr">
        <is>
          <t>PY05P1951</t>
        </is>
      </c>
      <c r="E3485" s="7" t="inlineStr">
        <is>
          <t>HONDA</t>
        </is>
      </c>
      <c r="F3485" s="7" t="inlineStr">
        <is>
          <t>City</t>
        </is>
      </c>
      <c r="G3485" s="7" t="inlineStr">
        <is>
          <t>VISHNU CARS PRIVATE LIMITED</t>
        </is>
      </c>
      <c r="H3485" s="7" t="inlineStr">
        <is>
          <t>Non-Captive</t>
        </is>
      </c>
      <c r="I3485" s="7" t="inlineStr">
        <is>
          <t>Santhosh Cars</t>
        </is>
      </c>
      <c r="J3485" s="8" t="n">
        <v>2008</v>
      </c>
      <c r="K3485" s="9" t="n">
        <v>114431</v>
      </c>
      <c r="L3485" s="10" t="n">
        <v>94000</v>
      </c>
      <c r="M3485" s="10" t="n">
        <v>2542.37</v>
      </c>
      <c r="N3485" s="11">
        <f>IF(M3485="","",ROUND(M3485*1.18,2))</f>
        <v/>
      </c>
      <c r="O3485" s="12">
        <f>IF(M3485="","",ROUND(N3485-M3485,2))</f>
        <v/>
      </c>
      <c r="P3485" s="13">
        <f>IF(AND(A3485&lt;&gt;"",B3485&lt;&gt;""), A3485&amp;" · "&amp;B3485, "")</f>
        <v/>
      </c>
    </row>
    <row r="3486">
      <c r="A3486" s="6" t="inlineStr">
        <is>
          <t>FY27</t>
        </is>
      </c>
      <c r="B3486" s="6" t="inlineStr">
        <is>
          <t>Aug</t>
        </is>
      </c>
      <c r="C3486" s="6" t="inlineStr">
        <is>
          <t>TN</t>
        </is>
      </c>
      <c r="D3486" s="7" t="inlineStr">
        <is>
          <t>TN01AA8487</t>
        </is>
      </c>
      <c r="E3486" s="7" t="inlineStr">
        <is>
          <t>MARUTI SUZUKI</t>
        </is>
      </c>
      <c r="F3486" s="7" t="inlineStr">
        <is>
          <t>Alto</t>
        </is>
      </c>
      <c r="G3486" s="7" t="inlineStr">
        <is>
          <t>GOKUL CARS</t>
        </is>
      </c>
      <c r="H3486" s="7" t="inlineStr">
        <is>
          <t>Non-Captive</t>
        </is>
      </c>
      <c r="I3486" s="7" t="inlineStr">
        <is>
          <t>PURUSOTHAMAN J CARS</t>
        </is>
      </c>
      <c r="J3486" s="8" t="n">
        <v>2006</v>
      </c>
      <c r="K3486" s="9" t="n">
        <v>117898</v>
      </c>
      <c r="L3486" s="10" t="n">
        <v>55000</v>
      </c>
      <c r="M3486" s="10" t="n">
        <v>4237.29</v>
      </c>
      <c r="N3486" s="11">
        <f>IF(M3486="","",ROUND(M3486*1.18,2))</f>
        <v/>
      </c>
      <c r="O3486" s="12">
        <f>IF(M3486="","",ROUND(N3486-M3486,2))</f>
        <v/>
      </c>
      <c r="P3486" s="13">
        <f>IF(AND(A3486&lt;&gt;"",B3486&lt;&gt;""), A3486&amp;" · "&amp;B3486, "")</f>
        <v/>
      </c>
    </row>
    <row r="3487">
      <c r="A3487" s="6" t="inlineStr">
        <is>
          <t>FY27</t>
        </is>
      </c>
      <c r="B3487" s="6" t="inlineStr">
        <is>
          <t>Aug</t>
        </is>
      </c>
      <c r="C3487" s="6" t="inlineStr">
        <is>
          <t>TN</t>
        </is>
      </c>
      <c r="D3487" s="7" t="inlineStr">
        <is>
          <t>TN01AB6376</t>
        </is>
      </c>
      <c r="E3487" s="7" t="inlineStr">
        <is>
          <t>MARUTI SUZUKI</t>
        </is>
      </c>
      <c r="F3487" s="7" t="inlineStr">
        <is>
          <t>Wagon R</t>
        </is>
      </c>
      <c r="G3487" s="7" t="inlineStr">
        <is>
          <t>POPULAR VEHICLES</t>
        </is>
      </c>
      <c r="H3487" s="7" t="inlineStr">
        <is>
          <t>Non-Captive</t>
        </is>
      </c>
      <c r="I3487" s="7" t="inlineStr">
        <is>
          <t>Value Drive Tech</t>
        </is>
      </c>
      <c r="J3487" s="8" t="n">
        <v>2006</v>
      </c>
      <c r="K3487" s="9" t="n">
        <v>25781</v>
      </c>
      <c r="L3487" s="10" t="n">
        <v>97000</v>
      </c>
      <c r="M3487" s="10" t="n">
        <v>4237.29</v>
      </c>
      <c r="N3487" s="11">
        <f>IF(M3487="","",ROUND(M3487*1.18,2))</f>
        <v/>
      </c>
      <c r="O3487" s="12">
        <f>IF(M3487="","",ROUND(N3487-M3487,2))</f>
        <v/>
      </c>
      <c r="P3487" s="13">
        <f>IF(AND(A3487&lt;&gt;"",B3487&lt;&gt;""), A3487&amp;" · "&amp;B3487, "")</f>
        <v/>
      </c>
    </row>
    <row r="3488">
      <c r="A3488" s="6" t="inlineStr">
        <is>
          <t>FY27</t>
        </is>
      </c>
      <c r="B3488" s="6" t="inlineStr">
        <is>
          <t>Aug</t>
        </is>
      </c>
      <c r="C3488" s="6" t="inlineStr">
        <is>
          <t>TN</t>
        </is>
      </c>
      <c r="D3488" s="7" t="inlineStr">
        <is>
          <t>TN01AB9696</t>
        </is>
      </c>
      <c r="E3488" s="7" t="inlineStr">
        <is>
          <t>HONDA</t>
        </is>
      </c>
      <c r="F3488" s="7" t="inlineStr">
        <is>
          <t>City</t>
        </is>
      </c>
      <c r="G3488" s="7" t="inlineStr">
        <is>
          <t>VISHNU CARS PRIVATE LIMITED</t>
        </is>
      </c>
      <c r="H3488" s="7" t="inlineStr">
        <is>
          <t>Non-Captive</t>
        </is>
      </c>
      <c r="I3488" s="7" t="inlineStr">
        <is>
          <t>Santhosh Cars</t>
        </is>
      </c>
      <c r="J3488" s="8" t="n">
        <v>2006</v>
      </c>
      <c r="K3488" s="9" t="n">
        <v>52358</v>
      </c>
      <c r="L3488" s="10" t="n">
        <v>93000</v>
      </c>
      <c r="M3488" s="10" t="n">
        <v>2542.37</v>
      </c>
      <c r="N3488" s="11">
        <f>IF(M3488="","",ROUND(M3488*1.18,2))</f>
        <v/>
      </c>
      <c r="O3488" s="12">
        <f>IF(M3488="","",ROUND(N3488-M3488,2))</f>
        <v/>
      </c>
      <c r="P3488" s="13">
        <f>IF(AND(A3488&lt;&gt;"",B3488&lt;&gt;""), A3488&amp;" · "&amp;B3488, "")</f>
        <v/>
      </c>
    </row>
    <row r="3489">
      <c r="A3489" s="6" t="inlineStr">
        <is>
          <t>FY27</t>
        </is>
      </c>
      <c r="B3489" s="6" t="inlineStr">
        <is>
          <t>Aug</t>
        </is>
      </c>
      <c r="C3489" s="6" t="inlineStr">
        <is>
          <t>TN</t>
        </is>
      </c>
      <c r="D3489" s="7" t="inlineStr">
        <is>
          <t>TN01AD5511</t>
        </is>
      </c>
      <c r="E3489" s="7" t="inlineStr">
        <is>
          <t>HONDA</t>
        </is>
      </c>
      <c r="F3489" s="7" t="inlineStr">
        <is>
          <t>City</t>
        </is>
      </c>
      <c r="G3489" s="7" t="inlineStr">
        <is>
          <t>VISHNU CARS PRIVATE LIMITED</t>
        </is>
      </c>
      <c r="H3489" s="7" t="inlineStr">
        <is>
          <t>Non-Captive</t>
        </is>
      </c>
      <c r="I3489" s="7" t="inlineStr">
        <is>
          <t>Grid 33</t>
        </is>
      </c>
      <c r="J3489" s="8" t="n">
        <v>2007</v>
      </c>
      <c r="K3489" s="9" t="n">
        <v>114216</v>
      </c>
      <c r="L3489" s="10" t="n">
        <v>95000</v>
      </c>
      <c r="M3489" s="10" t="n">
        <v>4237.29</v>
      </c>
      <c r="N3489" s="11">
        <f>IF(M3489="","",ROUND(M3489*1.18,2))</f>
        <v/>
      </c>
      <c r="O3489" s="12">
        <f>IF(M3489="","",ROUND(N3489-M3489,2))</f>
        <v/>
      </c>
      <c r="P3489" s="13">
        <f>IF(AND(A3489&lt;&gt;"",B3489&lt;&gt;""), A3489&amp;" · "&amp;B3489, "")</f>
        <v/>
      </c>
    </row>
    <row r="3490">
      <c r="A3490" s="6" t="inlineStr">
        <is>
          <t>FY27</t>
        </is>
      </c>
      <c r="B3490" s="6" t="inlineStr">
        <is>
          <t>Aug</t>
        </is>
      </c>
      <c r="C3490" s="6" t="inlineStr">
        <is>
          <t>TN</t>
        </is>
      </c>
      <c r="D3490" s="7" t="inlineStr">
        <is>
          <t>TN01AF7686</t>
        </is>
      </c>
      <c r="E3490" s="7" t="inlineStr">
        <is>
          <t>HONDA</t>
        </is>
      </c>
      <c r="F3490" s="7" t="inlineStr">
        <is>
          <t>City</t>
        </is>
      </c>
      <c r="G3490" s="7" t="inlineStr">
        <is>
          <t>VISHNU CARS PRIVATE LIMITED</t>
        </is>
      </c>
      <c r="H3490" s="7" t="inlineStr">
        <is>
          <t>Non-Captive</t>
        </is>
      </c>
      <c r="I3490" s="7" t="inlineStr">
        <is>
          <t>Santhosh Cars</t>
        </is>
      </c>
      <c r="J3490" s="8" t="n">
        <v>2008</v>
      </c>
      <c r="K3490" s="9" t="n">
        <v>143818</v>
      </c>
      <c r="L3490" s="10" t="n">
        <v>97000</v>
      </c>
      <c r="M3490" s="10" t="n">
        <v>2542.37</v>
      </c>
      <c r="N3490" s="11">
        <f>IF(M3490="","",ROUND(M3490*1.18,2))</f>
        <v/>
      </c>
      <c r="O3490" s="12">
        <f>IF(M3490="","",ROUND(N3490-M3490,2))</f>
        <v/>
      </c>
      <c r="P3490" s="13">
        <f>IF(AND(A3490&lt;&gt;"",B3490&lt;&gt;""), A3490&amp;" · "&amp;B3490, "")</f>
        <v/>
      </c>
    </row>
    <row r="3491">
      <c r="A3491" s="6" t="inlineStr">
        <is>
          <t>FY27</t>
        </is>
      </c>
      <c r="B3491" s="6" t="inlineStr">
        <is>
          <t>Aug</t>
        </is>
      </c>
      <c r="C3491" s="6" t="inlineStr">
        <is>
          <t>TN</t>
        </is>
      </c>
      <c r="D3491" s="7" t="inlineStr">
        <is>
          <t>TN01AH9234</t>
        </is>
      </c>
      <c r="E3491" s="7" t="inlineStr">
        <is>
          <t>MARUTI SUZUKI</t>
        </is>
      </c>
      <c r="F3491" s="7" t="inlineStr">
        <is>
          <t>Omni</t>
        </is>
      </c>
      <c r="G3491" s="7" t="inlineStr">
        <is>
          <t>CRESCO CARS</t>
        </is>
      </c>
      <c r="H3491" s="7" t="inlineStr">
        <is>
          <t>Non-Captive</t>
        </is>
      </c>
      <c r="I3491" s="7" t="inlineStr">
        <is>
          <t>Pine Autos</t>
        </is>
      </c>
      <c r="J3491" s="8" t="n">
        <v>2009</v>
      </c>
      <c r="K3491" s="9" t="n">
        <v>31879</v>
      </c>
      <c r="L3491" s="10" t="n">
        <v>96000</v>
      </c>
      <c r="M3491" s="10" t="n">
        <v>4237.29</v>
      </c>
      <c r="N3491" s="11">
        <f>IF(M3491="","",ROUND(M3491*1.18,2))</f>
        <v/>
      </c>
      <c r="O3491" s="12">
        <f>IF(M3491="","",ROUND(N3491-M3491,2))</f>
        <v/>
      </c>
      <c r="P3491" s="13">
        <f>IF(AND(A3491&lt;&gt;"",B3491&lt;&gt;""), A3491&amp;" · "&amp;B3491, "")</f>
        <v/>
      </c>
    </row>
    <row r="3492">
      <c r="A3492" s="6" t="inlineStr">
        <is>
          <t>FY27</t>
        </is>
      </c>
      <c r="B3492" s="6" t="inlineStr">
        <is>
          <t>Aug</t>
        </is>
      </c>
      <c r="C3492" s="6" t="inlineStr">
        <is>
          <t>TN</t>
        </is>
      </c>
      <c r="D3492" s="7" t="inlineStr">
        <is>
          <t>TN01AJ6798</t>
        </is>
      </c>
      <c r="E3492" s="7" t="inlineStr">
        <is>
          <t>MARUTI SUZUKI</t>
        </is>
      </c>
      <c r="F3492" s="7" t="inlineStr">
        <is>
          <t>Wagon R</t>
        </is>
      </c>
      <c r="G3492" s="7" t="inlineStr">
        <is>
          <t>CASTLE TRADERS MARUTI</t>
        </is>
      </c>
      <c r="H3492" s="7" t="inlineStr">
        <is>
          <t>Non-Captive</t>
        </is>
      </c>
      <c r="I3492" s="7" t="inlineStr">
        <is>
          <t>S2 MOTORZ</t>
        </is>
      </c>
      <c r="J3492" s="8" t="n">
        <v>2009</v>
      </c>
      <c r="K3492" s="9" t="n">
        <v>78373</v>
      </c>
      <c r="L3492" s="10" t="n">
        <v>90000</v>
      </c>
      <c r="M3492" s="10" t="n">
        <v>4237.29</v>
      </c>
      <c r="N3492" s="11">
        <f>IF(M3492="","",ROUND(M3492*1.18,2))</f>
        <v/>
      </c>
      <c r="O3492" s="12">
        <f>IF(M3492="","",ROUND(N3492-M3492,2))</f>
        <v/>
      </c>
      <c r="P3492" s="13">
        <f>IF(AND(A3492&lt;&gt;"",B3492&lt;&gt;""), A3492&amp;" · "&amp;B3492, "")</f>
        <v/>
      </c>
    </row>
    <row r="3493">
      <c r="A3493" s="6" t="inlineStr">
        <is>
          <t>FY27</t>
        </is>
      </c>
      <c r="B3493" s="6" t="inlineStr">
        <is>
          <t>Aug</t>
        </is>
      </c>
      <c r="C3493" s="6" t="inlineStr">
        <is>
          <t>TN</t>
        </is>
      </c>
      <c r="D3493" s="7" t="inlineStr">
        <is>
          <t>TN01AL0211</t>
        </is>
      </c>
      <c r="E3493" s="7" t="inlineStr">
        <is>
          <t>MARUTI SUZUKI</t>
        </is>
      </c>
      <c r="F3493" s="7" t="inlineStr">
        <is>
          <t>Swift</t>
        </is>
      </c>
      <c r="G3493" s="7" t="inlineStr">
        <is>
          <t>VISHNU CARS PRIVATE LIMITED</t>
        </is>
      </c>
      <c r="H3493" s="7" t="inlineStr">
        <is>
          <t>Non-Captive</t>
        </is>
      </c>
      <c r="I3493" s="7" t="inlineStr">
        <is>
          <t>Value Drive Tech</t>
        </is>
      </c>
      <c r="J3493" s="8" t="n">
        <v>2010</v>
      </c>
      <c r="K3493" s="9" t="n">
        <v>81265</v>
      </c>
      <c r="L3493" s="10" t="n">
        <v>99000</v>
      </c>
      <c r="M3493" s="10" t="n">
        <v>5084.75</v>
      </c>
      <c r="N3493" s="11">
        <f>IF(M3493="","",ROUND(M3493*1.18,2))</f>
        <v/>
      </c>
      <c r="O3493" s="12">
        <f>IF(M3493="","",ROUND(N3493-M3493,2))</f>
        <v/>
      </c>
      <c r="P3493" s="13">
        <f>IF(AND(A3493&lt;&gt;"",B3493&lt;&gt;""), A3493&amp;" · "&amp;B3493, "")</f>
        <v/>
      </c>
    </row>
    <row r="3494">
      <c r="A3494" s="6" t="inlineStr">
        <is>
          <t>FY27</t>
        </is>
      </c>
      <c r="B3494" s="6" t="inlineStr">
        <is>
          <t>Aug</t>
        </is>
      </c>
      <c r="C3494" s="6" t="inlineStr">
        <is>
          <t>TN</t>
        </is>
      </c>
      <c r="D3494" s="7" t="inlineStr">
        <is>
          <t>TN01AP0756</t>
        </is>
      </c>
      <c r="E3494" s="7" t="inlineStr">
        <is>
          <t>VOLKSWAGEN</t>
        </is>
      </c>
      <c r="F3494" s="7" t="inlineStr">
        <is>
          <t>Vento</t>
        </is>
      </c>
      <c r="G3494" s="7" t="inlineStr">
        <is>
          <t>BRAKES INDIA PRIVATE LIMITED</t>
        </is>
      </c>
      <c r="H3494" s="7" t="inlineStr">
        <is>
          <t>Non-Captive</t>
        </is>
      </c>
      <c r="I3494" s="7" t="inlineStr">
        <is>
          <t>SRI KARUPPAIYA CARS</t>
        </is>
      </c>
      <c r="J3494" s="8" t="n">
        <v>2011</v>
      </c>
      <c r="K3494" s="9" t="n">
        <v>207976</v>
      </c>
      <c r="L3494" s="10" t="n">
        <v>136000</v>
      </c>
      <c r="M3494" s="10" t="n">
        <v>5084.75</v>
      </c>
      <c r="N3494" s="11">
        <f>IF(M3494="","",ROUND(M3494*1.18,2))</f>
        <v/>
      </c>
      <c r="O3494" s="12">
        <f>IF(M3494="","",ROUND(N3494-M3494,2))</f>
        <v/>
      </c>
      <c r="P3494" s="13">
        <f>IF(AND(A3494&lt;&gt;"",B3494&lt;&gt;""), A3494&amp;" · "&amp;B3494, "")</f>
        <v/>
      </c>
    </row>
    <row r="3495">
      <c r="A3495" s="6" t="inlineStr">
        <is>
          <t>FY27</t>
        </is>
      </c>
      <c r="B3495" s="6" t="inlineStr">
        <is>
          <t>Aug</t>
        </is>
      </c>
      <c r="C3495" s="6" t="inlineStr">
        <is>
          <t>TN</t>
        </is>
      </c>
      <c r="D3495" s="7" t="inlineStr">
        <is>
          <t>TN01AR7783</t>
        </is>
      </c>
      <c r="E3495" s="7" t="inlineStr">
        <is>
          <t>HONDA</t>
        </is>
      </c>
      <c r="F3495" s="7" t="inlineStr">
        <is>
          <t>Brio</t>
        </is>
      </c>
      <c r="G3495" s="7" t="inlineStr">
        <is>
          <t>SIVASHANKAR CARS</t>
        </is>
      </c>
      <c r="H3495" s="7" t="inlineStr">
        <is>
          <t>Non-Captive</t>
        </is>
      </c>
      <c r="I3495" s="7" t="inlineStr">
        <is>
          <t>VIJAY CARS ERODE</t>
        </is>
      </c>
      <c r="J3495" s="8" t="n">
        <v>2012</v>
      </c>
      <c r="K3495" s="9" t="n">
        <v>48794</v>
      </c>
      <c r="L3495" s="10" t="n">
        <v>155000</v>
      </c>
      <c r="M3495" s="10" t="n">
        <v>847.46</v>
      </c>
      <c r="N3495" s="11">
        <f>IF(M3495="","",ROUND(M3495*1.18,2))</f>
        <v/>
      </c>
      <c r="O3495" s="12">
        <f>IF(M3495="","",ROUND(N3495-M3495,2))</f>
        <v/>
      </c>
      <c r="P3495" s="13">
        <f>IF(AND(A3495&lt;&gt;"",B3495&lt;&gt;""), A3495&amp;" · "&amp;B3495, "")</f>
        <v/>
      </c>
    </row>
    <row r="3496">
      <c r="A3496" s="6" t="inlineStr">
        <is>
          <t>FY27</t>
        </is>
      </c>
      <c r="B3496" s="6" t="inlineStr">
        <is>
          <t>Aug</t>
        </is>
      </c>
      <c r="C3496" s="6" t="inlineStr">
        <is>
          <t>TN</t>
        </is>
      </c>
      <c r="D3496" s="7" t="inlineStr">
        <is>
          <t>TN01AR8439</t>
        </is>
      </c>
      <c r="E3496" s="7" t="inlineStr">
        <is>
          <t>FORD</t>
        </is>
      </c>
      <c r="F3496" s="7" t="inlineStr">
        <is>
          <t>Fiesta Classic</t>
        </is>
      </c>
      <c r="G3496" s="7" t="inlineStr">
        <is>
          <t>AIE CARS PRIVATE LIMITED</t>
        </is>
      </c>
      <c r="H3496" s="7" t="inlineStr">
        <is>
          <t>Non-Captive</t>
        </is>
      </c>
      <c r="I3496" s="7" t="inlineStr">
        <is>
          <t>Santhosh Cars</t>
        </is>
      </c>
      <c r="J3496" s="8" t="n">
        <v>2012</v>
      </c>
      <c r="K3496" s="9" t="n">
        <v>106972</v>
      </c>
      <c r="L3496" s="10" t="n">
        <v>95000</v>
      </c>
      <c r="M3496" s="10" t="n">
        <v>2542.37</v>
      </c>
      <c r="N3496" s="11">
        <f>IF(M3496="","",ROUND(M3496*1.18,2))</f>
        <v/>
      </c>
      <c r="O3496" s="12">
        <f>IF(M3496="","",ROUND(N3496-M3496,2))</f>
        <v/>
      </c>
      <c r="P3496" s="13">
        <f>IF(AND(A3496&lt;&gt;"",B3496&lt;&gt;""), A3496&amp;" · "&amp;B3496, "")</f>
        <v/>
      </c>
    </row>
    <row r="3497">
      <c r="A3497" s="6" t="inlineStr">
        <is>
          <t>FY27</t>
        </is>
      </c>
      <c r="B3497" s="6" t="inlineStr">
        <is>
          <t>Aug</t>
        </is>
      </c>
      <c r="C3497" s="6" t="inlineStr">
        <is>
          <t>TN</t>
        </is>
      </c>
      <c r="D3497" s="7" t="inlineStr">
        <is>
          <t>TN01AT9811</t>
        </is>
      </c>
      <c r="E3497" s="7" t="inlineStr">
        <is>
          <t>MARUTI SUZUKI</t>
        </is>
      </c>
      <c r="F3497" s="7" t="inlineStr">
        <is>
          <t>Swift</t>
        </is>
      </c>
      <c r="G3497" s="7" t="inlineStr">
        <is>
          <t>CASTLE TRADERS MARUTI</t>
        </is>
      </c>
      <c r="H3497" s="7" t="inlineStr">
        <is>
          <t>Non-Captive</t>
        </is>
      </c>
      <c r="I3497" s="7" t="inlineStr">
        <is>
          <t>AAA Cars</t>
        </is>
      </c>
      <c r="J3497" s="8" t="n">
        <v>2013</v>
      </c>
      <c r="K3497" s="9" t="n">
        <v>94262</v>
      </c>
      <c r="L3497" s="10" t="n">
        <v>308000</v>
      </c>
      <c r="M3497" s="10" t="n">
        <v>5932.2</v>
      </c>
      <c r="N3497" s="11">
        <f>IF(M3497="","",ROUND(M3497*1.18,2))</f>
        <v/>
      </c>
      <c r="O3497" s="12">
        <f>IF(M3497="","",ROUND(N3497-M3497,2))</f>
        <v/>
      </c>
      <c r="P3497" s="13">
        <f>IF(AND(A3497&lt;&gt;"",B3497&lt;&gt;""), A3497&amp;" · "&amp;B3497, "")</f>
        <v/>
      </c>
    </row>
    <row r="3498">
      <c r="A3498" s="6" t="inlineStr">
        <is>
          <t>FY27</t>
        </is>
      </c>
      <c r="B3498" s="6" t="inlineStr">
        <is>
          <t>Aug</t>
        </is>
      </c>
      <c r="C3498" s="6" t="inlineStr">
        <is>
          <t>TN</t>
        </is>
      </c>
      <c r="D3498" s="7" t="inlineStr">
        <is>
          <t>TN01AY9952</t>
        </is>
      </c>
      <c r="E3498" s="7" t="inlineStr">
        <is>
          <t>HYUNDAI</t>
        </is>
      </c>
      <c r="F3498" s="7" t="inlineStr">
        <is>
          <t>Grand i10</t>
        </is>
      </c>
      <c r="G3498" s="7" t="inlineStr">
        <is>
          <t>VISHNU CARS PRIVATE LIMITED</t>
        </is>
      </c>
      <c r="H3498" s="7" t="inlineStr">
        <is>
          <t>Non-Captive</t>
        </is>
      </c>
      <c r="I3498" s="7" t="inlineStr">
        <is>
          <t>Value Drive Tech</t>
        </is>
      </c>
      <c r="J3498" s="8" t="n">
        <v>2015</v>
      </c>
      <c r="K3498" s="9" t="n">
        <v>90280</v>
      </c>
      <c r="L3498" s="10" t="n">
        <v>93000</v>
      </c>
      <c r="M3498" s="10" t="n">
        <v>4237.29</v>
      </c>
      <c r="N3498" s="11">
        <f>IF(M3498="","",ROUND(M3498*1.18,2))</f>
        <v/>
      </c>
      <c r="O3498" s="12">
        <f>IF(M3498="","",ROUND(N3498-M3498,2))</f>
        <v/>
      </c>
      <c r="P3498" s="13">
        <f>IF(AND(A3498&lt;&gt;"",B3498&lt;&gt;""), A3498&amp;" · "&amp;B3498, "")</f>
        <v/>
      </c>
    </row>
    <row r="3499">
      <c r="A3499" s="6" t="inlineStr">
        <is>
          <t>FY27</t>
        </is>
      </c>
      <c r="B3499" s="6" t="inlineStr">
        <is>
          <t>Aug</t>
        </is>
      </c>
      <c r="C3499" s="6" t="inlineStr">
        <is>
          <t>TN</t>
        </is>
      </c>
      <c r="D3499" s="7" t="inlineStr">
        <is>
          <t>TN01BC1650</t>
        </is>
      </c>
      <c r="E3499" s="7" t="inlineStr">
        <is>
          <t>HYUNDAI</t>
        </is>
      </c>
      <c r="F3499" s="7" t="inlineStr">
        <is>
          <t>Creta</t>
        </is>
      </c>
      <c r="G3499" s="7" t="inlineStr">
        <is>
          <t>EXCHANGE CHENNAI</t>
        </is>
      </c>
      <c r="H3499" s="7" t="inlineStr">
        <is>
          <t>Captive</t>
        </is>
      </c>
      <c r="I3499" s="7" t="inlineStr">
        <is>
          <t>Santhosh Cars</t>
        </is>
      </c>
      <c r="J3499" s="8" t="n">
        <v>2017</v>
      </c>
      <c r="K3499" s="9" t="n">
        <v>100822</v>
      </c>
      <c r="L3499" s="10" t="n">
        <v>515000</v>
      </c>
      <c r="M3499" s="10" t="n">
        <v>8474.58</v>
      </c>
      <c r="N3499" s="11">
        <f>IF(M3499="","",ROUND(M3499*1.18,2))</f>
        <v/>
      </c>
      <c r="O3499" s="12">
        <f>IF(M3499="","",ROUND(N3499-M3499,2))</f>
        <v/>
      </c>
      <c r="P3499" s="13">
        <f>IF(AND(A3499&lt;&gt;"",B3499&lt;&gt;""), A3499&amp;" · "&amp;B3499, "")</f>
        <v/>
      </c>
    </row>
    <row r="3500">
      <c r="A3500" s="6" t="inlineStr">
        <is>
          <t>FY27</t>
        </is>
      </c>
      <c r="B3500" s="6" t="inlineStr">
        <is>
          <t>Aug</t>
        </is>
      </c>
      <c r="C3500" s="6" t="inlineStr">
        <is>
          <t>TN</t>
        </is>
      </c>
      <c r="D3500" s="7" t="inlineStr">
        <is>
          <t>TN01BC7971</t>
        </is>
      </c>
      <c r="E3500" s="7" t="inlineStr">
        <is>
          <t>MARUTI SUZUKI</t>
        </is>
      </c>
      <c r="F3500" s="7" t="inlineStr">
        <is>
          <t>Baleno</t>
        </is>
      </c>
      <c r="G3500" s="7" t="inlineStr">
        <is>
          <t>INDUS</t>
        </is>
      </c>
      <c r="H3500" s="7" t="inlineStr">
        <is>
          <t>Non-Captive</t>
        </is>
      </c>
      <c r="I3500" s="7" t="inlineStr">
        <is>
          <t>Cars24</t>
        </is>
      </c>
      <c r="J3500" s="8" t="n">
        <v>2017</v>
      </c>
      <c r="K3500" s="9" t="n">
        <v>51305</v>
      </c>
      <c r="L3500" s="10" t="n">
        <v>99000</v>
      </c>
      <c r="M3500" s="10" t="n">
        <v>3389.83</v>
      </c>
      <c r="N3500" s="11">
        <f>IF(M3500="","",ROUND(M3500*1.18,2))</f>
        <v/>
      </c>
      <c r="O3500" s="12">
        <f>IF(M3500="","",ROUND(N3500-M3500,2))</f>
        <v/>
      </c>
      <c r="P3500" s="13">
        <f>IF(AND(A3500&lt;&gt;"",B3500&lt;&gt;""), A3500&amp;" · "&amp;B3500, "")</f>
        <v/>
      </c>
    </row>
    <row r="3501">
      <c r="A3501" s="6" t="inlineStr">
        <is>
          <t>FY27</t>
        </is>
      </c>
      <c r="B3501" s="6" t="inlineStr">
        <is>
          <t>Aug</t>
        </is>
      </c>
      <c r="C3501" s="6" t="inlineStr">
        <is>
          <t>TN</t>
        </is>
      </c>
      <c r="D3501" s="7" t="inlineStr">
        <is>
          <t>TN01BD0515</t>
        </is>
      </c>
      <c r="E3501" s="7" t="inlineStr">
        <is>
          <t>RENAULT</t>
        </is>
      </c>
      <c r="F3501" s="7" t="inlineStr">
        <is>
          <t>Kwid</t>
        </is>
      </c>
      <c r="G3501" s="7" t="inlineStr">
        <is>
          <t>RAJALAKSHMI CARS</t>
        </is>
      </c>
      <c r="H3501" s="7" t="inlineStr">
        <is>
          <t>Non-Captive</t>
        </is>
      </c>
      <c r="I3501" s="7" t="inlineStr">
        <is>
          <t>Pine Autos</t>
        </is>
      </c>
      <c r="J3501" s="8" t="n">
        <v>2017</v>
      </c>
      <c r="K3501" s="9" t="n">
        <v>31961</v>
      </c>
      <c r="L3501" s="10" t="n">
        <v>99000</v>
      </c>
      <c r="M3501" s="10" t="n">
        <v>2542.37</v>
      </c>
      <c r="N3501" s="11">
        <f>IF(M3501="","",ROUND(M3501*1.18,2))</f>
        <v/>
      </c>
      <c r="O3501" s="12">
        <f>IF(M3501="","",ROUND(N3501-M3501,2))</f>
        <v/>
      </c>
      <c r="P3501" s="13">
        <f>IF(AND(A3501&lt;&gt;"",B3501&lt;&gt;""), A3501&amp;" · "&amp;B3501, "")</f>
        <v/>
      </c>
    </row>
    <row r="3502">
      <c r="A3502" s="6" t="inlineStr">
        <is>
          <t>FY27</t>
        </is>
      </c>
      <c r="B3502" s="6" t="inlineStr">
        <is>
          <t>Aug</t>
        </is>
      </c>
      <c r="C3502" s="6" t="inlineStr">
        <is>
          <t>TN</t>
        </is>
      </c>
      <c r="D3502" s="7" t="inlineStr">
        <is>
          <t>TN01BE5125</t>
        </is>
      </c>
      <c r="E3502" s="7" t="inlineStr">
        <is>
          <t>HYUNDAI</t>
        </is>
      </c>
      <c r="F3502" s="7" t="inlineStr">
        <is>
          <t>Grand i10</t>
        </is>
      </c>
      <c r="G3502" s="7" t="inlineStr">
        <is>
          <t>VISHNU CARS PRIVATE LIMITED</t>
        </is>
      </c>
      <c r="H3502" s="7" t="inlineStr">
        <is>
          <t>Non-Captive</t>
        </is>
      </c>
      <c r="I3502" s="7" t="inlineStr">
        <is>
          <t>Grid 33</t>
        </is>
      </c>
      <c r="J3502" s="8" t="n">
        <v>2018</v>
      </c>
      <c r="K3502" s="9" t="n">
        <v>19837</v>
      </c>
      <c r="L3502" s="10" t="n">
        <v>99000</v>
      </c>
      <c r="M3502" s="10" t="n">
        <v>2542.37</v>
      </c>
      <c r="N3502" s="11">
        <f>IF(M3502="","",ROUND(M3502*1.18,2))</f>
        <v/>
      </c>
      <c r="O3502" s="12">
        <f>IF(M3502="","",ROUND(N3502-M3502,2))</f>
        <v/>
      </c>
      <c r="P3502" s="13">
        <f>IF(AND(A3502&lt;&gt;"",B3502&lt;&gt;""), A3502&amp;" · "&amp;B3502, "")</f>
        <v/>
      </c>
    </row>
    <row r="3503">
      <c r="A3503" s="6" t="inlineStr">
        <is>
          <t>FY27</t>
        </is>
      </c>
      <c r="B3503" s="6" t="inlineStr">
        <is>
          <t>Aug</t>
        </is>
      </c>
      <c r="C3503" s="6" t="inlineStr">
        <is>
          <t>TN</t>
        </is>
      </c>
      <c r="D3503" s="7" t="inlineStr">
        <is>
          <t>TN01BM3940</t>
        </is>
      </c>
      <c r="E3503" s="7" t="inlineStr">
        <is>
          <t>MARUTI SUZUKI</t>
        </is>
      </c>
      <c r="F3503" s="7" t="inlineStr">
        <is>
          <t>Swift</t>
        </is>
      </c>
      <c r="G3503" s="7" t="inlineStr">
        <is>
          <t>MM MOTOR</t>
        </is>
      </c>
      <c r="H3503" s="7" t="inlineStr">
        <is>
          <t>Non-Captive</t>
        </is>
      </c>
      <c r="I3503" s="7" t="inlineStr">
        <is>
          <t>AB CAR ZONE</t>
        </is>
      </c>
      <c r="J3503" s="8" t="n">
        <v>2021</v>
      </c>
      <c r="K3503" s="9" t="n">
        <v>38088</v>
      </c>
      <c r="L3503" s="10" t="n">
        <v>98000</v>
      </c>
      <c r="M3503" s="10" t="n">
        <v>2542.37</v>
      </c>
      <c r="N3503" s="11">
        <f>IF(M3503="","",ROUND(M3503*1.18,2))</f>
        <v/>
      </c>
      <c r="O3503" s="12">
        <f>IF(M3503="","",ROUND(N3503-M3503,2))</f>
        <v/>
      </c>
      <c r="P3503" s="13">
        <f>IF(AND(A3503&lt;&gt;"",B3503&lt;&gt;""), A3503&amp;" · "&amp;B3503, "")</f>
        <v/>
      </c>
    </row>
    <row r="3504">
      <c r="A3504" s="6" t="inlineStr">
        <is>
          <t>FY27</t>
        </is>
      </c>
      <c r="B3504" s="6" t="inlineStr">
        <is>
          <t>Aug</t>
        </is>
      </c>
      <c r="C3504" s="6" t="inlineStr">
        <is>
          <t>TN</t>
        </is>
      </c>
      <c r="D3504" s="7" t="inlineStr">
        <is>
          <t>TN01BM4119</t>
        </is>
      </c>
      <c r="E3504" s="7" t="inlineStr">
        <is>
          <t>TATA</t>
        </is>
      </c>
      <c r="F3504" s="7" t="inlineStr">
        <is>
          <t>Nexon</t>
        </is>
      </c>
      <c r="G3504" s="7" t="inlineStr">
        <is>
          <t>AIE CARS PRIVATE LIMITED</t>
        </is>
      </c>
      <c r="H3504" s="7" t="inlineStr">
        <is>
          <t>Non-Captive</t>
        </is>
      </c>
      <c r="I3504" s="7" t="inlineStr">
        <is>
          <t>Nirmal Cars</t>
        </is>
      </c>
      <c r="J3504" s="8" t="n">
        <v>2021</v>
      </c>
      <c r="K3504" s="9" t="n">
        <v>32324</v>
      </c>
      <c r="L3504" s="10" t="n">
        <v>97000</v>
      </c>
      <c r="M3504" s="10" t="n">
        <v>2542.37</v>
      </c>
      <c r="N3504" s="11">
        <f>IF(M3504="","",ROUND(M3504*1.18,2))</f>
        <v/>
      </c>
      <c r="O3504" s="12">
        <f>IF(M3504="","",ROUND(N3504-M3504,2))</f>
        <v/>
      </c>
      <c r="P3504" s="13">
        <f>IF(AND(A3504&lt;&gt;"",B3504&lt;&gt;""), A3504&amp;" · "&amp;B3504, "")</f>
        <v/>
      </c>
    </row>
    <row r="3505">
      <c r="A3505" s="6" t="inlineStr">
        <is>
          <t>FY27</t>
        </is>
      </c>
      <c r="B3505" s="6" t="inlineStr">
        <is>
          <t>Aug</t>
        </is>
      </c>
      <c r="C3505" s="6" t="inlineStr">
        <is>
          <t>TN</t>
        </is>
      </c>
      <c r="D3505" s="7" t="inlineStr">
        <is>
          <t>TN01W4601</t>
        </is>
      </c>
      <c r="E3505" s="7" t="inlineStr">
        <is>
          <t>HYUNDAI</t>
        </is>
      </c>
      <c r="F3505" s="7" t="inlineStr">
        <is>
          <t>Santro</t>
        </is>
      </c>
      <c r="G3505" s="7" t="inlineStr">
        <is>
          <t>VISHNU CARS PRIVATE LIMITED</t>
        </is>
      </c>
      <c r="H3505" s="7" t="inlineStr">
        <is>
          <t>Non-Captive</t>
        </is>
      </c>
      <c r="I3505" s="7" t="inlineStr">
        <is>
          <t>Santhosh Cars</t>
        </is>
      </c>
      <c r="J3505" s="8" t="n">
        <v>2003</v>
      </c>
      <c r="K3505" s="9" t="n">
        <v>31742</v>
      </c>
      <c r="L3505" s="10" t="n">
        <v>94000</v>
      </c>
      <c r="M3505" s="10" t="n">
        <v>4237.29</v>
      </c>
      <c r="N3505" s="11">
        <f>IF(M3505="","",ROUND(M3505*1.18,2))</f>
        <v/>
      </c>
      <c r="O3505" s="12">
        <f>IF(M3505="","",ROUND(N3505-M3505,2))</f>
        <v/>
      </c>
      <c r="P3505" s="13">
        <f>IF(AND(A3505&lt;&gt;"",B3505&lt;&gt;""), A3505&amp;" · "&amp;B3505, "")</f>
        <v/>
      </c>
    </row>
    <row r="3506">
      <c r="A3506" s="6" t="inlineStr">
        <is>
          <t>FY27</t>
        </is>
      </c>
      <c r="B3506" s="6" t="inlineStr">
        <is>
          <t>Aug</t>
        </is>
      </c>
      <c r="C3506" s="6" t="inlineStr">
        <is>
          <t>TN</t>
        </is>
      </c>
      <c r="D3506" s="7" t="inlineStr">
        <is>
          <t>TN02AF7407</t>
        </is>
      </c>
      <c r="E3506" s="7" t="inlineStr">
        <is>
          <t>MARUTI SUZUKI</t>
        </is>
      </c>
      <c r="F3506" s="7" t="inlineStr">
        <is>
          <t>Alto</t>
        </is>
      </c>
      <c r="G3506" s="7" t="inlineStr">
        <is>
          <t>SIVA AUTOMOTIVE TRADING PRIVATE LIMITED</t>
        </is>
      </c>
      <c r="H3506" s="7" t="inlineStr">
        <is>
          <t>Non-Captive</t>
        </is>
      </c>
      <c r="I3506" s="7" t="inlineStr">
        <is>
          <t>Gokul Cars</t>
        </is>
      </c>
      <c r="J3506" s="8" t="n">
        <v>2008</v>
      </c>
      <c r="K3506" s="9" t="n">
        <v>118920</v>
      </c>
      <c r="L3506" s="10" t="n">
        <v>70000</v>
      </c>
      <c r="M3506" s="10" t="n">
        <v>4237.29</v>
      </c>
      <c r="N3506" s="11">
        <f>IF(M3506="","",ROUND(M3506*1.18,2))</f>
        <v/>
      </c>
      <c r="O3506" s="12">
        <f>IF(M3506="","",ROUND(N3506-M3506,2))</f>
        <v/>
      </c>
      <c r="P3506" s="13">
        <f>IF(AND(A3506&lt;&gt;"",B3506&lt;&gt;""), A3506&amp;" · "&amp;B3506, "")</f>
        <v/>
      </c>
    </row>
    <row r="3507">
      <c r="A3507" s="6" t="inlineStr">
        <is>
          <t>FY27</t>
        </is>
      </c>
      <c r="B3507" s="6" t="inlineStr">
        <is>
          <t>Aug</t>
        </is>
      </c>
      <c r="C3507" s="6" t="inlineStr">
        <is>
          <t>TN</t>
        </is>
      </c>
      <c r="D3507" s="7" t="inlineStr">
        <is>
          <t>TN02AJ5990</t>
        </is>
      </c>
      <c r="E3507" s="7" t="inlineStr">
        <is>
          <t>HONDA</t>
        </is>
      </c>
      <c r="F3507" s="7" t="inlineStr">
        <is>
          <t>City</t>
        </is>
      </c>
      <c r="G3507" s="7" t="inlineStr">
        <is>
          <t>CAR HUB</t>
        </is>
      </c>
      <c r="H3507" s="7" t="inlineStr">
        <is>
          <t>Non-Captive</t>
        </is>
      </c>
      <c r="I3507" s="7" t="inlineStr">
        <is>
          <t>Thiya Cars</t>
        </is>
      </c>
      <c r="J3507" s="8" t="n">
        <v>2009</v>
      </c>
      <c r="K3507" s="9" t="n">
        <v>90110</v>
      </c>
      <c r="L3507" s="10" t="n">
        <v>97000</v>
      </c>
      <c r="M3507" s="10" t="n">
        <v>4237.29</v>
      </c>
      <c r="N3507" s="11">
        <f>IF(M3507="","",ROUND(M3507*1.18,2))</f>
        <v/>
      </c>
      <c r="O3507" s="12">
        <f>IF(M3507="","",ROUND(N3507-M3507,2))</f>
        <v/>
      </c>
      <c r="P3507" s="13">
        <f>IF(AND(A3507&lt;&gt;"",B3507&lt;&gt;""), A3507&amp;" · "&amp;B3507, "")</f>
        <v/>
      </c>
    </row>
    <row r="3508">
      <c r="A3508" s="6" t="inlineStr">
        <is>
          <t>FY27</t>
        </is>
      </c>
      <c r="B3508" s="6" t="inlineStr">
        <is>
          <t>Aug</t>
        </is>
      </c>
      <c r="C3508" s="6" t="inlineStr">
        <is>
          <t>TN</t>
        </is>
      </c>
      <c r="D3508" s="7" t="inlineStr">
        <is>
          <t>TN02AJ8859</t>
        </is>
      </c>
      <c r="E3508" s="7" t="inlineStr">
        <is>
          <t>HYUNDAI</t>
        </is>
      </c>
      <c r="F3508" s="7" t="inlineStr">
        <is>
          <t>i10</t>
        </is>
      </c>
      <c r="G3508" s="7" t="inlineStr">
        <is>
          <t>PEEYESYEM HK MOTORS LLP</t>
        </is>
      </c>
      <c r="H3508" s="7" t="inlineStr">
        <is>
          <t>Non-Captive</t>
        </is>
      </c>
      <c r="I3508" s="7" t="inlineStr">
        <is>
          <t>Value Drive Tech</t>
        </is>
      </c>
      <c r="J3508" s="8" t="n">
        <v>2009</v>
      </c>
      <c r="K3508" s="9" t="n">
        <v>85869</v>
      </c>
      <c r="L3508" s="10" t="n">
        <v>98000</v>
      </c>
      <c r="M3508" s="10" t="n">
        <v>4237.29</v>
      </c>
      <c r="N3508" s="11">
        <f>IF(M3508="","",ROUND(M3508*1.18,2))</f>
        <v/>
      </c>
      <c r="O3508" s="12">
        <f>IF(M3508="","",ROUND(N3508-M3508,2))</f>
        <v/>
      </c>
      <c r="P3508" s="13">
        <f>IF(AND(A3508&lt;&gt;"",B3508&lt;&gt;""), A3508&amp;" · "&amp;B3508, "")</f>
        <v/>
      </c>
    </row>
    <row r="3509">
      <c r="A3509" s="6" t="inlineStr">
        <is>
          <t>FY27</t>
        </is>
      </c>
      <c r="B3509" s="6" t="inlineStr">
        <is>
          <t>Aug</t>
        </is>
      </c>
      <c r="C3509" s="6" t="inlineStr">
        <is>
          <t>TN</t>
        </is>
      </c>
      <c r="D3509" s="7" t="inlineStr">
        <is>
          <t>TN02AS2436</t>
        </is>
      </c>
      <c r="E3509" s="7" t="inlineStr">
        <is>
          <t>HYUNDAI</t>
        </is>
      </c>
      <c r="F3509" s="7" t="inlineStr">
        <is>
          <t>i10</t>
        </is>
      </c>
      <c r="G3509" s="7" t="inlineStr">
        <is>
          <t>EXCHANGE CHENNAI</t>
        </is>
      </c>
      <c r="H3509" s="7" t="inlineStr">
        <is>
          <t>Captive</t>
        </is>
      </c>
      <c r="I3509" s="7" t="inlineStr">
        <is>
          <t>Santhosh Cars</t>
        </is>
      </c>
      <c r="J3509" s="8" t="n">
        <v>2011</v>
      </c>
      <c r="K3509" s="9" t="n">
        <v>87924</v>
      </c>
      <c r="L3509" s="10" t="n">
        <v>150000</v>
      </c>
      <c r="M3509" s="10" t="n">
        <v>8474.58</v>
      </c>
      <c r="N3509" s="11">
        <f>IF(M3509="","",ROUND(M3509*1.18,2))</f>
        <v/>
      </c>
      <c r="O3509" s="12">
        <f>IF(M3509="","",ROUND(N3509-M3509,2))</f>
        <v/>
      </c>
      <c r="P3509" s="13">
        <f>IF(AND(A3509&lt;&gt;"",B3509&lt;&gt;""), A3509&amp;" · "&amp;B3509, "")</f>
        <v/>
      </c>
    </row>
    <row r="3510">
      <c r="A3510" s="6" t="inlineStr">
        <is>
          <t>FY27</t>
        </is>
      </c>
      <c r="B3510" s="6" t="inlineStr">
        <is>
          <t>Aug</t>
        </is>
      </c>
      <c r="C3510" s="6" t="inlineStr">
        <is>
          <t>TN</t>
        </is>
      </c>
      <c r="D3510" s="7" t="inlineStr">
        <is>
          <t>TN02AT6766</t>
        </is>
      </c>
      <c r="E3510" s="7" t="inlineStr">
        <is>
          <t>MAHINDRA</t>
        </is>
      </c>
      <c r="F3510" s="7" t="inlineStr">
        <is>
          <t>Scorpio</t>
        </is>
      </c>
      <c r="G3510" s="7" t="inlineStr">
        <is>
          <t>AIE CARS PRIVATE LIMITED</t>
        </is>
      </c>
      <c r="H3510" s="7" t="inlineStr">
        <is>
          <t>Non-Captive</t>
        </is>
      </c>
      <c r="I3510" s="7" t="inlineStr">
        <is>
          <t>Nirmal Cars</t>
        </is>
      </c>
      <c r="J3510" s="8" t="n">
        <v>2012</v>
      </c>
      <c r="K3510" s="9" t="n">
        <v>164757</v>
      </c>
      <c r="L3510" s="10" t="n">
        <v>96000</v>
      </c>
      <c r="M3510" s="10" t="n">
        <v>2542.37</v>
      </c>
      <c r="N3510" s="11">
        <f>IF(M3510="","",ROUND(M3510*1.18,2))</f>
        <v/>
      </c>
      <c r="O3510" s="12">
        <f>IF(M3510="","",ROUND(N3510-M3510,2))</f>
        <v/>
      </c>
      <c r="P3510" s="13">
        <f>IF(AND(A3510&lt;&gt;"",B3510&lt;&gt;""), A3510&amp;" · "&amp;B3510, "")</f>
        <v/>
      </c>
    </row>
    <row r="3511">
      <c r="A3511" s="6" t="inlineStr">
        <is>
          <t>FY27</t>
        </is>
      </c>
      <c r="B3511" s="6" t="inlineStr">
        <is>
          <t>Aug</t>
        </is>
      </c>
      <c r="C3511" s="6" t="inlineStr">
        <is>
          <t>TN</t>
        </is>
      </c>
      <c r="D3511" s="7" t="inlineStr">
        <is>
          <t>TN02AY5888</t>
        </is>
      </c>
      <c r="E3511" s="7" t="inlineStr">
        <is>
          <t>FORD</t>
        </is>
      </c>
      <c r="F3511" s="7" t="inlineStr">
        <is>
          <t>Fiesta</t>
        </is>
      </c>
      <c r="G3511" s="7" t="inlineStr">
        <is>
          <t>LANSON QCARS PRIVATE LIMITED</t>
        </is>
      </c>
      <c r="H3511" s="7" t="inlineStr">
        <is>
          <t>Non-Captive</t>
        </is>
      </c>
      <c r="I3511" s="7" t="inlineStr">
        <is>
          <t>Thiyagarajan Raja Cars</t>
        </is>
      </c>
      <c r="J3511" s="8" t="n">
        <v>2013</v>
      </c>
      <c r="K3511" s="9" t="n">
        <v>99673</v>
      </c>
      <c r="L3511" s="10" t="n">
        <v>97000</v>
      </c>
      <c r="M3511" s="10" t="n">
        <v>4237.29</v>
      </c>
      <c r="N3511" s="11">
        <f>IF(M3511="","",ROUND(M3511*1.18,2))</f>
        <v/>
      </c>
      <c r="O3511" s="12">
        <f>IF(M3511="","",ROUND(N3511-M3511,2))</f>
        <v/>
      </c>
      <c r="P3511" s="13">
        <f>IF(AND(A3511&lt;&gt;"",B3511&lt;&gt;""), A3511&amp;" · "&amp;B3511, "")</f>
        <v/>
      </c>
    </row>
    <row r="3512">
      <c r="A3512" s="6" t="inlineStr">
        <is>
          <t>FY27</t>
        </is>
      </c>
      <c r="B3512" s="6" t="inlineStr">
        <is>
          <t>Aug</t>
        </is>
      </c>
      <c r="C3512" s="6" t="inlineStr">
        <is>
          <t>TN</t>
        </is>
      </c>
      <c r="D3512" s="7" t="inlineStr">
        <is>
          <t>TN02AY7459</t>
        </is>
      </c>
      <c r="E3512" s="7" t="inlineStr">
        <is>
          <t>HYUNDAI</t>
        </is>
      </c>
      <c r="F3512" s="7" t="inlineStr">
        <is>
          <t>Grand i10</t>
        </is>
      </c>
      <c r="G3512" s="7" t="inlineStr">
        <is>
          <t>CAR HUB</t>
        </is>
      </c>
      <c r="H3512" s="7" t="inlineStr">
        <is>
          <t>Non-Captive</t>
        </is>
      </c>
      <c r="I3512" s="7" t="inlineStr">
        <is>
          <t>Cars24</t>
        </is>
      </c>
      <c r="J3512" s="8" t="n">
        <v>2013</v>
      </c>
      <c r="K3512" s="9" t="n">
        <v>113041</v>
      </c>
      <c r="L3512" s="10" t="n">
        <v>174500</v>
      </c>
      <c r="M3512" s="10" t="n">
        <v>5084.75</v>
      </c>
      <c r="N3512" s="11">
        <f>IF(M3512="","",ROUND(M3512*1.18,2))</f>
        <v/>
      </c>
      <c r="O3512" s="12">
        <f>IF(M3512="","",ROUND(N3512-M3512,2))</f>
        <v/>
      </c>
      <c r="P3512" s="13">
        <f>IF(AND(A3512&lt;&gt;"",B3512&lt;&gt;""), A3512&amp;" · "&amp;B3512, "")</f>
        <v/>
      </c>
    </row>
    <row r="3513">
      <c r="A3513" s="6" t="inlineStr">
        <is>
          <t>FY27</t>
        </is>
      </c>
      <c r="B3513" s="6" t="inlineStr">
        <is>
          <t>Aug</t>
        </is>
      </c>
      <c r="C3513" s="6" t="inlineStr">
        <is>
          <t>TN</t>
        </is>
      </c>
      <c r="D3513" s="7" t="inlineStr">
        <is>
          <t>TN02BA7588</t>
        </is>
      </c>
      <c r="E3513" s="7" t="inlineStr">
        <is>
          <t>MARUTI SUZUKI</t>
        </is>
      </c>
      <c r="F3513" s="7" t="inlineStr">
        <is>
          <t>Alto K10</t>
        </is>
      </c>
      <c r="G3513" s="7" t="inlineStr">
        <is>
          <t>CASTLE TRADERS MARUTI</t>
        </is>
      </c>
      <c r="H3513" s="7" t="inlineStr">
        <is>
          <t>Non-Captive</t>
        </is>
      </c>
      <c r="I3513" s="7" t="inlineStr">
        <is>
          <t>Value Drive Tech</t>
        </is>
      </c>
      <c r="J3513" s="8" t="n">
        <v>2014</v>
      </c>
      <c r="K3513" s="9" t="n">
        <v>70427</v>
      </c>
      <c r="L3513" s="10" t="n">
        <v>94000</v>
      </c>
      <c r="M3513" s="10" t="n">
        <v>4237.29</v>
      </c>
      <c r="N3513" s="11">
        <f>IF(M3513="","",ROUND(M3513*1.18,2))</f>
        <v/>
      </c>
      <c r="O3513" s="12">
        <f>IF(M3513="","",ROUND(N3513-M3513,2))</f>
        <v/>
      </c>
      <c r="P3513" s="13">
        <f>IF(AND(A3513&lt;&gt;"",B3513&lt;&gt;""), A3513&amp;" · "&amp;B3513, "")</f>
        <v/>
      </c>
    </row>
    <row r="3514">
      <c r="A3514" s="6" t="inlineStr">
        <is>
          <t>FY27</t>
        </is>
      </c>
      <c r="B3514" s="6" t="inlineStr">
        <is>
          <t>Aug</t>
        </is>
      </c>
      <c r="C3514" s="6" t="inlineStr">
        <is>
          <t>TN</t>
        </is>
      </c>
      <c r="D3514" s="7" t="inlineStr">
        <is>
          <t>TN02BD0560</t>
        </is>
      </c>
      <c r="E3514" s="7" t="inlineStr">
        <is>
          <t>MARUTI SUZUKI</t>
        </is>
      </c>
      <c r="F3514" s="7" t="inlineStr">
        <is>
          <t>Celerio</t>
        </is>
      </c>
      <c r="G3514" s="7" t="inlineStr">
        <is>
          <t>CARS INDIA</t>
        </is>
      </c>
      <c r="H3514" s="7" t="inlineStr">
        <is>
          <t>Non-Captive</t>
        </is>
      </c>
      <c r="I3514" s="7" t="inlineStr">
        <is>
          <t>Grid 33</t>
        </is>
      </c>
      <c r="J3514" s="8" t="n">
        <v>2015</v>
      </c>
      <c r="K3514" s="9" t="n">
        <v>42199</v>
      </c>
      <c r="L3514" s="10" t="n">
        <v>97000</v>
      </c>
      <c r="M3514" s="10" t="n">
        <v>4237.29</v>
      </c>
      <c r="N3514" s="11">
        <f>IF(M3514="","",ROUND(M3514*1.18,2))</f>
        <v/>
      </c>
      <c r="O3514" s="12">
        <f>IF(M3514="","",ROUND(N3514-M3514,2))</f>
        <v/>
      </c>
      <c r="P3514" s="13">
        <f>IF(AND(A3514&lt;&gt;"",B3514&lt;&gt;""), A3514&amp;" · "&amp;B3514, "")</f>
        <v/>
      </c>
    </row>
    <row r="3515">
      <c r="A3515" s="6" t="inlineStr">
        <is>
          <t>FY27</t>
        </is>
      </c>
      <c r="B3515" s="6" t="inlineStr">
        <is>
          <t>Aug</t>
        </is>
      </c>
      <c r="C3515" s="6" t="inlineStr">
        <is>
          <t>TN</t>
        </is>
      </c>
      <c r="D3515" s="7" t="inlineStr">
        <is>
          <t>TN02BD1657</t>
        </is>
      </c>
      <c r="E3515" s="7" t="inlineStr">
        <is>
          <t>MARUTI SUZUKI</t>
        </is>
      </c>
      <c r="F3515" s="7" t="inlineStr">
        <is>
          <t>Dzire</t>
        </is>
      </c>
      <c r="G3515" s="7" t="inlineStr">
        <is>
          <t>EXCHANGE CHENNAI</t>
        </is>
      </c>
      <c r="H3515" s="7" t="inlineStr">
        <is>
          <t>Captive</t>
        </is>
      </c>
      <c r="I3515" s="7" t="inlineStr">
        <is>
          <t>Santhosh Cars</t>
        </is>
      </c>
      <c r="J3515" s="8" t="n">
        <v>2015</v>
      </c>
      <c r="K3515" s="9" t="n">
        <v>83720</v>
      </c>
      <c r="L3515" s="10" t="n">
        <v>310000</v>
      </c>
      <c r="M3515" s="10" t="n">
        <v>8474.58</v>
      </c>
      <c r="N3515" s="11">
        <f>IF(M3515="","",ROUND(M3515*1.18,2))</f>
        <v/>
      </c>
      <c r="O3515" s="12">
        <f>IF(M3515="","",ROUND(N3515-M3515,2))</f>
        <v/>
      </c>
      <c r="P3515" s="13">
        <f>IF(AND(A3515&lt;&gt;"",B3515&lt;&gt;""), A3515&amp;" · "&amp;B3515, "")</f>
        <v/>
      </c>
    </row>
    <row r="3516">
      <c r="A3516" s="6" t="inlineStr">
        <is>
          <t>FY27</t>
        </is>
      </c>
      <c r="B3516" s="6" t="inlineStr">
        <is>
          <t>Aug</t>
        </is>
      </c>
      <c r="C3516" s="6" t="inlineStr">
        <is>
          <t>TN</t>
        </is>
      </c>
      <c r="D3516" s="7" t="inlineStr">
        <is>
          <t>TN02BK8408</t>
        </is>
      </c>
      <c r="E3516" s="7" t="inlineStr">
        <is>
          <t>HONDA</t>
        </is>
      </c>
      <c r="F3516" s="7" t="inlineStr">
        <is>
          <t>City</t>
        </is>
      </c>
      <c r="G3516" s="7" t="inlineStr">
        <is>
          <t>EXCHANGE ROTN</t>
        </is>
      </c>
      <c r="H3516" s="7" t="inlineStr">
        <is>
          <t>Captive</t>
        </is>
      </c>
      <c r="I3516" s="7" t="inlineStr">
        <is>
          <t>&lt;NA&gt;</t>
        </is>
      </c>
      <c r="J3516" s="8" t="n">
        <v>2017</v>
      </c>
      <c r="K3516" s="9" t="n">
        <v>131510</v>
      </c>
      <c r="L3516" s="10" t="n">
        <v>490000</v>
      </c>
      <c r="M3516" s="10" t="n">
        <v>8474.58</v>
      </c>
      <c r="N3516" s="11">
        <f>IF(M3516="","",ROUND(M3516*1.18,2))</f>
        <v/>
      </c>
      <c r="O3516" s="12">
        <f>IF(M3516="","",ROUND(N3516-M3516,2))</f>
        <v/>
      </c>
      <c r="P3516" s="13">
        <f>IF(AND(A3516&lt;&gt;"",B3516&lt;&gt;""), A3516&amp;" · "&amp;B3516, "")</f>
        <v/>
      </c>
    </row>
    <row r="3517">
      <c r="A3517" s="6" t="inlineStr">
        <is>
          <t>FY27</t>
        </is>
      </c>
      <c r="B3517" s="6" t="inlineStr">
        <is>
          <t>Aug</t>
        </is>
      </c>
      <c r="C3517" s="6" t="inlineStr">
        <is>
          <t>TN</t>
        </is>
      </c>
      <c r="D3517" s="7" t="inlineStr">
        <is>
          <t>TN02BM4407</t>
        </is>
      </c>
      <c r="E3517" s="7" t="inlineStr">
        <is>
          <t>HYUNDAI</t>
        </is>
      </c>
      <c r="F3517" s="7" t="inlineStr">
        <is>
          <t>Xcent</t>
        </is>
      </c>
      <c r="G3517" s="7" t="inlineStr">
        <is>
          <t>&lt;NA&gt;</t>
        </is>
      </c>
      <c r="H3517" s="7" t="inlineStr">
        <is>
          <t>Non-Captive</t>
        </is>
      </c>
      <c r="I3517" s="7" t="inlineStr">
        <is>
          <t>Thiya Cars</t>
        </is>
      </c>
      <c r="J3517" s="8" t="n"/>
      <c r="K3517" s="9" t="n">
        <v>78923</v>
      </c>
      <c r="L3517" s="10" t="n">
        <v>300000</v>
      </c>
      <c r="M3517" s="10" t="n">
        <v>7627.12</v>
      </c>
      <c r="N3517" s="11">
        <f>IF(M3517="","",ROUND(M3517*1.18,2))</f>
        <v/>
      </c>
      <c r="O3517" s="12">
        <f>IF(M3517="","",ROUND(N3517-M3517,2))</f>
        <v/>
      </c>
      <c r="P3517" s="13">
        <f>IF(AND(A3517&lt;&gt;"",B3517&lt;&gt;""), A3517&amp;" · "&amp;B3517, "")</f>
        <v/>
      </c>
    </row>
    <row r="3518">
      <c r="A3518" s="6" t="inlineStr">
        <is>
          <t>FY27</t>
        </is>
      </c>
      <c r="B3518" s="6" t="inlineStr">
        <is>
          <t>Aug</t>
        </is>
      </c>
      <c r="C3518" s="6" t="inlineStr">
        <is>
          <t>TN</t>
        </is>
      </c>
      <c r="D3518" s="7" t="inlineStr">
        <is>
          <t>TN02BP4330</t>
        </is>
      </c>
      <c r="E3518" s="7" t="inlineStr">
        <is>
          <t>MARUTI SUZUKI</t>
        </is>
      </c>
      <c r="F3518" s="7" t="inlineStr">
        <is>
          <t>Swift</t>
        </is>
      </c>
      <c r="G3518" s="7" t="inlineStr">
        <is>
          <t>AIE CARS PRIVATE LIMITED</t>
        </is>
      </c>
      <c r="H3518" s="7" t="inlineStr">
        <is>
          <t>Non-Captive</t>
        </is>
      </c>
      <c r="I3518" s="7" t="inlineStr">
        <is>
          <t>Nirmal Cars</t>
        </is>
      </c>
      <c r="J3518" s="8" t="n">
        <v>2018</v>
      </c>
      <c r="K3518" s="9" t="n">
        <v>64564</v>
      </c>
      <c r="L3518" s="10" t="n">
        <v>89000</v>
      </c>
      <c r="M3518" s="10" t="n">
        <v>2542.37</v>
      </c>
      <c r="N3518" s="11">
        <f>IF(M3518="","",ROUND(M3518*1.18,2))</f>
        <v/>
      </c>
      <c r="O3518" s="12">
        <f>IF(M3518="","",ROUND(N3518-M3518,2))</f>
        <v/>
      </c>
      <c r="P3518" s="13">
        <f>IF(AND(A3518&lt;&gt;"",B3518&lt;&gt;""), A3518&amp;" · "&amp;B3518, "")</f>
        <v/>
      </c>
    </row>
    <row r="3519">
      <c r="A3519" s="6" t="inlineStr">
        <is>
          <t>FY27</t>
        </is>
      </c>
      <c r="B3519" s="6" t="inlineStr">
        <is>
          <t>Aug</t>
        </is>
      </c>
      <c r="C3519" s="6" t="inlineStr">
        <is>
          <t>TN</t>
        </is>
      </c>
      <c r="D3519" s="7" t="inlineStr">
        <is>
          <t>TN02BR5284</t>
        </is>
      </c>
      <c r="E3519" s="7" t="inlineStr">
        <is>
          <t>HONDA</t>
        </is>
      </c>
      <c r="F3519" s="7" t="inlineStr">
        <is>
          <t>City</t>
        </is>
      </c>
      <c r="G3519" s="7" t="inlineStr">
        <is>
          <t>EXCHANGE CHENNAI</t>
        </is>
      </c>
      <c r="H3519" s="7" t="inlineStr">
        <is>
          <t>Captive</t>
        </is>
      </c>
      <c r="I3519" s="7" t="inlineStr">
        <is>
          <t>Santhosh Cars</t>
        </is>
      </c>
      <c r="J3519" s="8" t="n">
        <v>2019</v>
      </c>
      <c r="K3519" s="9" t="n">
        <v>24668</v>
      </c>
      <c r="L3519" s="10" t="n">
        <v>570000</v>
      </c>
      <c r="M3519" s="10" t="n">
        <v>8474.58</v>
      </c>
      <c r="N3519" s="11">
        <f>IF(M3519="","",ROUND(M3519*1.18,2))</f>
        <v/>
      </c>
      <c r="O3519" s="12">
        <f>IF(M3519="","",ROUND(N3519-M3519,2))</f>
        <v/>
      </c>
      <c r="P3519" s="13">
        <f>IF(AND(A3519&lt;&gt;"",B3519&lt;&gt;""), A3519&amp;" · "&amp;B3519, "")</f>
        <v/>
      </c>
    </row>
    <row r="3520">
      <c r="A3520" s="6" t="inlineStr">
        <is>
          <t>FY27</t>
        </is>
      </c>
      <c r="B3520" s="6" t="inlineStr">
        <is>
          <t>Aug</t>
        </is>
      </c>
      <c r="C3520" s="6" t="inlineStr">
        <is>
          <t>TN</t>
        </is>
      </c>
      <c r="D3520" s="7" t="inlineStr">
        <is>
          <t>TN02BS5601</t>
        </is>
      </c>
      <c r="E3520" s="7" t="inlineStr">
        <is>
          <t>KIA</t>
        </is>
      </c>
      <c r="F3520" s="7" t="inlineStr">
        <is>
          <t>Seltos</t>
        </is>
      </c>
      <c r="G3520" s="7" t="inlineStr">
        <is>
          <t>CARS INDIA</t>
        </is>
      </c>
      <c r="H3520" s="7" t="inlineStr">
        <is>
          <t>Non-Captive</t>
        </is>
      </c>
      <c r="I3520" s="7" t="inlineStr">
        <is>
          <t>Value Drive Tech</t>
        </is>
      </c>
      <c r="J3520" s="8" t="n">
        <v>2020</v>
      </c>
      <c r="K3520" s="9" t="n">
        <v>70798</v>
      </c>
      <c r="L3520" s="10" t="n">
        <v>98000</v>
      </c>
      <c r="M3520" s="10" t="n">
        <v>4237.29</v>
      </c>
      <c r="N3520" s="11">
        <f>IF(M3520="","",ROUND(M3520*1.18,2))</f>
        <v/>
      </c>
      <c r="O3520" s="12">
        <f>IF(M3520="","",ROUND(N3520-M3520,2))</f>
        <v/>
      </c>
      <c r="P3520" s="13">
        <f>IF(AND(A3520&lt;&gt;"",B3520&lt;&gt;""), A3520&amp;" · "&amp;B3520, "")</f>
        <v/>
      </c>
    </row>
    <row r="3521">
      <c r="A3521" s="6" t="inlineStr">
        <is>
          <t>FY27</t>
        </is>
      </c>
      <c r="B3521" s="6" t="inlineStr">
        <is>
          <t>Aug</t>
        </is>
      </c>
      <c r="C3521" s="6" t="inlineStr">
        <is>
          <t>TN</t>
        </is>
      </c>
      <c r="D3521" s="7" t="inlineStr">
        <is>
          <t>TN02BW7340</t>
        </is>
      </c>
      <c r="E3521" s="7" t="inlineStr">
        <is>
          <t>MG MOTORS</t>
        </is>
      </c>
      <c r="F3521" s="7" t="inlineStr">
        <is>
          <t>Astor</t>
        </is>
      </c>
      <c r="G3521" s="7" t="inlineStr">
        <is>
          <t>EXCHANGE CHENNAI</t>
        </is>
      </c>
      <c r="H3521" s="7" t="inlineStr">
        <is>
          <t>Captive</t>
        </is>
      </c>
      <c r="I3521" s="7" t="inlineStr">
        <is>
          <t>Nirmal Cars</t>
        </is>
      </c>
      <c r="J3521" s="8" t="n">
        <v>2022</v>
      </c>
      <c r="K3521" s="9" t="n">
        <v>45290</v>
      </c>
      <c r="L3521" s="10" t="n">
        <v>625000</v>
      </c>
      <c r="M3521" s="10" t="n">
        <v>8474.58</v>
      </c>
      <c r="N3521" s="11">
        <f>IF(M3521="","",ROUND(M3521*1.18,2))</f>
        <v/>
      </c>
      <c r="O3521" s="12">
        <f>IF(M3521="","",ROUND(N3521-M3521,2))</f>
        <v/>
      </c>
      <c r="P3521" s="13">
        <f>IF(AND(A3521&lt;&gt;"",B3521&lt;&gt;""), A3521&amp;" · "&amp;B3521, "")</f>
        <v/>
      </c>
    </row>
    <row r="3522">
      <c r="A3522" s="6" t="inlineStr">
        <is>
          <t>FY27</t>
        </is>
      </c>
      <c r="B3522" s="6" t="inlineStr">
        <is>
          <t>Aug</t>
        </is>
      </c>
      <c r="C3522" s="6" t="inlineStr">
        <is>
          <t>TN</t>
        </is>
      </c>
      <c r="D3522" s="7" t="inlineStr">
        <is>
          <t>TN02BW9048</t>
        </is>
      </c>
      <c r="E3522" s="7" t="inlineStr">
        <is>
          <t>MARUTI SUZUKI</t>
        </is>
      </c>
      <c r="F3522" s="7" t="inlineStr">
        <is>
          <t>Celerio</t>
        </is>
      </c>
      <c r="G3522" s="7" t="inlineStr">
        <is>
          <t>ABT LIMITED</t>
        </is>
      </c>
      <c r="H3522" s="7" t="inlineStr">
        <is>
          <t>Non-Captive</t>
        </is>
      </c>
      <c r="I3522" s="7" t="inlineStr">
        <is>
          <t>Pine Autos</t>
        </is>
      </c>
      <c r="J3522" s="8" t="n">
        <v>2022</v>
      </c>
      <c r="K3522" s="9" t="n">
        <v>39719</v>
      </c>
      <c r="L3522" s="10" t="n">
        <v>97000</v>
      </c>
      <c r="M3522" s="10" t="n">
        <v>4237.29</v>
      </c>
      <c r="N3522" s="11">
        <f>IF(M3522="","",ROUND(M3522*1.18,2))</f>
        <v/>
      </c>
      <c r="O3522" s="12">
        <f>IF(M3522="","",ROUND(N3522-M3522,2))</f>
        <v/>
      </c>
      <c r="P3522" s="13">
        <f>IF(AND(A3522&lt;&gt;"",B3522&lt;&gt;""), A3522&amp;" · "&amp;B3522, "")</f>
        <v/>
      </c>
    </row>
    <row r="3523">
      <c r="A3523" s="6" t="inlineStr">
        <is>
          <t>FY27</t>
        </is>
      </c>
      <c r="B3523" s="6" t="inlineStr">
        <is>
          <t>Aug</t>
        </is>
      </c>
      <c r="C3523" s="6" t="inlineStr">
        <is>
          <t>TN</t>
        </is>
      </c>
      <c r="D3523" s="7" t="inlineStr">
        <is>
          <t>TN02CB3942</t>
        </is>
      </c>
      <c r="E3523" s="7" t="inlineStr">
        <is>
          <t>NISSAN</t>
        </is>
      </c>
      <c r="F3523" s="7" t="inlineStr">
        <is>
          <t>Magnite</t>
        </is>
      </c>
      <c r="G3523" s="7" t="inlineStr">
        <is>
          <t>AIE CARS PRIVATE LIMITED</t>
        </is>
      </c>
      <c r="H3523" s="7" t="inlineStr">
        <is>
          <t>Non-Captive</t>
        </is>
      </c>
      <c r="I3523" s="7" t="inlineStr">
        <is>
          <t>Nirmal Cars</t>
        </is>
      </c>
      <c r="J3523" s="8" t="n">
        <v>2024</v>
      </c>
      <c r="K3523" s="9" t="n">
        <v>27071</v>
      </c>
      <c r="L3523" s="10" t="n">
        <v>96000</v>
      </c>
      <c r="M3523" s="10" t="n">
        <v>2542.37</v>
      </c>
      <c r="N3523" s="11">
        <f>IF(M3523="","",ROUND(M3523*1.18,2))</f>
        <v/>
      </c>
      <c r="O3523" s="12">
        <f>IF(M3523="","",ROUND(N3523-M3523,2))</f>
        <v/>
      </c>
      <c r="P3523" s="13">
        <f>IF(AND(A3523&lt;&gt;"",B3523&lt;&gt;""), A3523&amp;" · "&amp;B3523, "")</f>
        <v/>
      </c>
    </row>
    <row r="3524">
      <c r="A3524" s="6" t="inlineStr">
        <is>
          <t>FY27</t>
        </is>
      </c>
      <c r="B3524" s="6" t="inlineStr">
        <is>
          <t>Aug</t>
        </is>
      </c>
      <c r="C3524" s="6" t="inlineStr">
        <is>
          <t>TN</t>
        </is>
      </c>
      <c r="D3524" s="7" t="inlineStr">
        <is>
          <t>TN02Y5434</t>
        </is>
      </c>
      <c r="E3524" s="7" t="inlineStr">
        <is>
          <t>HONDA</t>
        </is>
      </c>
      <c r="F3524" s="7" t="inlineStr">
        <is>
          <t>City</t>
        </is>
      </c>
      <c r="G3524" s="7" t="inlineStr">
        <is>
          <t>AIE CARS PRIVATE LIMITED</t>
        </is>
      </c>
      <c r="H3524" s="7" t="inlineStr">
        <is>
          <t>Non-Captive</t>
        </is>
      </c>
      <c r="I3524" s="7" t="inlineStr">
        <is>
          <t>Santhosh Cars</t>
        </is>
      </c>
      <c r="J3524" s="8" t="n">
        <v>2006</v>
      </c>
      <c r="K3524" s="9" t="n">
        <v>64261</v>
      </c>
      <c r="L3524" s="10" t="n">
        <v>99000</v>
      </c>
      <c r="M3524" s="10" t="n">
        <v>2542.37</v>
      </c>
      <c r="N3524" s="11">
        <f>IF(M3524="","",ROUND(M3524*1.18,2))</f>
        <v/>
      </c>
      <c r="O3524" s="12">
        <f>IF(M3524="","",ROUND(N3524-M3524,2))</f>
        <v/>
      </c>
      <c r="P3524" s="13">
        <f>IF(AND(A3524&lt;&gt;"",B3524&lt;&gt;""), A3524&amp;" · "&amp;B3524, "")</f>
        <v/>
      </c>
    </row>
    <row r="3525">
      <c r="A3525" s="6" t="inlineStr">
        <is>
          <t>FY27</t>
        </is>
      </c>
      <c r="B3525" s="6" t="inlineStr">
        <is>
          <t>Aug</t>
        </is>
      </c>
      <c r="C3525" s="6" t="inlineStr">
        <is>
          <t>TN</t>
        </is>
      </c>
      <c r="D3525" s="7" t="inlineStr">
        <is>
          <t>TN03CZ6435</t>
        </is>
      </c>
      <c r="E3525" s="7" t="inlineStr">
        <is>
          <t>HONDA</t>
        </is>
      </c>
      <c r="F3525" s="7" t="inlineStr">
        <is>
          <t>City</t>
        </is>
      </c>
      <c r="G3525" s="7" t="inlineStr">
        <is>
          <t>&lt;NA&gt;</t>
        </is>
      </c>
      <c r="H3525" s="7" t="inlineStr">
        <is>
          <t>Non-Captive</t>
        </is>
      </c>
      <c r="I3525" s="7" t="inlineStr">
        <is>
          <t>&lt;NA&gt;</t>
        </is>
      </c>
      <c r="J3525" s="8" t="n">
        <v>2019</v>
      </c>
      <c r="K3525" s="9" t="n">
        <v>109620</v>
      </c>
      <c r="L3525" s="10" t="n">
        <v>450000</v>
      </c>
      <c r="M3525" s="10" t="n">
        <v>8474.58</v>
      </c>
      <c r="N3525" s="11">
        <f>IF(M3525="","",ROUND(M3525*1.18,2))</f>
        <v/>
      </c>
      <c r="O3525" s="12">
        <f>IF(M3525="","",ROUND(N3525-M3525,2))</f>
        <v/>
      </c>
      <c r="P3525" s="13">
        <f>IF(AND(A3525&lt;&gt;"",B3525&lt;&gt;""), A3525&amp;" · "&amp;B3525, "")</f>
        <v/>
      </c>
    </row>
    <row r="3526">
      <c r="A3526" s="6" t="inlineStr">
        <is>
          <t>FY27</t>
        </is>
      </c>
      <c r="B3526" s="6" t="inlineStr">
        <is>
          <t>Aug</t>
        </is>
      </c>
      <c r="C3526" s="6" t="inlineStr">
        <is>
          <t>TN</t>
        </is>
      </c>
      <c r="D3526" s="7" t="inlineStr">
        <is>
          <t>TN03E8105</t>
        </is>
      </c>
      <c r="E3526" s="7" t="inlineStr">
        <is>
          <t>MARUTI SUZUKI</t>
        </is>
      </c>
      <c r="F3526" s="7" t="inlineStr">
        <is>
          <t>Swift</t>
        </is>
      </c>
      <c r="G3526" s="7" t="inlineStr">
        <is>
          <t>AIE CARS PRIVATE LIMITED</t>
        </is>
      </c>
      <c r="H3526" s="7" t="inlineStr">
        <is>
          <t>Non-Captive</t>
        </is>
      </c>
      <c r="I3526" s="7" t="inlineStr">
        <is>
          <t>Grid 33</t>
        </is>
      </c>
      <c r="J3526" s="8" t="n">
        <v>2011</v>
      </c>
      <c r="K3526" s="9" t="n">
        <v>60101</v>
      </c>
      <c r="L3526" s="10" t="n">
        <v>78000</v>
      </c>
      <c r="M3526" s="10" t="n">
        <v>4237.29</v>
      </c>
      <c r="N3526" s="11">
        <f>IF(M3526="","",ROUND(M3526*1.18,2))</f>
        <v/>
      </c>
      <c r="O3526" s="12">
        <f>IF(M3526="","",ROUND(N3526-M3526,2))</f>
        <v/>
      </c>
      <c r="P3526" s="13">
        <f>IF(AND(A3526&lt;&gt;"",B3526&lt;&gt;""), A3526&amp;" · "&amp;B3526, "")</f>
        <v/>
      </c>
    </row>
    <row r="3527">
      <c r="A3527" s="6" t="inlineStr">
        <is>
          <t>FY27</t>
        </is>
      </c>
      <c r="B3527" s="6" t="inlineStr">
        <is>
          <t>Aug</t>
        </is>
      </c>
      <c r="C3527" s="6" t="inlineStr">
        <is>
          <t>TN</t>
        </is>
      </c>
      <c r="D3527" s="7" t="inlineStr">
        <is>
          <t>TN03J1666</t>
        </is>
      </c>
      <c r="E3527" s="7" t="inlineStr">
        <is>
          <t>CHEVROLET</t>
        </is>
      </c>
      <c r="F3527" s="7" t="inlineStr">
        <is>
          <t>Beat</t>
        </is>
      </c>
      <c r="G3527" s="7" t="inlineStr">
        <is>
          <t>PLA MOTORS</t>
        </is>
      </c>
      <c r="H3527" s="7" t="inlineStr">
        <is>
          <t>Non-Captive</t>
        </is>
      </c>
      <c r="I3527" s="7" t="inlineStr">
        <is>
          <t>GGEE Cars</t>
        </is>
      </c>
      <c r="J3527" s="8" t="n">
        <v>2012</v>
      </c>
      <c r="K3527" s="9" t="n">
        <v>150000</v>
      </c>
      <c r="L3527" s="10" t="n">
        <v>50000</v>
      </c>
      <c r="M3527" s="10" t="n">
        <v>4237.29</v>
      </c>
      <c r="N3527" s="11">
        <f>IF(M3527="","",ROUND(M3527*1.18,2))</f>
        <v/>
      </c>
      <c r="O3527" s="12">
        <f>IF(M3527="","",ROUND(N3527-M3527,2))</f>
        <v/>
      </c>
      <c r="P3527" s="13">
        <f>IF(AND(A3527&lt;&gt;"",B3527&lt;&gt;""), A3527&amp;" · "&amp;B3527, "")</f>
        <v/>
      </c>
    </row>
    <row r="3528">
      <c r="A3528" s="6" t="inlineStr">
        <is>
          <t>FY27</t>
        </is>
      </c>
      <c r="B3528" s="6" t="inlineStr">
        <is>
          <t>Aug</t>
        </is>
      </c>
      <c r="C3528" s="6" t="inlineStr">
        <is>
          <t>TN</t>
        </is>
      </c>
      <c r="D3528" s="7" t="inlineStr">
        <is>
          <t>TN03K2179</t>
        </is>
      </c>
      <c r="E3528" s="7" t="inlineStr">
        <is>
          <t>MARUTI SUZUKI</t>
        </is>
      </c>
      <c r="F3528" s="7" t="inlineStr">
        <is>
          <t>Alto</t>
        </is>
      </c>
      <c r="G3528" s="7" t="inlineStr">
        <is>
          <t>&lt;NA&gt;</t>
        </is>
      </c>
      <c r="H3528" s="7" t="inlineStr">
        <is>
          <t>Non-Captive</t>
        </is>
      </c>
      <c r="I3528" s="7" t="inlineStr">
        <is>
          <t>DEERAA CARS</t>
        </is>
      </c>
      <c r="J3528" s="8" t="n">
        <v>2012</v>
      </c>
      <c r="K3528" s="9" t="n">
        <v>55255</v>
      </c>
      <c r="L3528" s="10" t="n">
        <v>180000</v>
      </c>
      <c r="M3528" s="10" t="n">
        <v>4237.29</v>
      </c>
      <c r="N3528" s="11">
        <f>IF(M3528="","",ROUND(M3528*1.18,2))</f>
        <v/>
      </c>
      <c r="O3528" s="12">
        <f>IF(M3528="","",ROUND(N3528-M3528,2))</f>
        <v/>
      </c>
      <c r="P3528" s="13">
        <f>IF(AND(A3528&lt;&gt;"",B3528&lt;&gt;""), A3528&amp;" · "&amp;B3528, "")</f>
        <v/>
      </c>
    </row>
    <row r="3529">
      <c r="A3529" s="6" t="inlineStr">
        <is>
          <t>FY27</t>
        </is>
      </c>
      <c r="B3529" s="6" t="inlineStr">
        <is>
          <t>Aug</t>
        </is>
      </c>
      <c r="C3529" s="6" t="inlineStr">
        <is>
          <t>TN</t>
        </is>
      </c>
      <c r="D3529" s="7" t="inlineStr">
        <is>
          <t>TN04AK3052</t>
        </is>
      </c>
      <c r="E3529" s="7" t="inlineStr">
        <is>
          <t>NISSAN</t>
        </is>
      </c>
      <c r="F3529" s="7" t="inlineStr">
        <is>
          <t>Micra</t>
        </is>
      </c>
      <c r="G3529" s="7" t="inlineStr">
        <is>
          <t>SREE SARADHAMBAL AUTOMOBILES PRIVATE LIMITED</t>
        </is>
      </c>
      <c r="H3529" s="7" t="inlineStr">
        <is>
          <t>Non-Captive</t>
        </is>
      </c>
      <c r="I3529" s="7" t="inlineStr">
        <is>
          <t>MADHURA CARS</t>
        </is>
      </c>
      <c r="J3529" s="8" t="n">
        <v>2012</v>
      </c>
      <c r="K3529" s="9" t="n">
        <v>59084</v>
      </c>
      <c r="L3529" s="10" t="n">
        <v>95000</v>
      </c>
      <c r="M3529" s="10" t="n">
        <v>4237.29</v>
      </c>
      <c r="N3529" s="11">
        <f>IF(M3529="","",ROUND(M3529*1.18,2))</f>
        <v/>
      </c>
      <c r="O3529" s="12">
        <f>IF(M3529="","",ROUND(N3529-M3529,2))</f>
        <v/>
      </c>
      <c r="P3529" s="13">
        <f>IF(AND(A3529&lt;&gt;"",B3529&lt;&gt;""), A3529&amp;" · "&amp;B3529, "")</f>
        <v/>
      </c>
    </row>
    <row r="3530">
      <c r="A3530" s="6" t="inlineStr">
        <is>
          <t>FY27</t>
        </is>
      </c>
      <c r="B3530" s="6" t="inlineStr">
        <is>
          <t>Aug</t>
        </is>
      </c>
      <c r="C3530" s="6" t="inlineStr">
        <is>
          <t>TN</t>
        </is>
      </c>
      <c r="D3530" s="7" t="inlineStr">
        <is>
          <t>TN04AK6648</t>
        </is>
      </c>
      <c r="E3530" s="7" t="inlineStr">
        <is>
          <t>HYUNDAI</t>
        </is>
      </c>
      <c r="F3530" s="7" t="inlineStr">
        <is>
          <t>i10</t>
        </is>
      </c>
      <c r="G3530" s="7" t="inlineStr">
        <is>
          <t>CASTLE TRADERS MARUTI</t>
        </is>
      </c>
      <c r="H3530" s="7" t="inlineStr">
        <is>
          <t>Non-Captive</t>
        </is>
      </c>
      <c r="I3530" s="7" t="inlineStr">
        <is>
          <t>AAA Cars</t>
        </is>
      </c>
      <c r="J3530" s="8" t="n">
        <v>2012</v>
      </c>
      <c r="K3530" s="9" t="n">
        <v>96742</v>
      </c>
      <c r="L3530" s="10" t="n">
        <v>152000</v>
      </c>
      <c r="M3530" s="10" t="n">
        <v>5084.75</v>
      </c>
      <c r="N3530" s="11">
        <f>IF(M3530="","",ROUND(M3530*1.18,2))</f>
        <v/>
      </c>
      <c r="O3530" s="12">
        <f>IF(M3530="","",ROUND(N3530-M3530,2))</f>
        <v/>
      </c>
      <c r="P3530" s="13">
        <f>IF(AND(A3530&lt;&gt;"",B3530&lt;&gt;""), A3530&amp;" · "&amp;B3530, "")</f>
        <v/>
      </c>
    </row>
    <row r="3531">
      <c r="A3531" s="6" t="inlineStr">
        <is>
          <t>FY27</t>
        </is>
      </c>
      <c r="B3531" s="6" t="inlineStr">
        <is>
          <t>Aug</t>
        </is>
      </c>
      <c r="C3531" s="6" t="inlineStr">
        <is>
          <t>TN</t>
        </is>
      </c>
      <c r="D3531" s="7" t="inlineStr">
        <is>
          <t>TN04AM6900</t>
        </is>
      </c>
      <c r="E3531" s="7" t="inlineStr">
        <is>
          <t>HYUNDAI</t>
        </is>
      </c>
      <c r="F3531" s="7" t="inlineStr">
        <is>
          <t>Grand i10</t>
        </is>
      </c>
      <c r="G3531" s="7" t="inlineStr">
        <is>
          <t>CRESCO CARS</t>
        </is>
      </c>
      <c r="H3531" s="7" t="inlineStr">
        <is>
          <t>Non-Captive</t>
        </is>
      </c>
      <c r="I3531" s="7" t="inlineStr">
        <is>
          <t>Pine Autos</t>
        </is>
      </c>
      <c r="J3531" s="8" t="n">
        <v>2014</v>
      </c>
      <c r="K3531" s="9" t="n">
        <v>40954</v>
      </c>
      <c r="L3531" s="10" t="n">
        <v>91000</v>
      </c>
      <c r="M3531" s="10" t="n">
        <v>3389.83</v>
      </c>
      <c r="N3531" s="11">
        <f>IF(M3531="","",ROUND(M3531*1.18,2))</f>
        <v/>
      </c>
      <c r="O3531" s="12">
        <f>IF(M3531="","",ROUND(N3531-M3531,2))</f>
        <v/>
      </c>
      <c r="P3531" s="13">
        <f>IF(AND(A3531&lt;&gt;"",B3531&lt;&gt;""), A3531&amp;" · "&amp;B3531, "")</f>
        <v/>
      </c>
    </row>
    <row r="3532">
      <c r="A3532" s="6" t="inlineStr">
        <is>
          <t>FY27</t>
        </is>
      </c>
      <c r="B3532" s="6" t="inlineStr">
        <is>
          <t>Aug</t>
        </is>
      </c>
      <c r="C3532" s="6" t="inlineStr">
        <is>
          <t>TN</t>
        </is>
      </c>
      <c r="D3532" s="7" t="inlineStr">
        <is>
          <t>TN04AR0047</t>
        </is>
      </c>
      <c r="E3532" s="7" t="inlineStr">
        <is>
          <t>HYUNDAI</t>
        </is>
      </c>
      <c r="F3532" s="7" t="inlineStr">
        <is>
          <t>i20</t>
        </is>
      </c>
      <c r="G3532" s="7" t="inlineStr">
        <is>
          <t>POPULAR VEHICLES</t>
        </is>
      </c>
      <c r="H3532" s="7" t="inlineStr">
        <is>
          <t>Non-Captive</t>
        </is>
      </c>
      <c r="I3532" s="7" t="inlineStr">
        <is>
          <t>Thiyagarajan Raja Cars</t>
        </is>
      </c>
      <c r="J3532" s="8" t="n">
        <v>2016</v>
      </c>
      <c r="K3532" s="9" t="n">
        <v>36181</v>
      </c>
      <c r="L3532" s="10" t="n">
        <v>87000</v>
      </c>
      <c r="M3532" s="10" t="n">
        <v>4237.29</v>
      </c>
      <c r="N3532" s="11">
        <f>IF(M3532="","",ROUND(M3532*1.18,2))</f>
        <v/>
      </c>
      <c r="O3532" s="12">
        <f>IF(M3532="","",ROUND(N3532-M3532,2))</f>
        <v/>
      </c>
      <c r="P3532" s="13">
        <f>IF(AND(A3532&lt;&gt;"",B3532&lt;&gt;""), A3532&amp;" · "&amp;B3532, "")</f>
        <v/>
      </c>
    </row>
    <row r="3533">
      <c r="A3533" s="6" t="inlineStr">
        <is>
          <t>FY27</t>
        </is>
      </c>
      <c r="B3533" s="6" t="inlineStr">
        <is>
          <t>Aug</t>
        </is>
      </c>
      <c r="C3533" s="6" t="inlineStr">
        <is>
          <t>TN</t>
        </is>
      </c>
      <c r="D3533" s="7" t="inlineStr">
        <is>
          <t>TN04AS0940</t>
        </is>
      </c>
      <c r="E3533" s="7" t="inlineStr">
        <is>
          <t>MARUTI SUZUKI</t>
        </is>
      </c>
      <c r="F3533" s="7" t="inlineStr">
        <is>
          <t>Wagon R</t>
        </is>
      </c>
      <c r="G3533" s="7" t="inlineStr">
        <is>
          <t>CASTLE TRADERS MARUTI</t>
        </is>
      </c>
      <c r="H3533" s="7" t="inlineStr">
        <is>
          <t>Non-Captive</t>
        </is>
      </c>
      <c r="I3533" s="7" t="inlineStr">
        <is>
          <t>AS CARS</t>
        </is>
      </c>
      <c r="J3533" s="8" t="n">
        <v>2016</v>
      </c>
      <c r="K3533" s="9" t="n">
        <v>147784</v>
      </c>
      <c r="L3533" s="10" t="n">
        <v>254000</v>
      </c>
      <c r="M3533" s="10" t="n">
        <v>5084.75</v>
      </c>
      <c r="N3533" s="11">
        <f>IF(M3533="","",ROUND(M3533*1.18,2))</f>
        <v/>
      </c>
      <c r="O3533" s="12">
        <f>IF(M3533="","",ROUND(N3533-M3533,2))</f>
        <v/>
      </c>
      <c r="P3533" s="13">
        <f>IF(AND(A3533&lt;&gt;"",B3533&lt;&gt;""), A3533&amp;" · "&amp;B3533, "")</f>
        <v/>
      </c>
    </row>
    <row r="3534">
      <c r="A3534" s="6" t="inlineStr">
        <is>
          <t>FY27</t>
        </is>
      </c>
      <c r="B3534" s="6" t="inlineStr">
        <is>
          <t>Aug</t>
        </is>
      </c>
      <c r="C3534" s="6" t="inlineStr">
        <is>
          <t>TN</t>
        </is>
      </c>
      <c r="D3534" s="7" t="inlineStr">
        <is>
          <t>TN04AS8181</t>
        </is>
      </c>
      <c r="E3534" s="7" t="inlineStr">
        <is>
          <t>HONDA</t>
        </is>
      </c>
      <c r="F3534" s="7" t="inlineStr">
        <is>
          <t>City</t>
        </is>
      </c>
      <c r="G3534" s="7" t="inlineStr">
        <is>
          <t>&lt;NA&gt;</t>
        </is>
      </c>
      <c r="H3534" s="7" t="inlineStr">
        <is>
          <t>Non-Captive</t>
        </is>
      </c>
      <c r="I3534" s="7" t="inlineStr">
        <is>
          <t>&lt;NA&gt;</t>
        </is>
      </c>
      <c r="J3534" s="8" t="n">
        <v>2017</v>
      </c>
      <c r="K3534" s="9" t="n">
        <v>74247</v>
      </c>
      <c r="L3534" s="10" t="n">
        <v>525000</v>
      </c>
      <c r="M3534" s="10" t="n">
        <v>8474.58</v>
      </c>
      <c r="N3534" s="11">
        <f>IF(M3534="","",ROUND(M3534*1.18,2))</f>
        <v/>
      </c>
      <c r="O3534" s="12">
        <f>IF(M3534="","",ROUND(N3534-M3534,2))</f>
        <v/>
      </c>
      <c r="P3534" s="13">
        <f>IF(AND(A3534&lt;&gt;"",B3534&lt;&gt;""), A3534&amp;" · "&amp;B3534, "")</f>
        <v/>
      </c>
    </row>
    <row r="3535">
      <c r="A3535" s="6" t="inlineStr">
        <is>
          <t>FY27</t>
        </is>
      </c>
      <c r="B3535" s="6" t="inlineStr">
        <is>
          <t>Aug</t>
        </is>
      </c>
      <c r="C3535" s="6" t="inlineStr">
        <is>
          <t>TN</t>
        </is>
      </c>
      <c r="D3535" s="7" t="inlineStr">
        <is>
          <t>TN04AT9290</t>
        </is>
      </c>
      <c r="E3535" s="7" t="inlineStr">
        <is>
          <t>HYUNDAI</t>
        </is>
      </c>
      <c r="F3535" s="7" t="inlineStr">
        <is>
          <t>Grand i10</t>
        </is>
      </c>
      <c r="G3535" s="7" t="inlineStr">
        <is>
          <t>EXCHANGE CHENNAI</t>
        </is>
      </c>
      <c r="H3535" s="7" t="inlineStr">
        <is>
          <t>Captive</t>
        </is>
      </c>
      <c r="I3535" s="7" t="inlineStr">
        <is>
          <t>Nirmal Cars</t>
        </is>
      </c>
      <c r="J3535" s="8" t="n">
        <v>2017</v>
      </c>
      <c r="K3535" s="9" t="n">
        <v>57642</v>
      </c>
      <c r="L3535" s="10" t="n">
        <v>260000</v>
      </c>
      <c r="M3535" s="10" t="n">
        <v>8474.58</v>
      </c>
      <c r="N3535" s="11">
        <f>IF(M3535="","",ROUND(M3535*1.18,2))</f>
        <v/>
      </c>
      <c r="O3535" s="12">
        <f>IF(M3535="","",ROUND(N3535-M3535,2))</f>
        <v/>
      </c>
      <c r="P3535" s="13">
        <f>IF(AND(A3535&lt;&gt;"",B3535&lt;&gt;""), A3535&amp;" · "&amp;B3535, "")</f>
        <v/>
      </c>
    </row>
    <row r="3536">
      <c r="A3536" s="6" t="inlineStr">
        <is>
          <t>FY27</t>
        </is>
      </c>
      <c r="B3536" s="6" t="inlineStr">
        <is>
          <t>Aug</t>
        </is>
      </c>
      <c r="C3536" s="6" t="inlineStr">
        <is>
          <t>TN</t>
        </is>
      </c>
      <c r="D3536" s="7" t="inlineStr">
        <is>
          <t>TN04AT9349</t>
        </is>
      </c>
      <c r="E3536" s="7" t="inlineStr">
        <is>
          <t>MAHINDRA</t>
        </is>
      </c>
      <c r="F3536" s="7" t="inlineStr">
        <is>
          <t>KUV100</t>
        </is>
      </c>
      <c r="G3536" s="7" t="inlineStr">
        <is>
          <t>CARS INDIA</t>
        </is>
      </c>
      <c r="H3536" s="7" t="inlineStr">
        <is>
          <t>Non-Captive</t>
        </is>
      </c>
      <c r="I3536" s="7" t="inlineStr">
        <is>
          <t>Grid 33</t>
        </is>
      </c>
      <c r="J3536" s="8" t="n">
        <v>2018</v>
      </c>
      <c r="K3536" s="9" t="n">
        <v>125827</v>
      </c>
      <c r="L3536" s="10" t="n">
        <v>96000</v>
      </c>
      <c r="M3536" s="10" t="n">
        <v>4237.29</v>
      </c>
      <c r="N3536" s="11">
        <f>IF(M3536="","",ROUND(M3536*1.18,2))</f>
        <v/>
      </c>
      <c r="O3536" s="12">
        <f>IF(M3536="","",ROUND(N3536-M3536,2))</f>
        <v/>
      </c>
      <c r="P3536" s="13">
        <f>IF(AND(A3536&lt;&gt;"",B3536&lt;&gt;""), A3536&amp;" · "&amp;B3536, "")</f>
        <v/>
      </c>
    </row>
    <row r="3537">
      <c r="A3537" s="6" t="inlineStr">
        <is>
          <t>FY27</t>
        </is>
      </c>
      <c r="B3537" s="6" t="inlineStr">
        <is>
          <t>Aug</t>
        </is>
      </c>
      <c r="C3537" s="6" t="inlineStr">
        <is>
          <t>TN</t>
        </is>
      </c>
      <c r="D3537" s="7" t="inlineStr">
        <is>
          <t>TN04AV4282</t>
        </is>
      </c>
      <c r="E3537" s="7" t="inlineStr">
        <is>
          <t>HONDA</t>
        </is>
      </c>
      <c r="F3537" s="7" t="inlineStr">
        <is>
          <t>City</t>
        </is>
      </c>
      <c r="G3537" s="7" t="inlineStr">
        <is>
          <t>MM MOTOR</t>
        </is>
      </c>
      <c r="H3537" s="7" t="inlineStr">
        <is>
          <t>Non-Captive</t>
        </is>
      </c>
      <c r="I3537" s="7" t="inlineStr">
        <is>
          <t>AAA Cars</t>
        </is>
      </c>
      <c r="J3537" s="8" t="n">
        <v>2018</v>
      </c>
      <c r="K3537" s="9" t="n">
        <v>103910</v>
      </c>
      <c r="L3537" s="10" t="n">
        <v>180000</v>
      </c>
      <c r="M3537" s="10" t="n">
        <v>5084.75</v>
      </c>
      <c r="N3537" s="11">
        <f>IF(M3537="","",ROUND(M3537*1.18,2))</f>
        <v/>
      </c>
      <c r="O3537" s="12">
        <f>IF(M3537="","",ROUND(N3537-M3537,2))</f>
        <v/>
      </c>
      <c r="P3537" s="13">
        <f>IF(AND(A3537&lt;&gt;"",B3537&lt;&gt;""), A3537&amp;" · "&amp;B3537, "")</f>
        <v/>
      </c>
    </row>
    <row r="3538">
      <c r="A3538" s="6" t="inlineStr">
        <is>
          <t>FY27</t>
        </is>
      </c>
      <c r="B3538" s="6" t="inlineStr">
        <is>
          <t>Aug</t>
        </is>
      </c>
      <c r="C3538" s="6" t="inlineStr">
        <is>
          <t>TN</t>
        </is>
      </c>
      <c r="D3538" s="7" t="inlineStr">
        <is>
          <t>TN05AA6276</t>
        </is>
      </c>
      <c r="E3538" s="7" t="inlineStr">
        <is>
          <t>HYUNDAI</t>
        </is>
      </c>
      <c r="F3538" s="7" t="inlineStr">
        <is>
          <t>i20</t>
        </is>
      </c>
      <c r="G3538" s="7" t="inlineStr">
        <is>
          <t>PLA MOTORS</t>
        </is>
      </c>
      <c r="H3538" s="7" t="inlineStr">
        <is>
          <t>Non-Captive</t>
        </is>
      </c>
      <c r="I3538" s="7" t="inlineStr">
        <is>
          <t>ASHOKAUTOMAX</t>
        </is>
      </c>
      <c r="J3538" s="8" t="n">
        <v>2009</v>
      </c>
      <c r="K3538" s="9" t="n">
        <v>120304</v>
      </c>
      <c r="L3538" s="10" t="n">
        <v>80000</v>
      </c>
      <c r="M3538" s="10" t="n">
        <v>4237.29</v>
      </c>
      <c r="N3538" s="11">
        <f>IF(M3538="","",ROUND(M3538*1.18,2))</f>
        <v/>
      </c>
      <c r="O3538" s="12">
        <f>IF(M3538="","",ROUND(N3538-M3538,2))</f>
        <v/>
      </c>
      <c r="P3538" s="13">
        <f>IF(AND(A3538&lt;&gt;"",B3538&lt;&gt;""), A3538&amp;" · "&amp;B3538, "")</f>
        <v/>
      </c>
    </row>
    <row r="3539">
      <c r="A3539" s="6" t="inlineStr">
        <is>
          <t>FY27</t>
        </is>
      </c>
      <c r="B3539" s="6" t="inlineStr">
        <is>
          <t>Aug</t>
        </is>
      </c>
      <c r="C3539" s="6" t="inlineStr">
        <is>
          <t>TN</t>
        </is>
      </c>
      <c r="D3539" s="7" t="inlineStr">
        <is>
          <t>TN05AU0708</t>
        </is>
      </c>
      <c r="E3539" s="7" t="inlineStr">
        <is>
          <t>MARUTI SUZUKI</t>
        </is>
      </c>
      <c r="F3539" s="7" t="inlineStr">
        <is>
          <t>Alto K10</t>
        </is>
      </c>
      <c r="G3539" s="7" t="inlineStr">
        <is>
          <t>CASTLE TRADERS MARUTI</t>
        </is>
      </c>
      <c r="H3539" s="7" t="inlineStr">
        <is>
          <t>Non-Captive</t>
        </is>
      </c>
      <c r="I3539" s="7" t="inlineStr">
        <is>
          <t>AS CARS</t>
        </is>
      </c>
      <c r="J3539" s="8" t="n">
        <v>2013</v>
      </c>
      <c r="K3539" s="9" t="n">
        <v>85563</v>
      </c>
      <c r="L3539" s="10" t="n">
        <v>170000</v>
      </c>
      <c r="M3539" s="10" t="n">
        <v>5932.2</v>
      </c>
      <c r="N3539" s="11">
        <f>IF(M3539="","",ROUND(M3539*1.18,2))</f>
        <v/>
      </c>
      <c r="O3539" s="12">
        <f>IF(M3539="","",ROUND(N3539-M3539,2))</f>
        <v/>
      </c>
      <c r="P3539" s="13">
        <f>IF(AND(A3539&lt;&gt;"",B3539&lt;&gt;""), A3539&amp;" · "&amp;B3539, "")</f>
        <v/>
      </c>
    </row>
    <row r="3540">
      <c r="A3540" s="6" t="inlineStr">
        <is>
          <t>FY27</t>
        </is>
      </c>
      <c r="B3540" s="6" t="inlineStr">
        <is>
          <t>Aug</t>
        </is>
      </c>
      <c r="C3540" s="6" t="inlineStr">
        <is>
          <t>TN</t>
        </is>
      </c>
      <c r="D3540" s="7" t="inlineStr">
        <is>
          <t>TN05AU6098</t>
        </is>
      </c>
      <c r="E3540" s="7" t="inlineStr">
        <is>
          <t>NISSAN</t>
        </is>
      </c>
      <c r="F3540" s="7" t="inlineStr">
        <is>
          <t>Micra</t>
        </is>
      </c>
      <c r="G3540" s="7" t="inlineStr">
        <is>
          <t>VISHNU CARS PRIVATE LIMITED</t>
        </is>
      </c>
      <c r="H3540" s="7" t="inlineStr">
        <is>
          <t>Non-Captive</t>
        </is>
      </c>
      <c r="I3540" s="7" t="inlineStr">
        <is>
          <t>9miles</t>
        </is>
      </c>
      <c r="J3540" s="8" t="n">
        <v>2013</v>
      </c>
      <c r="K3540" s="9" t="n">
        <v>87378</v>
      </c>
      <c r="L3540" s="10" t="n">
        <v>94000</v>
      </c>
      <c r="M3540" s="10" t="n">
        <v>4237.29</v>
      </c>
      <c r="N3540" s="11">
        <f>IF(M3540="","",ROUND(M3540*1.18,2))</f>
        <v/>
      </c>
      <c r="O3540" s="12">
        <f>IF(M3540="","",ROUND(N3540-M3540,2))</f>
        <v/>
      </c>
      <c r="P3540" s="13">
        <f>IF(AND(A3540&lt;&gt;"",B3540&lt;&gt;""), A3540&amp;" · "&amp;B3540, "")</f>
        <v/>
      </c>
    </row>
    <row r="3541">
      <c r="A3541" s="6" t="inlineStr">
        <is>
          <t>FY27</t>
        </is>
      </c>
      <c r="B3541" s="6" t="inlineStr">
        <is>
          <t>Aug</t>
        </is>
      </c>
      <c r="C3541" s="6" t="inlineStr">
        <is>
          <t>TN</t>
        </is>
      </c>
      <c r="D3541" s="7" t="inlineStr">
        <is>
          <t>TN05BC1872</t>
        </is>
      </c>
      <c r="E3541" s="7" t="inlineStr">
        <is>
          <t>HONDA</t>
        </is>
      </c>
      <c r="F3541" s="7" t="inlineStr">
        <is>
          <t>Jazz</t>
        </is>
      </c>
      <c r="G3541" s="7" t="inlineStr">
        <is>
          <t>SVM CARS PRIVATE LIMITED</t>
        </is>
      </c>
      <c r="H3541" s="7" t="inlineStr">
        <is>
          <t>Non-Captive</t>
        </is>
      </c>
      <c r="I3541" s="7" t="inlineStr">
        <is>
          <t>Rithika cars</t>
        </is>
      </c>
      <c r="J3541" s="8" t="n">
        <v>2015</v>
      </c>
      <c r="K3541" s="9" t="n">
        <v>117847</v>
      </c>
      <c r="L3541" s="10" t="n">
        <v>98000</v>
      </c>
      <c r="M3541" s="10" t="n">
        <v>2542.37</v>
      </c>
      <c r="N3541" s="11">
        <f>IF(M3541="","",ROUND(M3541*1.18,2))</f>
        <v/>
      </c>
      <c r="O3541" s="12">
        <f>IF(M3541="","",ROUND(N3541-M3541,2))</f>
        <v/>
      </c>
      <c r="P3541" s="13">
        <f>IF(AND(A3541&lt;&gt;"",B3541&lt;&gt;""), A3541&amp;" · "&amp;B3541, "")</f>
        <v/>
      </c>
    </row>
    <row r="3542">
      <c r="A3542" s="6" t="inlineStr">
        <is>
          <t>FY27</t>
        </is>
      </c>
      <c r="B3542" s="6" t="inlineStr">
        <is>
          <t>Aug</t>
        </is>
      </c>
      <c r="C3542" s="6" t="inlineStr">
        <is>
          <t>TN</t>
        </is>
      </c>
      <c r="D3542" s="7" t="inlineStr">
        <is>
          <t>TN05BE3334</t>
        </is>
      </c>
      <c r="E3542" s="7" t="inlineStr">
        <is>
          <t>HONDA</t>
        </is>
      </c>
      <c r="F3542" s="7" t="inlineStr">
        <is>
          <t>City</t>
        </is>
      </c>
      <c r="G3542" s="7" t="inlineStr">
        <is>
          <t>CASTLE TRADERS HONDA</t>
        </is>
      </c>
      <c r="H3542" s="7" t="inlineStr">
        <is>
          <t>Non-Captive</t>
        </is>
      </c>
      <c r="I3542" s="7" t="inlineStr">
        <is>
          <t>Thiya Cars</t>
        </is>
      </c>
      <c r="J3542" s="8" t="n">
        <v>2016</v>
      </c>
      <c r="K3542" s="9" t="n">
        <v>184470</v>
      </c>
      <c r="L3542" s="10" t="n">
        <v>98000</v>
      </c>
      <c r="M3542" s="10" t="n">
        <v>4237.29</v>
      </c>
      <c r="N3542" s="11">
        <f>IF(M3542="","",ROUND(M3542*1.18,2))</f>
        <v/>
      </c>
      <c r="O3542" s="12">
        <f>IF(M3542="","",ROUND(N3542-M3542,2))</f>
        <v/>
      </c>
      <c r="P3542" s="13">
        <f>IF(AND(A3542&lt;&gt;"",B3542&lt;&gt;""), A3542&amp;" · "&amp;B3542, "")</f>
        <v/>
      </c>
    </row>
    <row r="3543">
      <c r="A3543" s="6" t="inlineStr">
        <is>
          <t>FY27</t>
        </is>
      </c>
      <c r="B3543" s="6" t="inlineStr">
        <is>
          <t>Aug</t>
        </is>
      </c>
      <c r="C3543" s="6" t="inlineStr">
        <is>
          <t>TN</t>
        </is>
      </c>
      <c r="D3543" s="7" t="inlineStr">
        <is>
          <t>TN05BF2145</t>
        </is>
      </c>
      <c r="E3543" s="7" t="inlineStr">
        <is>
          <t>HONDA</t>
        </is>
      </c>
      <c r="F3543" s="7" t="inlineStr">
        <is>
          <t>City</t>
        </is>
      </c>
      <c r="G3543" s="7" t="inlineStr">
        <is>
          <t>MM MOTOR</t>
        </is>
      </c>
      <c r="H3543" s="7" t="inlineStr">
        <is>
          <t>Non-Captive</t>
        </is>
      </c>
      <c r="I3543" s="7" t="inlineStr">
        <is>
          <t>AB CAR ZONE</t>
        </is>
      </c>
      <c r="J3543" s="8" t="n">
        <v>2016</v>
      </c>
      <c r="K3543" s="9" t="n">
        <v>91568</v>
      </c>
      <c r="L3543" s="10" t="n">
        <v>93000</v>
      </c>
      <c r="M3543" s="10" t="n">
        <v>2542.37</v>
      </c>
      <c r="N3543" s="11">
        <f>IF(M3543="","",ROUND(M3543*1.18,2))</f>
        <v/>
      </c>
      <c r="O3543" s="12">
        <f>IF(M3543="","",ROUND(N3543-M3543,2))</f>
        <v/>
      </c>
      <c r="P3543" s="13">
        <f>IF(AND(A3543&lt;&gt;"",B3543&lt;&gt;""), A3543&amp;" · "&amp;B3543, "")</f>
        <v/>
      </c>
    </row>
    <row r="3544">
      <c r="A3544" s="6" t="inlineStr">
        <is>
          <t>FY27</t>
        </is>
      </c>
      <c r="B3544" s="6" t="inlineStr">
        <is>
          <t>Aug</t>
        </is>
      </c>
      <c r="C3544" s="6" t="inlineStr">
        <is>
          <t>TN</t>
        </is>
      </c>
      <c r="D3544" s="7" t="inlineStr">
        <is>
          <t>TN05CD4398</t>
        </is>
      </c>
      <c r="E3544" s="7" t="inlineStr">
        <is>
          <t>HYUNDAI</t>
        </is>
      </c>
      <c r="F3544" s="7" t="inlineStr">
        <is>
          <t>Grand i10 Nios</t>
        </is>
      </c>
      <c r="G3544" s="7" t="inlineStr">
        <is>
          <t>SVM CARS PRIVATE LIMITED</t>
        </is>
      </c>
      <c r="H3544" s="7" t="inlineStr">
        <is>
          <t>Non-Captive</t>
        </is>
      </c>
      <c r="I3544" s="7" t="inlineStr">
        <is>
          <t>Pine Autos</t>
        </is>
      </c>
      <c r="J3544" s="8" t="n">
        <v>2021</v>
      </c>
      <c r="K3544" s="9" t="n">
        <v>50063</v>
      </c>
      <c r="L3544" s="10" t="n">
        <v>79000</v>
      </c>
      <c r="M3544" s="10" t="n">
        <v>2542.37</v>
      </c>
      <c r="N3544" s="11">
        <f>IF(M3544="","",ROUND(M3544*1.18,2))</f>
        <v/>
      </c>
      <c r="O3544" s="12">
        <f>IF(M3544="","",ROUND(N3544-M3544,2))</f>
        <v/>
      </c>
      <c r="P3544" s="13">
        <f>IF(AND(A3544&lt;&gt;"",B3544&lt;&gt;""), A3544&amp;" · "&amp;B3544, "")</f>
        <v/>
      </c>
    </row>
    <row r="3545">
      <c r="A3545" s="6" t="inlineStr">
        <is>
          <t>FY27</t>
        </is>
      </c>
      <c r="B3545" s="6" t="inlineStr">
        <is>
          <t>Aug</t>
        </is>
      </c>
      <c r="C3545" s="6" t="inlineStr">
        <is>
          <t>TN</t>
        </is>
      </c>
      <c r="D3545" s="7" t="inlineStr">
        <is>
          <t>TN05CF6338</t>
        </is>
      </c>
      <c r="E3545" s="7" t="inlineStr">
        <is>
          <t>HYUNDAI</t>
        </is>
      </c>
      <c r="F3545" s="7" t="inlineStr">
        <is>
          <t>Grand i10 Nios</t>
        </is>
      </c>
      <c r="G3545" s="7" t="inlineStr">
        <is>
          <t>CRESCO CARS</t>
        </is>
      </c>
      <c r="H3545" s="7" t="inlineStr">
        <is>
          <t>Non-Captive</t>
        </is>
      </c>
      <c r="I3545" s="7" t="inlineStr">
        <is>
          <t>Value Drive Tech</t>
        </is>
      </c>
      <c r="J3545" s="8" t="n">
        <v>2022</v>
      </c>
      <c r="K3545" s="9" t="n">
        <v>37017</v>
      </c>
      <c r="L3545" s="10" t="n">
        <v>89000</v>
      </c>
      <c r="M3545" s="10" t="n">
        <v>2542.37</v>
      </c>
      <c r="N3545" s="11">
        <f>IF(M3545="","",ROUND(M3545*1.18,2))</f>
        <v/>
      </c>
      <c r="O3545" s="12">
        <f>IF(M3545="","",ROUND(N3545-M3545,2))</f>
        <v/>
      </c>
      <c r="P3545" s="13">
        <f>IF(AND(A3545&lt;&gt;"",B3545&lt;&gt;""), A3545&amp;" · "&amp;B3545, "")</f>
        <v/>
      </c>
    </row>
    <row r="3546">
      <c r="A3546" s="6" t="inlineStr">
        <is>
          <t>FY27</t>
        </is>
      </c>
      <c r="B3546" s="6" t="inlineStr">
        <is>
          <t>Aug</t>
        </is>
      </c>
      <c r="C3546" s="6" t="inlineStr">
        <is>
          <t>TN</t>
        </is>
      </c>
      <c r="D3546" s="7" t="inlineStr">
        <is>
          <t>TN05CJ4716</t>
        </is>
      </c>
      <c r="E3546" s="7" t="inlineStr">
        <is>
          <t>MARUTI SUZUKI</t>
        </is>
      </c>
      <c r="F3546" s="7" t="inlineStr">
        <is>
          <t>Celerio</t>
        </is>
      </c>
      <c r="G3546" s="7" t="inlineStr">
        <is>
          <t>VISHNU CARS PRIVATE LIMITED</t>
        </is>
      </c>
      <c r="H3546" s="7" t="inlineStr">
        <is>
          <t>Non-Captive</t>
        </is>
      </c>
      <c r="I3546" s="7" t="inlineStr">
        <is>
          <t>Grid 33</t>
        </is>
      </c>
      <c r="J3546" s="8" t="n">
        <v>2022</v>
      </c>
      <c r="K3546" s="9" t="n">
        <v>32457</v>
      </c>
      <c r="L3546" s="10" t="n">
        <v>96000</v>
      </c>
      <c r="M3546" s="10" t="n">
        <v>2542.37</v>
      </c>
      <c r="N3546" s="11">
        <f>IF(M3546="","",ROUND(M3546*1.18,2))</f>
        <v/>
      </c>
      <c r="O3546" s="12">
        <f>IF(M3546="","",ROUND(N3546-M3546,2))</f>
        <v/>
      </c>
      <c r="P3546" s="13">
        <f>IF(AND(A3546&lt;&gt;"",B3546&lt;&gt;""), A3546&amp;" · "&amp;B3546, "")</f>
        <v/>
      </c>
    </row>
    <row r="3547">
      <c r="A3547" s="6" t="inlineStr">
        <is>
          <t>FY27</t>
        </is>
      </c>
      <c r="B3547" s="6" t="inlineStr">
        <is>
          <t>Aug</t>
        </is>
      </c>
      <c r="C3547" s="6" t="inlineStr">
        <is>
          <t>TN</t>
        </is>
      </c>
      <c r="D3547" s="7" t="inlineStr">
        <is>
          <t>TN05U4786</t>
        </is>
      </c>
      <c r="E3547" s="7" t="inlineStr">
        <is>
          <t>HYUNDAI</t>
        </is>
      </c>
      <c r="F3547" s="7" t="inlineStr">
        <is>
          <t>Santro</t>
        </is>
      </c>
      <c r="G3547" s="7" t="inlineStr">
        <is>
          <t>VISHNU CARS PRIVATE LIMITED</t>
        </is>
      </c>
      <c r="H3547" s="7" t="inlineStr">
        <is>
          <t>Non-Captive</t>
        </is>
      </c>
      <c r="I3547" s="7" t="inlineStr">
        <is>
          <t>Santhosh Cars</t>
        </is>
      </c>
      <c r="J3547" s="8" t="n">
        <v>2007</v>
      </c>
      <c r="K3547" s="9" t="n">
        <v>156018</v>
      </c>
      <c r="L3547" s="10" t="n">
        <v>92000</v>
      </c>
      <c r="M3547" s="10" t="n">
        <v>2542.37</v>
      </c>
      <c r="N3547" s="11">
        <f>IF(M3547="","",ROUND(M3547*1.18,2))</f>
        <v/>
      </c>
      <c r="O3547" s="12">
        <f>IF(M3547="","",ROUND(N3547-M3547,2))</f>
        <v/>
      </c>
      <c r="P3547" s="13">
        <f>IF(AND(A3547&lt;&gt;"",B3547&lt;&gt;""), A3547&amp;" · "&amp;B3547, "")</f>
        <v/>
      </c>
    </row>
    <row r="3548">
      <c r="A3548" s="6" t="inlineStr">
        <is>
          <t>FY27</t>
        </is>
      </c>
      <c r="B3548" s="6" t="inlineStr">
        <is>
          <t>Aug</t>
        </is>
      </c>
      <c r="C3548" s="6" t="inlineStr">
        <is>
          <t>TN</t>
        </is>
      </c>
      <c r="D3548" s="7" t="inlineStr">
        <is>
          <t>TN06K4339</t>
        </is>
      </c>
      <c r="E3548" s="7" t="inlineStr">
        <is>
          <t>HYUNDAI</t>
        </is>
      </c>
      <c r="F3548" s="7" t="inlineStr">
        <is>
          <t>i10</t>
        </is>
      </c>
      <c r="G3548" s="7" t="inlineStr">
        <is>
          <t>VISHNU CARS PRIVATE LIMITED</t>
        </is>
      </c>
      <c r="H3548" s="7" t="inlineStr">
        <is>
          <t>Non-Captive</t>
        </is>
      </c>
      <c r="I3548" s="7" t="inlineStr">
        <is>
          <t>Santhosh Cars</t>
        </is>
      </c>
      <c r="J3548" s="8" t="n">
        <v>2013</v>
      </c>
      <c r="K3548" s="9" t="n">
        <v>21014</v>
      </c>
      <c r="L3548" s="10" t="n">
        <v>96000</v>
      </c>
      <c r="M3548" s="10" t="n">
        <v>2542.37</v>
      </c>
      <c r="N3548" s="11">
        <f>IF(M3548="","",ROUND(M3548*1.18,2))</f>
        <v/>
      </c>
      <c r="O3548" s="12">
        <f>IF(M3548="","",ROUND(N3548-M3548,2))</f>
        <v/>
      </c>
      <c r="P3548" s="13">
        <f>IF(AND(A3548&lt;&gt;"",B3548&lt;&gt;""), A3548&amp;" · "&amp;B3548, "")</f>
        <v/>
      </c>
    </row>
    <row r="3549">
      <c r="A3549" s="6" t="inlineStr">
        <is>
          <t>FY27</t>
        </is>
      </c>
      <c r="B3549" s="6" t="inlineStr">
        <is>
          <t>Aug</t>
        </is>
      </c>
      <c r="C3549" s="6" t="inlineStr">
        <is>
          <t>TN</t>
        </is>
      </c>
      <c r="D3549" s="7" t="inlineStr">
        <is>
          <t>TN06M7432</t>
        </is>
      </c>
      <c r="E3549" s="7" t="inlineStr">
        <is>
          <t>HONDA</t>
        </is>
      </c>
      <c r="F3549" s="7" t="inlineStr">
        <is>
          <t>Brio</t>
        </is>
      </c>
      <c r="G3549" s="7" t="inlineStr">
        <is>
          <t>EXCHANGE CHENNAI</t>
        </is>
      </c>
      <c r="H3549" s="7" t="inlineStr">
        <is>
          <t>Captive</t>
        </is>
      </c>
      <c r="I3549" s="7" t="inlineStr">
        <is>
          <t>Nirmal Cars</t>
        </is>
      </c>
      <c r="J3549" s="8" t="n">
        <v>2014</v>
      </c>
      <c r="K3549" s="9" t="n">
        <v>60913</v>
      </c>
      <c r="L3549" s="10" t="n">
        <v>260000</v>
      </c>
      <c r="M3549" s="10" t="n">
        <v>8474.58</v>
      </c>
      <c r="N3549" s="11">
        <f>IF(M3549="","",ROUND(M3549*1.18,2))</f>
        <v/>
      </c>
      <c r="O3549" s="12">
        <f>IF(M3549="","",ROUND(N3549-M3549,2))</f>
        <v/>
      </c>
      <c r="P3549" s="13">
        <f>IF(AND(A3549&lt;&gt;"",B3549&lt;&gt;""), A3549&amp;" · "&amp;B3549, "")</f>
        <v/>
      </c>
    </row>
    <row r="3550">
      <c r="A3550" s="6" t="inlineStr">
        <is>
          <t>FY27</t>
        </is>
      </c>
      <c r="B3550" s="6" t="inlineStr">
        <is>
          <t>Aug</t>
        </is>
      </c>
      <c r="C3550" s="6" t="inlineStr">
        <is>
          <t>TN</t>
        </is>
      </c>
      <c r="D3550" s="7" t="inlineStr">
        <is>
          <t>TN06P5270</t>
        </is>
      </c>
      <c r="E3550" s="7" t="inlineStr">
        <is>
          <t>MITSUBISHI</t>
        </is>
      </c>
      <c r="F3550" s="7" t="inlineStr">
        <is>
          <t>Pajero</t>
        </is>
      </c>
      <c r="G3550" s="7" t="inlineStr">
        <is>
          <t>EXCHANGE CHENNAI</t>
        </is>
      </c>
      <c r="H3550" s="7" t="inlineStr">
        <is>
          <t>Captive</t>
        </is>
      </c>
      <c r="I3550" s="7" t="inlineStr">
        <is>
          <t>Grid 33</t>
        </is>
      </c>
      <c r="J3550" s="8" t="n">
        <v>2015</v>
      </c>
      <c r="K3550" s="9" t="n">
        <v>76097</v>
      </c>
      <c r="L3550" s="10" t="n">
        <v>695000</v>
      </c>
      <c r="M3550" s="10" t="n">
        <v>8474.58</v>
      </c>
      <c r="N3550" s="11">
        <f>IF(M3550="","",ROUND(M3550*1.18,2))</f>
        <v/>
      </c>
      <c r="O3550" s="12">
        <f>IF(M3550="","",ROUND(N3550-M3550,2))</f>
        <v/>
      </c>
      <c r="P3550" s="13">
        <f>IF(AND(A3550&lt;&gt;"",B3550&lt;&gt;""), A3550&amp;" · "&amp;B3550, "")</f>
        <v/>
      </c>
    </row>
    <row r="3551">
      <c r="A3551" s="6" t="inlineStr">
        <is>
          <t>FY27</t>
        </is>
      </c>
      <c r="B3551" s="6" t="inlineStr">
        <is>
          <t>Aug</t>
        </is>
      </c>
      <c r="C3551" s="6" t="inlineStr">
        <is>
          <t>TN</t>
        </is>
      </c>
      <c r="D3551" s="7" t="inlineStr">
        <is>
          <t>TN06S6546</t>
        </is>
      </c>
      <c r="E3551" s="7" t="inlineStr">
        <is>
          <t>MARUTI SUZUKI</t>
        </is>
      </c>
      <c r="F3551" s="7" t="inlineStr">
        <is>
          <t>Swift</t>
        </is>
      </c>
      <c r="G3551" s="7" t="inlineStr">
        <is>
          <t>CARS INDIA</t>
        </is>
      </c>
      <c r="H3551" s="7" t="inlineStr">
        <is>
          <t>Non-Captive</t>
        </is>
      </c>
      <c r="I3551" s="7" t="inlineStr">
        <is>
          <t>Pine Autos</t>
        </is>
      </c>
      <c r="J3551" s="8" t="n">
        <v>2016</v>
      </c>
      <c r="K3551" s="9" t="n">
        <v>16662</v>
      </c>
      <c r="L3551" s="10" t="n">
        <v>94000</v>
      </c>
      <c r="M3551" s="10" t="n">
        <v>2542.37</v>
      </c>
      <c r="N3551" s="11">
        <f>IF(M3551="","",ROUND(M3551*1.18,2))</f>
        <v/>
      </c>
      <c r="O3551" s="12">
        <f>IF(M3551="","",ROUND(N3551-M3551,2))</f>
        <v/>
      </c>
      <c r="P3551" s="13">
        <f>IF(AND(A3551&lt;&gt;"",B3551&lt;&gt;""), A3551&amp;" · "&amp;B3551, "")</f>
        <v/>
      </c>
    </row>
    <row r="3552">
      <c r="A3552" s="6" t="inlineStr">
        <is>
          <t>FY27</t>
        </is>
      </c>
      <c r="B3552" s="6" t="inlineStr">
        <is>
          <t>Aug</t>
        </is>
      </c>
      <c r="C3552" s="6" t="inlineStr">
        <is>
          <t>TN</t>
        </is>
      </c>
      <c r="D3552" s="7" t="inlineStr">
        <is>
          <t>TN06T9864</t>
        </is>
      </c>
      <c r="E3552" s="7" t="inlineStr">
        <is>
          <t>HYUNDAI</t>
        </is>
      </c>
      <c r="F3552" s="7" t="inlineStr">
        <is>
          <t>Xcent</t>
        </is>
      </c>
      <c r="G3552" s="7" t="inlineStr">
        <is>
          <t>EXCHANGE CHENNAI</t>
        </is>
      </c>
      <c r="H3552" s="7" t="inlineStr">
        <is>
          <t>Captive</t>
        </is>
      </c>
      <c r="I3552" s="7" t="inlineStr">
        <is>
          <t>&lt;NA&gt;</t>
        </is>
      </c>
      <c r="J3552" s="8" t="n">
        <v>2017</v>
      </c>
      <c r="K3552" s="9" t="n">
        <v>53209</v>
      </c>
      <c r="L3552" s="10" t="n">
        <v>325000</v>
      </c>
      <c r="M3552" s="10" t="n">
        <v>8474.58</v>
      </c>
      <c r="N3552" s="11">
        <f>IF(M3552="","",ROUND(M3552*1.18,2))</f>
        <v/>
      </c>
      <c r="O3552" s="12">
        <f>IF(M3552="","",ROUND(N3552-M3552,2))</f>
        <v/>
      </c>
      <c r="P3552" s="13">
        <f>IF(AND(A3552&lt;&gt;"",B3552&lt;&gt;""), A3552&amp;" · "&amp;B3552, "")</f>
        <v/>
      </c>
    </row>
    <row r="3553">
      <c r="A3553" s="6" t="inlineStr">
        <is>
          <t>FY27</t>
        </is>
      </c>
      <c r="B3553" s="6" t="inlineStr">
        <is>
          <t>Aug</t>
        </is>
      </c>
      <c r="C3553" s="6" t="inlineStr">
        <is>
          <t>TN</t>
        </is>
      </c>
      <c r="D3553" s="7" t="inlineStr">
        <is>
          <t>TN07AD3616</t>
        </is>
      </c>
      <c r="E3553" s="7" t="inlineStr">
        <is>
          <t>MARUTI SUZUKI</t>
        </is>
      </c>
      <c r="F3553" s="7" t="inlineStr">
        <is>
          <t>Esteem</t>
        </is>
      </c>
      <c r="G3553" s="7" t="inlineStr">
        <is>
          <t>SREE SARADHAMBAL AUTOMOBILES PRIVATE LIMITED</t>
        </is>
      </c>
      <c r="H3553" s="7" t="inlineStr">
        <is>
          <t>Non-Captive</t>
        </is>
      </c>
      <c r="I3553" s="7" t="inlineStr">
        <is>
          <t>Sivashankar Cars</t>
        </is>
      </c>
      <c r="J3553" s="8" t="n">
        <v>2004</v>
      </c>
      <c r="K3553" s="9" t="n">
        <v>26481</v>
      </c>
      <c r="L3553" s="10" t="n">
        <v>70000</v>
      </c>
      <c r="M3553" s="10" t="n">
        <v>4237.29</v>
      </c>
      <c r="N3553" s="11">
        <f>IF(M3553="","",ROUND(M3553*1.18,2))</f>
        <v/>
      </c>
      <c r="O3553" s="12">
        <f>IF(M3553="","",ROUND(N3553-M3553,2))</f>
        <v/>
      </c>
      <c r="P3553" s="13">
        <f>IF(AND(A3553&lt;&gt;"",B3553&lt;&gt;""), A3553&amp;" · "&amp;B3553, "")</f>
        <v/>
      </c>
    </row>
    <row r="3554">
      <c r="A3554" s="6" t="inlineStr">
        <is>
          <t>FY27</t>
        </is>
      </c>
      <c r="B3554" s="6" t="inlineStr">
        <is>
          <t>Aug</t>
        </is>
      </c>
      <c r="C3554" s="6" t="inlineStr">
        <is>
          <t>TN</t>
        </is>
      </c>
      <c r="D3554" s="7" t="inlineStr">
        <is>
          <t>TN07AD9540</t>
        </is>
      </c>
      <c r="E3554" s="7" t="inlineStr">
        <is>
          <t>MARUTI SUZUKI</t>
        </is>
      </c>
      <c r="F3554" s="7" t="inlineStr">
        <is>
          <t>800</t>
        </is>
      </c>
      <c r="G3554" s="7" t="inlineStr">
        <is>
          <t>SREE SARADHAMBAL AUTOMOBILES PRIVATE LIMITED</t>
        </is>
      </c>
      <c r="H3554" s="7" t="inlineStr">
        <is>
          <t>Non-Captive</t>
        </is>
      </c>
      <c r="I3554" s="7" t="inlineStr">
        <is>
          <t>Sivashankar Cars</t>
        </is>
      </c>
      <c r="J3554" s="8" t="n">
        <v>2005</v>
      </c>
      <c r="K3554" s="9" t="n">
        <v>52614</v>
      </c>
      <c r="L3554" s="10" t="n">
        <v>65000</v>
      </c>
      <c r="M3554" s="10" t="n">
        <v>4237.29</v>
      </c>
      <c r="N3554" s="11">
        <f>IF(M3554="","",ROUND(M3554*1.18,2))</f>
        <v/>
      </c>
      <c r="O3554" s="12">
        <f>IF(M3554="","",ROUND(N3554-M3554,2))</f>
        <v/>
      </c>
      <c r="P3554" s="13">
        <f>IF(AND(A3554&lt;&gt;"",B3554&lt;&gt;""), A3554&amp;" · "&amp;B3554, "")</f>
        <v/>
      </c>
    </row>
    <row r="3555">
      <c r="A3555" s="6" t="inlineStr">
        <is>
          <t>FY27</t>
        </is>
      </c>
      <c r="B3555" s="6" t="inlineStr">
        <is>
          <t>Aug</t>
        </is>
      </c>
      <c r="C3555" s="6" t="inlineStr">
        <is>
          <t>TN</t>
        </is>
      </c>
      <c r="D3555" s="7" t="inlineStr">
        <is>
          <t>TN07AE5890</t>
        </is>
      </c>
      <c r="E3555" s="7" t="inlineStr">
        <is>
          <t>TOYOTA</t>
        </is>
      </c>
      <c r="F3555" s="7" t="inlineStr">
        <is>
          <t>Corolla Altis</t>
        </is>
      </c>
      <c r="G3555" s="7" t="inlineStr">
        <is>
          <t>VISHNU CARS PRIVATE LIMITED</t>
        </is>
      </c>
      <c r="H3555" s="7" t="inlineStr">
        <is>
          <t>Non-Captive</t>
        </is>
      </c>
      <c r="I3555" s="7" t="inlineStr">
        <is>
          <t>Santhosh Cars</t>
        </is>
      </c>
      <c r="J3555" s="8" t="n">
        <v>2005</v>
      </c>
      <c r="K3555" s="9" t="n">
        <v>123823</v>
      </c>
      <c r="L3555" s="10" t="n">
        <v>98000</v>
      </c>
      <c r="M3555" s="10" t="n">
        <v>2542.37</v>
      </c>
      <c r="N3555" s="11">
        <f>IF(M3555="","",ROUND(M3555*1.18,2))</f>
        <v/>
      </c>
      <c r="O3555" s="12">
        <f>IF(M3555="","",ROUND(N3555-M3555,2))</f>
        <v/>
      </c>
      <c r="P3555" s="13">
        <f>IF(AND(A3555&lt;&gt;"",B3555&lt;&gt;""), A3555&amp;" · "&amp;B3555, "")</f>
        <v/>
      </c>
    </row>
    <row r="3556">
      <c r="A3556" s="6" t="inlineStr">
        <is>
          <t>FY27</t>
        </is>
      </c>
      <c r="B3556" s="6" t="inlineStr">
        <is>
          <t>Aug</t>
        </is>
      </c>
      <c r="C3556" s="6" t="inlineStr">
        <is>
          <t>TN</t>
        </is>
      </c>
      <c r="D3556" s="7" t="inlineStr">
        <is>
          <t>TN07AQ3241</t>
        </is>
      </c>
      <c r="E3556" s="7" t="inlineStr">
        <is>
          <t>FORD</t>
        </is>
      </c>
      <c r="F3556" s="7" t="inlineStr">
        <is>
          <t>Fiesta</t>
        </is>
      </c>
      <c r="G3556" s="7" t="inlineStr">
        <is>
          <t>AIE CARS PRIVATE LIMITED</t>
        </is>
      </c>
      <c r="H3556" s="7" t="inlineStr">
        <is>
          <t>Non-Captive</t>
        </is>
      </c>
      <c r="I3556" s="7" t="inlineStr">
        <is>
          <t>Nirmal Cars</t>
        </is>
      </c>
      <c r="J3556" s="8" t="n">
        <v>2007</v>
      </c>
      <c r="K3556" s="9" t="n">
        <v>106942</v>
      </c>
      <c r="L3556" s="10" t="n">
        <v>92000</v>
      </c>
      <c r="M3556" s="10" t="n">
        <v>2542.37</v>
      </c>
      <c r="N3556" s="11">
        <f>IF(M3556="","",ROUND(M3556*1.18,2))</f>
        <v/>
      </c>
      <c r="O3556" s="12">
        <f>IF(M3556="","",ROUND(N3556-M3556,2))</f>
        <v/>
      </c>
      <c r="P3556" s="13">
        <f>IF(AND(A3556&lt;&gt;"",B3556&lt;&gt;""), A3556&amp;" · "&amp;B3556, "")</f>
        <v/>
      </c>
    </row>
    <row r="3557">
      <c r="A3557" s="6" t="inlineStr">
        <is>
          <t>FY27</t>
        </is>
      </c>
      <c r="B3557" s="6" t="inlineStr">
        <is>
          <t>Aug</t>
        </is>
      </c>
      <c r="C3557" s="6" t="inlineStr">
        <is>
          <t>TN</t>
        </is>
      </c>
      <c r="D3557" s="7" t="inlineStr">
        <is>
          <t>TN07AT5788</t>
        </is>
      </c>
      <c r="E3557" s="7" t="inlineStr">
        <is>
          <t>MARUTI SUZUKI</t>
        </is>
      </c>
      <c r="F3557" s="7" t="inlineStr">
        <is>
          <t>Alto</t>
        </is>
      </c>
      <c r="G3557" s="7" t="inlineStr">
        <is>
          <t>VISHNU CARS PRIVATE LIMITED</t>
        </is>
      </c>
      <c r="H3557" s="7" t="inlineStr">
        <is>
          <t>Non-Captive</t>
        </is>
      </c>
      <c r="I3557" s="7" t="inlineStr">
        <is>
          <t>Santhosh Cars</t>
        </is>
      </c>
      <c r="J3557" s="8" t="n">
        <v>2007</v>
      </c>
      <c r="K3557" s="9" t="n">
        <v>61450</v>
      </c>
      <c r="L3557" s="10" t="n">
        <v>89000</v>
      </c>
      <c r="M3557" s="10" t="n">
        <v>2542.37</v>
      </c>
      <c r="N3557" s="11">
        <f>IF(M3557="","",ROUND(M3557*1.18,2))</f>
        <v/>
      </c>
      <c r="O3557" s="12">
        <f>IF(M3557="","",ROUND(N3557-M3557,2))</f>
        <v/>
      </c>
      <c r="P3557" s="13">
        <f>IF(AND(A3557&lt;&gt;"",B3557&lt;&gt;""), A3557&amp;" · "&amp;B3557, "")</f>
        <v/>
      </c>
    </row>
    <row r="3558">
      <c r="A3558" s="6" t="inlineStr">
        <is>
          <t>FY27</t>
        </is>
      </c>
      <c r="B3558" s="6" t="inlineStr">
        <is>
          <t>Aug</t>
        </is>
      </c>
      <c r="C3558" s="6" t="inlineStr">
        <is>
          <t>TN</t>
        </is>
      </c>
      <c r="D3558" s="7" t="inlineStr">
        <is>
          <t>TN07AU9369</t>
        </is>
      </c>
      <c r="E3558" s="7" t="inlineStr">
        <is>
          <t>HONDA</t>
        </is>
      </c>
      <c r="F3558" s="7" t="inlineStr">
        <is>
          <t>City</t>
        </is>
      </c>
      <c r="G3558" s="7" t="inlineStr">
        <is>
          <t>&lt;NA&gt;</t>
        </is>
      </c>
      <c r="H3558" s="7" t="inlineStr">
        <is>
          <t>Non-Captive</t>
        </is>
      </c>
      <c r="I3558" s="7" t="inlineStr">
        <is>
          <t>Santhosh Cars</t>
        </is>
      </c>
      <c r="J3558" s="8" t="n"/>
      <c r="K3558" s="9" t="n">
        <v>92645</v>
      </c>
      <c r="L3558" s="10" t="n">
        <v>50000</v>
      </c>
      <c r="M3558" s="10" t="n">
        <v>4237.29</v>
      </c>
      <c r="N3558" s="11">
        <f>IF(M3558="","",ROUND(M3558*1.18,2))</f>
        <v/>
      </c>
      <c r="O3558" s="12">
        <f>IF(M3558="","",ROUND(N3558-M3558,2))</f>
        <v/>
      </c>
      <c r="P3558" s="13">
        <f>IF(AND(A3558&lt;&gt;"",B3558&lt;&gt;""), A3558&amp;" · "&amp;B3558, "")</f>
        <v/>
      </c>
    </row>
    <row r="3559">
      <c r="A3559" s="6" t="inlineStr">
        <is>
          <t>FY27</t>
        </is>
      </c>
      <c r="B3559" s="6" t="inlineStr">
        <is>
          <t>Aug</t>
        </is>
      </c>
      <c r="C3559" s="6" t="inlineStr">
        <is>
          <t>TN</t>
        </is>
      </c>
      <c r="D3559" s="7" t="inlineStr">
        <is>
          <t>TN07AV8505</t>
        </is>
      </c>
      <c r="E3559" s="7" t="inlineStr">
        <is>
          <t>HYUNDAI</t>
        </is>
      </c>
      <c r="F3559" s="7" t="inlineStr">
        <is>
          <t>Santro</t>
        </is>
      </c>
      <c r="G3559" s="7" t="inlineStr">
        <is>
          <t>POPULAR VEHICLES</t>
        </is>
      </c>
      <c r="H3559" s="7" t="inlineStr">
        <is>
          <t>Non-Captive</t>
        </is>
      </c>
      <c r="I3559" s="7" t="inlineStr">
        <is>
          <t>Senthil Cars</t>
        </is>
      </c>
      <c r="J3559" s="8" t="n">
        <v>2006</v>
      </c>
      <c r="K3559" s="9" t="n">
        <v>126715</v>
      </c>
      <c r="L3559" s="10" t="n">
        <v>98000</v>
      </c>
      <c r="M3559" s="10" t="n">
        <v>4661.02</v>
      </c>
      <c r="N3559" s="11">
        <f>IF(M3559="","",ROUND(M3559*1.18,2))</f>
        <v/>
      </c>
      <c r="O3559" s="12">
        <f>IF(M3559="","",ROUND(N3559-M3559,2))</f>
        <v/>
      </c>
      <c r="P3559" s="13">
        <f>IF(AND(A3559&lt;&gt;"",B3559&lt;&gt;""), A3559&amp;" · "&amp;B3559, "")</f>
        <v/>
      </c>
    </row>
    <row r="3560">
      <c r="A3560" s="6" t="inlineStr">
        <is>
          <t>FY27</t>
        </is>
      </c>
      <c r="B3560" s="6" t="inlineStr">
        <is>
          <t>Aug</t>
        </is>
      </c>
      <c r="C3560" s="6" t="inlineStr">
        <is>
          <t>TN</t>
        </is>
      </c>
      <c r="D3560" s="7" t="inlineStr">
        <is>
          <t>TN07BA4182</t>
        </is>
      </c>
      <c r="E3560" s="7" t="inlineStr">
        <is>
          <t>MARUTI SUZUKI</t>
        </is>
      </c>
      <c r="F3560" s="7" t="inlineStr">
        <is>
          <t>Wagon R</t>
        </is>
      </c>
      <c r="G3560" s="7" t="inlineStr">
        <is>
          <t>VISHNU CARS PRIVATE LIMITED</t>
        </is>
      </c>
      <c r="H3560" s="7" t="inlineStr">
        <is>
          <t>Non-Captive</t>
        </is>
      </c>
      <c r="I3560" s="7" t="inlineStr">
        <is>
          <t>Santhosh Cars</t>
        </is>
      </c>
      <c r="J3560" s="8" t="n">
        <v>2008</v>
      </c>
      <c r="K3560" s="9" t="n">
        <v>37098</v>
      </c>
      <c r="L3560" s="10" t="n">
        <v>92000</v>
      </c>
      <c r="M3560" s="10" t="n">
        <v>2542.37</v>
      </c>
      <c r="N3560" s="11">
        <f>IF(M3560="","",ROUND(M3560*1.18,2))</f>
        <v/>
      </c>
      <c r="O3560" s="12">
        <f>IF(M3560="","",ROUND(N3560-M3560,2))</f>
        <v/>
      </c>
      <c r="P3560" s="13">
        <f>IF(AND(A3560&lt;&gt;"",B3560&lt;&gt;""), A3560&amp;" · "&amp;B3560, "")</f>
        <v/>
      </c>
    </row>
    <row r="3561">
      <c r="A3561" s="6" t="inlineStr">
        <is>
          <t>FY27</t>
        </is>
      </c>
      <c r="B3561" s="6" t="inlineStr">
        <is>
          <t>Aug</t>
        </is>
      </c>
      <c r="C3561" s="6" t="inlineStr">
        <is>
          <t>TN</t>
        </is>
      </c>
      <c r="D3561" s="7" t="inlineStr">
        <is>
          <t>TN07BE4077</t>
        </is>
      </c>
      <c r="E3561" s="7" t="inlineStr">
        <is>
          <t>TATA</t>
        </is>
      </c>
      <c r="F3561" s="7" t="inlineStr">
        <is>
          <t>Indica</t>
        </is>
      </c>
      <c r="G3561" s="7" t="inlineStr">
        <is>
          <t>VISHNU CARS PRIVATE LIMITED</t>
        </is>
      </c>
      <c r="H3561" s="7" t="inlineStr">
        <is>
          <t>Non-Captive</t>
        </is>
      </c>
      <c r="I3561" s="7" t="inlineStr">
        <is>
          <t>Santhosh Cars</t>
        </is>
      </c>
      <c r="J3561" s="8" t="n">
        <v>2009</v>
      </c>
      <c r="K3561" s="9" t="n">
        <v>43683</v>
      </c>
      <c r="L3561" s="10" t="n">
        <v>87000</v>
      </c>
      <c r="M3561" s="10" t="n">
        <v>2542.37</v>
      </c>
      <c r="N3561" s="11">
        <f>IF(M3561="","",ROUND(M3561*1.18,2))</f>
        <v/>
      </c>
      <c r="O3561" s="12">
        <f>IF(M3561="","",ROUND(N3561-M3561,2))</f>
        <v/>
      </c>
      <c r="P3561" s="13">
        <f>IF(AND(A3561&lt;&gt;"",B3561&lt;&gt;""), A3561&amp;" · "&amp;B3561, "")</f>
        <v/>
      </c>
    </row>
    <row r="3562">
      <c r="A3562" s="6" t="inlineStr">
        <is>
          <t>FY27</t>
        </is>
      </c>
      <c r="B3562" s="6" t="inlineStr">
        <is>
          <t>Aug</t>
        </is>
      </c>
      <c r="C3562" s="6" t="inlineStr">
        <is>
          <t>TN</t>
        </is>
      </c>
      <c r="D3562" s="7" t="inlineStr">
        <is>
          <t>TN07BE6172</t>
        </is>
      </c>
      <c r="E3562" s="7" t="inlineStr">
        <is>
          <t>HONDA</t>
        </is>
      </c>
      <c r="F3562" s="7" t="inlineStr">
        <is>
          <t>City</t>
        </is>
      </c>
      <c r="G3562" s="7" t="inlineStr">
        <is>
          <t>EXCHANGE CHENNAI</t>
        </is>
      </c>
      <c r="H3562" s="7" t="inlineStr">
        <is>
          <t>Captive</t>
        </is>
      </c>
      <c r="I3562" s="7" t="inlineStr">
        <is>
          <t>Santhosh Cars</t>
        </is>
      </c>
      <c r="J3562" s="8" t="n">
        <v>2009</v>
      </c>
      <c r="K3562" s="9" t="n">
        <v>46780</v>
      </c>
      <c r="L3562" s="10" t="n">
        <v>200000</v>
      </c>
      <c r="M3562" s="10" t="n">
        <v>8474.58</v>
      </c>
      <c r="N3562" s="11">
        <f>IF(M3562="","",ROUND(M3562*1.18,2))</f>
        <v/>
      </c>
      <c r="O3562" s="12">
        <f>IF(M3562="","",ROUND(N3562-M3562,2))</f>
        <v/>
      </c>
      <c r="P3562" s="13">
        <f>IF(AND(A3562&lt;&gt;"",B3562&lt;&gt;""), A3562&amp;" · "&amp;B3562, "")</f>
        <v/>
      </c>
    </row>
    <row r="3563">
      <c r="A3563" s="6" t="inlineStr">
        <is>
          <t>FY27</t>
        </is>
      </c>
      <c r="B3563" s="6" t="inlineStr">
        <is>
          <t>Aug</t>
        </is>
      </c>
      <c r="C3563" s="6" t="inlineStr">
        <is>
          <t>TN</t>
        </is>
      </c>
      <c r="D3563" s="7" t="inlineStr">
        <is>
          <t>TN07BL2170</t>
        </is>
      </c>
      <c r="E3563" s="7" t="inlineStr">
        <is>
          <t>HONDA</t>
        </is>
      </c>
      <c r="F3563" s="7" t="inlineStr">
        <is>
          <t>City</t>
        </is>
      </c>
      <c r="G3563" s="7" t="inlineStr">
        <is>
          <t>EXCHANGE CHENNAI</t>
        </is>
      </c>
      <c r="H3563" s="7" t="inlineStr">
        <is>
          <t>Captive</t>
        </is>
      </c>
      <c r="I3563" s="7" t="inlineStr">
        <is>
          <t>Santhosh Cars</t>
        </is>
      </c>
      <c r="J3563" s="8" t="n">
        <v>2011</v>
      </c>
      <c r="K3563" s="9" t="n">
        <v>41827</v>
      </c>
      <c r="L3563" s="10" t="n">
        <v>240000</v>
      </c>
      <c r="M3563" s="10" t="n">
        <v>5932.2</v>
      </c>
      <c r="N3563" s="11">
        <f>IF(M3563="","",ROUND(M3563*1.18,2))</f>
        <v/>
      </c>
      <c r="O3563" s="12">
        <f>IF(M3563="","",ROUND(N3563-M3563,2))</f>
        <v/>
      </c>
      <c r="P3563" s="13">
        <f>IF(AND(A3563&lt;&gt;"",B3563&lt;&gt;""), A3563&amp;" · "&amp;B3563, "")</f>
        <v/>
      </c>
    </row>
    <row r="3564">
      <c r="A3564" s="6" t="inlineStr">
        <is>
          <t>FY27</t>
        </is>
      </c>
      <c r="B3564" s="6" t="inlineStr">
        <is>
          <t>Aug</t>
        </is>
      </c>
      <c r="C3564" s="6" t="inlineStr">
        <is>
          <t>TN</t>
        </is>
      </c>
      <c r="D3564" s="7" t="inlineStr">
        <is>
          <t>TN07BV5080</t>
        </is>
      </c>
      <c r="E3564" s="7" t="inlineStr">
        <is>
          <t>TOYOTA</t>
        </is>
      </c>
      <c r="F3564" s="7" t="inlineStr">
        <is>
          <t>Etios</t>
        </is>
      </c>
      <c r="G3564" s="7" t="inlineStr">
        <is>
          <t>EXCHANGE CHENNAI</t>
        </is>
      </c>
      <c r="H3564" s="7" t="inlineStr">
        <is>
          <t>Captive</t>
        </is>
      </c>
      <c r="I3564" s="7" t="inlineStr">
        <is>
          <t>&lt;NA&gt;</t>
        </is>
      </c>
      <c r="J3564" s="8" t="n">
        <v>2013</v>
      </c>
      <c r="K3564" s="9" t="n">
        <v>163667</v>
      </c>
      <c r="L3564" s="10" t="n">
        <v>330000</v>
      </c>
      <c r="M3564" s="10" t="n">
        <v>8474.58</v>
      </c>
      <c r="N3564" s="11">
        <f>IF(M3564="","",ROUND(M3564*1.18,2))</f>
        <v/>
      </c>
      <c r="O3564" s="12">
        <f>IF(M3564="","",ROUND(N3564-M3564,2))</f>
        <v/>
      </c>
      <c r="P3564" s="13">
        <f>IF(AND(A3564&lt;&gt;"",B3564&lt;&gt;""), A3564&amp;" · "&amp;B3564, "")</f>
        <v/>
      </c>
    </row>
    <row r="3565">
      <c r="A3565" s="6" t="inlineStr">
        <is>
          <t>FY27</t>
        </is>
      </c>
      <c r="B3565" s="6" t="inlineStr">
        <is>
          <t>Aug</t>
        </is>
      </c>
      <c r="C3565" s="6" t="inlineStr">
        <is>
          <t>TN</t>
        </is>
      </c>
      <c r="D3565" s="7" t="inlineStr">
        <is>
          <t>TN07CF0585</t>
        </is>
      </c>
      <c r="E3565" s="7" t="inlineStr">
        <is>
          <t>CHEVROLET</t>
        </is>
      </c>
      <c r="F3565" s="7" t="inlineStr">
        <is>
          <t>Beat</t>
        </is>
      </c>
      <c r="G3565" s="7" t="inlineStr">
        <is>
          <t>PLA MOTORS</t>
        </is>
      </c>
      <c r="H3565" s="7" t="inlineStr">
        <is>
          <t>Non-Captive</t>
        </is>
      </c>
      <c r="I3565" s="7" t="inlineStr">
        <is>
          <t>ASHOKAUTOMAX</t>
        </is>
      </c>
      <c r="J3565" s="8" t="n">
        <v>2016</v>
      </c>
      <c r="K3565" s="9" t="n">
        <v>71130</v>
      </c>
      <c r="L3565" s="10" t="n">
        <v>60000</v>
      </c>
      <c r="M3565" s="10" t="n">
        <v>4237.29</v>
      </c>
      <c r="N3565" s="11">
        <f>IF(M3565="","",ROUND(M3565*1.18,2))</f>
        <v/>
      </c>
      <c r="O3565" s="12">
        <f>IF(M3565="","",ROUND(N3565-M3565,2))</f>
        <v/>
      </c>
      <c r="P3565" s="13">
        <f>IF(AND(A3565&lt;&gt;"",B3565&lt;&gt;""), A3565&amp;" · "&amp;B3565, "")</f>
        <v/>
      </c>
    </row>
    <row r="3566">
      <c r="A3566" s="6" t="inlineStr">
        <is>
          <t>FY27</t>
        </is>
      </c>
      <c r="B3566" s="6" t="inlineStr">
        <is>
          <t>Aug</t>
        </is>
      </c>
      <c r="C3566" s="6" t="inlineStr">
        <is>
          <t>TN</t>
        </is>
      </c>
      <c r="D3566" s="7" t="inlineStr">
        <is>
          <t>TN07CM9006</t>
        </is>
      </c>
      <c r="E3566" s="7" t="inlineStr">
        <is>
          <t>MARUTI SUZUKI</t>
        </is>
      </c>
      <c r="F3566" s="7" t="inlineStr">
        <is>
          <t>Swift</t>
        </is>
      </c>
      <c r="G3566" s="7" t="inlineStr">
        <is>
          <t>RAJALAKSHMI CARS</t>
        </is>
      </c>
      <c r="H3566" s="7" t="inlineStr">
        <is>
          <t>Non-Captive</t>
        </is>
      </c>
      <c r="I3566" s="7" t="inlineStr">
        <is>
          <t>Pine Autos</t>
        </is>
      </c>
      <c r="J3566" s="8" t="n">
        <v>2018</v>
      </c>
      <c r="K3566" s="9" t="n">
        <v>38443</v>
      </c>
      <c r="L3566" s="10" t="n">
        <v>97000</v>
      </c>
      <c r="M3566" s="10" t="n">
        <v>4237.29</v>
      </c>
      <c r="N3566" s="11">
        <f>IF(M3566="","",ROUND(M3566*1.18,2))</f>
        <v/>
      </c>
      <c r="O3566" s="12">
        <f>IF(M3566="","",ROUND(N3566-M3566,2))</f>
        <v/>
      </c>
      <c r="P3566" s="13">
        <f>IF(AND(A3566&lt;&gt;"",B3566&lt;&gt;""), A3566&amp;" · "&amp;B3566, "")</f>
        <v/>
      </c>
    </row>
    <row r="3567">
      <c r="A3567" s="6" t="inlineStr">
        <is>
          <t>FY27</t>
        </is>
      </c>
      <c r="B3567" s="6" t="inlineStr">
        <is>
          <t>Aug</t>
        </is>
      </c>
      <c r="C3567" s="6" t="inlineStr">
        <is>
          <t>TN</t>
        </is>
      </c>
      <c r="D3567" s="7" t="inlineStr">
        <is>
          <t>TN07CQ2597</t>
        </is>
      </c>
      <c r="E3567" s="7" t="inlineStr">
        <is>
          <t>MARUTI SUZUKI</t>
        </is>
      </c>
      <c r="F3567" s="7" t="inlineStr">
        <is>
          <t>Swift</t>
        </is>
      </c>
      <c r="G3567" s="7" t="inlineStr">
        <is>
          <t>EXCHANGE CHENNAI</t>
        </is>
      </c>
      <c r="H3567" s="7" t="inlineStr">
        <is>
          <t>Captive</t>
        </is>
      </c>
      <c r="I3567" s="7" t="inlineStr">
        <is>
          <t>Murali Cars</t>
        </is>
      </c>
      <c r="J3567" s="8" t="n">
        <v>2018</v>
      </c>
      <c r="K3567" s="9" t="n">
        <v>86647</v>
      </c>
      <c r="L3567" s="10" t="n">
        <v>450000</v>
      </c>
      <c r="M3567" s="10" t="n">
        <v>8474.58</v>
      </c>
      <c r="N3567" s="11">
        <f>IF(M3567="","",ROUND(M3567*1.18,2))</f>
        <v/>
      </c>
      <c r="O3567" s="12">
        <f>IF(M3567="","",ROUND(N3567-M3567,2))</f>
        <v/>
      </c>
      <c r="P3567" s="13">
        <f>IF(AND(A3567&lt;&gt;"",B3567&lt;&gt;""), A3567&amp;" · "&amp;B3567, "")</f>
        <v/>
      </c>
    </row>
    <row r="3568">
      <c r="A3568" s="6" t="inlineStr">
        <is>
          <t>FY27</t>
        </is>
      </c>
      <c r="B3568" s="6" t="inlineStr">
        <is>
          <t>Aug</t>
        </is>
      </c>
      <c r="C3568" s="6" t="inlineStr">
        <is>
          <t>TN</t>
        </is>
      </c>
      <c r="D3568" s="7" t="inlineStr">
        <is>
          <t>TN07CT0203</t>
        </is>
      </c>
      <c r="E3568" s="7" t="inlineStr">
        <is>
          <t>HYUNDAI</t>
        </is>
      </c>
      <c r="F3568" s="7" t="inlineStr">
        <is>
          <t>Grand i10</t>
        </is>
      </c>
      <c r="G3568" s="7" t="inlineStr">
        <is>
          <t>PRODUCTIVITY ELEMENTS PRIVATE LIMITED</t>
        </is>
      </c>
      <c r="H3568" s="7" t="inlineStr">
        <is>
          <t>Non-Captive</t>
        </is>
      </c>
      <c r="I3568" s="7" t="inlineStr">
        <is>
          <t>Pine Autos</t>
        </is>
      </c>
      <c r="J3568" s="8" t="n">
        <v>2019</v>
      </c>
      <c r="K3568" s="9" t="n">
        <v>65755</v>
      </c>
      <c r="L3568" s="10" t="n">
        <v>99000</v>
      </c>
      <c r="M3568" s="10" t="n">
        <v>2542.37</v>
      </c>
      <c r="N3568" s="11">
        <f>IF(M3568="","",ROUND(M3568*1.18,2))</f>
        <v/>
      </c>
      <c r="O3568" s="12">
        <f>IF(M3568="","",ROUND(N3568-M3568,2))</f>
        <v/>
      </c>
      <c r="P3568" s="13">
        <f>IF(AND(A3568&lt;&gt;"",B3568&lt;&gt;""), A3568&amp;" · "&amp;B3568, "")</f>
        <v/>
      </c>
    </row>
    <row r="3569">
      <c r="A3569" s="6" t="inlineStr">
        <is>
          <t>FY27</t>
        </is>
      </c>
      <c r="B3569" s="6" t="inlineStr">
        <is>
          <t>Aug</t>
        </is>
      </c>
      <c r="C3569" s="6" t="inlineStr">
        <is>
          <t>TN</t>
        </is>
      </c>
      <c r="D3569" s="7" t="inlineStr">
        <is>
          <t>TN07CU7279</t>
        </is>
      </c>
      <c r="E3569" s="7" t="inlineStr">
        <is>
          <t>MARUTI SUZUKI</t>
        </is>
      </c>
      <c r="F3569" s="7" t="inlineStr">
        <is>
          <t>Alto 800</t>
        </is>
      </c>
      <c r="G3569" s="7" t="inlineStr">
        <is>
          <t>EXCHANGE CHENNAI</t>
        </is>
      </c>
      <c r="H3569" s="7" t="inlineStr">
        <is>
          <t>Captive</t>
        </is>
      </c>
      <c r="I3569" s="7" t="inlineStr">
        <is>
          <t>Senthil Cars</t>
        </is>
      </c>
      <c r="J3569" s="8" t="n">
        <v>2019</v>
      </c>
      <c r="K3569" s="9" t="n">
        <v>57891</v>
      </c>
      <c r="L3569" s="10" t="n">
        <v>240000</v>
      </c>
      <c r="M3569" s="10" t="n">
        <v>6355.93</v>
      </c>
      <c r="N3569" s="11">
        <f>IF(M3569="","",ROUND(M3569*1.18,2))</f>
        <v/>
      </c>
      <c r="O3569" s="12">
        <f>IF(M3569="","",ROUND(N3569-M3569,2))</f>
        <v/>
      </c>
      <c r="P3569" s="13">
        <f>IF(AND(A3569&lt;&gt;"",B3569&lt;&gt;""), A3569&amp;" · "&amp;B3569, "")</f>
        <v/>
      </c>
    </row>
    <row r="3570">
      <c r="A3570" s="6" t="inlineStr">
        <is>
          <t>FY27</t>
        </is>
      </c>
      <c r="B3570" s="6" t="inlineStr">
        <is>
          <t>Aug</t>
        </is>
      </c>
      <c r="C3570" s="6" t="inlineStr">
        <is>
          <t>TN</t>
        </is>
      </c>
      <c r="D3570" s="7" t="inlineStr">
        <is>
          <t>TN07CX7211</t>
        </is>
      </c>
      <c r="E3570" s="7" t="inlineStr">
        <is>
          <t>MARUTI SUZUKI</t>
        </is>
      </c>
      <c r="F3570" s="7" t="inlineStr">
        <is>
          <t>Swift</t>
        </is>
      </c>
      <c r="G3570" s="7" t="inlineStr">
        <is>
          <t>CARS INDIA</t>
        </is>
      </c>
      <c r="H3570" s="7" t="inlineStr">
        <is>
          <t>Non-Captive</t>
        </is>
      </c>
      <c r="I3570" s="7" t="inlineStr">
        <is>
          <t>Grid 33</t>
        </is>
      </c>
      <c r="J3570" s="8" t="n">
        <v>2021</v>
      </c>
      <c r="K3570" s="9" t="n">
        <v>60122</v>
      </c>
      <c r="L3570" s="10" t="n">
        <v>97000</v>
      </c>
      <c r="M3570" s="10" t="n">
        <v>4237.29</v>
      </c>
      <c r="N3570" s="11">
        <f>IF(M3570="","",ROUND(M3570*1.18,2))</f>
        <v/>
      </c>
      <c r="O3570" s="12">
        <f>IF(M3570="","",ROUND(N3570-M3570,2))</f>
        <v/>
      </c>
      <c r="P3570" s="13">
        <f>IF(AND(A3570&lt;&gt;"",B3570&lt;&gt;""), A3570&amp;" · "&amp;B3570, "")</f>
        <v/>
      </c>
    </row>
    <row r="3571">
      <c r="A3571" s="6" t="inlineStr">
        <is>
          <t>FY27</t>
        </is>
      </c>
      <c r="B3571" s="6" t="inlineStr">
        <is>
          <t>Aug</t>
        </is>
      </c>
      <c r="C3571" s="6" t="inlineStr">
        <is>
          <t>TN</t>
        </is>
      </c>
      <c r="D3571" s="7" t="inlineStr">
        <is>
          <t>TN07DD4666</t>
        </is>
      </c>
      <c r="E3571" s="7" t="inlineStr">
        <is>
          <t>MG MOTORS</t>
        </is>
      </c>
      <c r="F3571" s="7" t="inlineStr">
        <is>
          <t>Hector</t>
        </is>
      </c>
      <c r="G3571" s="7" t="inlineStr">
        <is>
          <t>LANSON QCARS PRIVATE LIMITED</t>
        </is>
      </c>
      <c r="H3571" s="7" t="inlineStr">
        <is>
          <t>Non-Captive</t>
        </is>
      </c>
      <c r="I3571" s="7" t="inlineStr">
        <is>
          <t>S2 MOTORZ</t>
        </is>
      </c>
      <c r="J3571" s="8" t="n">
        <v>2022</v>
      </c>
      <c r="K3571" s="9" t="n">
        <v>65400</v>
      </c>
      <c r="L3571" s="10" t="n">
        <v>98000</v>
      </c>
      <c r="M3571" s="10" t="n">
        <v>4237.29</v>
      </c>
      <c r="N3571" s="11">
        <f>IF(M3571="","",ROUND(M3571*1.18,2))</f>
        <v/>
      </c>
      <c r="O3571" s="12">
        <f>IF(M3571="","",ROUND(N3571-M3571,2))</f>
        <v/>
      </c>
      <c r="P3571" s="13">
        <f>IF(AND(A3571&lt;&gt;"",B3571&lt;&gt;""), A3571&amp;" · "&amp;B3571, "")</f>
        <v/>
      </c>
    </row>
    <row r="3572">
      <c r="A3572" s="6" t="inlineStr">
        <is>
          <t>FY27</t>
        </is>
      </c>
      <c r="B3572" s="6" t="inlineStr">
        <is>
          <t>Aug</t>
        </is>
      </c>
      <c r="C3572" s="6" t="inlineStr">
        <is>
          <t>TN</t>
        </is>
      </c>
      <c r="D3572" s="7" t="inlineStr">
        <is>
          <t>TN07DE1765</t>
        </is>
      </c>
      <c r="E3572" s="7" t="inlineStr">
        <is>
          <t>HYUNDAI</t>
        </is>
      </c>
      <c r="F3572" s="7" t="inlineStr">
        <is>
          <t>i10</t>
        </is>
      </c>
      <c r="G3572" s="7" t="inlineStr">
        <is>
          <t>PRODUCTIVITY ELEMENTS PRIVATE LIMITED</t>
        </is>
      </c>
      <c r="H3572" s="7" t="inlineStr">
        <is>
          <t>Non-Captive</t>
        </is>
      </c>
      <c r="I3572" s="7" t="inlineStr">
        <is>
          <t>RAM Manohar</t>
        </is>
      </c>
      <c r="J3572" s="8" t="n">
        <v>2009</v>
      </c>
      <c r="K3572" s="9" t="n">
        <v>95762</v>
      </c>
      <c r="L3572" s="10" t="n">
        <v>198000</v>
      </c>
      <c r="M3572" s="10" t="n">
        <v>5932.2</v>
      </c>
      <c r="N3572" s="11">
        <f>IF(M3572="","",ROUND(M3572*1.18,2))</f>
        <v/>
      </c>
      <c r="O3572" s="12">
        <f>IF(M3572="","",ROUND(N3572-M3572,2))</f>
        <v/>
      </c>
      <c r="P3572" s="13">
        <f>IF(AND(A3572&lt;&gt;"",B3572&lt;&gt;""), A3572&amp;" · "&amp;B3572, "")</f>
        <v/>
      </c>
    </row>
    <row r="3573">
      <c r="A3573" s="6" t="inlineStr">
        <is>
          <t>FY27</t>
        </is>
      </c>
      <c r="B3573" s="6" t="inlineStr">
        <is>
          <t>Aug</t>
        </is>
      </c>
      <c r="C3573" s="6" t="inlineStr">
        <is>
          <t>TN</t>
        </is>
      </c>
      <c r="D3573" s="7" t="inlineStr">
        <is>
          <t>TN07F2304</t>
        </is>
      </c>
      <c r="E3573" s="7" t="inlineStr">
        <is>
          <t>MARUTI SUZUKI</t>
        </is>
      </c>
      <c r="F3573" s="7" t="inlineStr">
        <is>
          <t>Esteem</t>
        </is>
      </c>
      <c r="G3573" s="7" t="inlineStr">
        <is>
          <t>&lt;NA&gt;</t>
        </is>
      </c>
      <c r="H3573" s="7" t="inlineStr">
        <is>
          <t>Non-Captive</t>
        </is>
      </c>
      <c r="I3573" s="7" t="inlineStr">
        <is>
          <t>&lt;NA&gt;</t>
        </is>
      </c>
      <c r="J3573" s="8" t="n">
        <v>1996</v>
      </c>
      <c r="K3573" s="9" t="n"/>
      <c r="L3573" s="10" t="n">
        <v>10000</v>
      </c>
      <c r="M3573" s="10" t="n">
        <v>4237.29</v>
      </c>
      <c r="N3573" s="11">
        <f>IF(M3573="","",ROUND(M3573*1.18,2))</f>
        <v/>
      </c>
      <c r="O3573" s="12">
        <f>IF(M3573="","",ROUND(N3573-M3573,2))</f>
        <v/>
      </c>
      <c r="P3573" s="13">
        <f>IF(AND(A3573&lt;&gt;"",B3573&lt;&gt;""), A3573&amp;" · "&amp;B3573, "")</f>
        <v/>
      </c>
    </row>
    <row r="3574">
      <c r="A3574" s="6" t="inlineStr">
        <is>
          <t>FY27</t>
        </is>
      </c>
      <c r="B3574" s="6" t="inlineStr">
        <is>
          <t>Aug</t>
        </is>
      </c>
      <c r="C3574" s="6" t="inlineStr">
        <is>
          <t>TN</t>
        </is>
      </c>
      <c r="D3574" s="7" t="inlineStr">
        <is>
          <t>TN09AS4984</t>
        </is>
      </c>
      <c r="E3574" s="7" t="inlineStr">
        <is>
          <t>HONDA</t>
        </is>
      </c>
      <c r="F3574" s="7" t="inlineStr">
        <is>
          <t>City</t>
        </is>
      </c>
      <c r="G3574" s="7" t="inlineStr">
        <is>
          <t>VISHNU CARS PRIVATE LIMITED</t>
        </is>
      </c>
      <c r="H3574" s="7" t="inlineStr">
        <is>
          <t>Non-Captive</t>
        </is>
      </c>
      <c r="I3574" s="7" t="inlineStr">
        <is>
          <t>Nirmal Cars</t>
        </is>
      </c>
      <c r="J3574" s="8" t="n">
        <v>2007</v>
      </c>
      <c r="K3574" s="9" t="n">
        <v>93634</v>
      </c>
      <c r="L3574" s="10" t="n">
        <v>96000</v>
      </c>
      <c r="M3574" s="10" t="n">
        <v>2542.37</v>
      </c>
      <c r="N3574" s="11">
        <f>IF(M3574="","",ROUND(M3574*1.18,2))</f>
        <v/>
      </c>
      <c r="O3574" s="12">
        <f>IF(M3574="","",ROUND(N3574-M3574,2))</f>
        <v/>
      </c>
      <c r="P3574" s="13">
        <f>IF(AND(A3574&lt;&gt;"",B3574&lt;&gt;""), A3574&amp;" · "&amp;B3574, "")</f>
        <v/>
      </c>
    </row>
    <row r="3575">
      <c r="A3575" s="6" t="inlineStr">
        <is>
          <t>FY27</t>
        </is>
      </c>
      <c r="B3575" s="6" t="inlineStr">
        <is>
          <t>Aug</t>
        </is>
      </c>
      <c r="C3575" s="6" t="inlineStr">
        <is>
          <t>TN</t>
        </is>
      </c>
      <c r="D3575" s="7" t="inlineStr">
        <is>
          <t>TN09AV6950</t>
        </is>
      </c>
      <c r="E3575" s="7" t="inlineStr">
        <is>
          <t>TATA</t>
        </is>
      </c>
      <c r="F3575" s="7" t="inlineStr">
        <is>
          <t>Indigo</t>
        </is>
      </c>
      <c r="G3575" s="7" t="inlineStr">
        <is>
          <t>SREE SARADHAMBAL AUTOMOBILES PRIVATE LIMITED</t>
        </is>
      </c>
      <c r="H3575" s="7" t="inlineStr">
        <is>
          <t>Non-Captive</t>
        </is>
      </c>
      <c r="I3575" s="7" t="inlineStr">
        <is>
          <t>Sarvesh Cars</t>
        </is>
      </c>
      <c r="J3575" s="8" t="n">
        <v>2007</v>
      </c>
      <c r="K3575" s="9" t="n">
        <v>139359</v>
      </c>
      <c r="L3575" s="10" t="n">
        <v>80000</v>
      </c>
      <c r="M3575" s="10" t="n">
        <v>4237.29</v>
      </c>
      <c r="N3575" s="11">
        <f>IF(M3575="","",ROUND(M3575*1.18,2))</f>
        <v/>
      </c>
      <c r="O3575" s="12">
        <f>IF(M3575="","",ROUND(N3575-M3575,2))</f>
        <v/>
      </c>
      <c r="P3575" s="13">
        <f>IF(AND(A3575&lt;&gt;"",B3575&lt;&gt;""), A3575&amp;" · "&amp;B3575, "")</f>
        <v/>
      </c>
    </row>
    <row r="3576">
      <c r="A3576" s="6" t="inlineStr">
        <is>
          <t>FY27</t>
        </is>
      </c>
      <c r="B3576" s="6" t="inlineStr">
        <is>
          <t>Aug</t>
        </is>
      </c>
      <c r="C3576" s="6" t="inlineStr">
        <is>
          <t>TN</t>
        </is>
      </c>
      <c r="D3576" s="7" t="inlineStr">
        <is>
          <t>TN09AX7389</t>
        </is>
      </c>
      <c r="E3576" s="7" t="inlineStr">
        <is>
          <t>HYUNDAI</t>
        </is>
      </c>
      <c r="F3576" s="7" t="inlineStr">
        <is>
          <t>i10</t>
        </is>
      </c>
      <c r="G3576" s="7" t="inlineStr">
        <is>
          <t>STEER AUTO TECHNOLOGIES PRIVATE LIMITED</t>
        </is>
      </c>
      <c r="H3576" s="7" t="inlineStr">
        <is>
          <t>Non-Captive</t>
        </is>
      </c>
      <c r="I3576" s="7" t="inlineStr">
        <is>
          <t>Pine Autos</t>
        </is>
      </c>
      <c r="J3576" s="8" t="n">
        <v>2008</v>
      </c>
      <c r="K3576" s="9" t="n">
        <v>86506</v>
      </c>
      <c r="L3576" s="10" t="n">
        <v>88000</v>
      </c>
      <c r="M3576" s="10" t="n">
        <v>2542.37</v>
      </c>
      <c r="N3576" s="11">
        <f>IF(M3576="","",ROUND(M3576*1.18,2))</f>
        <v/>
      </c>
      <c r="O3576" s="12">
        <f>IF(M3576="","",ROUND(N3576-M3576,2))</f>
        <v/>
      </c>
      <c r="P3576" s="13">
        <f>IF(AND(A3576&lt;&gt;"",B3576&lt;&gt;""), A3576&amp;" · "&amp;B3576, "")</f>
        <v/>
      </c>
    </row>
    <row r="3577">
      <c r="A3577" s="6" t="inlineStr">
        <is>
          <t>FY27</t>
        </is>
      </c>
      <c r="B3577" s="6" t="inlineStr">
        <is>
          <t>Aug</t>
        </is>
      </c>
      <c r="C3577" s="6" t="inlineStr">
        <is>
          <t>TN</t>
        </is>
      </c>
      <c r="D3577" s="7" t="inlineStr">
        <is>
          <t>TN09BD0256</t>
        </is>
      </c>
      <c r="E3577" s="7" t="inlineStr">
        <is>
          <t>TOYOTA</t>
        </is>
      </c>
      <c r="F3577" s="7" t="inlineStr">
        <is>
          <t>Corolla Altis</t>
        </is>
      </c>
      <c r="G3577" s="7" t="inlineStr">
        <is>
          <t>VISHNU CARS PRIVATE LIMITED</t>
        </is>
      </c>
      <c r="H3577" s="7" t="inlineStr">
        <is>
          <t>Non-Captive</t>
        </is>
      </c>
      <c r="I3577" s="7" t="inlineStr">
        <is>
          <t>Grid 33</t>
        </is>
      </c>
      <c r="J3577" s="8" t="n">
        <v>2010</v>
      </c>
      <c r="K3577" s="9" t="n">
        <v>193995</v>
      </c>
      <c r="L3577" s="10" t="n">
        <v>88000</v>
      </c>
      <c r="M3577" s="10" t="n">
        <v>4237.29</v>
      </c>
      <c r="N3577" s="11">
        <f>IF(M3577="","",ROUND(M3577*1.18,2))</f>
        <v/>
      </c>
      <c r="O3577" s="12">
        <f>IF(M3577="","",ROUND(N3577-M3577,2))</f>
        <v/>
      </c>
      <c r="P3577" s="13">
        <f>IF(AND(A3577&lt;&gt;"",B3577&lt;&gt;""), A3577&amp;" · "&amp;B3577, "")</f>
        <v/>
      </c>
    </row>
    <row r="3578">
      <c r="A3578" s="6" t="inlineStr">
        <is>
          <t>FY27</t>
        </is>
      </c>
      <c r="B3578" s="6" t="inlineStr">
        <is>
          <t>Aug</t>
        </is>
      </c>
      <c r="C3578" s="6" t="inlineStr">
        <is>
          <t>TN</t>
        </is>
      </c>
      <c r="D3578" s="7" t="inlineStr">
        <is>
          <t>TN09BE0056</t>
        </is>
      </c>
      <c r="E3578" s="7" t="inlineStr">
        <is>
          <t>TOYOTA</t>
        </is>
      </c>
      <c r="F3578" s="7" t="inlineStr">
        <is>
          <t>Corolla Altis</t>
        </is>
      </c>
      <c r="G3578" s="7" t="inlineStr">
        <is>
          <t>EXCHANGE CHENNAI</t>
        </is>
      </c>
      <c r="H3578" s="7" t="inlineStr">
        <is>
          <t>Captive</t>
        </is>
      </c>
      <c r="I3578" s="7" t="inlineStr">
        <is>
          <t>Murali Cars</t>
        </is>
      </c>
      <c r="J3578" s="8" t="n">
        <v>2010</v>
      </c>
      <c r="K3578" s="9" t="n">
        <v>138308</v>
      </c>
      <c r="L3578" s="10" t="n">
        <v>170000</v>
      </c>
      <c r="M3578" s="10" t="n">
        <v>8474.58</v>
      </c>
      <c r="N3578" s="11">
        <f>IF(M3578="","",ROUND(M3578*1.18,2))</f>
        <v/>
      </c>
      <c r="O3578" s="12">
        <f>IF(M3578="","",ROUND(N3578-M3578,2))</f>
        <v/>
      </c>
      <c r="P3578" s="13">
        <f>IF(AND(A3578&lt;&gt;"",B3578&lt;&gt;""), A3578&amp;" · "&amp;B3578, "")</f>
        <v/>
      </c>
    </row>
    <row r="3579">
      <c r="A3579" s="6" t="inlineStr">
        <is>
          <t>FY27</t>
        </is>
      </c>
      <c r="B3579" s="6" t="inlineStr">
        <is>
          <t>Aug</t>
        </is>
      </c>
      <c r="C3579" s="6" t="inlineStr">
        <is>
          <t>TN</t>
        </is>
      </c>
      <c r="D3579" s="7" t="inlineStr">
        <is>
          <t>TN09BH5465</t>
        </is>
      </c>
      <c r="E3579" s="7" t="inlineStr">
        <is>
          <t>HYUNDAI</t>
        </is>
      </c>
      <c r="F3579" s="7" t="inlineStr">
        <is>
          <t>i10</t>
        </is>
      </c>
      <c r="G3579" s="7" t="inlineStr">
        <is>
          <t>CRESCO CARS</t>
        </is>
      </c>
      <c r="H3579" s="7" t="inlineStr">
        <is>
          <t>Non-Captive</t>
        </is>
      </c>
      <c r="I3579" s="7" t="inlineStr">
        <is>
          <t>Aasim Motors</t>
        </is>
      </c>
      <c r="J3579" s="8" t="n">
        <v>2011</v>
      </c>
      <c r="K3579" s="9" t="n">
        <v>135575</v>
      </c>
      <c r="L3579" s="10" t="n">
        <v>93000</v>
      </c>
      <c r="M3579" s="10" t="n">
        <v>4237.29</v>
      </c>
      <c r="N3579" s="11">
        <f>IF(M3579="","",ROUND(M3579*1.18,2))</f>
        <v/>
      </c>
      <c r="O3579" s="12">
        <f>IF(M3579="","",ROUND(N3579-M3579,2))</f>
        <v/>
      </c>
      <c r="P3579" s="13">
        <f>IF(AND(A3579&lt;&gt;"",B3579&lt;&gt;""), A3579&amp;" · "&amp;B3579, "")</f>
        <v/>
      </c>
    </row>
    <row r="3580">
      <c r="A3580" s="6" t="inlineStr">
        <is>
          <t>FY27</t>
        </is>
      </c>
      <c r="B3580" s="6" t="inlineStr">
        <is>
          <t>Aug</t>
        </is>
      </c>
      <c r="C3580" s="6" t="inlineStr">
        <is>
          <t>TN</t>
        </is>
      </c>
      <c r="D3580" s="7" t="inlineStr">
        <is>
          <t>TN09BL0645</t>
        </is>
      </c>
      <c r="E3580" s="7" t="inlineStr">
        <is>
          <t>HYUNDAI</t>
        </is>
      </c>
      <c r="F3580" s="7" t="inlineStr">
        <is>
          <t>i10</t>
        </is>
      </c>
      <c r="G3580" s="7" t="inlineStr">
        <is>
          <t>PRODUCTIVITY ELEMENTS PRIVATE LIMITED</t>
        </is>
      </c>
      <c r="H3580" s="7" t="inlineStr">
        <is>
          <t>Non-Captive</t>
        </is>
      </c>
      <c r="I3580" s="7" t="inlineStr">
        <is>
          <t>Nirmal Cars</t>
        </is>
      </c>
      <c r="J3580" s="8" t="n">
        <v>2011</v>
      </c>
      <c r="K3580" s="9" t="n">
        <v>78082</v>
      </c>
      <c r="L3580" s="10" t="n">
        <v>96000</v>
      </c>
      <c r="M3580" s="10" t="n">
        <v>4237.29</v>
      </c>
      <c r="N3580" s="11">
        <f>IF(M3580="","",ROUND(M3580*1.18,2))</f>
        <v/>
      </c>
      <c r="O3580" s="12">
        <f>IF(M3580="","",ROUND(N3580-M3580,2))</f>
        <v/>
      </c>
      <c r="P3580" s="13">
        <f>IF(AND(A3580&lt;&gt;"",B3580&lt;&gt;""), A3580&amp;" · "&amp;B3580, "")</f>
        <v/>
      </c>
    </row>
    <row r="3581">
      <c r="A3581" s="6" t="inlineStr">
        <is>
          <t>FY27</t>
        </is>
      </c>
      <c r="B3581" s="6" t="inlineStr">
        <is>
          <t>Aug</t>
        </is>
      </c>
      <c r="C3581" s="6" t="inlineStr">
        <is>
          <t>TN</t>
        </is>
      </c>
      <c r="D3581" s="7" t="inlineStr">
        <is>
          <t>TN09BQ3244</t>
        </is>
      </c>
      <c r="E3581" s="7" t="inlineStr">
        <is>
          <t>TATA</t>
        </is>
      </c>
      <c r="F3581" s="7" t="inlineStr">
        <is>
          <t>Indigo</t>
        </is>
      </c>
      <c r="G3581" s="7" t="inlineStr">
        <is>
          <t>AIE CARS PRIVATE LIMITED</t>
        </is>
      </c>
      <c r="H3581" s="7" t="inlineStr">
        <is>
          <t>Non-Captive</t>
        </is>
      </c>
      <c r="I3581" s="7" t="inlineStr">
        <is>
          <t>Santhosh Cars</t>
        </is>
      </c>
      <c r="J3581" s="8" t="n">
        <v>2012</v>
      </c>
      <c r="K3581" s="9" t="n">
        <v>97175</v>
      </c>
      <c r="L3581" s="10" t="n">
        <v>98000</v>
      </c>
      <c r="M3581" s="10" t="n">
        <v>2542.37</v>
      </c>
      <c r="N3581" s="11">
        <f>IF(M3581="","",ROUND(M3581*1.18,2))</f>
        <v/>
      </c>
      <c r="O3581" s="12">
        <f>IF(M3581="","",ROUND(N3581-M3581,2))</f>
        <v/>
      </c>
      <c r="P3581" s="13">
        <f>IF(AND(A3581&lt;&gt;"",B3581&lt;&gt;""), A3581&amp;" · "&amp;B3581, "")</f>
        <v/>
      </c>
    </row>
    <row r="3582">
      <c r="A3582" s="6" t="inlineStr">
        <is>
          <t>FY27</t>
        </is>
      </c>
      <c r="B3582" s="6" t="inlineStr">
        <is>
          <t>Aug</t>
        </is>
      </c>
      <c r="C3582" s="6" t="inlineStr">
        <is>
          <t>TN</t>
        </is>
      </c>
      <c r="D3582" s="7" t="inlineStr">
        <is>
          <t>TN09BR5897</t>
        </is>
      </c>
      <c r="E3582" s="7" t="inlineStr">
        <is>
          <t>MARUTI SUZUKI</t>
        </is>
      </c>
      <c r="F3582" s="7" t="inlineStr">
        <is>
          <t>800</t>
        </is>
      </c>
      <c r="G3582" s="7" t="inlineStr">
        <is>
          <t>CRESCO CARS</t>
        </is>
      </c>
      <c r="H3582" s="7" t="inlineStr">
        <is>
          <t>Non-Captive</t>
        </is>
      </c>
      <c r="I3582" s="7" t="inlineStr">
        <is>
          <t>Aasim Motors</t>
        </is>
      </c>
      <c r="J3582" s="8" t="n">
        <v>2012</v>
      </c>
      <c r="K3582" s="9" t="n">
        <v>87485</v>
      </c>
      <c r="L3582" s="10" t="n">
        <v>92000</v>
      </c>
      <c r="M3582" s="10" t="n">
        <v>4237.29</v>
      </c>
      <c r="N3582" s="11">
        <f>IF(M3582="","",ROUND(M3582*1.18,2))</f>
        <v/>
      </c>
      <c r="O3582" s="12">
        <f>IF(M3582="","",ROUND(N3582-M3582,2))</f>
        <v/>
      </c>
      <c r="P3582" s="13">
        <f>IF(AND(A3582&lt;&gt;"",B3582&lt;&gt;""), A3582&amp;" · "&amp;B3582, "")</f>
        <v/>
      </c>
    </row>
    <row r="3583">
      <c r="A3583" s="6" t="inlineStr">
        <is>
          <t>FY27</t>
        </is>
      </c>
      <c r="B3583" s="6" t="inlineStr">
        <is>
          <t>Aug</t>
        </is>
      </c>
      <c r="C3583" s="6" t="inlineStr">
        <is>
          <t>TN</t>
        </is>
      </c>
      <c r="D3583" s="7" t="inlineStr">
        <is>
          <t>TN09CA1793</t>
        </is>
      </c>
      <c r="E3583" s="7" t="inlineStr">
        <is>
          <t>HONDA</t>
        </is>
      </c>
      <c r="F3583" s="7" t="inlineStr">
        <is>
          <t>Amaze</t>
        </is>
      </c>
      <c r="G3583" s="7" t="inlineStr">
        <is>
          <t>EXCHANGE CHENNAI</t>
        </is>
      </c>
      <c r="H3583" s="7" t="inlineStr">
        <is>
          <t>Captive</t>
        </is>
      </c>
      <c r="I3583" s="7" t="inlineStr">
        <is>
          <t>SHENBAGAMOORTHI CARS</t>
        </is>
      </c>
      <c r="J3583" s="8" t="n">
        <v>2015</v>
      </c>
      <c r="K3583" s="9" t="n">
        <v>26203</v>
      </c>
      <c r="L3583" s="10" t="n">
        <v>300000</v>
      </c>
      <c r="M3583" s="10" t="n">
        <v>8474.58</v>
      </c>
      <c r="N3583" s="11">
        <f>IF(M3583="","",ROUND(M3583*1.18,2))</f>
        <v/>
      </c>
      <c r="O3583" s="12">
        <f>IF(M3583="","",ROUND(N3583-M3583,2))</f>
        <v/>
      </c>
      <c r="P3583" s="13">
        <f>IF(AND(A3583&lt;&gt;"",B3583&lt;&gt;""), A3583&amp;" · "&amp;B3583, "")</f>
        <v/>
      </c>
    </row>
    <row r="3584">
      <c r="A3584" s="6" t="inlineStr">
        <is>
          <t>FY27</t>
        </is>
      </c>
      <c r="B3584" s="6" t="inlineStr">
        <is>
          <t>Aug</t>
        </is>
      </c>
      <c r="C3584" s="6" t="inlineStr">
        <is>
          <t>TN</t>
        </is>
      </c>
      <c r="D3584" s="7" t="inlineStr">
        <is>
          <t>TN09CA7536</t>
        </is>
      </c>
      <c r="E3584" s="7" t="inlineStr">
        <is>
          <t>MARUTI SUZUKI</t>
        </is>
      </c>
      <c r="F3584" s="7" t="inlineStr">
        <is>
          <t>Swift</t>
        </is>
      </c>
      <c r="G3584" s="7" t="inlineStr">
        <is>
          <t>CARS INDIA</t>
        </is>
      </c>
      <c r="H3584" s="7" t="inlineStr">
        <is>
          <t>Non-Captive</t>
        </is>
      </c>
      <c r="I3584" s="7" t="inlineStr">
        <is>
          <t>Grid 33</t>
        </is>
      </c>
      <c r="J3584" s="8" t="n">
        <v>2015</v>
      </c>
      <c r="K3584" s="9" t="n">
        <v>108898</v>
      </c>
      <c r="L3584" s="10" t="n">
        <v>99000</v>
      </c>
      <c r="M3584" s="10" t="n">
        <v>4237.29</v>
      </c>
      <c r="N3584" s="11">
        <f>IF(M3584="","",ROUND(M3584*1.18,2))</f>
        <v/>
      </c>
      <c r="O3584" s="12">
        <f>IF(M3584="","",ROUND(N3584-M3584,2))</f>
        <v/>
      </c>
      <c r="P3584" s="13">
        <f>IF(AND(A3584&lt;&gt;"",B3584&lt;&gt;""), A3584&amp;" · "&amp;B3584, "")</f>
        <v/>
      </c>
    </row>
    <row r="3585">
      <c r="A3585" s="6" t="inlineStr">
        <is>
          <t>FY27</t>
        </is>
      </c>
      <c r="B3585" s="6" t="inlineStr">
        <is>
          <t>Aug</t>
        </is>
      </c>
      <c r="C3585" s="6" t="inlineStr">
        <is>
          <t>TN</t>
        </is>
      </c>
      <c r="D3585" s="7" t="inlineStr">
        <is>
          <t>TN09CB1171</t>
        </is>
      </c>
      <c r="E3585" s="7" t="inlineStr">
        <is>
          <t>HONDA</t>
        </is>
      </c>
      <c r="F3585" s="7" t="inlineStr">
        <is>
          <t>Amaze</t>
        </is>
      </c>
      <c r="G3585" s="7" t="inlineStr">
        <is>
          <t>EXCHANGE CHENNAI</t>
        </is>
      </c>
      <c r="H3585" s="7" t="inlineStr">
        <is>
          <t>Captive</t>
        </is>
      </c>
      <c r="I3585" s="7" t="inlineStr">
        <is>
          <t>Superior Cars</t>
        </is>
      </c>
      <c r="J3585" s="8" t="n">
        <v>2015</v>
      </c>
      <c r="K3585" s="9" t="n">
        <v>46271</v>
      </c>
      <c r="L3585" s="10" t="n">
        <v>300000</v>
      </c>
      <c r="M3585" s="10" t="n">
        <v>8474.58</v>
      </c>
      <c r="N3585" s="11">
        <f>IF(M3585="","",ROUND(M3585*1.18,2))</f>
        <v/>
      </c>
      <c r="O3585" s="12">
        <f>IF(M3585="","",ROUND(N3585-M3585,2))</f>
        <v/>
      </c>
      <c r="P3585" s="13">
        <f>IF(AND(A3585&lt;&gt;"",B3585&lt;&gt;""), A3585&amp;" · "&amp;B3585, "")</f>
        <v/>
      </c>
    </row>
    <row r="3586">
      <c r="A3586" s="6" t="inlineStr">
        <is>
          <t>FY27</t>
        </is>
      </c>
      <c r="B3586" s="6" t="inlineStr">
        <is>
          <t>Aug</t>
        </is>
      </c>
      <c r="C3586" s="6" t="inlineStr">
        <is>
          <t>TN</t>
        </is>
      </c>
      <c r="D3586" s="7" t="inlineStr">
        <is>
          <t>TN09CB6168</t>
        </is>
      </c>
      <c r="E3586" s="7" t="inlineStr">
        <is>
          <t>MARUTI SUZUKI</t>
        </is>
      </c>
      <c r="F3586" s="7" t="inlineStr">
        <is>
          <t>Ertiga</t>
        </is>
      </c>
      <c r="G3586" s="7" t="inlineStr">
        <is>
          <t>CASTLE TRADERS MARUTI</t>
        </is>
      </c>
      <c r="H3586" s="7" t="inlineStr">
        <is>
          <t>Non-Captive</t>
        </is>
      </c>
      <c r="I3586" s="7" t="inlineStr">
        <is>
          <t>Pine Autos</t>
        </is>
      </c>
      <c r="J3586" s="8" t="n">
        <v>2015</v>
      </c>
      <c r="K3586" s="9" t="n">
        <v>92213</v>
      </c>
      <c r="L3586" s="10" t="n">
        <v>480000</v>
      </c>
      <c r="M3586" s="10" t="n">
        <v>5084.75</v>
      </c>
      <c r="N3586" s="11">
        <f>IF(M3586="","",ROUND(M3586*1.18,2))</f>
        <v/>
      </c>
      <c r="O3586" s="12">
        <f>IF(M3586="","",ROUND(N3586-M3586,2))</f>
        <v/>
      </c>
      <c r="P3586" s="13">
        <f>IF(AND(A3586&lt;&gt;"",B3586&lt;&gt;""), A3586&amp;" · "&amp;B3586, "")</f>
        <v/>
      </c>
    </row>
    <row r="3587">
      <c r="A3587" s="6" t="inlineStr">
        <is>
          <t>FY27</t>
        </is>
      </c>
      <c r="B3587" s="6" t="inlineStr">
        <is>
          <t>Aug</t>
        </is>
      </c>
      <c r="C3587" s="6" t="inlineStr">
        <is>
          <t>TN</t>
        </is>
      </c>
      <c r="D3587" s="7" t="inlineStr">
        <is>
          <t>TN09CD2182</t>
        </is>
      </c>
      <c r="E3587" s="7" t="inlineStr">
        <is>
          <t>HONDA</t>
        </is>
      </c>
      <c r="F3587" s="7" t="inlineStr">
        <is>
          <t>Amaze</t>
        </is>
      </c>
      <c r="G3587" s="7" t="inlineStr">
        <is>
          <t>EXCHANGE CHENNAI</t>
        </is>
      </c>
      <c r="H3587" s="7" t="inlineStr">
        <is>
          <t>Captive</t>
        </is>
      </c>
      <c r="I3587" s="7" t="inlineStr">
        <is>
          <t>&lt;NA&gt;</t>
        </is>
      </c>
      <c r="J3587" s="8" t="n">
        <v>2016</v>
      </c>
      <c r="K3587" s="9" t="n">
        <v>51416</v>
      </c>
      <c r="L3587" s="10" t="n">
        <v>380000</v>
      </c>
      <c r="M3587" s="10" t="n">
        <v>8474.58</v>
      </c>
      <c r="N3587" s="11">
        <f>IF(M3587="","",ROUND(M3587*1.18,2))</f>
        <v/>
      </c>
      <c r="O3587" s="12">
        <f>IF(M3587="","",ROUND(N3587-M3587,2))</f>
        <v/>
      </c>
      <c r="P3587" s="13">
        <f>IF(AND(A3587&lt;&gt;"",B3587&lt;&gt;""), A3587&amp;" · "&amp;B3587, "")</f>
        <v/>
      </c>
    </row>
    <row r="3588">
      <c r="A3588" s="6" t="inlineStr">
        <is>
          <t>FY27</t>
        </is>
      </c>
      <c r="B3588" s="6" t="inlineStr">
        <is>
          <t>Aug</t>
        </is>
      </c>
      <c r="C3588" s="6" t="inlineStr">
        <is>
          <t>TN</t>
        </is>
      </c>
      <c r="D3588" s="7" t="inlineStr">
        <is>
          <t>TN09CE4747</t>
        </is>
      </c>
      <c r="E3588" s="7" t="inlineStr">
        <is>
          <t>HYUNDAI</t>
        </is>
      </c>
      <c r="F3588" s="7" t="inlineStr">
        <is>
          <t>Grand i10</t>
        </is>
      </c>
      <c r="G3588" s="7" t="inlineStr">
        <is>
          <t>NIRMAL</t>
        </is>
      </c>
      <c r="H3588" s="7" t="inlineStr">
        <is>
          <t>Non-Captive</t>
        </is>
      </c>
      <c r="I3588" s="7" t="inlineStr">
        <is>
          <t>Manoj B Cars</t>
        </is>
      </c>
      <c r="J3588" s="8" t="n">
        <v>2016</v>
      </c>
      <c r="K3588" s="9" t="n">
        <v>73873</v>
      </c>
      <c r="L3588" s="10" t="n">
        <v>97000</v>
      </c>
      <c r="M3588" s="10" t="n">
        <v>4237.29</v>
      </c>
      <c r="N3588" s="11">
        <f>IF(M3588="","",ROUND(M3588*1.18,2))</f>
        <v/>
      </c>
      <c r="O3588" s="12">
        <f>IF(M3588="","",ROUND(N3588-M3588,2))</f>
        <v/>
      </c>
      <c r="P3588" s="13">
        <f>IF(AND(A3588&lt;&gt;"",B3588&lt;&gt;""), A3588&amp;" · "&amp;B3588, "")</f>
        <v/>
      </c>
    </row>
    <row r="3589">
      <c r="A3589" s="6" t="inlineStr">
        <is>
          <t>FY27</t>
        </is>
      </c>
      <c r="B3589" s="6" t="inlineStr">
        <is>
          <t>Aug</t>
        </is>
      </c>
      <c r="C3589" s="6" t="inlineStr">
        <is>
          <t>TN</t>
        </is>
      </c>
      <c r="D3589" s="7" t="inlineStr">
        <is>
          <t>TN09CJ0497</t>
        </is>
      </c>
      <c r="E3589" s="7" t="inlineStr">
        <is>
          <t>HYUNDAI</t>
        </is>
      </c>
      <c r="F3589" s="7" t="inlineStr">
        <is>
          <t>Creta</t>
        </is>
      </c>
      <c r="G3589" s="7" t="inlineStr">
        <is>
          <t>CASTLE TRADERS MARUTI</t>
        </is>
      </c>
      <c r="H3589" s="7" t="inlineStr">
        <is>
          <t>Non-Captive</t>
        </is>
      </c>
      <c r="I3589" s="7" t="inlineStr">
        <is>
          <t>S2 MOTORZ</t>
        </is>
      </c>
      <c r="J3589" s="8" t="n">
        <v>2017</v>
      </c>
      <c r="K3589" s="9" t="n">
        <v>104819</v>
      </c>
      <c r="L3589" s="10" t="n">
        <v>578000</v>
      </c>
      <c r="M3589" s="10" t="n">
        <v>5932.2</v>
      </c>
      <c r="N3589" s="11">
        <f>IF(M3589="","",ROUND(M3589*1.18,2))</f>
        <v/>
      </c>
      <c r="O3589" s="12">
        <f>IF(M3589="","",ROUND(N3589-M3589,2))</f>
        <v/>
      </c>
      <c r="P3589" s="13">
        <f>IF(AND(A3589&lt;&gt;"",B3589&lt;&gt;""), A3589&amp;" · "&amp;B3589, "")</f>
        <v/>
      </c>
    </row>
    <row r="3590">
      <c r="A3590" s="6" t="inlineStr">
        <is>
          <t>FY27</t>
        </is>
      </c>
      <c r="B3590" s="6" t="inlineStr">
        <is>
          <t>Aug</t>
        </is>
      </c>
      <c r="C3590" s="6" t="inlineStr">
        <is>
          <t>TN</t>
        </is>
      </c>
      <c r="D3590" s="7" t="inlineStr">
        <is>
          <t>TN09CK5286</t>
        </is>
      </c>
      <c r="E3590" s="7" t="inlineStr">
        <is>
          <t>MARUTI SUZUKI</t>
        </is>
      </c>
      <c r="F3590" s="7" t="inlineStr">
        <is>
          <t>Baleno</t>
        </is>
      </c>
      <c r="G3590" s="7" t="inlineStr">
        <is>
          <t>CASTLE TRADERS MARUTI</t>
        </is>
      </c>
      <c r="H3590" s="7" t="inlineStr">
        <is>
          <t>Non-Captive</t>
        </is>
      </c>
      <c r="I3590" s="7" t="inlineStr">
        <is>
          <t>Value Drive Tech</t>
        </is>
      </c>
      <c r="J3590" s="8" t="n">
        <v>2017</v>
      </c>
      <c r="K3590" s="9" t="n">
        <v>59848</v>
      </c>
      <c r="L3590" s="10" t="n">
        <v>443000</v>
      </c>
      <c r="M3590" s="10" t="n">
        <v>7627.12</v>
      </c>
      <c r="N3590" s="11">
        <f>IF(M3590="","",ROUND(M3590*1.18,2))</f>
        <v/>
      </c>
      <c r="O3590" s="12">
        <f>IF(M3590="","",ROUND(N3590-M3590,2))</f>
        <v/>
      </c>
      <c r="P3590" s="13">
        <f>IF(AND(A3590&lt;&gt;"",B3590&lt;&gt;""), A3590&amp;" · "&amp;B3590, "")</f>
        <v/>
      </c>
    </row>
    <row r="3591">
      <c r="A3591" s="6" t="inlineStr">
        <is>
          <t>FY27</t>
        </is>
      </c>
      <c r="B3591" s="6" t="inlineStr">
        <is>
          <t>Aug</t>
        </is>
      </c>
      <c r="C3591" s="6" t="inlineStr">
        <is>
          <t>TN</t>
        </is>
      </c>
      <c r="D3591" s="7" t="inlineStr">
        <is>
          <t>TN09CP9851</t>
        </is>
      </c>
      <c r="E3591" s="7" t="inlineStr">
        <is>
          <t>HYUNDAI</t>
        </is>
      </c>
      <c r="F3591" s="7" t="inlineStr">
        <is>
          <t>Verna</t>
        </is>
      </c>
      <c r="G3591" s="7" t="inlineStr">
        <is>
          <t>EXCHANGE CHENNAI</t>
        </is>
      </c>
      <c r="H3591" s="7" t="inlineStr">
        <is>
          <t>Captive</t>
        </is>
      </c>
      <c r="I3591" s="7" t="inlineStr">
        <is>
          <t>DEEPIKA TRADERS</t>
        </is>
      </c>
      <c r="J3591" s="8" t="n">
        <v>2018</v>
      </c>
      <c r="K3591" s="9" t="n">
        <v>52042</v>
      </c>
      <c r="L3591" s="10" t="n">
        <v>510000</v>
      </c>
      <c r="M3591" s="10" t="n">
        <v>8474.58</v>
      </c>
      <c r="N3591" s="11">
        <f>IF(M3591="","",ROUND(M3591*1.18,2))</f>
        <v/>
      </c>
      <c r="O3591" s="12">
        <f>IF(M3591="","",ROUND(N3591-M3591,2))</f>
        <v/>
      </c>
      <c r="P3591" s="13">
        <f>IF(AND(A3591&lt;&gt;"",B3591&lt;&gt;""), A3591&amp;" · "&amp;B3591, "")</f>
        <v/>
      </c>
    </row>
    <row r="3592">
      <c r="A3592" s="6" t="inlineStr">
        <is>
          <t>FY27</t>
        </is>
      </c>
      <c r="B3592" s="6" t="inlineStr">
        <is>
          <t>Aug</t>
        </is>
      </c>
      <c r="C3592" s="6" t="inlineStr">
        <is>
          <t>TN</t>
        </is>
      </c>
      <c r="D3592" s="7" t="inlineStr">
        <is>
          <t>TN09CQ7333</t>
        </is>
      </c>
      <c r="E3592" s="7" t="inlineStr">
        <is>
          <t>MARUTI SUZUKI</t>
        </is>
      </c>
      <c r="F3592" s="7" t="inlineStr">
        <is>
          <t>Baleno</t>
        </is>
      </c>
      <c r="G3592" s="7" t="inlineStr">
        <is>
          <t>EXCHANGE CHENNAI</t>
        </is>
      </c>
      <c r="H3592" s="7" t="inlineStr">
        <is>
          <t>Captive</t>
        </is>
      </c>
      <c r="I3592" s="7" t="inlineStr">
        <is>
          <t>SAFIYA TRADERS</t>
        </is>
      </c>
      <c r="J3592" s="8" t="n">
        <v>2018</v>
      </c>
      <c r="K3592" s="9" t="n">
        <v>52659</v>
      </c>
      <c r="L3592" s="10" t="n">
        <v>485000</v>
      </c>
      <c r="M3592" s="10" t="n">
        <v>8474.58</v>
      </c>
      <c r="N3592" s="11">
        <f>IF(M3592="","",ROUND(M3592*1.18,2))</f>
        <v/>
      </c>
      <c r="O3592" s="12">
        <f>IF(M3592="","",ROUND(N3592-M3592,2))</f>
        <v/>
      </c>
      <c r="P3592" s="13">
        <f>IF(AND(A3592&lt;&gt;"",B3592&lt;&gt;""), A3592&amp;" · "&amp;B3592, "")</f>
        <v/>
      </c>
    </row>
    <row r="3593">
      <c r="A3593" s="6" t="inlineStr">
        <is>
          <t>FY27</t>
        </is>
      </c>
      <c r="B3593" s="6" t="inlineStr">
        <is>
          <t>Aug</t>
        </is>
      </c>
      <c r="C3593" s="6" t="inlineStr">
        <is>
          <t>TN</t>
        </is>
      </c>
      <c r="D3593" s="7" t="inlineStr">
        <is>
          <t>TN09CT0866</t>
        </is>
      </c>
      <c r="E3593" s="7" t="inlineStr">
        <is>
          <t>HONDA</t>
        </is>
      </c>
      <c r="F3593" s="7" t="inlineStr">
        <is>
          <t>City</t>
        </is>
      </c>
      <c r="G3593" s="7" t="inlineStr">
        <is>
          <t>EXCHANGE CHENNAI</t>
        </is>
      </c>
      <c r="H3593" s="7" t="inlineStr">
        <is>
          <t>Captive</t>
        </is>
      </c>
      <c r="I3593" s="7" t="inlineStr">
        <is>
          <t>VARSHA CARS</t>
        </is>
      </c>
      <c r="J3593" s="8" t="n">
        <v>2019</v>
      </c>
      <c r="K3593" s="9" t="n">
        <v>81436</v>
      </c>
      <c r="L3593" s="10" t="n">
        <v>580000</v>
      </c>
      <c r="M3593" s="10" t="n">
        <v>8474.58</v>
      </c>
      <c r="N3593" s="11">
        <f>IF(M3593="","",ROUND(M3593*1.18,2))</f>
        <v/>
      </c>
      <c r="O3593" s="12">
        <f>IF(M3593="","",ROUND(N3593-M3593,2))</f>
        <v/>
      </c>
      <c r="P3593" s="13">
        <f>IF(AND(A3593&lt;&gt;"",B3593&lt;&gt;""), A3593&amp;" · "&amp;B3593, "")</f>
        <v/>
      </c>
    </row>
    <row r="3594">
      <c r="A3594" s="6" t="inlineStr">
        <is>
          <t>FY27</t>
        </is>
      </c>
      <c r="B3594" s="6" t="inlineStr">
        <is>
          <t>Aug</t>
        </is>
      </c>
      <c r="C3594" s="6" t="inlineStr">
        <is>
          <t>TN</t>
        </is>
      </c>
      <c r="D3594" s="7" t="inlineStr">
        <is>
          <t>TN09CW8572</t>
        </is>
      </c>
      <c r="E3594" s="7" t="inlineStr">
        <is>
          <t>TATA</t>
        </is>
      </c>
      <c r="F3594" s="7" t="inlineStr">
        <is>
          <t>Altroz</t>
        </is>
      </c>
      <c r="G3594" s="7" t="inlineStr">
        <is>
          <t>CASTLE TRADERS MARUTI</t>
        </is>
      </c>
      <c r="H3594" s="7" t="inlineStr">
        <is>
          <t>Non-Captive</t>
        </is>
      </c>
      <c r="I3594" s="7" t="inlineStr">
        <is>
          <t>Grid 33</t>
        </is>
      </c>
      <c r="J3594" s="8" t="n">
        <v>2021</v>
      </c>
      <c r="K3594" s="9" t="n">
        <v>58176</v>
      </c>
      <c r="L3594" s="10" t="n">
        <v>430000</v>
      </c>
      <c r="M3594" s="10" t="n">
        <v>8474.58</v>
      </c>
      <c r="N3594" s="11">
        <f>IF(M3594="","",ROUND(M3594*1.18,2))</f>
        <v/>
      </c>
      <c r="O3594" s="12">
        <f>IF(M3594="","",ROUND(N3594-M3594,2))</f>
        <v/>
      </c>
      <c r="P3594" s="13">
        <f>IF(AND(A3594&lt;&gt;"",B3594&lt;&gt;""), A3594&amp;" · "&amp;B3594, "")</f>
        <v/>
      </c>
    </row>
    <row r="3595">
      <c r="A3595" s="6" t="inlineStr">
        <is>
          <t>FY27</t>
        </is>
      </c>
      <c r="B3595" s="6" t="inlineStr">
        <is>
          <t>Aug</t>
        </is>
      </c>
      <c r="C3595" s="6" t="inlineStr">
        <is>
          <t>TN</t>
        </is>
      </c>
      <c r="D3595" s="7" t="inlineStr">
        <is>
          <t>TN09CX7233</t>
        </is>
      </c>
      <c r="E3595" s="7" t="inlineStr">
        <is>
          <t>MARUTI SUZUKI</t>
        </is>
      </c>
      <c r="F3595" s="7" t="inlineStr">
        <is>
          <t>Vitara Brezza</t>
        </is>
      </c>
      <c r="G3595" s="7" t="inlineStr">
        <is>
          <t>EXCHANGE CHENNAI</t>
        </is>
      </c>
      <c r="H3595" s="7" t="inlineStr">
        <is>
          <t>Captive</t>
        </is>
      </c>
      <c r="I3595" s="7" t="inlineStr">
        <is>
          <t>DEEPIKA TRADERS</t>
        </is>
      </c>
      <c r="J3595" s="8" t="n">
        <v>2021</v>
      </c>
      <c r="K3595" s="9" t="n">
        <v>81456</v>
      </c>
      <c r="L3595" s="10" t="n">
        <v>560000</v>
      </c>
      <c r="M3595" s="10" t="n">
        <v>8474.58</v>
      </c>
      <c r="N3595" s="11">
        <f>IF(M3595="","",ROUND(M3595*1.18,2))</f>
        <v/>
      </c>
      <c r="O3595" s="12">
        <f>IF(M3595="","",ROUND(N3595-M3595,2))</f>
        <v/>
      </c>
      <c r="P3595" s="13">
        <f>IF(AND(A3595&lt;&gt;"",B3595&lt;&gt;""), A3595&amp;" · "&amp;B3595, "")</f>
        <v/>
      </c>
    </row>
    <row r="3596">
      <c r="A3596" s="6" t="inlineStr">
        <is>
          <t>FY27</t>
        </is>
      </c>
      <c r="B3596" s="6" t="inlineStr">
        <is>
          <t>Aug</t>
        </is>
      </c>
      <c r="C3596" s="6" t="inlineStr">
        <is>
          <t>TN</t>
        </is>
      </c>
      <c r="D3596" s="7" t="inlineStr">
        <is>
          <t>TN09DB0041</t>
        </is>
      </c>
      <c r="E3596" s="7" t="inlineStr">
        <is>
          <t>MARUTI SUZUKI</t>
        </is>
      </c>
      <c r="F3596" s="7" t="inlineStr">
        <is>
          <t>Alto K10</t>
        </is>
      </c>
      <c r="G3596" s="7" t="inlineStr">
        <is>
          <t>SHREE THIYA CARS</t>
        </is>
      </c>
      <c r="H3596" s="7" t="inlineStr">
        <is>
          <t>Non-Captive</t>
        </is>
      </c>
      <c r="I3596" s="7" t="inlineStr">
        <is>
          <t>Manoj B Cars</t>
        </is>
      </c>
      <c r="J3596" s="8" t="n">
        <v>2022</v>
      </c>
      <c r="K3596" s="9" t="n">
        <v>52391</v>
      </c>
      <c r="L3596" s="10" t="n">
        <v>99000</v>
      </c>
      <c r="M3596" s="10" t="n">
        <v>4237.29</v>
      </c>
      <c r="N3596" s="11">
        <f>IF(M3596="","",ROUND(M3596*1.18,2))</f>
        <v/>
      </c>
      <c r="O3596" s="12">
        <f>IF(M3596="","",ROUND(N3596-M3596,2))</f>
        <v/>
      </c>
      <c r="P3596" s="13">
        <f>IF(AND(A3596&lt;&gt;"",B3596&lt;&gt;""), A3596&amp;" · "&amp;B3596, "")</f>
        <v/>
      </c>
    </row>
    <row r="3597">
      <c r="A3597" s="6" t="inlineStr">
        <is>
          <t>FY27</t>
        </is>
      </c>
      <c r="B3597" s="6" t="inlineStr">
        <is>
          <t>Aug</t>
        </is>
      </c>
      <c r="C3597" s="6" t="inlineStr">
        <is>
          <t>TN</t>
        </is>
      </c>
      <c r="D3597" s="7" t="inlineStr">
        <is>
          <t>TN09DC9343</t>
        </is>
      </c>
      <c r="E3597" s="7" t="inlineStr">
        <is>
          <t>HONDA</t>
        </is>
      </c>
      <c r="F3597" s="7" t="inlineStr">
        <is>
          <t>Amaze</t>
        </is>
      </c>
      <c r="G3597" s="7" t="inlineStr">
        <is>
          <t>NIRMAL</t>
        </is>
      </c>
      <c r="H3597" s="7" t="inlineStr">
        <is>
          <t>Non-Captive</t>
        </is>
      </c>
      <c r="I3597" s="7" t="inlineStr">
        <is>
          <t>LANSON QCARS PRIVATE LIMITED</t>
        </is>
      </c>
      <c r="J3597" s="8" t="n">
        <v>2023</v>
      </c>
      <c r="K3597" s="9" t="n">
        <v>29114</v>
      </c>
      <c r="L3597" s="10" t="n">
        <v>1300000</v>
      </c>
      <c r="M3597" s="10" t="n">
        <v>8474.58</v>
      </c>
      <c r="N3597" s="11">
        <f>IF(M3597="","",ROUND(M3597*1.18,2))</f>
        <v/>
      </c>
      <c r="O3597" s="12">
        <f>IF(M3597="","",ROUND(N3597-M3597,2))</f>
        <v/>
      </c>
      <c r="P3597" s="13">
        <f>IF(AND(A3597&lt;&gt;"",B3597&lt;&gt;""), A3597&amp;" · "&amp;B3597, "")</f>
        <v/>
      </c>
    </row>
    <row r="3598">
      <c r="A3598" s="6" t="inlineStr">
        <is>
          <t>FY27</t>
        </is>
      </c>
      <c r="B3598" s="6" t="inlineStr">
        <is>
          <t>Aug</t>
        </is>
      </c>
      <c r="C3598" s="6" t="inlineStr">
        <is>
          <t>TN</t>
        </is>
      </c>
      <c r="D3598" s="7" t="inlineStr">
        <is>
          <t>TN09DL4308</t>
        </is>
      </c>
      <c r="E3598" s="7" t="inlineStr">
        <is>
          <t>MARUTI SUZUKI</t>
        </is>
      </c>
      <c r="F3598" s="7" t="inlineStr">
        <is>
          <t>Swift</t>
        </is>
      </c>
      <c r="G3598" s="7" t="inlineStr">
        <is>
          <t>POPULAR VEHICLES</t>
        </is>
      </c>
      <c r="H3598" s="7" t="inlineStr">
        <is>
          <t>Non-Captive</t>
        </is>
      </c>
      <c r="I3598" s="7" t="inlineStr">
        <is>
          <t>Thiyagarajan Raja Cars</t>
        </is>
      </c>
      <c r="J3598" s="8" t="n">
        <v>2010</v>
      </c>
      <c r="K3598" s="9" t="n">
        <v>70349</v>
      </c>
      <c r="L3598" s="10" t="n">
        <v>89000</v>
      </c>
      <c r="M3598" s="10" t="n">
        <v>4237.29</v>
      </c>
      <c r="N3598" s="11">
        <f>IF(M3598="","",ROUND(M3598*1.18,2))</f>
        <v/>
      </c>
      <c r="O3598" s="12">
        <f>IF(M3598="","",ROUND(N3598-M3598,2))</f>
        <v/>
      </c>
      <c r="P3598" s="13">
        <f>IF(AND(A3598&lt;&gt;"",B3598&lt;&gt;""), A3598&amp;" · "&amp;B3598, "")</f>
        <v/>
      </c>
    </row>
    <row r="3599">
      <c r="A3599" s="6" t="inlineStr">
        <is>
          <t>FY27</t>
        </is>
      </c>
      <c r="B3599" s="6" t="inlineStr">
        <is>
          <t>Aug</t>
        </is>
      </c>
      <c r="C3599" s="6" t="inlineStr">
        <is>
          <t>TN</t>
        </is>
      </c>
      <c r="D3599" s="7" t="inlineStr">
        <is>
          <t>TN10AD7381</t>
        </is>
      </c>
      <c r="E3599" s="7" t="inlineStr">
        <is>
          <t>HYUNDAI</t>
        </is>
      </c>
      <c r="F3599" s="7" t="inlineStr">
        <is>
          <t>i20</t>
        </is>
      </c>
      <c r="G3599" s="7" t="inlineStr">
        <is>
          <t>SGA MOTORS INDIA PRIVATE LIMITED</t>
        </is>
      </c>
      <c r="H3599" s="7" t="inlineStr">
        <is>
          <t>Non-Captive</t>
        </is>
      </c>
      <c r="I3599" s="7" t="inlineStr">
        <is>
          <t>AA Cars</t>
        </is>
      </c>
      <c r="J3599" s="8" t="n">
        <v>2011</v>
      </c>
      <c r="K3599" s="9" t="n">
        <v>170142</v>
      </c>
      <c r="L3599" s="10" t="n">
        <v>95000</v>
      </c>
      <c r="M3599" s="10" t="n">
        <v>4237.29</v>
      </c>
      <c r="N3599" s="11">
        <f>IF(M3599="","",ROUND(M3599*1.18,2))</f>
        <v/>
      </c>
      <c r="O3599" s="12">
        <f>IF(M3599="","",ROUND(N3599-M3599,2))</f>
        <v/>
      </c>
      <c r="P3599" s="13">
        <f>IF(AND(A3599&lt;&gt;"",B3599&lt;&gt;""), A3599&amp;" · "&amp;B3599, "")</f>
        <v/>
      </c>
    </row>
    <row r="3600">
      <c r="A3600" s="6" t="inlineStr">
        <is>
          <t>FY27</t>
        </is>
      </c>
      <c r="B3600" s="6" t="inlineStr">
        <is>
          <t>Aug</t>
        </is>
      </c>
      <c r="C3600" s="6" t="inlineStr">
        <is>
          <t>TN</t>
        </is>
      </c>
      <c r="D3600" s="7" t="inlineStr">
        <is>
          <t>TN10AL2127</t>
        </is>
      </c>
      <c r="E3600" s="7" t="inlineStr">
        <is>
          <t>HYUNDAI</t>
        </is>
      </c>
      <c r="F3600" s="7" t="inlineStr">
        <is>
          <t>Eon</t>
        </is>
      </c>
      <c r="G3600" s="7" t="inlineStr">
        <is>
          <t>CASTLE TRADERS MARUTI</t>
        </is>
      </c>
      <c r="H3600" s="7" t="inlineStr">
        <is>
          <t>Non-Captive</t>
        </is>
      </c>
      <c r="I3600" s="7" t="inlineStr">
        <is>
          <t>car Hub</t>
        </is>
      </c>
      <c r="J3600" s="8" t="n">
        <v>2013</v>
      </c>
      <c r="K3600" s="9" t="n">
        <v>58694</v>
      </c>
      <c r="L3600" s="10" t="n">
        <v>175000</v>
      </c>
      <c r="M3600" s="10" t="n">
        <v>5084.75</v>
      </c>
      <c r="N3600" s="11">
        <f>IF(M3600="","",ROUND(M3600*1.18,2))</f>
        <v/>
      </c>
      <c r="O3600" s="12">
        <f>IF(M3600="","",ROUND(N3600-M3600,2))</f>
        <v/>
      </c>
      <c r="P3600" s="13">
        <f>IF(AND(A3600&lt;&gt;"",B3600&lt;&gt;""), A3600&amp;" · "&amp;B3600, "")</f>
        <v/>
      </c>
    </row>
    <row r="3601">
      <c r="A3601" s="6" t="inlineStr">
        <is>
          <t>FY27</t>
        </is>
      </c>
      <c r="B3601" s="6" t="inlineStr">
        <is>
          <t>Aug</t>
        </is>
      </c>
      <c r="C3601" s="6" t="inlineStr">
        <is>
          <t>TN</t>
        </is>
      </c>
      <c r="D3601" s="7" t="inlineStr">
        <is>
          <t>TN10AV7134</t>
        </is>
      </c>
      <c r="E3601" s="7" t="inlineStr">
        <is>
          <t>HYUNDAI</t>
        </is>
      </c>
      <c r="F3601" s="7" t="inlineStr">
        <is>
          <t>i20</t>
        </is>
      </c>
      <c r="G3601" s="7" t="inlineStr">
        <is>
          <t>RAJALAKSHMI CARS</t>
        </is>
      </c>
      <c r="H3601" s="7" t="inlineStr">
        <is>
          <t>Non-Captive</t>
        </is>
      </c>
      <c r="I3601" s="7" t="inlineStr">
        <is>
          <t>Pine Autos</t>
        </is>
      </c>
      <c r="J3601" s="8" t="n">
        <v>2016</v>
      </c>
      <c r="K3601" s="9" t="n">
        <v>103091</v>
      </c>
      <c r="L3601" s="10" t="n">
        <v>92000</v>
      </c>
      <c r="M3601" s="10" t="n">
        <v>2542.37</v>
      </c>
      <c r="N3601" s="11">
        <f>IF(M3601="","",ROUND(M3601*1.18,2))</f>
        <v/>
      </c>
      <c r="O3601" s="12">
        <f>IF(M3601="","",ROUND(N3601-M3601,2))</f>
        <v/>
      </c>
      <c r="P3601" s="13">
        <f>IF(AND(A3601&lt;&gt;"",B3601&lt;&gt;""), A3601&amp;" · "&amp;B3601, "")</f>
        <v/>
      </c>
    </row>
    <row r="3602">
      <c r="A3602" s="6" t="inlineStr">
        <is>
          <t>FY27</t>
        </is>
      </c>
      <c r="B3602" s="6" t="inlineStr">
        <is>
          <t>Aug</t>
        </is>
      </c>
      <c r="C3602" s="6" t="inlineStr">
        <is>
          <t>TN</t>
        </is>
      </c>
      <c r="D3602" s="7" t="inlineStr">
        <is>
          <t>TN10AV8930</t>
        </is>
      </c>
      <c r="E3602" s="7" t="inlineStr">
        <is>
          <t>HONDA</t>
        </is>
      </c>
      <c r="F3602" s="7" t="inlineStr">
        <is>
          <t>City</t>
        </is>
      </c>
      <c r="G3602" s="7" t="inlineStr">
        <is>
          <t>&lt;NA&gt;</t>
        </is>
      </c>
      <c r="H3602" s="7" t="inlineStr">
        <is>
          <t>Non-Captive</t>
        </is>
      </c>
      <c r="I3602" s="7" t="inlineStr">
        <is>
          <t>&lt;NA&gt;</t>
        </is>
      </c>
      <c r="J3602" s="8" t="n">
        <v>2016</v>
      </c>
      <c r="K3602" s="9" t="n">
        <v>91513</v>
      </c>
      <c r="L3602" s="10" t="n">
        <v>498000</v>
      </c>
      <c r="M3602" s="10" t="n">
        <v>10169.49</v>
      </c>
      <c r="N3602" s="11">
        <f>IF(M3602="","",ROUND(M3602*1.18,2))</f>
        <v/>
      </c>
      <c r="O3602" s="12">
        <f>IF(M3602="","",ROUND(N3602-M3602,2))</f>
        <v/>
      </c>
      <c r="P3602" s="13">
        <f>IF(AND(A3602&lt;&gt;"",B3602&lt;&gt;""), A3602&amp;" · "&amp;B3602, "")</f>
        <v/>
      </c>
    </row>
    <row r="3603">
      <c r="A3603" s="6" t="inlineStr">
        <is>
          <t>FY27</t>
        </is>
      </c>
      <c r="B3603" s="6" t="inlineStr">
        <is>
          <t>Aug</t>
        </is>
      </c>
      <c r="C3603" s="6" t="inlineStr">
        <is>
          <t>TN</t>
        </is>
      </c>
      <c r="D3603" s="7" t="inlineStr">
        <is>
          <t>TN10AW8065</t>
        </is>
      </c>
      <c r="E3603" s="7" t="inlineStr">
        <is>
          <t>HONDA</t>
        </is>
      </c>
      <c r="F3603" s="7" t="inlineStr">
        <is>
          <t>City</t>
        </is>
      </c>
      <c r="G3603" s="7" t="inlineStr">
        <is>
          <t>EXCHANGE ROTN</t>
        </is>
      </c>
      <c r="H3603" s="7" t="inlineStr">
        <is>
          <t>Captive</t>
        </is>
      </c>
      <c r="I3603" s="7" t="inlineStr">
        <is>
          <t>Gugha Cars</t>
        </is>
      </c>
      <c r="J3603" s="8" t="n">
        <v>2016</v>
      </c>
      <c r="K3603" s="9" t="n">
        <v>78198</v>
      </c>
      <c r="L3603" s="10" t="n">
        <v>500000</v>
      </c>
      <c r="M3603" s="10" t="n">
        <v>12711.86</v>
      </c>
      <c r="N3603" s="11">
        <f>IF(M3603="","",ROUND(M3603*1.18,2))</f>
        <v/>
      </c>
      <c r="O3603" s="12">
        <f>IF(M3603="","",ROUND(N3603-M3603,2))</f>
        <v/>
      </c>
      <c r="P3603" s="13">
        <f>IF(AND(A3603&lt;&gt;"",B3603&lt;&gt;""), A3603&amp;" · "&amp;B3603, "")</f>
        <v/>
      </c>
    </row>
    <row r="3604">
      <c r="A3604" s="6" t="inlineStr">
        <is>
          <t>FY27</t>
        </is>
      </c>
      <c r="B3604" s="6" t="inlineStr">
        <is>
          <t>Aug</t>
        </is>
      </c>
      <c r="C3604" s="6" t="inlineStr">
        <is>
          <t>TN</t>
        </is>
      </c>
      <c r="D3604" s="7" t="inlineStr">
        <is>
          <t>TN10AX8767</t>
        </is>
      </c>
      <c r="E3604" s="7" t="inlineStr">
        <is>
          <t>HONDA</t>
        </is>
      </c>
      <c r="F3604" s="7" t="inlineStr">
        <is>
          <t>City</t>
        </is>
      </c>
      <c r="G3604" s="7" t="inlineStr">
        <is>
          <t>EXCHANGE CHENNAI</t>
        </is>
      </c>
      <c r="H3604" s="7" t="inlineStr">
        <is>
          <t>Captive</t>
        </is>
      </c>
      <c r="I3604" s="7" t="inlineStr">
        <is>
          <t>Maruthi Industries</t>
        </is>
      </c>
      <c r="J3604" s="8" t="n">
        <v>2016</v>
      </c>
      <c r="K3604" s="9" t="n">
        <v>82144</v>
      </c>
      <c r="L3604" s="10" t="n">
        <v>425000</v>
      </c>
      <c r="M3604" s="10" t="n">
        <v>8474.58</v>
      </c>
      <c r="N3604" s="11">
        <f>IF(M3604="","",ROUND(M3604*1.18,2))</f>
        <v/>
      </c>
      <c r="O3604" s="12">
        <f>IF(M3604="","",ROUND(N3604-M3604,2))</f>
        <v/>
      </c>
      <c r="P3604" s="13">
        <f>IF(AND(A3604&lt;&gt;"",B3604&lt;&gt;""), A3604&amp;" · "&amp;B3604, "")</f>
        <v/>
      </c>
    </row>
    <row r="3605">
      <c r="A3605" s="6" t="inlineStr">
        <is>
          <t>FY27</t>
        </is>
      </c>
      <c r="B3605" s="6" t="inlineStr">
        <is>
          <t>Aug</t>
        </is>
      </c>
      <c r="C3605" s="6" t="inlineStr">
        <is>
          <t>TN</t>
        </is>
      </c>
      <c r="D3605" s="7" t="inlineStr">
        <is>
          <t>TN10AZ1852</t>
        </is>
      </c>
      <c r="E3605" s="7" t="inlineStr">
        <is>
          <t>MARUTI SUZUKI</t>
        </is>
      </c>
      <c r="F3605" s="7" t="inlineStr">
        <is>
          <t>Dzire</t>
        </is>
      </c>
      <c r="G3605" s="7" t="inlineStr">
        <is>
          <t>EXCHANGE CHENNAI</t>
        </is>
      </c>
      <c r="H3605" s="7" t="inlineStr">
        <is>
          <t>Captive</t>
        </is>
      </c>
      <c r="I3605" s="7" t="inlineStr">
        <is>
          <t>Santhosh Cars</t>
        </is>
      </c>
      <c r="J3605" s="8" t="n">
        <v>2017</v>
      </c>
      <c r="K3605" s="9" t="n">
        <v>87321</v>
      </c>
      <c r="L3605" s="10" t="n">
        <v>400000</v>
      </c>
      <c r="M3605" s="10" t="n">
        <v>8474.58</v>
      </c>
      <c r="N3605" s="11">
        <f>IF(M3605="","",ROUND(M3605*1.18,2))</f>
        <v/>
      </c>
      <c r="O3605" s="12">
        <f>IF(M3605="","",ROUND(N3605-M3605,2))</f>
        <v/>
      </c>
      <c r="P3605" s="13">
        <f>IF(AND(A3605&lt;&gt;"",B3605&lt;&gt;""), A3605&amp;" · "&amp;B3605, "")</f>
        <v/>
      </c>
    </row>
    <row r="3606">
      <c r="A3606" s="6" t="inlineStr">
        <is>
          <t>FY27</t>
        </is>
      </c>
      <c r="B3606" s="6" t="inlineStr">
        <is>
          <t>Aug</t>
        </is>
      </c>
      <c r="C3606" s="6" t="inlineStr">
        <is>
          <t>TN</t>
        </is>
      </c>
      <c r="D3606" s="7" t="inlineStr">
        <is>
          <t>TN10AZ7114</t>
        </is>
      </c>
      <c r="E3606" s="7" t="inlineStr">
        <is>
          <t>HYUNDAI</t>
        </is>
      </c>
      <c r="F3606" s="7" t="inlineStr">
        <is>
          <t>i20</t>
        </is>
      </c>
      <c r="G3606" s="7" t="inlineStr">
        <is>
          <t>CARS INDIA</t>
        </is>
      </c>
      <c r="H3606" s="7" t="inlineStr">
        <is>
          <t>Non-Captive</t>
        </is>
      </c>
      <c r="I3606" s="7" t="inlineStr">
        <is>
          <t>Rithika cars</t>
        </is>
      </c>
      <c r="J3606" s="8" t="n">
        <v>2017</v>
      </c>
      <c r="K3606" s="9" t="n">
        <v>74247</v>
      </c>
      <c r="L3606" s="10" t="n">
        <v>97000</v>
      </c>
      <c r="M3606" s="10" t="n">
        <v>2542.37</v>
      </c>
      <c r="N3606" s="11">
        <f>IF(M3606="","",ROUND(M3606*1.18,2))</f>
        <v/>
      </c>
      <c r="O3606" s="12">
        <f>IF(M3606="","",ROUND(N3606-M3606,2))</f>
        <v/>
      </c>
      <c r="P3606" s="13">
        <f>IF(AND(A3606&lt;&gt;"",B3606&lt;&gt;""), A3606&amp;" · "&amp;B3606, "")</f>
        <v/>
      </c>
    </row>
    <row r="3607">
      <c r="A3607" s="6" t="inlineStr">
        <is>
          <t>FY27</t>
        </is>
      </c>
      <c r="B3607" s="6" t="inlineStr">
        <is>
          <t>Aug</t>
        </is>
      </c>
      <c r="C3607" s="6" t="inlineStr">
        <is>
          <t>TN</t>
        </is>
      </c>
      <c r="D3607" s="7" t="inlineStr">
        <is>
          <t>TN10BB5820</t>
        </is>
      </c>
      <c r="E3607" s="7" t="inlineStr">
        <is>
          <t>MARUTI SUZUKI</t>
        </is>
      </c>
      <c r="F3607" s="7" t="inlineStr">
        <is>
          <t>Dzire</t>
        </is>
      </c>
      <c r="G3607" s="7" t="inlineStr">
        <is>
          <t>SVM CARS PRIVATE LIMITED</t>
        </is>
      </c>
      <c r="H3607" s="7" t="inlineStr">
        <is>
          <t>Non-Captive</t>
        </is>
      </c>
      <c r="I3607" s="7" t="inlineStr">
        <is>
          <t>Pine Autos</t>
        </is>
      </c>
      <c r="J3607" s="8" t="n">
        <v>2017</v>
      </c>
      <c r="K3607" s="9" t="n">
        <v>55442</v>
      </c>
      <c r="L3607" s="10" t="n">
        <v>93000</v>
      </c>
      <c r="M3607" s="10" t="n">
        <v>2542.37</v>
      </c>
      <c r="N3607" s="11">
        <f>IF(M3607="","",ROUND(M3607*1.18,2))</f>
        <v/>
      </c>
      <c r="O3607" s="12">
        <f>IF(M3607="","",ROUND(N3607-M3607,2))</f>
        <v/>
      </c>
      <c r="P3607" s="13">
        <f>IF(AND(A3607&lt;&gt;"",B3607&lt;&gt;""), A3607&amp;" · "&amp;B3607, "")</f>
        <v/>
      </c>
    </row>
    <row r="3608">
      <c r="A3608" s="6" t="inlineStr">
        <is>
          <t>FY27</t>
        </is>
      </c>
      <c r="B3608" s="6" t="inlineStr">
        <is>
          <t>Aug</t>
        </is>
      </c>
      <c r="C3608" s="6" t="inlineStr">
        <is>
          <t>TN</t>
        </is>
      </c>
      <c r="D3608" s="7" t="inlineStr">
        <is>
          <t>TN10BP7435</t>
        </is>
      </c>
      <c r="E3608" s="7" t="inlineStr">
        <is>
          <t>RENAULT</t>
        </is>
      </c>
      <c r="F3608" s="7" t="inlineStr">
        <is>
          <t>Triber</t>
        </is>
      </c>
      <c r="G3608" s="7" t="inlineStr">
        <is>
          <t>CARS INDIA</t>
        </is>
      </c>
      <c r="H3608" s="7" t="inlineStr">
        <is>
          <t>Non-Captive</t>
        </is>
      </c>
      <c r="I3608" s="7" t="inlineStr">
        <is>
          <t>Grid 33</t>
        </is>
      </c>
      <c r="J3608" s="8" t="n">
        <v>2021</v>
      </c>
      <c r="K3608" s="9" t="n">
        <v>18246</v>
      </c>
      <c r="L3608" s="10" t="n">
        <v>92000</v>
      </c>
      <c r="M3608" s="10" t="n">
        <v>4237.29</v>
      </c>
      <c r="N3608" s="11">
        <f>IF(M3608="","",ROUND(M3608*1.18,2))</f>
        <v/>
      </c>
      <c r="O3608" s="12">
        <f>IF(M3608="","",ROUND(N3608-M3608,2))</f>
        <v/>
      </c>
      <c r="P3608" s="13">
        <f>IF(AND(A3608&lt;&gt;"",B3608&lt;&gt;""), A3608&amp;" · "&amp;B3608, "")</f>
        <v/>
      </c>
    </row>
    <row r="3609">
      <c r="A3609" s="6" t="inlineStr">
        <is>
          <t>FY27</t>
        </is>
      </c>
      <c r="B3609" s="6" t="inlineStr">
        <is>
          <t>Aug</t>
        </is>
      </c>
      <c r="C3609" s="6" t="inlineStr">
        <is>
          <t>TN</t>
        </is>
      </c>
      <c r="D3609" s="7" t="inlineStr">
        <is>
          <t>TN10BR5317</t>
        </is>
      </c>
      <c r="E3609" s="7" t="inlineStr">
        <is>
          <t>MARUTI SUZUKI</t>
        </is>
      </c>
      <c r="F3609" s="7" t="inlineStr">
        <is>
          <t>Celerio</t>
        </is>
      </c>
      <c r="G3609" s="7" t="inlineStr">
        <is>
          <t>NIRMAL</t>
        </is>
      </c>
      <c r="H3609" s="7" t="inlineStr">
        <is>
          <t>Non-Captive</t>
        </is>
      </c>
      <c r="I3609" s="7" t="inlineStr">
        <is>
          <t>Value Drive Tech</t>
        </is>
      </c>
      <c r="J3609" s="8" t="n">
        <v>2022</v>
      </c>
      <c r="K3609" s="9" t="n">
        <v>112342</v>
      </c>
      <c r="L3609" s="10" t="n">
        <v>386500</v>
      </c>
      <c r="M3609" s="10" t="n">
        <v>6355.93</v>
      </c>
      <c r="N3609" s="11">
        <f>IF(M3609="","",ROUND(M3609*1.18,2))</f>
        <v/>
      </c>
      <c r="O3609" s="12">
        <f>IF(M3609="","",ROUND(N3609-M3609,2))</f>
        <v/>
      </c>
      <c r="P3609" s="13">
        <f>IF(AND(A3609&lt;&gt;"",B3609&lt;&gt;""), A3609&amp;" · "&amp;B3609, "")</f>
        <v/>
      </c>
    </row>
    <row r="3610">
      <c r="A3610" s="6" t="inlineStr">
        <is>
          <t>FY27</t>
        </is>
      </c>
      <c r="B3610" s="6" t="inlineStr">
        <is>
          <t>Aug</t>
        </is>
      </c>
      <c r="C3610" s="6" t="inlineStr">
        <is>
          <t>TN</t>
        </is>
      </c>
      <c r="D3610" s="7" t="inlineStr">
        <is>
          <t>TN10BV3216</t>
        </is>
      </c>
      <c r="E3610" s="7" t="inlineStr">
        <is>
          <t>NISSAN</t>
        </is>
      </c>
      <c r="F3610" s="7" t="inlineStr">
        <is>
          <t>Magnite</t>
        </is>
      </c>
      <c r="G3610" s="7" t="inlineStr">
        <is>
          <t>VISHNU CARS PRIVATE LIMITED</t>
        </is>
      </c>
      <c r="H3610" s="7" t="inlineStr">
        <is>
          <t>Non-Captive</t>
        </is>
      </c>
      <c r="I3610" s="7" t="inlineStr">
        <is>
          <t>Grid 33</t>
        </is>
      </c>
      <c r="J3610" s="8" t="n">
        <v>2023</v>
      </c>
      <c r="K3610" s="9" t="n">
        <v>109258</v>
      </c>
      <c r="L3610" s="10" t="n">
        <v>89000</v>
      </c>
      <c r="M3610" s="10" t="n">
        <v>2542.37</v>
      </c>
      <c r="N3610" s="11">
        <f>IF(M3610="","",ROUND(M3610*1.18,2))</f>
        <v/>
      </c>
      <c r="O3610" s="12">
        <f>IF(M3610="","",ROUND(N3610-M3610,2))</f>
        <v/>
      </c>
      <c r="P3610" s="13">
        <f>IF(AND(A3610&lt;&gt;"",B3610&lt;&gt;""), A3610&amp;" · "&amp;B3610, "")</f>
        <v/>
      </c>
    </row>
    <row r="3611">
      <c r="A3611" s="6" t="inlineStr">
        <is>
          <t>FY27</t>
        </is>
      </c>
      <c r="B3611" s="6" t="inlineStr">
        <is>
          <t>Aug</t>
        </is>
      </c>
      <c r="C3611" s="6" t="inlineStr">
        <is>
          <t>TN</t>
        </is>
      </c>
      <c r="D3611" s="7" t="inlineStr">
        <is>
          <t>TN10X6536</t>
        </is>
      </c>
      <c r="E3611" s="7" t="inlineStr">
        <is>
          <t>HYUNDAI</t>
        </is>
      </c>
      <c r="F3611" s="7" t="inlineStr">
        <is>
          <t>Santro</t>
        </is>
      </c>
      <c r="G3611" s="7" t="inlineStr">
        <is>
          <t>VISHNU CARS PRIVATE LIMITED</t>
        </is>
      </c>
      <c r="H3611" s="7" t="inlineStr">
        <is>
          <t>Non-Captive</t>
        </is>
      </c>
      <c r="I3611" s="7" t="inlineStr">
        <is>
          <t>Grid 33</t>
        </is>
      </c>
      <c r="J3611" s="8" t="n">
        <v>2009</v>
      </c>
      <c r="K3611" s="9" t="n">
        <v>62092</v>
      </c>
      <c r="L3611" s="10" t="n">
        <v>90000</v>
      </c>
      <c r="M3611" s="10" t="n">
        <v>3389.83</v>
      </c>
      <c r="N3611" s="11">
        <f>IF(M3611="","",ROUND(M3611*1.18,2))</f>
        <v/>
      </c>
      <c r="O3611" s="12">
        <f>IF(M3611="","",ROUND(N3611-M3611,2))</f>
        <v/>
      </c>
      <c r="P3611" s="13">
        <f>IF(AND(A3611&lt;&gt;"",B3611&lt;&gt;""), A3611&amp;" · "&amp;B3611, "")</f>
        <v/>
      </c>
    </row>
    <row r="3612">
      <c r="A3612" s="6" t="inlineStr">
        <is>
          <t>FY27</t>
        </is>
      </c>
      <c r="B3612" s="6" t="inlineStr">
        <is>
          <t>Aug</t>
        </is>
      </c>
      <c r="C3612" s="6" t="inlineStr">
        <is>
          <t>TN</t>
        </is>
      </c>
      <c r="D3612" s="7" t="inlineStr">
        <is>
          <t>TN11AC2997</t>
        </is>
      </c>
      <c r="E3612" s="7" t="inlineStr">
        <is>
          <t>MARUTI SUZUKI</t>
        </is>
      </c>
      <c r="F3612" s="7" t="inlineStr">
        <is>
          <t>Alto 800</t>
        </is>
      </c>
      <c r="G3612" s="7" t="inlineStr">
        <is>
          <t>CASTLE TRADERS MARUTI</t>
        </is>
      </c>
      <c r="H3612" s="7" t="inlineStr">
        <is>
          <t>Non-Captive</t>
        </is>
      </c>
      <c r="I3612" s="7" t="inlineStr">
        <is>
          <t>Senthil Cars</t>
        </is>
      </c>
      <c r="J3612" s="8" t="n">
        <v>2017</v>
      </c>
      <c r="K3612" s="9" t="n">
        <v>64587</v>
      </c>
      <c r="L3612" s="10" t="n">
        <v>165000</v>
      </c>
      <c r="M3612" s="10" t="n">
        <v>5084.75</v>
      </c>
      <c r="N3612" s="11">
        <f>IF(M3612="","",ROUND(M3612*1.18,2))</f>
        <v/>
      </c>
      <c r="O3612" s="12">
        <f>IF(M3612="","",ROUND(N3612-M3612,2))</f>
        <v/>
      </c>
      <c r="P3612" s="13">
        <f>IF(AND(A3612&lt;&gt;"",B3612&lt;&gt;""), A3612&amp;" · "&amp;B3612, "")</f>
        <v/>
      </c>
    </row>
    <row r="3613">
      <c r="A3613" s="6" t="inlineStr">
        <is>
          <t>FY27</t>
        </is>
      </c>
      <c r="B3613" s="6" t="inlineStr">
        <is>
          <t>Aug</t>
        </is>
      </c>
      <c r="C3613" s="6" t="inlineStr">
        <is>
          <t>TN</t>
        </is>
      </c>
      <c r="D3613" s="7" t="inlineStr">
        <is>
          <t>TN11AV7507</t>
        </is>
      </c>
      <c r="E3613" s="7" t="inlineStr">
        <is>
          <t>MARUTI SUZUKI</t>
        </is>
      </c>
      <c r="F3613" s="7" t="inlineStr">
        <is>
          <t>Ritz</t>
        </is>
      </c>
      <c r="G3613" s="7" t="inlineStr">
        <is>
          <t>LAKSHMI TATA</t>
        </is>
      </c>
      <c r="H3613" s="7" t="inlineStr">
        <is>
          <t>Non-Captive</t>
        </is>
      </c>
      <c r="I3613" s="7" t="inlineStr">
        <is>
          <t>Aasim Motors</t>
        </is>
      </c>
      <c r="J3613" s="8" t="n">
        <v>2010</v>
      </c>
      <c r="K3613" s="9" t="n">
        <v>145668</v>
      </c>
      <c r="L3613" s="10" t="n">
        <v>96000</v>
      </c>
      <c r="M3613" s="10" t="n">
        <v>4237.29</v>
      </c>
      <c r="N3613" s="11">
        <f>IF(M3613="","",ROUND(M3613*1.18,2))</f>
        <v/>
      </c>
      <c r="O3613" s="12">
        <f>IF(M3613="","",ROUND(N3613-M3613,2))</f>
        <v/>
      </c>
      <c r="P3613" s="13">
        <f>IF(AND(A3613&lt;&gt;"",B3613&lt;&gt;""), A3613&amp;" · "&amp;B3613, "")</f>
        <v/>
      </c>
    </row>
    <row r="3614">
      <c r="A3614" s="6" t="inlineStr">
        <is>
          <t>FY27</t>
        </is>
      </c>
      <c r="B3614" s="6" t="inlineStr">
        <is>
          <t>Aug</t>
        </is>
      </c>
      <c r="C3614" s="6" t="inlineStr">
        <is>
          <t>TN</t>
        </is>
      </c>
      <c r="D3614" s="7" t="inlineStr">
        <is>
          <t>TN11B8326</t>
        </is>
      </c>
      <c r="E3614" s="7" t="inlineStr">
        <is>
          <t>HYUNDAI</t>
        </is>
      </c>
      <c r="F3614" s="7" t="inlineStr">
        <is>
          <t>Eon</t>
        </is>
      </c>
      <c r="G3614" s="7" t="inlineStr">
        <is>
          <t>FPL AUTOMOBILES PRIVATE LIMITED</t>
        </is>
      </c>
      <c r="H3614" s="7" t="inlineStr">
        <is>
          <t>Non-Captive</t>
        </is>
      </c>
      <c r="I3614" s="7" t="inlineStr">
        <is>
          <t>Nirmal Cars</t>
        </is>
      </c>
      <c r="J3614" s="8" t="n">
        <v>2013</v>
      </c>
      <c r="K3614" s="9" t="n">
        <v>104464</v>
      </c>
      <c r="L3614" s="10" t="n">
        <v>95000</v>
      </c>
      <c r="M3614" s="10" t="n">
        <v>2542.37</v>
      </c>
      <c r="N3614" s="11">
        <f>IF(M3614="","",ROUND(M3614*1.18,2))</f>
        <v/>
      </c>
      <c r="O3614" s="12">
        <f>IF(M3614="","",ROUND(N3614-M3614,2))</f>
        <v/>
      </c>
      <c r="P3614" s="13">
        <f>IF(AND(A3614&lt;&gt;"",B3614&lt;&gt;""), A3614&amp;" · "&amp;B3614, "")</f>
        <v/>
      </c>
    </row>
    <row r="3615">
      <c r="A3615" s="6" t="inlineStr">
        <is>
          <t>FY27</t>
        </is>
      </c>
      <c r="B3615" s="6" t="inlineStr">
        <is>
          <t>Aug</t>
        </is>
      </c>
      <c r="C3615" s="6" t="inlineStr">
        <is>
          <t>TN</t>
        </is>
      </c>
      <c r="D3615" s="7" t="inlineStr">
        <is>
          <t>TN11X3002</t>
        </is>
      </c>
      <c r="E3615" s="7" t="inlineStr">
        <is>
          <t>FORD</t>
        </is>
      </c>
      <c r="F3615" s="7" t="inlineStr">
        <is>
          <t>Fiesta Classic</t>
        </is>
      </c>
      <c r="G3615" s="7" t="inlineStr">
        <is>
          <t>LANSON QCARS PRIVATE LIMITED</t>
        </is>
      </c>
      <c r="H3615" s="7" t="inlineStr">
        <is>
          <t>Non-Captive</t>
        </is>
      </c>
      <c r="I3615" s="7" t="inlineStr">
        <is>
          <t>Thiyagarajan Raja Cars</t>
        </is>
      </c>
      <c r="J3615" s="8" t="n">
        <v>2013</v>
      </c>
      <c r="K3615" s="9" t="n">
        <v>140428</v>
      </c>
      <c r="L3615" s="10" t="n">
        <v>100000</v>
      </c>
      <c r="M3615" s="10" t="n">
        <v>4237.29</v>
      </c>
      <c r="N3615" s="11">
        <f>IF(M3615="","",ROUND(M3615*1.18,2))</f>
        <v/>
      </c>
      <c r="O3615" s="12">
        <f>IF(M3615="","",ROUND(N3615-M3615,2))</f>
        <v/>
      </c>
      <c r="P3615" s="13">
        <f>IF(AND(A3615&lt;&gt;"",B3615&lt;&gt;""), A3615&amp;" · "&amp;B3615, "")</f>
        <v/>
      </c>
    </row>
    <row r="3616">
      <c r="A3616" s="6" t="inlineStr">
        <is>
          <t>FY27</t>
        </is>
      </c>
      <c r="B3616" s="6" t="inlineStr">
        <is>
          <t>Aug</t>
        </is>
      </c>
      <c r="C3616" s="6" t="inlineStr">
        <is>
          <t>TN</t>
        </is>
      </c>
      <c r="D3616" s="7" t="inlineStr">
        <is>
          <t>TN11Z3016</t>
        </is>
      </c>
      <c r="E3616" s="7" t="inlineStr">
        <is>
          <t>NISSAN</t>
        </is>
      </c>
      <c r="F3616" s="7" t="inlineStr">
        <is>
          <t>Sunny</t>
        </is>
      </c>
      <c r="G3616" s="7" t="inlineStr">
        <is>
          <t>&lt;NA&gt;</t>
        </is>
      </c>
      <c r="H3616" s="7" t="inlineStr">
        <is>
          <t>Non-Captive</t>
        </is>
      </c>
      <c r="I3616" s="7" t="inlineStr">
        <is>
          <t>Thiya Cars</t>
        </is>
      </c>
      <c r="J3616" s="8" t="n"/>
      <c r="K3616" s="9" t="n">
        <v>110000</v>
      </c>
      <c r="L3616" s="10" t="n">
        <v>130000</v>
      </c>
      <c r="M3616" s="10" t="n">
        <v>5084.75</v>
      </c>
      <c r="N3616" s="11">
        <f>IF(M3616="","",ROUND(M3616*1.18,2))</f>
        <v/>
      </c>
      <c r="O3616" s="12">
        <f>IF(M3616="","",ROUND(N3616-M3616,2))</f>
        <v/>
      </c>
      <c r="P3616" s="13">
        <f>IF(AND(A3616&lt;&gt;"",B3616&lt;&gt;""), A3616&amp;" · "&amp;B3616, "")</f>
        <v/>
      </c>
    </row>
    <row r="3617">
      <c r="A3617" s="6" t="inlineStr">
        <is>
          <t>FY27</t>
        </is>
      </c>
      <c r="B3617" s="6" t="inlineStr">
        <is>
          <t>Aug</t>
        </is>
      </c>
      <c r="C3617" s="6" t="inlineStr">
        <is>
          <t>TN</t>
        </is>
      </c>
      <c r="D3617" s="7" t="inlineStr">
        <is>
          <t>TN123319</t>
        </is>
      </c>
      <c r="E3617" s="7" t="inlineStr">
        <is>
          <t>HYUNDAI</t>
        </is>
      </c>
      <c r="F3617" s="7" t="inlineStr">
        <is>
          <t>i20</t>
        </is>
      </c>
      <c r="G3617" s="7" t="inlineStr">
        <is>
          <t>SVM CARS PRIVATE LIMITED</t>
        </is>
      </c>
      <c r="H3617" s="7" t="inlineStr">
        <is>
          <t>Non-Captive</t>
        </is>
      </c>
      <c r="I3617" s="7" t="inlineStr">
        <is>
          <t>Grid 33</t>
        </is>
      </c>
      <c r="J3617" s="8" t="n">
        <v>2013</v>
      </c>
      <c r="K3617" s="9" t="n">
        <v>79800</v>
      </c>
      <c r="L3617" s="10" t="n">
        <v>94500</v>
      </c>
      <c r="M3617" s="10" t="n">
        <v>4237.29</v>
      </c>
      <c r="N3617" s="11">
        <f>IF(M3617="","",ROUND(M3617*1.18,2))</f>
        <v/>
      </c>
      <c r="O3617" s="12">
        <f>IF(M3617="","",ROUND(N3617-M3617,2))</f>
        <v/>
      </c>
      <c r="P3617" s="13">
        <f>IF(AND(A3617&lt;&gt;"",B3617&lt;&gt;""), A3617&amp;" · "&amp;B3617, "")</f>
        <v/>
      </c>
    </row>
    <row r="3618">
      <c r="A3618" s="6" t="inlineStr">
        <is>
          <t>FY27</t>
        </is>
      </c>
      <c r="B3618" s="6" t="inlineStr">
        <is>
          <t>Aug</t>
        </is>
      </c>
      <c r="C3618" s="6" t="inlineStr">
        <is>
          <t>TN</t>
        </is>
      </c>
      <c r="D3618" s="7" t="inlineStr">
        <is>
          <t>TN125649</t>
        </is>
      </c>
      <c r="E3618" s="7" t="inlineStr">
        <is>
          <t>NISSAN</t>
        </is>
      </c>
      <c r="F3618" s="7" t="inlineStr">
        <is>
          <t>Micra</t>
        </is>
      </c>
      <c r="G3618" s="7" t="inlineStr">
        <is>
          <t>AIE CARS PRIVATE LIMITED</t>
        </is>
      </c>
      <c r="H3618" s="7" t="inlineStr">
        <is>
          <t>Non-Captive</t>
        </is>
      </c>
      <c r="I3618" s="7" t="inlineStr">
        <is>
          <t>Nirmal Cars</t>
        </is>
      </c>
      <c r="J3618" s="8" t="n">
        <v>2013</v>
      </c>
      <c r="K3618" s="9" t="n">
        <v>77195</v>
      </c>
      <c r="L3618" s="10" t="n">
        <v>99000</v>
      </c>
      <c r="M3618" s="10" t="n">
        <v>2542.37</v>
      </c>
      <c r="N3618" s="11">
        <f>IF(M3618="","",ROUND(M3618*1.18,2))</f>
        <v/>
      </c>
      <c r="O3618" s="12">
        <f>IF(M3618="","",ROUND(N3618-M3618,2))</f>
        <v/>
      </c>
      <c r="P3618" s="13">
        <f>IF(AND(A3618&lt;&gt;"",B3618&lt;&gt;""), A3618&amp;" · "&amp;B3618, "")</f>
        <v/>
      </c>
    </row>
    <row r="3619">
      <c r="A3619" s="6" t="inlineStr">
        <is>
          <t>FY27</t>
        </is>
      </c>
      <c r="B3619" s="6" t="inlineStr">
        <is>
          <t>Aug</t>
        </is>
      </c>
      <c r="C3619" s="6" t="inlineStr">
        <is>
          <t>TN</t>
        </is>
      </c>
      <c r="D3619" s="7" t="inlineStr">
        <is>
          <t>TN12A7521</t>
        </is>
      </c>
      <c r="E3619" s="7" t="inlineStr">
        <is>
          <t>MARUTI SUZUKI</t>
        </is>
      </c>
      <c r="F3619" s="7" t="inlineStr">
        <is>
          <t>Dzire</t>
        </is>
      </c>
      <c r="G3619" s="7" t="inlineStr">
        <is>
          <t>CARS INDIA</t>
        </is>
      </c>
      <c r="H3619" s="7" t="inlineStr">
        <is>
          <t>Non-Captive</t>
        </is>
      </c>
      <c r="I3619" s="7" t="inlineStr">
        <is>
          <t>AB CAR ZONE</t>
        </is>
      </c>
      <c r="J3619" s="8" t="n">
        <v>2013</v>
      </c>
      <c r="K3619" s="9" t="n">
        <v>55640</v>
      </c>
      <c r="L3619" s="10" t="n">
        <v>89000</v>
      </c>
      <c r="M3619" s="10" t="n">
        <v>3389.83</v>
      </c>
      <c r="N3619" s="11">
        <f>IF(M3619="","",ROUND(M3619*1.18,2))</f>
        <v/>
      </c>
      <c r="O3619" s="12">
        <f>IF(M3619="","",ROUND(N3619-M3619,2))</f>
        <v/>
      </c>
      <c r="P3619" s="13">
        <f>IF(AND(A3619&lt;&gt;"",B3619&lt;&gt;""), A3619&amp;" · "&amp;B3619, "")</f>
        <v/>
      </c>
    </row>
    <row r="3620">
      <c r="A3620" s="6" t="inlineStr">
        <is>
          <t>FY27</t>
        </is>
      </c>
      <c r="B3620" s="6" t="inlineStr">
        <is>
          <t>Aug</t>
        </is>
      </c>
      <c r="C3620" s="6" t="inlineStr">
        <is>
          <t>TN</t>
        </is>
      </c>
      <c r="D3620" s="7" t="inlineStr">
        <is>
          <t>TN12AC6588</t>
        </is>
      </c>
      <c r="E3620" s="7" t="inlineStr">
        <is>
          <t>FORD</t>
        </is>
      </c>
      <c r="F3620" s="7" t="inlineStr">
        <is>
          <t>Freestyle</t>
        </is>
      </c>
      <c r="G3620" s="7" t="inlineStr">
        <is>
          <t>&lt;NA&gt;</t>
        </is>
      </c>
      <c r="H3620" s="7" t="inlineStr">
        <is>
          <t>Non-Captive</t>
        </is>
      </c>
      <c r="I3620" s="7" t="inlineStr">
        <is>
          <t>Cars24</t>
        </is>
      </c>
      <c r="J3620" s="8" t="n"/>
      <c r="K3620" s="9" t="n">
        <v>65429</v>
      </c>
      <c r="L3620" s="10" t="n">
        <v>430000</v>
      </c>
      <c r="M3620" s="10" t="n">
        <v>8474.58</v>
      </c>
      <c r="N3620" s="11">
        <f>IF(M3620="","",ROUND(M3620*1.18,2))</f>
        <v/>
      </c>
      <c r="O3620" s="12">
        <f>IF(M3620="","",ROUND(N3620-M3620,2))</f>
        <v/>
      </c>
      <c r="P3620" s="13">
        <f>IF(AND(A3620&lt;&gt;"",B3620&lt;&gt;""), A3620&amp;" · "&amp;B3620, "")</f>
        <v/>
      </c>
    </row>
    <row r="3621">
      <c r="A3621" s="6" t="inlineStr">
        <is>
          <t>FY27</t>
        </is>
      </c>
      <c r="B3621" s="6" t="inlineStr">
        <is>
          <t>Aug</t>
        </is>
      </c>
      <c r="C3621" s="6" t="inlineStr">
        <is>
          <t>TN</t>
        </is>
      </c>
      <c r="D3621" s="7" t="inlineStr">
        <is>
          <t>TN12AF4001</t>
        </is>
      </c>
      <c r="E3621" s="7" t="inlineStr">
        <is>
          <t>MARUTI SUZUKI</t>
        </is>
      </c>
      <c r="F3621" s="7" t="inlineStr">
        <is>
          <t>Celerio</t>
        </is>
      </c>
      <c r="G3621" s="7" t="inlineStr">
        <is>
          <t>RAJALAKSHMI CARS</t>
        </is>
      </c>
      <c r="H3621" s="7" t="inlineStr">
        <is>
          <t>Non-Captive</t>
        </is>
      </c>
      <c r="I3621" s="7" t="inlineStr">
        <is>
          <t>Pine Autos</t>
        </is>
      </c>
      <c r="J3621" s="8" t="n">
        <v>2019</v>
      </c>
      <c r="K3621" s="9" t="n">
        <v>38226</v>
      </c>
      <c r="L3621" s="10" t="n">
        <v>85000</v>
      </c>
      <c r="M3621" s="10" t="n">
        <v>2542.37</v>
      </c>
      <c r="N3621" s="11">
        <f>IF(M3621="","",ROUND(M3621*1.18,2))</f>
        <v/>
      </c>
      <c r="O3621" s="12">
        <f>IF(M3621="","",ROUND(N3621-M3621,2))</f>
        <v/>
      </c>
      <c r="P3621" s="13">
        <f>IF(AND(A3621&lt;&gt;"",B3621&lt;&gt;""), A3621&amp;" · "&amp;B3621, "")</f>
        <v/>
      </c>
    </row>
    <row r="3622">
      <c r="A3622" s="6" t="inlineStr">
        <is>
          <t>FY27</t>
        </is>
      </c>
      <c r="B3622" s="6" t="inlineStr">
        <is>
          <t>Aug</t>
        </is>
      </c>
      <c r="C3622" s="6" t="inlineStr">
        <is>
          <t>TN</t>
        </is>
      </c>
      <c r="D3622" s="7" t="inlineStr">
        <is>
          <t>TN12AH8700</t>
        </is>
      </c>
      <c r="E3622" s="7" t="inlineStr">
        <is>
          <t>DATSUN</t>
        </is>
      </c>
      <c r="F3622" s="7" t="inlineStr">
        <is>
          <t>Redi-GO</t>
        </is>
      </c>
      <c r="G3622" s="7" t="inlineStr">
        <is>
          <t>LAKSHMI TATA</t>
        </is>
      </c>
      <c r="H3622" s="7" t="inlineStr">
        <is>
          <t>Non-Captive</t>
        </is>
      </c>
      <c r="I3622" s="7" t="inlineStr">
        <is>
          <t>SRI KARUPPAIYA CARS</t>
        </is>
      </c>
      <c r="J3622" s="8" t="n">
        <v>2019</v>
      </c>
      <c r="K3622" s="9" t="n">
        <v>37364</v>
      </c>
      <c r="L3622" s="10" t="n">
        <v>97000</v>
      </c>
      <c r="M3622" s="10" t="n">
        <v>4237.29</v>
      </c>
      <c r="N3622" s="11">
        <f>IF(M3622="","",ROUND(M3622*1.18,2))</f>
        <v/>
      </c>
      <c r="O3622" s="12">
        <f>IF(M3622="","",ROUND(N3622-M3622,2))</f>
        <v/>
      </c>
      <c r="P3622" s="13">
        <f>IF(AND(A3622&lt;&gt;"",B3622&lt;&gt;""), A3622&amp;" · "&amp;B3622, "")</f>
        <v/>
      </c>
    </row>
    <row r="3623">
      <c r="A3623" s="6" t="inlineStr">
        <is>
          <t>FY27</t>
        </is>
      </c>
      <c r="B3623" s="6" t="inlineStr">
        <is>
          <t>Aug</t>
        </is>
      </c>
      <c r="C3623" s="6" t="inlineStr">
        <is>
          <t>TN</t>
        </is>
      </c>
      <c r="D3623" s="7" t="inlineStr">
        <is>
          <t>TN12AK3471</t>
        </is>
      </c>
      <c r="E3623" s="7" t="inlineStr">
        <is>
          <t>HYUNDAI</t>
        </is>
      </c>
      <c r="F3623" s="7" t="inlineStr">
        <is>
          <t>Venue</t>
        </is>
      </c>
      <c r="G3623" s="7" t="inlineStr">
        <is>
          <t>AIE CARS PRIVATE LIMITED</t>
        </is>
      </c>
      <c r="H3623" s="7" t="inlineStr">
        <is>
          <t>Non-Captive</t>
        </is>
      </c>
      <c r="I3623" s="7" t="inlineStr">
        <is>
          <t>Nirmal Cars</t>
        </is>
      </c>
      <c r="J3623" s="8" t="n">
        <v>2020</v>
      </c>
      <c r="K3623" s="9" t="n">
        <v>52041</v>
      </c>
      <c r="L3623" s="10" t="n">
        <v>99000</v>
      </c>
      <c r="M3623" s="10" t="n">
        <v>2542.37</v>
      </c>
      <c r="N3623" s="11">
        <f>IF(M3623="","",ROUND(M3623*1.18,2))</f>
        <v/>
      </c>
      <c r="O3623" s="12">
        <f>IF(M3623="","",ROUND(N3623-M3623,2))</f>
        <v/>
      </c>
      <c r="P3623" s="13">
        <f>IF(AND(A3623&lt;&gt;"",B3623&lt;&gt;""), A3623&amp;" · "&amp;B3623, "")</f>
        <v/>
      </c>
    </row>
    <row r="3624">
      <c r="A3624" s="6" t="inlineStr">
        <is>
          <t>FY27</t>
        </is>
      </c>
      <c r="B3624" s="6" t="inlineStr">
        <is>
          <t>Aug</t>
        </is>
      </c>
      <c r="C3624" s="6" t="inlineStr">
        <is>
          <t>TN</t>
        </is>
      </c>
      <c r="D3624" s="7" t="inlineStr">
        <is>
          <t>TN12AY7853</t>
        </is>
      </c>
      <c r="E3624" s="7" t="inlineStr">
        <is>
          <t>MARUTI SUZUKI</t>
        </is>
      </c>
      <c r="F3624" s="7" t="inlineStr">
        <is>
          <t>Celerio</t>
        </is>
      </c>
      <c r="G3624" s="7" t="inlineStr">
        <is>
          <t>CRESCO CARS</t>
        </is>
      </c>
      <c r="H3624" s="7" t="inlineStr">
        <is>
          <t>Non-Captive</t>
        </is>
      </c>
      <c r="I3624" s="7" t="inlineStr">
        <is>
          <t>Senthil Cars</t>
        </is>
      </c>
      <c r="J3624" s="8" t="n">
        <v>2023</v>
      </c>
      <c r="K3624" s="9" t="n">
        <v>26770</v>
      </c>
      <c r="L3624" s="10" t="n">
        <v>198000</v>
      </c>
      <c r="M3624" s="10" t="n">
        <v>5084.75</v>
      </c>
      <c r="N3624" s="11">
        <f>IF(M3624="","",ROUND(M3624*1.18,2))</f>
        <v/>
      </c>
      <c r="O3624" s="12">
        <f>IF(M3624="","",ROUND(N3624-M3624,2))</f>
        <v/>
      </c>
      <c r="P3624" s="13">
        <f>IF(AND(A3624&lt;&gt;"",B3624&lt;&gt;""), A3624&amp;" · "&amp;B3624, "")</f>
        <v/>
      </c>
    </row>
    <row r="3625">
      <c r="A3625" s="6" t="inlineStr">
        <is>
          <t>FY27</t>
        </is>
      </c>
      <c r="B3625" s="6" t="inlineStr">
        <is>
          <t>Aug</t>
        </is>
      </c>
      <c r="C3625" s="6" t="inlineStr">
        <is>
          <t>TN</t>
        </is>
      </c>
      <c r="D3625" s="7" t="inlineStr">
        <is>
          <t>TN12R2787</t>
        </is>
      </c>
      <c r="E3625" s="7" t="inlineStr">
        <is>
          <t>DATSUN</t>
        </is>
      </c>
      <c r="F3625" s="7" t="inlineStr">
        <is>
          <t>Redi-GO</t>
        </is>
      </c>
      <c r="G3625" s="7" t="inlineStr">
        <is>
          <t>VISHNU CARS PRIVATE LIMITED</t>
        </is>
      </c>
      <c r="H3625" s="7" t="inlineStr">
        <is>
          <t>Non-Captive</t>
        </is>
      </c>
      <c r="I3625" s="7" t="inlineStr">
        <is>
          <t>Grid 33</t>
        </is>
      </c>
      <c r="J3625" s="8" t="n">
        <v>2016</v>
      </c>
      <c r="K3625" s="9" t="n">
        <v>32027</v>
      </c>
      <c r="L3625" s="10" t="n">
        <v>92000</v>
      </c>
      <c r="M3625" s="10" t="n">
        <v>2542.37</v>
      </c>
      <c r="N3625" s="11">
        <f>IF(M3625="","",ROUND(M3625*1.18,2))</f>
        <v/>
      </c>
      <c r="O3625" s="12">
        <f>IF(M3625="","",ROUND(N3625-M3625,2))</f>
        <v/>
      </c>
      <c r="P3625" s="13">
        <f>IF(AND(A3625&lt;&gt;"",B3625&lt;&gt;""), A3625&amp;" · "&amp;B3625, "")</f>
        <v/>
      </c>
    </row>
    <row r="3626">
      <c r="A3626" s="6" t="inlineStr">
        <is>
          <t>FY27</t>
        </is>
      </c>
      <c r="B3626" s="6" t="inlineStr">
        <is>
          <t>Aug</t>
        </is>
      </c>
      <c r="C3626" s="6" t="inlineStr">
        <is>
          <t>TN</t>
        </is>
      </c>
      <c r="D3626" s="7" t="inlineStr">
        <is>
          <t>TN13AA9285</t>
        </is>
      </c>
      <c r="E3626" s="7" t="inlineStr">
        <is>
          <t>MARUTI SUZUKI</t>
        </is>
      </c>
      <c r="F3626" s="7" t="inlineStr">
        <is>
          <t>Swift</t>
        </is>
      </c>
      <c r="G3626" s="7" t="inlineStr">
        <is>
          <t>AIE CARS PRIVATE LIMITED</t>
        </is>
      </c>
      <c r="H3626" s="7" t="inlineStr">
        <is>
          <t>Non-Captive</t>
        </is>
      </c>
      <c r="I3626" s="7" t="inlineStr">
        <is>
          <t>Nirmal Cars</t>
        </is>
      </c>
      <c r="J3626" s="8" t="n">
        <v>2023</v>
      </c>
      <c r="K3626" s="9" t="n">
        <v>11687</v>
      </c>
      <c r="L3626" s="10" t="n">
        <v>95000</v>
      </c>
      <c r="M3626" s="10" t="n">
        <v>2542.37</v>
      </c>
      <c r="N3626" s="11">
        <f>IF(M3626="","",ROUND(M3626*1.18,2))</f>
        <v/>
      </c>
      <c r="O3626" s="12">
        <f>IF(M3626="","",ROUND(N3626-M3626,2))</f>
        <v/>
      </c>
      <c r="P3626" s="13">
        <f>IF(AND(A3626&lt;&gt;"",B3626&lt;&gt;""), A3626&amp;" · "&amp;B3626, "")</f>
        <v/>
      </c>
    </row>
    <row r="3627">
      <c r="A3627" s="6" t="inlineStr">
        <is>
          <t>FY27</t>
        </is>
      </c>
      <c r="B3627" s="6" t="inlineStr">
        <is>
          <t>Aug</t>
        </is>
      </c>
      <c r="C3627" s="6" t="inlineStr">
        <is>
          <t>TN</t>
        </is>
      </c>
      <c r="D3627" s="7" t="inlineStr">
        <is>
          <t>TN13D7355</t>
        </is>
      </c>
      <c r="E3627" s="7" t="inlineStr">
        <is>
          <t>HONDA</t>
        </is>
      </c>
      <c r="F3627" s="7" t="inlineStr">
        <is>
          <t>Jazz</t>
        </is>
      </c>
      <c r="G3627" s="7" t="inlineStr">
        <is>
          <t>EXCHANGE CHENNAI</t>
        </is>
      </c>
      <c r="H3627" s="7" t="inlineStr">
        <is>
          <t>Captive</t>
        </is>
      </c>
      <c r="I3627" s="7" t="inlineStr">
        <is>
          <t>&lt;NA&gt;</t>
        </is>
      </c>
      <c r="J3627" s="8" t="n">
        <v>2015</v>
      </c>
      <c r="K3627" s="9" t="n">
        <v>112419</v>
      </c>
      <c r="L3627" s="10" t="n">
        <v>290000</v>
      </c>
      <c r="M3627" s="10" t="n">
        <v>8474.58</v>
      </c>
      <c r="N3627" s="11">
        <f>IF(M3627="","",ROUND(M3627*1.18,2))</f>
        <v/>
      </c>
      <c r="O3627" s="12">
        <f>IF(M3627="","",ROUND(N3627-M3627,2))</f>
        <v/>
      </c>
      <c r="P3627" s="13">
        <f>IF(AND(A3627&lt;&gt;"",B3627&lt;&gt;""), A3627&amp;" · "&amp;B3627, "")</f>
        <v/>
      </c>
    </row>
    <row r="3628">
      <c r="A3628" s="6" t="inlineStr">
        <is>
          <t>FY27</t>
        </is>
      </c>
      <c r="B3628" s="6" t="inlineStr">
        <is>
          <t>Aug</t>
        </is>
      </c>
      <c r="C3628" s="6" t="inlineStr">
        <is>
          <t>TN</t>
        </is>
      </c>
      <c r="D3628" s="7" t="inlineStr">
        <is>
          <t>TN13L2010</t>
        </is>
      </c>
      <c r="E3628" s="7" t="inlineStr">
        <is>
          <t>MARUTI SUZUKI</t>
        </is>
      </c>
      <c r="F3628" s="7" t="inlineStr">
        <is>
          <t>Cargo</t>
        </is>
      </c>
      <c r="G3628" s="7" t="inlineStr">
        <is>
          <t>CASTLE TRADERS MARUTI</t>
        </is>
      </c>
      <c r="H3628" s="7" t="inlineStr">
        <is>
          <t>Non-Captive</t>
        </is>
      </c>
      <c r="I3628" s="7" t="inlineStr">
        <is>
          <t>Hasini Cars</t>
        </is>
      </c>
      <c r="J3628" s="8" t="n">
        <v>2017</v>
      </c>
      <c r="K3628" s="9" t="n">
        <v>99999</v>
      </c>
      <c r="L3628" s="10" t="n">
        <v>122000</v>
      </c>
      <c r="M3628" s="10" t="n">
        <v>5084.75</v>
      </c>
      <c r="N3628" s="11">
        <f>IF(M3628="","",ROUND(M3628*1.18,2))</f>
        <v/>
      </c>
      <c r="O3628" s="12">
        <f>IF(M3628="","",ROUND(N3628-M3628,2))</f>
        <v/>
      </c>
      <c r="P3628" s="13">
        <f>IF(AND(A3628&lt;&gt;"",B3628&lt;&gt;""), A3628&amp;" · "&amp;B3628, "")</f>
        <v/>
      </c>
    </row>
    <row r="3629">
      <c r="A3629" s="6" t="inlineStr">
        <is>
          <t>FY27</t>
        </is>
      </c>
      <c r="B3629" s="6" t="inlineStr">
        <is>
          <t>Aug</t>
        </is>
      </c>
      <c r="C3629" s="6" t="inlineStr">
        <is>
          <t>TN</t>
        </is>
      </c>
      <c r="D3629" s="7" t="inlineStr">
        <is>
          <t>TN13T0193</t>
        </is>
      </c>
      <c r="E3629" s="7" t="inlineStr">
        <is>
          <t>MARUTI SUZUKI</t>
        </is>
      </c>
      <c r="F3629" s="7" t="inlineStr">
        <is>
          <t>S-Presso</t>
        </is>
      </c>
      <c r="G3629" s="7" t="inlineStr">
        <is>
          <t>CASTLE TRADERS MARUTI</t>
        </is>
      </c>
      <c r="H3629" s="7" t="inlineStr">
        <is>
          <t>Non-Captive</t>
        </is>
      </c>
      <c r="I3629" s="7" t="inlineStr">
        <is>
          <t>AAA Cars</t>
        </is>
      </c>
      <c r="J3629" s="8" t="n">
        <v>2019</v>
      </c>
      <c r="K3629" s="9" t="n">
        <v>113132</v>
      </c>
      <c r="L3629" s="10" t="n">
        <v>250000</v>
      </c>
      <c r="M3629" s="10" t="n">
        <v>6355.93</v>
      </c>
      <c r="N3629" s="11">
        <f>IF(M3629="","",ROUND(M3629*1.18,2))</f>
        <v/>
      </c>
      <c r="O3629" s="12">
        <f>IF(M3629="","",ROUND(N3629-M3629,2))</f>
        <v/>
      </c>
      <c r="P3629" s="13">
        <f>IF(AND(A3629&lt;&gt;"",B3629&lt;&gt;""), A3629&amp;" · "&amp;B3629, "")</f>
        <v/>
      </c>
    </row>
    <row r="3630">
      <c r="A3630" s="6" t="inlineStr">
        <is>
          <t>FY27</t>
        </is>
      </c>
      <c r="B3630" s="6" t="inlineStr">
        <is>
          <t>Aug</t>
        </is>
      </c>
      <c r="C3630" s="6" t="inlineStr">
        <is>
          <t>TN</t>
        </is>
      </c>
      <c r="D3630" s="7" t="inlineStr">
        <is>
          <t>TN13T5653</t>
        </is>
      </c>
      <c r="E3630" s="7" t="inlineStr">
        <is>
          <t>MARUTI SUZUKI</t>
        </is>
      </c>
      <c r="F3630" s="7" t="inlineStr">
        <is>
          <t>XL6</t>
        </is>
      </c>
      <c r="G3630" s="7" t="inlineStr">
        <is>
          <t>CASTLE TRADERS MARUTI</t>
        </is>
      </c>
      <c r="H3630" s="7" t="inlineStr">
        <is>
          <t>Non-Captive</t>
        </is>
      </c>
      <c r="I3630" s="7" t="inlineStr">
        <is>
          <t>AS CARS</t>
        </is>
      </c>
      <c r="J3630" s="8" t="n">
        <v>2019</v>
      </c>
      <c r="K3630" s="9" t="n">
        <v>171595</v>
      </c>
      <c r="L3630" s="10" t="n">
        <v>530000</v>
      </c>
      <c r="M3630" s="10" t="n">
        <v>8474.58</v>
      </c>
      <c r="N3630" s="11">
        <f>IF(M3630="","",ROUND(M3630*1.18,2))</f>
        <v/>
      </c>
      <c r="O3630" s="12">
        <f>IF(M3630="","",ROUND(N3630-M3630,2))</f>
        <v/>
      </c>
      <c r="P3630" s="13">
        <f>IF(AND(A3630&lt;&gt;"",B3630&lt;&gt;""), A3630&amp;" · "&amp;B3630, "")</f>
        <v/>
      </c>
    </row>
    <row r="3631">
      <c r="A3631" s="6" t="inlineStr">
        <is>
          <t>FY27</t>
        </is>
      </c>
      <c r="B3631" s="6" t="inlineStr">
        <is>
          <t>Aug</t>
        </is>
      </c>
      <c r="C3631" s="6" t="inlineStr">
        <is>
          <t>TN</t>
        </is>
      </c>
      <c r="D3631" s="7" t="inlineStr">
        <is>
          <t>TN13Y3576</t>
        </is>
      </c>
      <c r="E3631" s="7" t="inlineStr">
        <is>
          <t>MARUTI SUZUKI</t>
        </is>
      </c>
      <c r="F3631" s="7" t="inlineStr">
        <is>
          <t>Alto</t>
        </is>
      </c>
      <c r="G3631" s="7" t="inlineStr">
        <is>
          <t>VISHNU CARS PRIVATE LIMITED</t>
        </is>
      </c>
      <c r="H3631" s="7" t="inlineStr">
        <is>
          <t>Non-Captive</t>
        </is>
      </c>
      <c r="I3631" s="7" t="inlineStr">
        <is>
          <t>Maruthi Industries</t>
        </is>
      </c>
      <c r="J3631" s="8" t="n">
        <v>2022</v>
      </c>
      <c r="K3631" s="9" t="n">
        <v>25765</v>
      </c>
      <c r="L3631" s="10" t="n">
        <v>98000</v>
      </c>
      <c r="M3631" s="10" t="n">
        <v>3389.83</v>
      </c>
      <c r="N3631" s="11">
        <f>IF(M3631="","",ROUND(M3631*1.18,2))</f>
        <v/>
      </c>
      <c r="O3631" s="12">
        <f>IF(M3631="","",ROUND(N3631-M3631,2))</f>
        <v/>
      </c>
      <c r="P3631" s="13">
        <f>IF(AND(A3631&lt;&gt;"",B3631&lt;&gt;""), A3631&amp;" · "&amp;B3631, "")</f>
        <v/>
      </c>
    </row>
    <row r="3632">
      <c r="A3632" s="6" t="inlineStr">
        <is>
          <t>FY27</t>
        </is>
      </c>
      <c r="B3632" s="6" t="inlineStr">
        <is>
          <t>Aug</t>
        </is>
      </c>
      <c r="C3632" s="6" t="inlineStr">
        <is>
          <t>TN</t>
        </is>
      </c>
      <c r="D3632" s="7" t="inlineStr">
        <is>
          <t>TN143388</t>
        </is>
      </c>
      <c r="E3632" s="7" t="inlineStr">
        <is>
          <t>HONDA</t>
        </is>
      </c>
      <c r="F3632" s="7" t="inlineStr">
        <is>
          <t>Brio</t>
        </is>
      </c>
      <c r="G3632" s="7" t="inlineStr">
        <is>
          <t>SHREE THIYA CARS</t>
        </is>
      </c>
      <c r="H3632" s="7" t="inlineStr">
        <is>
          <t>Non-Captive</t>
        </is>
      </c>
      <c r="I3632" s="7" t="inlineStr">
        <is>
          <t>Grid 33</t>
        </is>
      </c>
      <c r="J3632" s="8" t="n">
        <v>2014</v>
      </c>
      <c r="K3632" s="9" t="n">
        <v>103256</v>
      </c>
      <c r="L3632" s="10" t="n">
        <v>87000</v>
      </c>
      <c r="M3632" s="10" t="n">
        <v>2542.37</v>
      </c>
      <c r="N3632" s="11">
        <f>IF(M3632="","",ROUND(M3632*1.18,2))</f>
        <v/>
      </c>
      <c r="O3632" s="12">
        <f>IF(M3632="","",ROUND(N3632-M3632,2))</f>
        <v/>
      </c>
      <c r="P3632" s="13">
        <f>IF(AND(A3632&lt;&gt;"",B3632&lt;&gt;""), A3632&amp;" · "&amp;B3632, "")</f>
        <v/>
      </c>
    </row>
    <row r="3633">
      <c r="A3633" s="6" t="inlineStr">
        <is>
          <t>FY27</t>
        </is>
      </c>
      <c r="B3633" s="6" t="inlineStr">
        <is>
          <t>Aug</t>
        </is>
      </c>
      <c r="C3633" s="6" t="inlineStr">
        <is>
          <t>TN</t>
        </is>
      </c>
      <c r="D3633" s="7" t="inlineStr">
        <is>
          <t>TN143594</t>
        </is>
      </c>
      <c r="E3633" s="7" t="inlineStr">
        <is>
          <t>CHEVROLET</t>
        </is>
      </c>
      <c r="F3633" s="7" t="inlineStr">
        <is>
          <t>Beat</t>
        </is>
      </c>
      <c r="G3633" s="7" t="inlineStr">
        <is>
          <t>CASTLE TRADERS MARUTI</t>
        </is>
      </c>
      <c r="H3633" s="7" t="inlineStr">
        <is>
          <t>Non-Captive</t>
        </is>
      </c>
      <c r="I3633" s="7" t="inlineStr">
        <is>
          <t>Harsha Cars Porur</t>
        </is>
      </c>
      <c r="J3633" s="8" t="n">
        <v>2014</v>
      </c>
      <c r="K3633" s="9" t="n">
        <v>93860</v>
      </c>
      <c r="L3633" s="10" t="n">
        <v>96000</v>
      </c>
      <c r="M3633" s="10" t="n">
        <v>4237.29</v>
      </c>
      <c r="N3633" s="11">
        <f>IF(M3633="","",ROUND(M3633*1.18,2))</f>
        <v/>
      </c>
      <c r="O3633" s="12">
        <f>IF(M3633="","",ROUND(N3633-M3633,2))</f>
        <v/>
      </c>
      <c r="P3633" s="13">
        <f>IF(AND(A3633&lt;&gt;"",B3633&lt;&gt;""), A3633&amp;" · "&amp;B3633, "")</f>
        <v/>
      </c>
    </row>
    <row r="3634">
      <c r="A3634" s="6" t="inlineStr">
        <is>
          <t>FY27</t>
        </is>
      </c>
      <c r="B3634" s="6" t="inlineStr">
        <is>
          <t>Aug</t>
        </is>
      </c>
      <c r="C3634" s="6" t="inlineStr">
        <is>
          <t>TN</t>
        </is>
      </c>
      <c r="D3634" s="7" t="inlineStr">
        <is>
          <t>TN14AD9088</t>
        </is>
      </c>
      <c r="E3634" s="7" t="inlineStr">
        <is>
          <t>MARUTI SUZUKI</t>
        </is>
      </c>
      <c r="F3634" s="7" t="inlineStr">
        <is>
          <t>Baleno</t>
        </is>
      </c>
      <c r="G3634" s="7" t="inlineStr">
        <is>
          <t>CASTLE TRADERS MARUTI</t>
        </is>
      </c>
      <c r="H3634" s="7" t="inlineStr">
        <is>
          <t>Non-Captive</t>
        </is>
      </c>
      <c r="I3634" s="7" t="inlineStr">
        <is>
          <t>Rithika cars</t>
        </is>
      </c>
      <c r="J3634" s="8" t="n">
        <v>2023</v>
      </c>
      <c r="K3634" s="9" t="n">
        <v>99999</v>
      </c>
      <c r="L3634" s="10" t="n">
        <v>480000</v>
      </c>
      <c r="M3634" s="10" t="n">
        <v>5084.75</v>
      </c>
      <c r="N3634" s="11">
        <f>IF(M3634="","",ROUND(M3634*1.18,2))</f>
        <v/>
      </c>
      <c r="O3634" s="12">
        <f>IF(M3634="","",ROUND(N3634-M3634,2))</f>
        <v/>
      </c>
      <c r="P3634" s="13">
        <f>IF(AND(A3634&lt;&gt;"",B3634&lt;&gt;""), A3634&amp;" · "&amp;B3634, "")</f>
        <v/>
      </c>
    </row>
    <row r="3635">
      <c r="A3635" s="6" t="inlineStr">
        <is>
          <t>FY27</t>
        </is>
      </c>
      <c r="B3635" s="6" t="inlineStr">
        <is>
          <t>Aug</t>
        </is>
      </c>
      <c r="C3635" s="6" t="inlineStr">
        <is>
          <t>TN</t>
        </is>
      </c>
      <c r="D3635" s="7" t="inlineStr">
        <is>
          <t>TN14C2640</t>
        </is>
      </c>
      <c r="E3635" s="7" t="inlineStr">
        <is>
          <t>FIAT</t>
        </is>
      </c>
      <c r="F3635" s="7" t="inlineStr">
        <is>
          <t>Grand Punto</t>
        </is>
      </c>
      <c r="G3635" s="7" t="inlineStr">
        <is>
          <t>CASTLE TRADERS MARUTI</t>
        </is>
      </c>
      <c r="H3635" s="7" t="inlineStr">
        <is>
          <t>Non-Captive</t>
        </is>
      </c>
      <c r="I3635" s="7" t="inlineStr">
        <is>
          <t>Pine Autos</t>
        </is>
      </c>
      <c r="J3635" s="8" t="n">
        <v>2015</v>
      </c>
      <c r="K3635" s="9" t="n">
        <v>122798</v>
      </c>
      <c r="L3635" s="10" t="n">
        <v>97000</v>
      </c>
      <c r="M3635" s="10" t="n">
        <v>2542.37</v>
      </c>
      <c r="N3635" s="11">
        <f>IF(M3635="","",ROUND(M3635*1.18,2))</f>
        <v/>
      </c>
      <c r="O3635" s="12">
        <f>IF(M3635="","",ROUND(N3635-M3635,2))</f>
        <v/>
      </c>
      <c r="P3635" s="13">
        <f>IF(AND(A3635&lt;&gt;"",B3635&lt;&gt;""), A3635&amp;" · "&amp;B3635, "")</f>
        <v/>
      </c>
    </row>
    <row r="3636">
      <c r="A3636" s="6" t="inlineStr">
        <is>
          <t>FY27</t>
        </is>
      </c>
      <c r="B3636" s="6" t="inlineStr">
        <is>
          <t>Aug</t>
        </is>
      </c>
      <c r="C3636" s="6" t="inlineStr">
        <is>
          <t>TN</t>
        </is>
      </c>
      <c r="D3636" s="7" t="inlineStr">
        <is>
          <t>TN14C5436</t>
        </is>
      </c>
      <c r="E3636" s="7" t="inlineStr">
        <is>
          <t>TATA</t>
        </is>
      </c>
      <c r="F3636" s="7" t="inlineStr">
        <is>
          <t>Indica</t>
        </is>
      </c>
      <c r="G3636" s="7" t="inlineStr">
        <is>
          <t>LAKSHMI TATA</t>
        </is>
      </c>
      <c r="H3636" s="7" t="inlineStr">
        <is>
          <t>Non-Captive</t>
        </is>
      </c>
      <c r="I3636" s="7" t="inlineStr">
        <is>
          <t>Thiyagarajan Raja Cars</t>
        </is>
      </c>
      <c r="J3636" s="8" t="n">
        <v>2015</v>
      </c>
      <c r="K3636" s="9" t="n">
        <v>74878</v>
      </c>
      <c r="L3636" s="10" t="n">
        <v>99000</v>
      </c>
      <c r="M3636" s="10" t="n">
        <v>2542.37</v>
      </c>
      <c r="N3636" s="11">
        <f>IF(M3636="","",ROUND(M3636*1.18,2))</f>
        <v/>
      </c>
      <c r="O3636" s="12">
        <f>IF(M3636="","",ROUND(N3636-M3636,2))</f>
        <v/>
      </c>
      <c r="P3636" s="13">
        <f>IF(AND(A3636&lt;&gt;"",B3636&lt;&gt;""), A3636&amp;" · "&amp;B3636, "")</f>
        <v/>
      </c>
    </row>
    <row r="3637">
      <c r="A3637" s="6" t="inlineStr">
        <is>
          <t>FY27</t>
        </is>
      </c>
      <c r="B3637" s="6" t="inlineStr">
        <is>
          <t>Aug</t>
        </is>
      </c>
      <c r="C3637" s="6" t="inlineStr">
        <is>
          <t>TN</t>
        </is>
      </c>
      <c r="D3637" s="7" t="inlineStr">
        <is>
          <t>TN18AC1174</t>
        </is>
      </c>
      <c r="E3637" s="7" t="inlineStr">
        <is>
          <t>FORD</t>
        </is>
      </c>
      <c r="F3637" s="7" t="inlineStr">
        <is>
          <t>Figo</t>
        </is>
      </c>
      <c r="G3637" s="7" t="inlineStr">
        <is>
          <t>RAJALAKSHMI CARS</t>
        </is>
      </c>
      <c r="H3637" s="7" t="inlineStr">
        <is>
          <t>Non-Captive</t>
        </is>
      </c>
      <c r="I3637" s="7" t="inlineStr">
        <is>
          <t>Pine Autos</t>
        </is>
      </c>
      <c r="J3637" s="8" t="n">
        <v>2014</v>
      </c>
      <c r="K3637" s="9" t="n">
        <v>43996</v>
      </c>
      <c r="L3637" s="10" t="n">
        <v>94000</v>
      </c>
      <c r="M3637" s="10" t="n">
        <v>4237.29</v>
      </c>
      <c r="N3637" s="11">
        <f>IF(M3637="","",ROUND(M3637*1.18,2))</f>
        <v/>
      </c>
      <c r="O3637" s="12">
        <f>IF(M3637="","",ROUND(N3637-M3637,2))</f>
        <v/>
      </c>
      <c r="P3637" s="13">
        <f>IF(AND(A3637&lt;&gt;"",B3637&lt;&gt;""), A3637&amp;" · "&amp;B3637, "")</f>
        <v/>
      </c>
    </row>
    <row r="3638">
      <c r="A3638" s="6" t="inlineStr">
        <is>
          <t>FY27</t>
        </is>
      </c>
      <c r="B3638" s="6" t="inlineStr">
        <is>
          <t>Aug</t>
        </is>
      </c>
      <c r="C3638" s="6" t="inlineStr">
        <is>
          <t>TN</t>
        </is>
      </c>
      <c r="D3638" s="7" t="inlineStr">
        <is>
          <t>TN18AJ6041</t>
        </is>
      </c>
      <c r="E3638" s="7" t="inlineStr">
        <is>
          <t>MARUTI SUZUKI</t>
        </is>
      </c>
      <c r="F3638" s="7" t="inlineStr">
        <is>
          <t>Baleno</t>
        </is>
      </c>
      <c r="G3638" s="7" t="inlineStr">
        <is>
          <t>CASTLE TRADERS MARUTI</t>
        </is>
      </c>
      <c r="H3638" s="7" t="inlineStr">
        <is>
          <t>Non-Captive</t>
        </is>
      </c>
      <c r="I3638" s="7" t="inlineStr">
        <is>
          <t>Cars24</t>
        </is>
      </c>
      <c r="J3638" s="8" t="n">
        <v>2016</v>
      </c>
      <c r="K3638" s="9" t="n">
        <v>186101</v>
      </c>
      <c r="L3638" s="10" t="n">
        <v>304500</v>
      </c>
      <c r="M3638" s="10" t="n">
        <v>6355.93</v>
      </c>
      <c r="N3638" s="11">
        <f>IF(M3638="","",ROUND(M3638*1.18,2))</f>
        <v/>
      </c>
      <c r="O3638" s="12">
        <f>IF(M3638="","",ROUND(N3638-M3638,2))</f>
        <v/>
      </c>
      <c r="P3638" s="13">
        <f>IF(AND(A3638&lt;&gt;"",B3638&lt;&gt;""), A3638&amp;" · "&amp;B3638, "")</f>
        <v/>
      </c>
    </row>
    <row r="3639">
      <c r="A3639" s="6" t="inlineStr">
        <is>
          <t>FY27</t>
        </is>
      </c>
      <c r="B3639" s="6" t="inlineStr">
        <is>
          <t>Aug</t>
        </is>
      </c>
      <c r="C3639" s="6" t="inlineStr">
        <is>
          <t>TN</t>
        </is>
      </c>
      <c r="D3639" s="7" t="inlineStr">
        <is>
          <t>TN18AV6039</t>
        </is>
      </c>
      <c r="E3639" s="7" t="inlineStr">
        <is>
          <t>TATA</t>
        </is>
      </c>
      <c r="F3639" s="7" t="inlineStr">
        <is>
          <t>Tigor</t>
        </is>
      </c>
      <c r="G3639" s="7" t="inlineStr">
        <is>
          <t>EXCHANGE CHENNAI</t>
        </is>
      </c>
      <c r="H3639" s="7" t="inlineStr">
        <is>
          <t>Captive</t>
        </is>
      </c>
      <c r="I3639" s="7" t="inlineStr">
        <is>
          <t>Nirmal Cars</t>
        </is>
      </c>
      <c r="J3639" s="8" t="n">
        <v>2019</v>
      </c>
      <c r="K3639" s="9" t="n">
        <v>95898</v>
      </c>
      <c r="L3639" s="10" t="n">
        <v>340000</v>
      </c>
      <c r="M3639" s="10" t="n">
        <v>8474.58</v>
      </c>
      <c r="N3639" s="11">
        <f>IF(M3639="","",ROUND(M3639*1.18,2))</f>
        <v/>
      </c>
      <c r="O3639" s="12">
        <f>IF(M3639="","",ROUND(N3639-M3639,2))</f>
        <v/>
      </c>
      <c r="P3639" s="13">
        <f>IF(AND(A3639&lt;&gt;"",B3639&lt;&gt;""), A3639&amp;" · "&amp;B3639, "")</f>
        <v/>
      </c>
    </row>
    <row r="3640">
      <c r="A3640" s="6" t="inlineStr">
        <is>
          <t>FY27</t>
        </is>
      </c>
      <c r="B3640" s="6" t="inlineStr">
        <is>
          <t>Aug</t>
        </is>
      </c>
      <c r="C3640" s="6" t="inlineStr">
        <is>
          <t>TN</t>
        </is>
      </c>
      <c r="D3640" s="7" t="inlineStr">
        <is>
          <t>TN18AW3240</t>
        </is>
      </c>
      <c r="E3640" s="7" t="inlineStr">
        <is>
          <t>HONDA</t>
        </is>
      </c>
      <c r="F3640" s="7" t="inlineStr">
        <is>
          <t>BR-V</t>
        </is>
      </c>
      <c r="G3640" s="7" t="inlineStr">
        <is>
          <t>CASTLE TRADERS MARUTI</t>
        </is>
      </c>
      <c r="H3640" s="7" t="inlineStr">
        <is>
          <t>Non-Captive</t>
        </is>
      </c>
      <c r="I3640" s="7" t="inlineStr">
        <is>
          <t>Pine Autos</t>
        </is>
      </c>
      <c r="J3640" s="8" t="n">
        <v>2019</v>
      </c>
      <c r="K3640" s="9" t="n">
        <v>54571</v>
      </c>
      <c r="L3640" s="10" t="n">
        <v>620000</v>
      </c>
      <c r="M3640" s="10" t="n">
        <v>8474.58</v>
      </c>
      <c r="N3640" s="11">
        <f>IF(M3640="","",ROUND(M3640*1.18,2))</f>
        <v/>
      </c>
      <c r="O3640" s="12">
        <f>IF(M3640="","",ROUND(N3640-M3640,2))</f>
        <v/>
      </c>
      <c r="P3640" s="13">
        <f>IF(AND(A3640&lt;&gt;"",B3640&lt;&gt;""), A3640&amp;" · "&amp;B3640, "")</f>
        <v/>
      </c>
    </row>
    <row r="3641">
      <c r="A3641" s="6" t="inlineStr">
        <is>
          <t>FY27</t>
        </is>
      </c>
      <c r="B3641" s="6" t="inlineStr">
        <is>
          <t>Aug</t>
        </is>
      </c>
      <c r="C3641" s="6" t="inlineStr">
        <is>
          <t>TN</t>
        </is>
      </c>
      <c r="D3641" s="7" t="inlineStr">
        <is>
          <t>TN18BC5434</t>
        </is>
      </c>
      <c r="E3641" s="7" t="inlineStr">
        <is>
          <t>MARUTI SUZUKI</t>
        </is>
      </c>
      <c r="F3641" s="7" t="inlineStr">
        <is>
          <t>Eeco</t>
        </is>
      </c>
      <c r="G3641" s="7" t="inlineStr">
        <is>
          <t>CASTLE TRADERS MARUTI</t>
        </is>
      </c>
      <c r="H3641" s="7" t="inlineStr">
        <is>
          <t>Non-Captive</t>
        </is>
      </c>
      <c r="I3641" s="7" t="inlineStr">
        <is>
          <t>AAA Cars</t>
        </is>
      </c>
      <c r="J3641" s="8" t="n">
        <v>2020</v>
      </c>
      <c r="K3641" s="9" t="n">
        <v>28395</v>
      </c>
      <c r="L3641" s="10" t="n">
        <v>360000</v>
      </c>
      <c r="M3641" s="10" t="n">
        <v>6355.93</v>
      </c>
      <c r="N3641" s="11">
        <f>IF(M3641="","",ROUND(M3641*1.18,2))</f>
        <v/>
      </c>
      <c r="O3641" s="12">
        <f>IF(M3641="","",ROUND(N3641-M3641,2))</f>
        <v/>
      </c>
      <c r="P3641" s="13">
        <f>IF(AND(A3641&lt;&gt;"",B3641&lt;&gt;""), A3641&amp;" · "&amp;B3641, "")</f>
        <v/>
      </c>
    </row>
    <row r="3642">
      <c r="A3642" s="6" t="inlineStr">
        <is>
          <t>FY27</t>
        </is>
      </c>
      <c r="B3642" s="6" t="inlineStr">
        <is>
          <t>Aug</t>
        </is>
      </c>
      <c r="C3642" s="6" t="inlineStr">
        <is>
          <t>TN</t>
        </is>
      </c>
      <c r="D3642" s="7" t="inlineStr">
        <is>
          <t>TN18BJ5140</t>
        </is>
      </c>
      <c r="E3642" s="7" t="inlineStr">
        <is>
          <t>MARUTI SUZUKI</t>
        </is>
      </c>
      <c r="F3642" s="7" t="inlineStr">
        <is>
          <t>S-Presso</t>
        </is>
      </c>
      <c r="G3642" s="7" t="inlineStr">
        <is>
          <t>ABT LIMITED</t>
        </is>
      </c>
      <c r="H3642" s="7" t="inlineStr">
        <is>
          <t>Non-Captive</t>
        </is>
      </c>
      <c r="I3642" s="7" t="inlineStr">
        <is>
          <t>Pine Autos</t>
        </is>
      </c>
      <c r="J3642" s="8" t="n">
        <v>2022</v>
      </c>
      <c r="K3642" s="9" t="n">
        <v>14866</v>
      </c>
      <c r="L3642" s="10" t="n">
        <v>95000</v>
      </c>
      <c r="M3642" s="10" t="n">
        <v>4237.29</v>
      </c>
      <c r="N3642" s="11">
        <f>IF(M3642="","",ROUND(M3642*1.18,2))</f>
        <v/>
      </c>
      <c r="O3642" s="12">
        <f>IF(M3642="","",ROUND(N3642-M3642,2))</f>
        <v/>
      </c>
      <c r="P3642" s="13">
        <f>IF(AND(A3642&lt;&gt;"",B3642&lt;&gt;""), A3642&amp;" · "&amp;B3642, "")</f>
        <v/>
      </c>
    </row>
    <row r="3643">
      <c r="A3643" s="6" t="inlineStr">
        <is>
          <t>FY27</t>
        </is>
      </c>
      <c r="B3643" s="6" t="inlineStr">
        <is>
          <t>Aug</t>
        </is>
      </c>
      <c r="C3643" s="6" t="inlineStr">
        <is>
          <t>TN</t>
        </is>
      </c>
      <c r="D3643" s="7" t="inlineStr">
        <is>
          <t>TN18BU4605</t>
        </is>
      </c>
      <c r="E3643" s="7" t="inlineStr">
        <is>
          <t>RENAULT</t>
        </is>
      </c>
      <c r="F3643" s="7" t="inlineStr">
        <is>
          <t>Kiger</t>
        </is>
      </c>
      <c r="G3643" s="7" t="inlineStr">
        <is>
          <t>CASTLE TRADERS MARUTI</t>
        </is>
      </c>
      <c r="H3643" s="7" t="inlineStr">
        <is>
          <t>Non-Captive</t>
        </is>
      </c>
      <c r="I3643" s="7" t="inlineStr">
        <is>
          <t>car Hub</t>
        </is>
      </c>
      <c r="J3643" s="8" t="n">
        <v>2024</v>
      </c>
      <c r="K3643" s="9" t="n">
        <v>21230</v>
      </c>
      <c r="L3643" s="10" t="n">
        <v>535000</v>
      </c>
      <c r="M3643" s="10" t="n">
        <v>7627.12</v>
      </c>
      <c r="N3643" s="11">
        <f>IF(M3643="","",ROUND(M3643*1.18,2))</f>
        <v/>
      </c>
      <c r="O3643" s="12">
        <f>IF(M3643="","",ROUND(N3643-M3643,2))</f>
        <v/>
      </c>
      <c r="P3643" s="13">
        <f>IF(AND(A3643&lt;&gt;"",B3643&lt;&gt;""), A3643&amp;" · "&amp;B3643, "")</f>
        <v/>
      </c>
    </row>
    <row r="3644">
      <c r="A3644" s="6" t="inlineStr">
        <is>
          <t>FY27</t>
        </is>
      </c>
      <c r="B3644" s="6" t="inlineStr">
        <is>
          <t>Aug</t>
        </is>
      </c>
      <c r="C3644" s="6" t="inlineStr">
        <is>
          <t>TN</t>
        </is>
      </c>
      <c r="D3644" s="7" t="inlineStr">
        <is>
          <t>TN18BX1668</t>
        </is>
      </c>
      <c r="E3644" s="7" t="inlineStr">
        <is>
          <t>HYUNDAI</t>
        </is>
      </c>
      <c r="F3644" s="7" t="inlineStr">
        <is>
          <t>Verna</t>
        </is>
      </c>
      <c r="G3644" s="7" t="inlineStr">
        <is>
          <t>PRODUCTIVITY ELEMENTS PRIVATE LIMITED</t>
        </is>
      </c>
      <c r="H3644" s="7" t="inlineStr">
        <is>
          <t>Non-Captive</t>
        </is>
      </c>
      <c r="I3644" s="7" t="inlineStr">
        <is>
          <t>Pine Autos</t>
        </is>
      </c>
      <c r="J3644" s="8" t="n">
        <v>2025</v>
      </c>
      <c r="K3644" s="9" t="n">
        <v>29074</v>
      </c>
      <c r="L3644" s="10" t="n">
        <v>89000</v>
      </c>
      <c r="M3644" s="10" t="n">
        <v>2542.37</v>
      </c>
      <c r="N3644" s="11">
        <f>IF(M3644="","",ROUND(M3644*1.18,2))</f>
        <v/>
      </c>
      <c r="O3644" s="12">
        <f>IF(M3644="","",ROUND(N3644-M3644,2))</f>
        <v/>
      </c>
      <c r="P3644" s="13">
        <f>IF(AND(A3644&lt;&gt;"",B3644&lt;&gt;""), A3644&amp;" · "&amp;B3644, "")</f>
        <v/>
      </c>
    </row>
    <row r="3645">
      <c r="A3645" s="6" t="inlineStr">
        <is>
          <t>FY27</t>
        </is>
      </c>
      <c r="B3645" s="6" t="inlineStr">
        <is>
          <t>Aug</t>
        </is>
      </c>
      <c r="C3645" s="6" t="inlineStr">
        <is>
          <t>TN</t>
        </is>
      </c>
      <c r="D3645" s="7" t="inlineStr">
        <is>
          <t>TN18D5536</t>
        </is>
      </c>
      <c r="E3645" s="7" t="inlineStr">
        <is>
          <t>HONDA</t>
        </is>
      </c>
      <c r="F3645" s="7" t="inlineStr">
        <is>
          <t>Civic</t>
        </is>
      </c>
      <c r="G3645" s="7" t="inlineStr">
        <is>
          <t>SHREE THIYA CARS</t>
        </is>
      </c>
      <c r="H3645" s="7" t="inlineStr">
        <is>
          <t>Non-Captive</t>
        </is>
      </c>
      <c r="I3645" s="7" t="inlineStr">
        <is>
          <t>Cars24</t>
        </is>
      </c>
      <c r="J3645" s="8" t="n">
        <v>2010</v>
      </c>
      <c r="K3645" s="9" t="n">
        <v>86800</v>
      </c>
      <c r="L3645" s="10" t="n">
        <v>98000</v>
      </c>
      <c r="M3645" s="10" t="n">
        <v>4237.29</v>
      </c>
      <c r="N3645" s="11">
        <f>IF(M3645="","",ROUND(M3645*1.18,2))</f>
        <v/>
      </c>
      <c r="O3645" s="12">
        <f>IF(M3645="","",ROUND(N3645-M3645,2))</f>
        <v/>
      </c>
      <c r="P3645" s="13">
        <f>IF(AND(A3645&lt;&gt;"",B3645&lt;&gt;""), A3645&amp;" · "&amp;B3645, "")</f>
        <v/>
      </c>
    </row>
    <row r="3646">
      <c r="A3646" s="6" t="inlineStr">
        <is>
          <t>FY27</t>
        </is>
      </c>
      <c r="B3646" s="6" t="inlineStr">
        <is>
          <t>Aug</t>
        </is>
      </c>
      <c r="C3646" s="6" t="inlineStr">
        <is>
          <t>TN</t>
        </is>
      </c>
      <c r="D3646" s="7" t="inlineStr">
        <is>
          <t>TN18T3406</t>
        </is>
      </c>
      <c r="E3646" s="7" t="inlineStr">
        <is>
          <t>NISSAN</t>
        </is>
      </c>
      <c r="F3646" s="7" t="inlineStr">
        <is>
          <t>Micra</t>
        </is>
      </c>
      <c r="G3646" s="7" t="inlineStr">
        <is>
          <t>CASTLE TRADERS MARUTI</t>
        </is>
      </c>
      <c r="H3646" s="7" t="inlineStr">
        <is>
          <t>Non-Captive</t>
        </is>
      </c>
      <c r="I3646" s="7" t="inlineStr">
        <is>
          <t>S2 MOTORZ</t>
        </is>
      </c>
      <c r="J3646" s="8" t="n">
        <v>2013</v>
      </c>
      <c r="K3646" s="9" t="n">
        <v>187737</v>
      </c>
      <c r="L3646" s="10" t="n">
        <v>120000</v>
      </c>
      <c r="M3646" s="10" t="n">
        <v>5084.75</v>
      </c>
      <c r="N3646" s="11">
        <f>IF(M3646="","",ROUND(M3646*1.18,2))</f>
        <v/>
      </c>
      <c r="O3646" s="12">
        <f>IF(M3646="","",ROUND(N3646-M3646,2))</f>
        <v/>
      </c>
      <c r="P3646" s="13">
        <f>IF(AND(A3646&lt;&gt;"",B3646&lt;&gt;""), A3646&amp;" · "&amp;B3646, "")</f>
        <v/>
      </c>
    </row>
    <row r="3647">
      <c r="A3647" s="6" t="inlineStr">
        <is>
          <t>FY27</t>
        </is>
      </c>
      <c r="B3647" s="6" t="inlineStr">
        <is>
          <t>Aug</t>
        </is>
      </c>
      <c r="C3647" s="6" t="inlineStr">
        <is>
          <t>TN</t>
        </is>
      </c>
      <c r="D3647" s="7" t="inlineStr">
        <is>
          <t>TN18U1859</t>
        </is>
      </c>
      <c r="E3647" s="7" t="inlineStr">
        <is>
          <t>HONDA</t>
        </is>
      </c>
      <c r="F3647" s="7" t="inlineStr">
        <is>
          <t>Amaze</t>
        </is>
      </c>
      <c r="G3647" s="7" t="inlineStr">
        <is>
          <t>CASTLE TRADERS HONDA</t>
        </is>
      </c>
      <c r="H3647" s="7" t="inlineStr">
        <is>
          <t>Non-Captive</t>
        </is>
      </c>
      <c r="I3647" s="7" t="inlineStr">
        <is>
          <t>Aasim Motors</t>
        </is>
      </c>
      <c r="J3647" s="8" t="n">
        <v>2013</v>
      </c>
      <c r="K3647" s="9" t="n">
        <v>99999</v>
      </c>
      <c r="L3647" s="10" t="n">
        <v>125000</v>
      </c>
      <c r="M3647" s="10" t="n">
        <v>4237.29</v>
      </c>
      <c r="N3647" s="11">
        <f>IF(M3647="","",ROUND(M3647*1.18,2))</f>
        <v/>
      </c>
      <c r="O3647" s="12">
        <f>IF(M3647="","",ROUND(N3647-M3647,2))</f>
        <v/>
      </c>
      <c r="P3647" s="13">
        <f>IF(AND(A3647&lt;&gt;"",B3647&lt;&gt;""), A3647&amp;" · "&amp;B3647, "")</f>
        <v/>
      </c>
    </row>
    <row r="3648">
      <c r="A3648" s="6" t="inlineStr">
        <is>
          <t>FY27</t>
        </is>
      </c>
      <c r="B3648" s="6" t="inlineStr">
        <is>
          <t>Aug</t>
        </is>
      </c>
      <c r="C3648" s="6" t="inlineStr">
        <is>
          <t>TN</t>
        </is>
      </c>
      <c r="D3648" s="7" t="inlineStr">
        <is>
          <t>TN18Y3206</t>
        </is>
      </c>
      <c r="E3648" s="7" t="inlineStr">
        <is>
          <t>MARUTI SUZUKI</t>
        </is>
      </c>
      <c r="F3648" s="7" t="inlineStr">
        <is>
          <t>Swift</t>
        </is>
      </c>
      <c r="G3648" s="7" t="inlineStr">
        <is>
          <t>AIE CARS PRIVATE LIMITED</t>
        </is>
      </c>
      <c r="H3648" s="7" t="inlineStr">
        <is>
          <t>Non-Captive</t>
        </is>
      </c>
      <c r="I3648" s="7" t="inlineStr">
        <is>
          <t>Nirmal Cars</t>
        </is>
      </c>
      <c r="J3648" s="8" t="n">
        <v>2011</v>
      </c>
      <c r="K3648" s="9" t="n">
        <v>98564</v>
      </c>
      <c r="L3648" s="10" t="n">
        <v>87000</v>
      </c>
      <c r="M3648" s="10" t="n">
        <v>2542.37</v>
      </c>
      <c r="N3648" s="11">
        <f>IF(M3648="","",ROUND(M3648*1.18,2))</f>
        <v/>
      </c>
      <c r="O3648" s="12">
        <f>IF(M3648="","",ROUND(N3648-M3648,2))</f>
        <v/>
      </c>
      <c r="P3648" s="13">
        <f>IF(AND(A3648&lt;&gt;"",B3648&lt;&gt;""), A3648&amp;" · "&amp;B3648, "")</f>
        <v/>
      </c>
    </row>
    <row r="3649">
      <c r="A3649" s="6" t="inlineStr">
        <is>
          <t>FY27</t>
        </is>
      </c>
      <c r="B3649" s="6" t="inlineStr">
        <is>
          <t>Aug</t>
        </is>
      </c>
      <c r="C3649" s="6" t="inlineStr">
        <is>
          <t>TN</t>
        </is>
      </c>
      <c r="D3649" s="7" t="inlineStr">
        <is>
          <t>TN19AD2800</t>
        </is>
      </c>
      <c r="E3649" s="7" t="inlineStr">
        <is>
          <t>HONDA</t>
        </is>
      </c>
      <c r="F3649" s="7" t="inlineStr">
        <is>
          <t>City</t>
        </is>
      </c>
      <c r="G3649" s="7" t="inlineStr">
        <is>
          <t>INDUS</t>
        </is>
      </c>
      <c r="H3649" s="7" t="inlineStr">
        <is>
          <t>Non-Captive</t>
        </is>
      </c>
      <c r="I3649" s="7" t="inlineStr">
        <is>
          <t>Cars24</t>
        </is>
      </c>
      <c r="J3649" s="8" t="n">
        <v>2017</v>
      </c>
      <c r="K3649" s="9" t="n">
        <v>99354</v>
      </c>
      <c r="L3649" s="10" t="n">
        <v>98000</v>
      </c>
      <c r="M3649" s="10" t="n">
        <v>4237.29</v>
      </c>
      <c r="N3649" s="11">
        <f>IF(M3649="","",ROUND(M3649*1.18,2))</f>
        <v/>
      </c>
      <c r="O3649" s="12">
        <f>IF(M3649="","",ROUND(N3649-M3649,2))</f>
        <v/>
      </c>
      <c r="P3649" s="13">
        <f>IF(AND(A3649&lt;&gt;"",B3649&lt;&gt;""), A3649&amp;" · "&amp;B3649, "")</f>
        <v/>
      </c>
    </row>
    <row r="3650">
      <c r="A3650" s="6" t="inlineStr">
        <is>
          <t>FY27</t>
        </is>
      </c>
      <c r="B3650" s="6" t="inlineStr">
        <is>
          <t>Aug</t>
        </is>
      </c>
      <c r="C3650" s="6" t="inlineStr">
        <is>
          <t>TN</t>
        </is>
      </c>
      <c r="D3650" s="7" t="inlineStr">
        <is>
          <t>TN19H8850</t>
        </is>
      </c>
      <c r="E3650" s="7" t="inlineStr">
        <is>
          <t>FORD</t>
        </is>
      </c>
      <c r="F3650" s="7" t="inlineStr">
        <is>
          <t>EcoSport</t>
        </is>
      </c>
      <c r="G3650" s="7" t="inlineStr">
        <is>
          <t>RAJALAKSHMI CARS</t>
        </is>
      </c>
      <c r="H3650" s="7" t="inlineStr">
        <is>
          <t>Non-Captive</t>
        </is>
      </c>
      <c r="I3650" s="7" t="inlineStr">
        <is>
          <t>Value Drive Tech</t>
        </is>
      </c>
      <c r="J3650" s="8" t="n">
        <v>2012</v>
      </c>
      <c r="K3650" s="9" t="n">
        <v>123674</v>
      </c>
      <c r="L3650" s="10" t="n">
        <v>98000</v>
      </c>
      <c r="M3650" s="10" t="n">
        <v>4237.29</v>
      </c>
      <c r="N3650" s="11">
        <f>IF(M3650="","",ROUND(M3650*1.18,2))</f>
        <v/>
      </c>
      <c r="O3650" s="12">
        <f>IF(M3650="","",ROUND(N3650-M3650,2))</f>
        <v/>
      </c>
      <c r="P3650" s="13">
        <f>IF(AND(A3650&lt;&gt;"",B3650&lt;&gt;""), A3650&amp;" · "&amp;B3650, "")</f>
        <v/>
      </c>
    </row>
    <row r="3651">
      <c r="A3651" s="6" t="inlineStr">
        <is>
          <t>FY27</t>
        </is>
      </c>
      <c r="B3651" s="6" t="inlineStr">
        <is>
          <t>Aug</t>
        </is>
      </c>
      <c r="C3651" s="6" t="inlineStr">
        <is>
          <t>TN</t>
        </is>
      </c>
      <c r="D3651" s="7" t="inlineStr">
        <is>
          <t>TN19R0217</t>
        </is>
      </c>
      <c r="E3651" s="7" t="inlineStr">
        <is>
          <t>HYUNDAI</t>
        </is>
      </c>
      <c r="F3651" s="7" t="inlineStr">
        <is>
          <t>Eon</t>
        </is>
      </c>
      <c r="G3651" s="7" t="inlineStr">
        <is>
          <t>CARS INDIA</t>
        </is>
      </c>
      <c r="H3651" s="7" t="inlineStr">
        <is>
          <t>Non-Captive</t>
        </is>
      </c>
      <c r="I3651" s="7" t="inlineStr">
        <is>
          <t>Grid 33</t>
        </is>
      </c>
      <c r="J3651" s="8" t="n">
        <v>2015</v>
      </c>
      <c r="K3651" s="9" t="n">
        <v>98476</v>
      </c>
      <c r="L3651" s="10" t="n">
        <v>98000</v>
      </c>
      <c r="M3651" s="10" t="n">
        <v>4237.29</v>
      </c>
      <c r="N3651" s="11">
        <f>IF(M3651="","",ROUND(M3651*1.18,2))</f>
        <v/>
      </c>
      <c r="O3651" s="12">
        <f>IF(M3651="","",ROUND(N3651-M3651,2))</f>
        <v/>
      </c>
      <c r="P3651" s="13">
        <f>IF(AND(A3651&lt;&gt;"",B3651&lt;&gt;""), A3651&amp;" · "&amp;B3651, "")</f>
        <v/>
      </c>
    </row>
    <row r="3652">
      <c r="A3652" s="6" t="inlineStr">
        <is>
          <t>FY27</t>
        </is>
      </c>
      <c r="B3652" s="6" t="inlineStr">
        <is>
          <t>Aug</t>
        </is>
      </c>
      <c r="C3652" s="6" t="inlineStr">
        <is>
          <t>TN</t>
        </is>
      </c>
      <c r="D3652" s="7" t="inlineStr">
        <is>
          <t>TN20AL2791</t>
        </is>
      </c>
      <c r="E3652" s="7" t="inlineStr">
        <is>
          <t>MARUTI SUZUKI</t>
        </is>
      </c>
      <c r="F3652" s="7" t="inlineStr">
        <is>
          <t>Alto</t>
        </is>
      </c>
      <c r="G3652" s="7" t="inlineStr">
        <is>
          <t>PRODUCTIVITY ELEMENTS PRIVATE LIMITED</t>
        </is>
      </c>
      <c r="H3652" s="7" t="inlineStr">
        <is>
          <t>Non-Captive</t>
        </is>
      </c>
      <c r="I3652" s="7" t="inlineStr">
        <is>
          <t>Harsha Cars Porur</t>
        </is>
      </c>
      <c r="J3652" s="8" t="n">
        <v>2008</v>
      </c>
      <c r="K3652" s="9" t="n">
        <v>18292</v>
      </c>
      <c r="L3652" s="10" t="n">
        <v>96000</v>
      </c>
      <c r="M3652" s="10" t="n">
        <v>4237.29</v>
      </c>
      <c r="N3652" s="11">
        <f>IF(M3652="","",ROUND(M3652*1.18,2))</f>
        <v/>
      </c>
      <c r="O3652" s="12">
        <f>IF(M3652="","",ROUND(N3652-M3652,2))</f>
        <v/>
      </c>
      <c r="P3652" s="13">
        <f>IF(AND(A3652&lt;&gt;"",B3652&lt;&gt;""), A3652&amp;" · "&amp;B3652, "")</f>
        <v/>
      </c>
    </row>
    <row r="3653">
      <c r="A3653" s="6" t="inlineStr">
        <is>
          <t>FY27</t>
        </is>
      </c>
      <c r="B3653" s="6" t="inlineStr">
        <is>
          <t>Aug</t>
        </is>
      </c>
      <c r="C3653" s="6" t="inlineStr">
        <is>
          <t>TN</t>
        </is>
      </c>
      <c r="D3653" s="7" t="inlineStr">
        <is>
          <t>TN20BH2005</t>
        </is>
      </c>
      <c r="E3653" s="7" t="inlineStr">
        <is>
          <t>HYUNDAI</t>
        </is>
      </c>
      <c r="F3653" s="7" t="inlineStr">
        <is>
          <t>i10</t>
        </is>
      </c>
      <c r="G3653" s="7" t="inlineStr">
        <is>
          <t>SHREE THIYA CARS</t>
        </is>
      </c>
      <c r="H3653" s="7" t="inlineStr">
        <is>
          <t>Non-Captive</t>
        </is>
      </c>
      <c r="I3653" s="7" t="inlineStr">
        <is>
          <t>SRI KARUPPAIYA CARS</t>
        </is>
      </c>
      <c r="J3653" s="8" t="n">
        <v>2011</v>
      </c>
      <c r="K3653" s="9" t="n">
        <v>55132</v>
      </c>
      <c r="L3653" s="10" t="n">
        <v>93000</v>
      </c>
      <c r="M3653" s="10" t="n">
        <v>4237.29</v>
      </c>
      <c r="N3653" s="11">
        <f>IF(M3653="","",ROUND(M3653*1.18,2))</f>
        <v/>
      </c>
      <c r="O3653" s="12">
        <f>IF(M3653="","",ROUND(N3653-M3653,2))</f>
        <v/>
      </c>
      <c r="P3653" s="13">
        <f>IF(AND(A3653&lt;&gt;"",B3653&lt;&gt;""), A3653&amp;" · "&amp;B3653, "")</f>
        <v/>
      </c>
    </row>
    <row r="3654">
      <c r="A3654" s="6" t="inlineStr">
        <is>
          <t>FY27</t>
        </is>
      </c>
      <c r="B3654" s="6" t="inlineStr">
        <is>
          <t>Aug</t>
        </is>
      </c>
      <c r="C3654" s="6" t="inlineStr">
        <is>
          <t>TN</t>
        </is>
      </c>
      <c r="D3654" s="7" t="inlineStr">
        <is>
          <t>TN20BT0714</t>
        </is>
      </c>
      <c r="E3654" s="7" t="inlineStr">
        <is>
          <t>MARUTI SUZUKI</t>
        </is>
      </c>
      <c r="F3654" s="7" t="inlineStr">
        <is>
          <t>A-Star</t>
        </is>
      </c>
      <c r="G3654" s="7" t="inlineStr">
        <is>
          <t>CASTLE TRADERS MARUTI</t>
        </is>
      </c>
      <c r="H3654" s="7" t="inlineStr">
        <is>
          <t>Non-Captive</t>
        </is>
      </c>
      <c r="I3654" s="7" t="inlineStr">
        <is>
          <t>AS CARS</t>
        </is>
      </c>
      <c r="J3654" s="8" t="n">
        <v>2010</v>
      </c>
      <c r="K3654" s="9" t="n">
        <v>109362</v>
      </c>
      <c r="L3654" s="10" t="n">
        <v>112000</v>
      </c>
      <c r="M3654" s="10" t="n">
        <v>5084.75</v>
      </c>
      <c r="N3654" s="11">
        <f>IF(M3654="","",ROUND(M3654*1.18,2))</f>
        <v/>
      </c>
      <c r="O3654" s="12">
        <f>IF(M3654="","",ROUND(N3654-M3654,2))</f>
        <v/>
      </c>
      <c r="P3654" s="13">
        <f>IF(AND(A3654&lt;&gt;"",B3654&lt;&gt;""), A3654&amp;" · "&amp;B3654, "")</f>
        <v/>
      </c>
    </row>
    <row r="3655">
      <c r="A3655" s="6" t="inlineStr">
        <is>
          <t>FY27</t>
        </is>
      </c>
      <c r="B3655" s="6" t="inlineStr">
        <is>
          <t>Aug</t>
        </is>
      </c>
      <c r="C3655" s="6" t="inlineStr">
        <is>
          <t>TN</t>
        </is>
      </c>
      <c r="D3655" s="7" t="inlineStr">
        <is>
          <t>TN20CT4506</t>
        </is>
      </c>
      <c r="E3655" s="7" t="inlineStr">
        <is>
          <t>MARUTI SUZUKI</t>
        </is>
      </c>
      <c r="F3655" s="7" t="inlineStr">
        <is>
          <t>Eeco</t>
        </is>
      </c>
      <c r="G3655" s="7" t="inlineStr">
        <is>
          <t>CARS INDIA</t>
        </is>
      </c>
      <c r="H3655" s="7" t="inlineStr">
        <is>
          <t>Non-Captive</t>
        </is>
      </c>
      <c r="I3655" s="7" t="inlineStr">
        <is>
          <t>Pine Autos</t>
        </is>
      </c>
      <c r="J3655" s="8" t="n">
        <v>2017</v>
      </c>
      <c r="K3655" s="9" t="n">
        <v>168219</v>
      </c>
      <c r="L3655" s="10" t="n">
        <v>99000</v>
      </c>
      <c r="M3655" s="10" t="n">
        <v>2542.37</v>
      </c>
      <c r="N3655" s="11">
        <f>IF(M3655="","",ROUND(M3655*1.18,2))</f>
        <v/>
      </c>
      <c r="O3655" s="12">
        <f>IF(M3655="","",ROUND(N3655-M3655,2))</f>
        <v/>
      </c>
      <c r="P3655" s="13">
        <f>IF(AND(A3655&lt;&gt;"",B3655&lt;&gt;""), A3655&amp;" · "&amp;B3655, "")</f>
        <v/>
      </c>
    </row>
    <row r="3656">
      <c r="A3656" s="6" t="inlineStr">
        <is>
          <t>FY27</t>
        </is>
      </c>
      <c r="B3656" s="6" t="inlineStr">
        <is>
          <t>Aug</t>
        </is>
      </c>
      <c r="C3656" s="6" t="inlineStr">
        <is>
          <t>TN</t>
        </is>
      </c>
      <c r="D3656" s="7" t="inlineStr">
        <is>
          <t>TN22AS7896</t>
        </is>
      </c>
      <c r="E3656" s="7" t="inlineStr">
        <is>
          <t>MARUTI SUZUKI</t>
        </is>
      </c>
      <c r="F3656" s="7" t="inlineStr">
        <is>
          <t>Wagon R</t>
        </is>
      </c>
      <c r="G3656" s="7" t="inlineStr">
        <is>
          <t>SHREE THIYA CARS</t>
        </is>
      </c>
      <c r="H3656" s="7" t="inlineStr">
        <is>
          <t>Non-Captive</t>
        </is>
      </c>
      <c r="I3656" s="7" t="inlineStr">
        <is>
          <t>SRI KARUPPAIYA CARS</t>
        </is>
      </c>
      <c r="J3656" s="8" t="n">
        <v>2006</v>
      </c>
      <c r="K3656" s="9" t="n">
        <v>123337</v>
      </c>
      <c r="L3656" s="10" t="n">
        <v>188000</v>
      </c>
      <c r="M3656" s="10" t="n">
        <v>5084.75</v>
      </c>
      <c r="N3656" s="11">
        <f>IF(M3656="","",ROUND(M3656*1.18,2))</f>
        <v/>
      </c>
      <c r="O3656" s="12">
        <f>IF(M3656="","",ROUND(N3656-M3656,2))</f>
        <v/>
      </c>
      <c r="P3656" s="13">
        <f>IF(AND(A3656&lt;&gt;"",B3656&lt;&gt;""), A3656&amp;" · "&amp;B3656, "")</f>
        <v/>
      </c>
    </row>
    <row r="3657">
      <c r="A3657" s="6" t="inlineStr">
        <is>
          <t>FY27</t>
        </is>
      </c>
      <c r="B3657" s="6" t="inlineStr">
        <is>
          <t>Aug</t>
        </is>
      </c>
      <c r="C3657" s="6" t="inlineStr">
        <is>
          <t>TN</t>
        </is>
      </c>
      <c r="D3657" s="7" t="inlineStr">
        <is>
          <t>TN22AW4559</t>
        </is>
      </c>
      <c r="E3657" s="7" t="inlineStr">
        <is>
          <t>TATA</t>
        </is>
      </c>
      <c r="F3657" s="7" t="inlineStr">
        <is>
          <t>Indica</t>
        </is>
      </c>
      <c r="G3657" s="7" t="inlineStr">
        <is>
          <t>SHREE THIYA CARS</t>
        </is>
      </c>
      <c r="H3657" s="7" t="inlineStr">
        <is>
          <t>Non-Captive</t>
        </is>
      </c>
      <c r="I3657" s="7" t="inlineStr">
        <is>
          <t>SRI KARUPPAIYA CARS</t>
        </is>
      </c>
      <c r="J3657" s="8" t="n">
        <v>2007</v>
      </c>
      <c r="K3657" s="9" t="n">
        <v>74878</v>
      </c>
      <c r="L3657" s="10" t="n">
        <v>194000</v>
      </c>
      <c r="M3657" s="10" t="n">
        <v>5084.75</v>
      </c>
      <c r="N3657" s="11">
        <f>IF(M3657="","",ROUND(M3657*1.18,2))</f>
        <v/>
      </c>
      <c r="O3657" s="12">
        <f>IF(M3657="","",ROUND(N3657-M3657,2))</f>
        <v/>
      </c>
      <c r="P3657" s="13">
        <f>IF(AND(A3657&lt;&gt;"",B3657&lt;&gt;""), A3657&amp;" · "&amp;B3657, "")</f>
        <v/>
      </c>
    </row>
    <row r="3658">
      <c r="A3658" s="6" t="inlineStr">
        <is>
          <t>FY27</t>
        </is>
      </c>
      <c r="B3658" s="6" t="inlineStr">
        <is>
          <t>Aug</t>
        </is>
      </c>
      <c r="C3658" s="6" t="inlineStr">
        <is>
          <t>TN</t>
        </is>
      </c>
      <c r="D3658" s="7" t="inlineStr">
        <is>
          <t>TN22BJ8100</t>
        </is>
      </c>
      <c r="E3658" s="7" t="inlineStr">
        <is>
          <t>HONDA</t>
        </is>
      </c>
      <c r="F3658" s="7" t="inlineStr">
        <is>
          <t>&lt;NA&gt;</t>
        </is>
      </c>
      <c r="G3658" s="7" t="inlineStr">
        <is>
          <t>EXCHANGE CHENNAI</t>
        </is>
      </c>
      <c r="H3658" s="7" t="inlineStr">
        <is>
          <t>Captive</t>
        </is>
      </c>
      <c r="I3658" s="7" t="inlineStr">
        <is>
          <t>Santhosh Cars</t>
        </is>
      </c>
      <c r="J3658" s="8" t="n">
        <v>2010</v>
      </c>
      <c r="K3658" s="9" t="n"/>
      <c r="L3658" s="10" t="n">
        <v>80000</v>
      </c>
      <c r="M3658" s="10" t="n">
        <v>4237.29</v>
      </c>
      <c r="N3658" s="11">
        <f>IF(M3658="","",ROUND(M3658*1.18,2))</f>
        <v/>
      </c>
      <c r="O3658" s="12">
        <f>IF(M3658="","",ROUND(N3658-M3658,2))</f>
        <v/>
      </c>
      <c r="P3658" s="13">
        <f>IF(AND(A3658&lt;&gt;"",B3658&lt;&gt;""), A3658&amp;" · "&amp;B3658, "")</f>
        <v/>
      </c>
    </row>
    <row r="3659">
      <c r="A3659" s="6" t="inlineStr">
        <is>
          <t>FY27</t>
        </is>
      </c>
      <c r="B3659" s="6" t="inlineStr">
        <is>
          <t>Aug</t>
        </is>
      </c>
      <c r="C3659" s="6" t="inlineStr">
        <is>
          <t>TN</t>
        </is>
      </c>
      <c r="D3659" s="7" t="inlineStr">
        <is>
          <t>TN22BL9270</t>
        </is>
      </c>
      <c r="E3659" s="7" t="inlineStr">
        <is>
          <t>MARUTI SUZUKI</t>
        </is>
      </c>
      <c r="F3659" s="7" t="inlineStr">
        <is>
          <t>Wagon R</t>
        </is>
      </c>
      <c r="G3659" s="7" t="inlineStr">
        <is>
          <t>KSM AUTO CONSULTING</t>
        </is>
      </c>
      <c r="H3659" s="7" t="inlineStr">
        <is>
          <t>Non-Captive</t>
        </is>
      </c>
      <c r="I3659" s="7" t="inlineStr">
        <is>
          <t>BALAJI CARS (THENI</t>
        </is>
      </c>
      <c r="J3659" s="8" t="n">
        <v>2010</v>
      </c>
      <c r="K3659" s="9" t="n">
        <v>108548</v>
      </c>
      <c r="L3659" s="10" t="n">
        <v>90000</v>
      </c>
      <c r="M3659" s="10" t="n">
        <v>4237.29</v>
      </c>
      <c r="N3659" s="11">
        <f>IF(M3659="","",ROUND(M3659*1.18,2))</f>
        <v/>
      </c>
      <c r="O3659" s="12">
        <f>IF(M3659="","",ROUND(N3659-M3659,2))</f>
        <v/>
      </c>
      <c r="P3659" s="13">
        <f>IF(AND(A3659&lt;&gt;"",B3659&lt;&gt;""), A3659&amp;" · "&amp;B3659, "")</f>
        <v/>
      </c>
    </row>
    <row r="3660">
      <c r="A3660" s="6" t="inlineStr">
        <is>
          <t>FY27</t>
        </is>
      </c>
      <c r="B3660" s="6" t="inlineStr">
        <is>
          <t>Aug</t>
        </is>
      </c>
      <c r="C3660" s="6" t="inlineStr">
        <is>
          <t>TN</t>
        </is>
      </c>
      <c r="D3660" s="7" t="inlineStr">
        <is>
          <t>TN22BR3616</t>
        </is>
      </c>
      <c r="E3660" s="7" t="inlineStr">
        <is>
          <t>FORD</t>
        </is>
      </c>
      <c r="F3660" s="7" t="inlineStr">
        <is>
          <t>Figo</t>
        </is>
      </c>
      <c r="G3660" s="7" t="inlineStr">
        <is>
          <t>CASTLE TRADERS MARUTI</t>
        </is>
      </c>
      <c r="H3660" s="7" t="inlineStr">
        <is>
          <t>Non-Captive</t>
        </is>
      </c>
      <c r="I3660" s="7" t="inlineStr">
        <is>
          <t>Pine Autos</t>
        </is>
      </c>
      <c r="J3660" s="8" t="n">
        <v>2010</v>
      </c>
      <c r="K3660" s="9" t="n">
        <v>56334</v>
      </c>
      <c r="L3660" s="10" t="n">
        <v>95000</v>
      </c>
      <c r="M3660" s="10" t="n">
        <v>4237.29</v>
      </c>
      <c r="N3660" s="11">
        <f>IF(M3660="","",ROUND(M3660*1.18,2))</f>
        <v/>
      </c>
      <c r="O3660" s="12">
        <f>IF(M3660="","",ROUND(N3660-M3660,2))</f>
        <v/>
      </c>
      <c r="P3660" s="13">
        <f>IF(AND(A3660&lt;&gt;"",B3660&lt;&gt;""), A3660&amp;" · "&amp;B3660, "")</f>
        <v/>
      </c>
    </row>
    <row r="3661">
      <c r="A3661" s="6" t="inlineStr">
        <is>
          <t>FY27</t>
        </is>
      </c>
      <c r="B3661" s="6" t="inlineStr">
        <is>
          <t>Aug</t>
        </is>
      </c>
      <c r="C3661" s="6" t="inlineStr">
        <is>
          <t>TN</t>
        </is>
      </c>
      <c r="D3661" s="7" t="inlineStr">
        <is>
          <t>TN22BT0564</t>
        </is>
      </c>
      <c r="E3661" s="7" t="inlineStr">
        <is>
          <t>TATA</t>
        </is>
      </c>
      <c r="F3661" s="7" t="inlineStr">
        <is>
          <t>Indica</t>
        </is>
      </c>
      <c r="G3661" s="7" t="inlineStr">
        <is>
          <t>S M CAR PRIVATE LIMITED</t>
        </is>
      </c>
      <c r="H3661" s="7" t="inlineStr">
        <is>
          <t>Non-Captive</t>
        </is>
      </c>
      <c r="I3661" s="7" t="inlineStr">
        <is>
          <t>APM cars</t>
        </is>
      </c>
      <c r="J3661" s="8" t="n">
        <v>2010</v>
      </c>
      <c r="K3661" s="9" t="n">
        <v>149097</v>
      </c>
      <c r="L3661" s="10" t="n">
        <v>60000</v>
      </c>
      <c r="M3661" s="10" t="n">
        <v>4237.29</v>
      </c>
      <c r="N3661" s="11">
        <f>IF(M3661="","",ROUND(M3661*1.18,2))</f>
        <v/>
      </c>
      <c r="O3661" s="12">
        <f>IF(M3661="","",ROUND(N3661-M3661,2))</f>
        <v/>
      </c>
      <c r="P3661" s="13">
        <f>IF(AND(A3661&lt;&gt;"",B3661&lt;&gt;""), A3661&amp;" · "&amp;B3661, "")</f>
        <v/>
      </c>
    </row>
    <row r="3662">
      <c r="A3662" s="6" t="inlineStr">
        <is>
          <t>FY27</t>
        </is>
      </c>
      <c r="B3662" s="6" t="inlineStr">
        <is>
          <t>Aug</t>
        </is>
      </c>
      <c r="C3662" s="6" t="inlineStr">
        <is>
          <t>TN</t>
        </is>
      </c>
      <c r="D3662" s="7" t="inlineStr">
        <is>
          <t>TN22BZ2748</t>
        </is>
      </c>
      <c r="E3662" s="7" t="inlineStr">
        <is>
          <t>MARUTI SUZUKI</t>
        </is>
      </c>
      <c r="F3662" s="7" t="inlineStr">
        <is>
          <t>Alto</t>
        </is>
      </c>
      <c r="G3662" s="7" t="inlineStr">
        <is>
          <t>AIE CARS PRIVATE LIMITED</t>
        </is>
      </c>
      <c r="H3662" s="7" t="inlineStr">
        <is>
          <t>Non-Captive</t>
        </is>
      </c>
      <c r="I3662" s="7" t="inlineStr">
        <is>
          <t>Santhosh Cars</t>
        </is>
      </c>
      <c r="J3662" s="8" t="n">
        <v>2007</v>
      </c>
      <c r="K3662" s="9" t="n">
        <v>64120</v>
      </c>
      <c r="L3662" s="10" t="n">
        <v>94000</v>
      </c>
      <c r="M3662" s="10" t="n">
        <v>2542.37</v>
      </c>
      <c r="N3662" s="11">
        <f>IF(M3662="","",ROUND(M3662*1.18,2))</f>
        <v/>
      </c>
      <c r="O3662" s="12">
        <f>IF(M3662="","",ROUND(N3662-M3662,2))</f>
        <v/>
      </c>
      <c r="P3662" s="13">
        <f>IF(AND(A3662&lt;&gt;"",B3662&lt;&gt;""), A3662&amp;" · "&amp;B3662, "")</f>
        <v/>
      </c>
    </row>
    <row r="3663">
      <c r="A3663" s="6" t="inlineStr">
        <is>
          <t>FY27</t>
        </is>
      </c>
      <c r="B3663" s="6" t="inlineStr">
        <is>
          <t>Aug</t>
        </is>
      </c>
      <c r="C3663" s="6" t="inlineStr">
        <is>
          <t>TN</t>
        </is>
      </c>
      <c r="D3663" s="7" t="inlineStr">
        <is>
          <t>TN22CK5189</t>
        </is>
      </c>
      <c r="E3663" s="7" t="inlineStr">
        <is>
          <t>HONDA</t>
        </is>
      </c>
      <c r="F3663" s="7" t="inlineStr">
        <is>
          <t>Amaze</t>
        </is>
      </c>
      <c r="G3663" s="7" t="inlineStr">
        <is>
          <t>FPL AUTOMOBILES PRIVATE LIMITED</t>
        </is>
      </c>
      <c r="H3663" s="7" t="inlineStr">
        <is>
          <t>Non-Captive</t>
        </is>
      </c>
      <c r="I3663" s="7" t="inlineStr">
        <is>
          <t>Nirmal Cars</t>
        </is>
      </c>
      <c r="J3663" s="8" t="n">
        <v>2013</v>
      </c>
      <c r="K3663" s="9" t="n">
        <v>107570</v>
      </c>
      <c r="L3663" s="10" t="n">
        <v>96000</v>
      </c>
      <c r="M3663" s="10" t="n">
        <v>4237.29</v>
      </c>
      <c r="N3663" s="11">
        <f>IF(M3663="","",ROUND(M3663*1.18,2))</f>
        <v/>
      </c>
      <c r="O3663" s="12">
        <f>IF(M3663="","",ROUND(N3663-M3663,2))</f>
        <v/>
      </c>
      <c r="P3663" s="13">
        <f>IF(AND(A3663&lt;&gt;"",B3663&lt;&gt;""), A3663&amp;" · "&amp;B3663, "")</f>
        <v/>
      </c>
    </row>
    <row r="3664">
      <c r="A3664" s="6" t="inlineStr">
        <is>
          <t>FY27</t>
        </is>
      </c>
      <c r="B3664" s="6" t="inlineStr">
        <is>
          <t>Aug</t>
        </is>
      </c>
      <c r="C3664" s="6" t="inlineStr">
        <is>
          <t>TN</t>
        </is>
      </c>
      <c r="D3664" s="7" t="inlineStr">
        <is>
          <t>TN22CU6177</t>
        </is>
      </c>
      <c r="E3664" s="7" t="inlineStr">
        <is>
          <t>TOYOTA</t>
        </is>
      </c>
      <c r="F3664" s="7" t="inlineStr">
        <is>
          <t>Etios</t>
        </is>
      </c>
      <c r="G3664" s="7" t="inlineStr">
        <is>
          <t>EXCHANGE ROTN</t>
        </is>
      </c>
      <c r="H3664" s="7" t="inlineStr">
        <is>
          <t>Captive</t>
        </is>
      </c>
      <c r="I3664" s="7" t="inlineStr">
        <is>
          <t>PURUSOTHAMAN J CARS</t>
        </is>
      </c>
      <c r="J3664" s="8" t="n">
        <v>2011</v>
      </c>
      <c r="K3664" s="9" t="n">
        <v>84713</v>
      </c>
      <c r="L3664" s="10" t="n">
        <v>200000</v>
      </c>
      <c r="M3664" s="10" t="n">
        <v>14406.78</v>
      </c>
      <c r="N3664" s="11">
        <f>IF(M3664="","",ROUND(M3664*1.18,2))</f>
        <v/>
      </c>
      <c r="O3664" s="12">
        <f>IF(M3664="","",ROUND(N3664-M3664,2))</f>
        <v/>
      </c>
      <c r="P3664" s="13">
        <f>IF(AND(A3664&lt;&gt;"",B3664&lt;&gt;""), A3664&amp;" · "&amp;B3664, "")</f>
        <v/>
      </c>
    </row>
    <row r="3665">
      <c r="A3665" s="6" t="inlineStr">
        <is>
          <t>FY27</t>
        </is>
      </c>
      <c r="B3665" s="6" t="inlineStr">
        <is>
          <t>Aug</t>
        </is>
      </c>
      <c r="C3665" s="6" t="inlineStr">
        <is>
          <t>TN</t>
        </is>
      </c>
      <c r="D3665" s="7" t="inlineStr">
        <is>
          <t>TN22CZ2850</t>
        </is>
      </c>
      <c r="E3665" s="7" t="inlineStr">
        <is>
          <t>MARUTI SUZUKI</t>
        </is>
      </c>
      <c r="F3665" s="7" t="inlineStr">
        <is>
          <t>Alto</t>
        </is>
      </c>
      <c r="G3665" s="7" t="inlineStr">
        <is>
          <t>CRESCO CARS</t>
        </is>
      </c>
      <c r="H3665" s="7" t="inlineStr">
        <is>
          <t>Non-Captive</t>
        </is>
      </c>
      <c r="I3665" s="7" t="inlineStr">
        <is>
          <t>Aasim Motors</t>
        </is>
      </c>
      <c r="J3665" s="8" t="n">
        <v>2011</v>
      </c>
      <c r="K3665" s="9" t="n">
        <v>43545</v>
      </c>
      <c r="L3665" s="10" t="n">
        <v>98000</v>
      </c>
      <c r="M3665" s="10" t="n">
        <v>4237.29</v>
      </c>
      <c r="N3665" s="11">
        <f>IF(M3665="","",ROUND(M3665*1.18,2))</f>
        <v/>
      </c>
      <c r="O3665" s="12">
        <f>IF(M3665="","",ROUND(N3665-M3665,2))</f>
        <v/>
      </c>
      <c r="P3665" s="13">
        <f>IF(AND(A3665&lt;&gt;"",B3665&lt;&gt;""), A3665&amp;" · "&amp;B3665, "")</f>
        <v/>
      </c>
    </row>
    <row r="3666">
      <c r="A3666" s="6" t="inlineStr">
        <is>
          <t>FY27</t>
        </is>
      </c>
      <c r="B3666" s="6" t="inlineStr">
        <is>
          <t>Aug</t>
        </is>
      </c>
      <c r="C3666" s="6" t="inlineStr">
        <is>
          <t>TN</t>
        </is>
      </c>
      <c r="D3666" s="7" t="inlineStr">
        <is>
          <t>TN22DB1240</t>
        </is>
      </c>
      <c r="E3666" s="7" t="inlineStr">
        <is>
          <t>MAHINDRA</t>
        </is>
      </c>
      <c r="F3666" s="7" t="inlineStr">
        <is>
          <t>Bolero</t>
        </is>
      </c>
      <c r="G3666" s="7" t="inlineStr">
        <is>
          <t>CASTLE TRADERS MAHINDRA</t>
        </is>
      </c>
      <c r="H3666" s="7" t="inlineStr">
        <is>
          <t>Non-Captive</t>
        </is>
      </c>
      <c r="I3666" s="7" t="inlineStr">
        <is>
          <t>Senthur Cars</t>
        </is>
      </c>
      <c r="J3666" s="8" t="n">
        <v>2015</v>
      </c>
      <c r="K3666" s="9" t="n">
        <v>146078</v>
      </c>
      <c r="L3666" s="10" t="n">
        <v>460000</v>
      </c>
      <c r="M3666" s="10" t="n">
        <v>7627.12</v>
      </c>
      <c r="N3666" s="11">
        <f>IF(M3666="","",ROUND(M3666*1.18,2))</f>
        <v/>
      </c>
      <c r="O3666" s="12">
        <f>IF(M3666="","",ROUND(N3666-M3666,2))</f>
        <v/>
      </c>
      <c r="P3666" s="13">
        <f>IF(AND(A3666&lt;&gt;"",B3666&lt;&gt;""), A3666&amp;" · "&amp;B3666, "")</f>
        <v/>
      </c>
    </row>
    <row r="3667">
      <c r="A3667" s="6" t="inlineStr">
        <is>
          <t>FY27</t>
        </is>
      </c>
      <c r="B3667" s="6" t="inlineStr">
        <is>
          <t>Aug</t>
        </is>
      </c>
      <c r="C3667" s="6" t="inlineStr">
        <is>
          <t>TN</t>
        </is>
      </c>
      <c r="D3667" s="7" t="inlineStr">
        <is>
          <t>TN22DH6888</t>
        </is>
      </c>
      <c r="E3667" s="7" t="inlineStr">
        <is>
          <t>TATA</t>
        </is>
      </c>
      <c r="F3667" s="7" t="inlineStr">
        <is>
          <t>Safari</t>
        </is>
      </c>
      <c r="G3667" s="7" t="inlineStr">
        <is>
          <t>NIRMAL</t>
        </is>
      </c>
      <c r="H3667" s="7" t="inlineStr">
        <is>
          <t>Non-Captive</t>
        </is>
      </c>
      <c r="I3667" s="7" t="inlineStr">
        <is>
          <t>Essar Preowned Cars</t>
        </is>
      </c>
      <c r="J3667" s="8" t="n">
        <v>2017</v>
      </c>
      <c r="K3667" s="9" t="n">
        <v>153238</v>
      </c>
      <c r="L3667" s="10" t="n">
        <v>95000</v>
      </c>
      <c r="M3667" s="10" t="n">
        <v>4237.29</v>
      </c>
      <c r="N3667" s="11">
        <f>IF(M3667="","",ROUND(M3667*1.18,2))</f>
        <v/>
      </c>
      <c r="O3667" s="12">
        <f>IF(M3667="","",ROUND(N3667-M3667,2))</f>
        <v/>
      </c>
      <c r="P3667" s="13">
        <f>IF(AND(A3667&lt;&gt;"",B3667&lt;&gt;""), A3667&amp;" · "&amp;B3667, "")</f>
        <v/>
      </c>
    </row>
    <row r="3668">
      <c r="A3668" s="6" t="inlineStr">
        <is>
          <t>FY27</t>
        </is>
      </c>
      <c r="B3668" s="6" t="inlineStr">
        <is>
          <t>Aug</t>
        </is>
      </c>
      <c r="C3668" s="6" t="inlineStr">
        <is>
          <t>TN</t>
        </is>
      </c>
      <c r="D3668" s="7" t="inlineStr">
        <is>
          <t>TN22DK0137</t>
        </is>
      </c>
      <c r="E3668" s="7" t="inlineStr">
        <is>
          <t>FORD</t>
        </is>
      </c>
      <c r="F3668" s="7" t="inlineStr">
        <is>
          <t>Aspire</t>
        </is>
      </c>
      <c r="G3668" s="7" t="inlineStr">
        <is>
          <t>EXCHANGE CHENNAI</t>
        </is>
      </c>
      <c r="H3668" s="7" t="inlineStr">
        <is>
          <t>Captive</t>
        </is>
      </c>
      <c r="I3668" s="7" t="inlineStr">
        <is>
          <t>Nirmal Cars</t>
        </is>
      </c>
      <c r="J3668" s="8" t="n">
        <v>2017</v>
      </c>
      <c r="K3668" s="9" t="n">
        <v>56418</v>
      </c>
      <c r="L3668" s="10" t="n">
        <v>360000</v>
      </c>
      <c r="M3668" s="10" t="n">
        <v>8474.58</v>
      </c>
      <c r="N3668" s="11">
        <f>IF(M3668="","",ROUND(M3668*1.18,2))</f>
        <v/>
      </c>
      <c r="O3668" s="12">
        <f>IF(M3668="","",ROUND(N3668-M3668,2))</f>
        <v/>
      </c>
      <c r="P3668" s="13">
        <f>IF(AND(A3668&lt;&gt;"",B3668&lt;&gt;""), A3668&amp;" · "&amp;B3668, "")</f>
        <v/>
      </c>
    </row>
    <row r="3669">
      <c r="A3669" s="6" t="inlineStr">
        <is>
          <t>FY27</t>
        </is>
      </c>
      <c r="B3669" s="6" t="inlineStr">
        <is>
          <t>Aug</t>
        </is>
      </c>
      <c r="C3669" s="6" t="inlineStr">
        <is>
          <t>TN</t>
        </is>
      </c>
      <c r="D3669" s="7" t="inlineStr">
        <is>
          <t>TN22DM2345</t>
        </is>
      </c>
      <c r="E3669" s="7" t="inlineStr">
        <is>
          <t>MARUTI SUZUKI</t>
        </is>
      </c>
      <c r="F3669" s="7" t="inlineStr">
        <is>
          <t>Swift</t>
        </is>
      </c>
      <c r="G3669" s="7" t="inlineStr">
        <is>
          <t>SVM CARS PRIVATE LIMITED</t>
        </is>
      </c>
      <c r="H3669" s="7" t="inlineStr">
        <is>
          <t>Non-Captive</t>
        </is>
      </c>
      <c r="I3669" s="7" t="inlineStr">
        <is>
          <t>Rithika cars</t>
        </is>
      </c>
      <c r="J3669" s="8" t="n">
        <v>2018</v>
      </c>
      <c r="K3669" s="9" t="n">
        <v>133576</v>
      </c>
      <c r="L3669" s="10" t="n">
        <v>96000</v>
      </c>
      <c r="M3669" s="10" t="n">
        <v>2542.37</v>
      </c>
      <c r="N3669" s="11">
        <f>IF(M3669="","",ROUND(M3669*1.18,2))</f>
        <v/>
      </c>
      <c r="O3669" s="12">
        <f>IF(M3669="","",ROUND(N3669-M3669,2))</f>
        <v/>
      </c>
      <c r="P3669" s="13">
        <f>IF(AND(A3669&lt;&gt;"",B3669&lt;&gt;""), A3669&amp;" · "&amp;B3669, "")</f>
        <v/>
      </c>
    </row>
    <row r="3670">
      <c r="A3670" s="6" t="inlineStr">
        <is>
          <t>FY27</t>
        </is>
      </c>
      <c r="B3670" s="6" t="inlineStr">
        <is>
          <t>Aug</t>
        </is>
      </c>
      <c r="C3670" s="6" t="inlineStr">
        <is>
          <t>TN</t>
        </is>
      </c>
      <c r="D3670" s="7" t="inlineStr">
        <is>
          <t>TN22EF1986</t>
        </is>
      </c>
      <c r="E3670" s="7" t="inlineStr">
        <is>
          <t>MARUTI SUZUKI</t>
        </is>
      </c>
      <c r="F3670" s="7" t="inlineStr">
        <is>
          <t>Swift</t>
        </is>
      </c>
      <c r="G3670" s="7" t="inlineStr">
        <is>
          <t>INDUS</t>
        </is>
      </c>
      <c r="H3670" s="7" t="inlineStr">
        <is>
          <t>Non-Captive</t>
        </is>
      </c>
      <c r="I3670" s="7" t="inlineStr">
        <is>
          <t>Cars24</t>
        </is>
      </c>
      <c r="J3670" s="8" t="n">
        <v>2025</v>
      </c>
      <c r="K3670" s="9" t="n">
        <v>71028</v>
      </c>
      <c r="L3670" s="10" t="n">
        <v>99000</v>
      </c>
      <c r="M3670" s="10" t="n">
        <v>4237.29</v>
      </c>
      <c r="N3670" s="11">
        <f>IF(M3670="","",ROUND(M3670*1.18,2))</f>
        <v/>
      </c>
      <c r="O3670" s="12">
        <f>IF(M3670="","",ROUND(N3670-M3670,2))</f>
        <v/>
      </c>
      <c r="P3670" s="13">
        <f>IF(AND(A3670&lt;&gt;"",B3670&lt;&gt;""), A3670&amp;" · "&amp;B3670, "")</f>
        <v/>
      </c>
    </row>
    <row r="3671">
      <c r="A3671" s="6" t="inlineStr">
        <is>
          <t>FY27</t>
        </is>
      </c>
      <c r="B3671" s="6" t="inlineStr">
        <is>
          <t>Aug</t>
        </is>
      </c>
      <c r="C3671" s="6" t="inlineStr">
        <is>
          <t>TN</t>
        </is>
      </c>
      <c r="D3671" s="7" t="inlineStr">
        <is>
          <t>TN23BH9586</t>
        </is>
      </c>
      <c r="E3671" s="7" t="inlineStr">
        <is>
          <t>FORD</t>
        </is>
      </c>
      <c r="F3671" s="7" t="inlineStr">
        <is>
          <t>Figo</t>
        </is>
      </c>
      <c r="G3671" s="7" t="inlineStr">
        <is>
          <t>S M CAR PRIVATE LIMITED</t>
        </is>
      </c>
      <c r="H3671" s="7" t="inlineStr">
        <is>
          <t>Non-Captive</t>
        </is>
      </c>
      <c r="I3671" s="7" t="inlineStr">
        <is>
          <t>Murali Cars</t>
        </is>
      </c>
      <c r="J3671" s="8" t="n">
        <v>2014</v>
      </c>
      <c r="K3671" s="9" t="n">
        <v>140090</v>
      </c>
      <c r="L3671" s="10" t="n">
        <v>110000</v>
      </c>
      <c r="M3671" s="10" t="n">
        <v>4237.29</v>
      </c>
      <c r="N3671" s="11">
        <f>IF(M3671="","",ROUND(M3671*1.18,2))</f>
        <v/>
      </c>
      <c r="O3671" s="12">
        <f>IF(M3671="","",ROUND(N3671-M3671,2))</f>
        <v/>
      </c>
      <c r="P3671" s="13">
        <f>IF(AND(A3671&lt;&gt;"",B3671&lt;&gt;""), A3671&amp;" · "&amp;B3671, "")</f>
        <v/>
      </c>
    </row>
    <row r="3672">
      <c r="A3672" s="6" t="inlineStr">
        <is>
          <t>FY27</t>
        </is>
      </c>
      <c r="B3672" s="6" t="inlineStr">
        <is>
          <t>Aug</t>
        </is>
      </c>
      <c r="C3672" s="6" t="inlineStr">
        <is>
          <t>TN</t>
        </is>
      </c>
      <c r="D3672" s="7" t="inlineStr">
        <is>
          <t>TN245859</t>
        </is>
      </c>
      <c r="E3672" s="7" t="inlineStr">
        <is>
          <t>HONDA</t>
        </is>
      </c>
      <c r="F3672" s="7" t="inlineStr">
        <is>
          <t>City</t>
        </is>
      </c>
      <c r="G3672" s="7" t="inlineStr">
        <is>
          <t>EXCHANGE CHENNAI</t>
        </is>
      </c>
      <c r="H3672" s="7" t="inlineStr">
        <is>
          <t>Captive</t>
        </is>
      </c>
      <c r="I3672" s="7" t="inlineStr">
        <is>
          <t>Santhosh Cars</t>
        </is>
      </c>
      <c r="J3672" s="8" t="n">
        <v>2004</v>
      </c>
      <c r="K3672" s="9" t="n">
        <v>175296</v>
      </c>
      <c r="L3672" s="10" t="n">
        <v>50000</v>
      </c>
      <c r="M3672" s="10" t="n">
        <v>8474.58</v>
      </c>
      <c r="N3672" s="11">
        <f>IF(M3672="","",ROUND(M3672*1.18,2))</f>
        <v/>
      </c>
      <c r="O3672" s="12">
        <f>IF(M3672="","",ROUND(N3672-M3672,2))</f>
        <v/>
      </c>
      <c r="P3672" s="13">
        <f>IF(AND(A3672&lt;&gt;"",B3672&lt;&gt;""), A3672&amp;" · "&amp;B3672, "")</f>
        <v/>
      </c>
    </row>
    <row r="3673">
      <c r="A3673" s="6" t="inlineStr">
        <is>
          <t>FY27</t>
        </is>
      </c>
      <c r="B3673" s="6" t="inlineStr">
        <is>
          <t>Aug</t>
        </is>
      </c>
      <c r="C3673" s="6" t="inlineStr">
        <is>
          <t>TN</t>
        </is>
      </c>
      <c r="D3673" s="7" t="inlineStr">
        <is>
          <t>TN25AX1581</t>
        </is>
      </c>
      <c r="E3673" s="7" t="inlineStr">
        <is>
          <t>MARUTI SUZUKI</t>
        </is>
      </c>
      <c r="F3673" s="7" t="inlineStr">
        <is>
          <t>Dzire</t>
        </is>
      </c>
      <c r="G3673" s="7" t="inlineStr">
        <is>
          <t>VISHNU CARS PRIVATE LIMITED</t>
        </is>
      </c>
      <c r="H3673" s="7" t="inlineStr">
        <is>
          <t>Non-Captive</t>
        </is>
      </c>
      <c r="I3673" s="7" t="inlineStr">
        <is>
          <t>Grid 33</t>
        </is>
      </c>
      <c r="J3673" s="8" t="n">
        <v>2012</v>
      </c>
      <c r="K3673" s="9" t="n">
        <v>174639</v>
      </c>
      <c r="L3673" s="10" t="n">
        <v>91000</v>
      </c>
      <c r="M3673" s="10" t="n">
        <v>2542.37</v>
      </c>
      <c r="N3673" s="11">
        <f>IF(M3673="","",ROUND(M3673*1.18,2))</f>
        <v/>
      </c>
      <c r="O3673" s="12">
        <f>IF(M3673="","",ROUND(N3673-M3673,2))</f>
        <v/>
      </c>
      <c r="P3673" s="13">
        <f>IF(AND(A3673&lt;&gt;"",B3673&lt;&gt;""), A3673&amp;" · "&amp;B3673, "")</f>
        <v/>
      </c>
    </row>
    <row r="3674">
      <c r="A3674" s="6" t="inlineStr">
        <is>
          <t>FY27</t>
        </is>
      </c>
      <c r="B3674" s="6" t="inlineStr">
        <is>
          <t>Aug</t>
        </is>
      </c>
      <c r="C3674" s="6" t="inlineStr">
        <is>
          <t>TN</t>
        </is>
      </c>
      <c r="D3674" s="7" t="inlineStr">
        <is>
          <t>TN28AM3832</t>
        </is>
      </c>
      <c r="E3674" s="7" t="inlineStr">
        <is>
          <t>TATA</t>
        </is>
      </c>
      <c r="F3674" s="7" t="inlineStr">
        <is>
          <t>Indica</t>
        </is>
      </c>
      <c r="G3674" s="7" t="inlineStr">
        <is>
          <t>S M CAR PRIVATE LIMITED</t>
        </is>
      </c>
      <c r="H3674" s="7" t="inlineStr">
        <is>
          <t>Non-Captive</t>
        </is>
      </c>
      <c r="I3674" s="7" t="inlineStr">
        <is>
          <t>AAA Cars</t>
        </is>
      </c>
      <c r="J3674" s="8" t="n">
        <v>2012</v>
      </c>
      <c r="K3674" s="9" t="n">
        <v>318011</v>
      </c>
      <c r="L3674" s="10" t="n">
        <v>75000</v>
      </c>
      <c r="M3674" s="10" t="n">
        <v>4237.29</v>
      </c>
      <c r="N3674" s="11">
        <f>IF(M3674="","",ROUND(M3674*1.18,2))</f>
        <v/>
      </c>
      <c r="O3674" s="12">
        <f>IF(M3674="","",ROUND(N3674-M3674,2))</f>
        <v/>
      </c>
      <c r="P3674" s="13">
        <f>IF(AND(A3674&lt;&gt;"",B3674&lt;&gt;""), A3674&amp;" · "&amp;B3674, "")</f>
        <v/>
      </c>
    </row>
    <row r="3675">
      <c r="A3675" s="6" t="inlineStr">
        <is>
          <t>FY27</t>
        </is>
      </c>
      <c r="B3675" s="6" t="inlineStr">
        <is>
          <t>Aug</t>
        </is>
      </c>
      <c r="C3675" s="6" t="inlineStr">
        <is>
          <t>TN</t>
        </is>
      </c>
      <c r="D3675" s="7" t="inlineStr">
        <is>
          <t>TN30AB2273</t>
        </is>
      </c>
      <c r="E3675" s="7" t="inlineStr">
        <is>
          <t>MARUTI SUZUKI</t>
        </is>
      </c>
      <c r="F3675" s="7" t="inlineStr">
        <is>
          <t>Alto</t>
        </is>
      </c>
      <c r="G3675" s="7" t="inlineStr">
        <is>
          <t>SREE SARADHAMBAL AUTOMOBILES PRIVATE LIMITED</t>
        </is>
      </c>
      <c r="H3675" s="7" t="inlineStr">
        <is>
          <t>Non-Captive</t>
        </is>
      </c>
      <c r="I3675" s="7" t="inlineStr">
        <is>
          <t>Sarvesh Cars</t>
        </is>
      </c>
      <c r="J3675" s="8" t="n">
        <v>2007</v>
      </c>
      <c r="K3675" s="9" t="n">
        <v>299273</v>
      </c>
      <c r="L3675" s="10" t="n">
        <v>55000</v>
      </c>
      <c r="M3675" s="10" t="n">
        <v>4237.29</v>
      </c>
      <c r="N3675" s="11">
        <f>IF(M3675="","",ROUND(M3675*1.18,2))</f>
        <v/>
      </c>
      <c r="O3675" s="12">
        <f>IF(M3675="","",ROUND(N3675-M3675,2))</f>
        <v/>
      </c>
      <c r="P3675" s="13">
        <f>IF(AND(A3675&lt;&gt;"",B3675&lt;&gt;""), A3675&amp;" · "&amp;B3675, "")</f>
        <v/>
      </c>
    </row>
    <row r="3676">
      <c r="A3676" s="6" t="inlineStr">
        <is>
          <t>FY27</t>
        </is>
      </c>
      <c r="B3676" s="6" t="inlineStr">
        <is>
          <t>Aug</t>
        </is>
      </c>
      <c r="C3676" s="6" t="inlineStr">
        <is>
          <t>TN</t>
        </is>
      </c>
      <c r="D3676" s="7" t="inlineStr">
        <is>
          <t>TN30AH1603</t>
        </is>
      </c>
      <c r="E3676" s="7" t="inlineStr">
        <is>
          <t>HYUNDAI</t>
        </is>
      </c>
      <c r="F3676" s="7" t="inlineStr">
        <is>
          <t>Santro</t>
        </is>
      </c>
      <c r="G3676" s="7" t="inlineStr">
        <is>
          <t>S M CAR PRIVATE LIMITED</t>
        </is>
      </c>
      <c r="H3676" s="7" t="inlineStr">
        <is>
          <t>Non-Captive</t>
        </is>
      </c>
      <c r="I3676" s="7" t="inlineStr">
        <is>
          <t>APM cars</t>
        </is>
      </c>
      <c r="J3676" s="8" t="n">
        <v>2010</v>
      </c>
      <c r="K3676" s="9" t="n">
        <v>101933</v>
      </c>
      <c r="L3676" s="10" t="n">
        <v>80000</v>
      </c>
      <c r="M3676" s="10" t="n">
        <v>4237.29</v>
      </c>
      <c r="N3676" s="11">
        <f>IF(M3676="","",ROUND(M3676*1.18,2))</f>
        <v/>
      </c>
      <c r="O3676" s="12">
        <f>IF(M3676="","",ROUND(N3676-M3676,2))</f>
        <v/>
      </c>
      <c r="P3676" s="13">
        <f>IF(AND(A3676&lt;&gt;"",B3676&lt;&gt;""), A3676&amp;" · "&amp;B3676, "")</f>
        <v/>
      </c>
    </row>
    <row r="3677">
      <c r="A3677" s="6" t="inlineStr">
        <is>
          <t>FY27</t>
        </is>
      </c>
      <c r="B3677" s="6" t="inlineStr">
        <is>
          <t>Aug</t>
        </is>
      </c>
      <c r="C3677" s="6" t="inlineStr">
        <is>
          <t>TN</t>
        </is>
      </c>
      <c r="D3677" s="7" t="inlineStr">
        <is>
          <t>TN30AH6633</t>
        </is>
      </c>
      <c r="E3677" s="7" t="inlineStr">
        <is>
          <t>FIAT</t>
        </is>
      </c>
      <c r="F3677" s="7" t="inlineStr">
        <is>
          <t>Linea</t>
        </is>
      </c>
      <c r="G3677" s="7" t="inlineStr">
        <is>
          <t>S M CAR PRIVATE LIMITED</t>
        </is>
      </c>
      <c r="H3677" s="7" t="inlineStr">
        <is>
          <t>Non-Captive</t>
        </is>
      </c>
      <c r="I3677" s="7" t="inlineStr">
        <is>
          <t>CAR VAULT</t>
        </is>
      </c>
      <c r="J3677" s="8" t="n">
        <v>2010</v>
      </c>
      <c r="K3677" s="9" t="n">
        <v>144905</v>
      </c>
      <c r="L3677" s="10" t="n">
        <v>90000</v>
      </c>
      <c r="M3677" s="10" t="n">
        <v>4237.29</v>
      </c>
      <c r="N3677" s="11">
        <f>IF(M3677="","",ROUND(M3677*1.18,2))</f>
        <v/>
      </c>
      <c r="O3677" s="12">
        <f>IF(M3677="","",ROUND(N3677-M3677,2))</f>
        <v/>
      </c>
      <c r="P3677" s="13">
        <f>IF(AND(A3677&lt;&gt;"",B3677&lt;&gt;""), A3677&amp;" · "&amp;B3677, "")</f>
        <v/>
      </c>
    </row>
    <row r="3678">
      <c r="A3678" s="6" t="inlineStr">
        <is>
          <t>FY27</t>
        </is>
      </c>
      <c r="B3678" s="6" t="inlineStr">
        <is>
          <t>Aug</t>
        </is>
      </c>
      <c r="C3678" s="6" t="inlineStr">
        <is>
          <t>TN</t>
        </is>
      </c>
      <c r="D3678" s="7" t="inlineStr">
        <is>
          <t>TN30AM0702</t>
        </is>
      </c>
      <c r="E3678" s="7" t="inlineStr">
        <is>
          <t>TATA</t>
        </is>
      </c>
      <c r="F3678" s="7" t="inlineStr">
        <is>
          <t>Indica</t>
        </is>
      </c>
      <c r="G3678" s="7" t="inlineStr">
        <is>
          <t>NIRMAL</t>
        </is>
      </c>
      <c r="H3678" s="7" t="inlineStr">
        <is>
          <t>Non-Captive</t>
        </is>
      </c>
      <c r="I3678" s="7" t="inlineStr">
        <is>
          <t>SRI KARUPPAIYA CARS</t>
        </is>
      </c>
      <c r="J3678" s="8" t="n">
        <v>2011</v>
      </c>
      <c r="K3678" s="9" t="n">
        <v>99999</v>
      </c>
      <c r="L3678" s="10" t="n">
        <v>195000</v>
      </c>
      <c r="M3678" s="10" t="n">
        <v>5084.75</v>
      </c>
      <c r="N3678" s="11">
        <f>IF(M3678="","",ROUND(M3678*1.18,2))</f>
        <v/>
      </c>
      <c r="O3678" s="12">
        <f>IF(M3678="","",ROUND(N3678-M3678,2))</f>
        <v/>
      </c>
      <c r="P3678" s="13">
        <f>IF(AND(A3678&lt;&gt;"",B3678&lt;&gt;""), A3678&amp;" · "&amp;B3678, "")</f>
        <v/>
      </c>
    </row>
    <row r="3679">
      <c r="A3679" s="6" t="inlineStr">
        <is>
          <t>FY27</t>
        </is>
      </c>
      <c r="B3679" s="6" t="inlineStr">
        <is>
          <t>Aug</t>
        </is>
      </c>
      <c r="C3679" s="6" t="inlineStr">
        <is>
          <t>TN</t>
        </is>
      </c>
      <c r="D3679" s="7" t="inlineStr">
        <is>
          <t>TN30B5292</t>
        </is>
      </c>
      <c r="E3679" s="7" t="inlineStr">
        <is>
          <t>TATA</t>
        </is>
      </c>
      <c r="F3679" s="7" t="inlineStr">
        <is>
          <t>Indica</t>
        </is>
      </c>
      <c r="G3679" s="7" t="inlineStr">
        <is>
          <t>S M CAR PRIVATE LIMITED</t>
        </is>
      </c>
      <c r="H3679" s="7" t="inlineStr">
        <is>
          <t>Non-Captive</t>
        </is>
      </c>
      <c r="I3679" s="7" t="inlineStr">
        <is>
          <t>APM cars</t>
        </is>
      </c>
      <c r="J3679" s="8" t="n">
        <v>2002</v>
      </c>
      <c r="K3679" s="9" t="n">
        <v>170451</v>
      </c>
      <c r="L3679" s="10" t="n">
        <v>25000</v>
      </c>
      <c r="M3679" s="10" t="n">
        <v>4237.29</v>
      </c>
      <c r="N3679" s="11">
        <f>IF(M3679="","",ROUND(M3679*1.18,2))</f>
        <v/>
      </c>
      <c r="O3679" s="12">
        <f>IF(M3679="","",ROUND(N3679-M3679,2))</f>
        <v/>
      </c>
      <c r="P3679" s="13">
        <f>IF(AND(A3679&lt;&gt;"",B3679&lt;&gt;""), A3679&amp;" · "&amp;B3679, "")</f>
        <v/>
      </c>
    </row>
    <row r="3680">
      <c r="A3680" s="6" t="inlineStr">
        <is>
          <t>FY27</t>
        </is>
      </c>
      <c r="B3680" s="6" t="inlineStr">
        <is>
          <t>Aug</t>
        </is>
      </c>
      <c r="C3680" s="6" t="inlineStr">
        <is>
          <t>TN</t>
        </is>
      </c>
      <c r="D3680" s="7" t="inlineStr">
        <is>
          <t>TN30BB9230</t>
        </is>
      </c>
      <c r="E3680" s="7" t="inlineStr">
        <is>
          <t>FIAT</t>
        </is>
      </c>
      <c r="F3680" s="7" t="inlineStr">
        <is>
          <t>Linea</t>
        </is>
      </c>
      <c r="G3680" s="7" t="inlineStr">
        <is>
          <t>EXCHANGE ROTN</t>
        </is>
      </c>
      <c r="H3680" s="7" t="inlineStr">
        <is>
          <t>Captive</t>
        </is>
      </c>
      <c r="I3680" s="7" t="inlineStr">
        <is>
          <t>Sterlin Cars</t>
        </is>
      </c>
      <c r="J3680" s="8" t="n">
        <v>2014</v>
      </c>
      <c r="K3680" s="9" t="n">
        <v>104447</v>
      </c>
      <c r="L3680" s="10" t="n">
        <v>210000</v>
      </c>
      <c r="M3680" s="10" t="n">
        <v>8474.58</v>
      </c>
      <c r="N3680" s="11">
        <f>IF(M3680="","",ROUND(M3680*1.18,2))</f>
        <v/>
      </c>
      <c r="O3680" s="12">
        <f>IF(M3680="","",ROUND(N3680-M3680,2))</f>
        <v/>
      </c>
      <c r="P3680" s="13">
        <f>IF(AND(A3680&lt;&gt;"",B3680&lt;&gt;""), A3680&amp;" · "&amp;B3680, "")</f>
        <v/>
      </c>
    </row>
    <row r="3681">
      <c r="A3681" s="6" t="inlineStr">
        <is>
          <t>FY27</t>
        </is>
      </c>
      <c r="B3681" s="6" t="inlineStr">
        <is>
          <t>Aug</t>
        </is>
      </c>
      <c r="C3681" s="6" t="inlineStr">
        <is>
          <t>TN</t>
        </is>
      </c>
      <c r="D3681" s="7" t="inlineStr">
        <is>
          <t>TN30BH3402</t>
        </is>
      </c>
      <c r="E3681" s="7" t="inlineStr">
        <is>
          <t>TATA</t>
        </is>
      </c>
      <c r="F3681" s="7" t="inlineStr">
        <is>
          <t>Nano</t>
        </is>
      </c>
      <c r="G3681" s="7" t="inlineStr">
        <is>
          <t>&lt;NA&gt;</t>
        </is>
      </c>
      <c r="H3681" s="7" t="inlineStr">
        <is>
          <t>Non-Captive</t>
        </is>
      </c>
      <c r="I3681" s="7" t="inlineStr">
        <is>
          <t>Sarvesh Cars</t>
        </is>
      </c>
      <c r="J3681" s="8" t="n">
        <v>2016</v>
      </c>
      <c r="K3681" s="9" t="n">
        <v>60659</v>
      </c>
      <c r="L3681" s="10" t="n">
        <v>78000</v>
      </c>
      <c r="M3681" s="10" t="n">
        <v>4237.29</v>
      </c>
      <c r="N3681" s="11">
        <f>IF(M3681="","",ROUND(M3681*1.18,2))</f>
        <v/>
      </c>
      <c r="O3681" s="12">
        <f>IF(M3681="","",ROUND(N3681-M3681,2))</f>
        <v/>
      </c>
      <c r="P3681" s="13">
        <f>IF(AND(A3681&lt;&gt;"",B3681&lt;&gt;""), A3681&amp;" · "&amp;B3681, "")</f>
        <v/>
      </c>
    </row>
    <row r="3682">
      <c r="A3682" s="6" t="inlineStr">
        <is>
          <t>FY27</t>
        </is>
      </c>
      <c r="B3682" s="6" t="inlineStr">
        <is>
          <t>Aug</t>
        </is>
      </c>
      <c r="C3682" s="6" t="inlineStr">
        <is>
          <t>TN</t>
        </is>
      </c>
      <c r="D3682" s="7" t="inlineStr">
        <is>
          <t>TN30BW6621</t>
        </is>
      </c>
      <c r="E3682" s="7" t="inlineStr">
        <is>
          <t>TOYOTA</t>
        </is>
      </c>
      <c r="F3682" s="7" t="inlineStr">
        <is>
          <t>Etios</t>
        </is>
      </c>
      <c r="G3682" s="7" t="inlineStr">
        <is>
          <t>EXCHANGE ROTN</t>
        </is>
      </c>
      <c r="H3682" s="7" t="inlineStr">
        <is>
          <t>Captive</t>
        </is>
      </c>
      <c r="I3682" s="7" t="inlineStr">
        <is>
          <t>STALIN CARS</t>
        </is>
      </c>
      <c r="J3682" s="8" t="n">
        <v>2016</v>
      </c>
      <c r="K3682" s="9" t="n">
        <v>140304</v>
      </c>
      <c r="L3682" s="10" t="n">
        <v>495000</v>
      </c>
      <c r="M3682" s="10" t="n">
        <v>12711.86</v>
      </c>
      <c r="N3682" s="11">
        <f>IF(M3682="","",ROUND(M3682*1.18,2))</f>
        <v/>
      </c>
      <c r="O3682" s="12">
        <f>IF(M3682="","",ROUND(N3682-M3682,2))</f>
        <v/>
      </c>
      <c r="P3682" s="13">
        <f>IF(AND(A3682&lt;&gt;"",B3682&lt;&gt;""), A3682&amp;" · "&amp;B3682, "")</f>
        <v/>
      </c>
    </row>
    <row r="3683">
      <c r="A3683" s="6" t="inlineStr">
        <is>
          <t>FY27</t>
        </is>
      </c>
      <c r="B3683" s="6" t="inlineStr">
        <is>
          <t>Aug</t>
        </is>
      </c>
      <c r="C3683" s="6" t="inlineStr">
        <is>
          <t>TN</t>
        </is>
      </c>
      <c r="D3683" s="7" t="inlineStr">
        <is>
          <t>TN30F6465</t>
        </is>
      </c>
      <c r="E3683" s="7" t="inlineStr">
        <is>
          <t>MARUTI SUZUKI</t>
        </is>
      </c>
      <c r="F3683" s="7" t="inlineStr">
        <is>
          <t>Alto</t>
        </is>
      </c>
      <c r="G3683" s="7" t="inlineStr">
        <is>
          <t>S M CAR PRIVATE LIMITED</t>
        </is>
      </c>
      <c r="H3683" s="7" t="inlineStr">
        <is>
          <t>Non-Captive</t>
        </is>
      </c>
      <c r="I3683" s="7" t="inlineStr">
        <is>
          <t>&lt;NA&gt;</t>
        </is>
      </c>
      <c r="J3683" s="8" t="n">
        <v>2004</v>
      </c>
      <c r="K3683" s="9" t="n">
        <v>69209</v>
      </c>
      <c r="L3683" s="10" t="n">
        <v>60000</v>
      </c>
      <c r="M3683" s="10" t="n">
        <v>4237.29</v>
      </c>
      <c r="N3683" s="11">
        <f>IF(M3683="","",ROUND(M3683*1.18,2))</f>
        <v/>
      </c>
      <c r="O3683" s="12">
        <f>IF(M3683="","",ROUND(N3683-M3683,2))</f>
        <v/>
      </c>
      <c r="P3683" s="13">
        <f>IF(AND(A3683&lt;&gt;"",B3683&lt;&gt;""), A3683&amp;" · "&amp;B3683, "")</f>
        <v/>
      </c>
    </row>
    <row r="3684">
      <c r="A3684" s="6" t="inlineStr">
        <is>
          <t>FY27</t>
        </is>
      </c>
      <c r="B3684" s="6" t="inlineStr">
        <is>
          <t>Aug</t>
        </is>
      </c>
      <c r="C3684" s="6" t="inlineStr">
        <is>
          <t>TN</t>
        </is>
      </c>
      <c r="D3684" s="7" t="inlineStr">
        <is>
          <t>TN33AP0070</t>
        </is>
      </c>
      <c r="E3684" s="7" t="inlineStr">
        <is>
          <t>MARUTI SUZUKI</t>
        </is>
      </c>
      <c r="F3684" s="7" t="inlineStr">
        <is>
          <t>Swift</t>
        </is>
      </c>
      <c r="G3684" s="7" t="inlineStr">
        <is>
          <t>SREE SARADHAMBAL AUTOMOBILES PRIVATE LIMITED</t>
        </is>
      </c>
      <c r="H3684" s="7" t="inlineStr">
        <is>
          <t>Non-Captive</t>
        </is>
      </c>
      <c r="I3684" s="7" t="inlineStr">
        <is>
          <t>Sivashankar Cars</t>
        </is>
      </c>
      <c r="J3684" s="8" t="n">
        <v>2009</v>
      </c>
      <c r="K3684" s="9" t="n">
        <v>225671</v>
      </c>
      <c r="L3684" s="10" t="n">
        <v>95000</v>
      </c>
      <c r="M3684" s="10" t="n">
        <v>4237.29</v>
      </c>
      <c r="N3684" s="11">
        <f>IF(M3684="","",ROUND(M3684*1.18,2))</f>
        <v/>
      </c>
      <c r="O3684" s="12">
        <f>IF(M3684="","",ROUND(N3684-M3684,2))</f>
        <v/>
      </c>
      <c r="P3684" s="13">
        <f>IF(AND(A3684&lt;&gt;"",B3684&lt;&gt;""), A3684&amp;" · "&amp;B3684, "")</f>
        <v/>
      </c>
    </row>
    <row r="3685">
      <c r="A3685" s="6" t="inlineStr">
        <is>
          <t>FY27</t>
        </is>
      </c>
      <c r="B3685" s="6" t="inlineStr">
        <is>
          <t>Aug</t>
        </is>
      </c>
      <c r="C3685" s="6" t="inlineStr">
        <is>
          <t>TN</t>
        </is>
      </c>
      <c r="D3685" s="7" t="inlineStr">
        <is>
          <t>TN33AY5758</t>
        </is>
      </c>
      <c r="E3685" s="7" t="inlineStr">
        <is>
          <t>MARUTI SUZUKI</t>
        </is>
      </c>
      <c r="F3685" s="7" t="inlineStr">
        <is>
          <t>Zen</t>
        </is>
      </c>
      <c r="G3685" s="7" t="inlineStr">
        <is>
          <t>EXCHANGE ROTN</t>
        </is>
      </c>
      <c r="H3685" s="7" t="inlineStr">
        <is>
          <t>Captive</t>
        </is>
      </c>
      <c r="I3685" s="7" t="inlineStr">
        <is>
          <t>Sivashankar Cars</t>
        </is>
      </c>
      <c r="J3685" s="8" t="n">
        <v>2005</v>
      </c>
      <c r="K3685" s="9" t="n">
        <v>229525</v>
      </c>
      <c r="L3685" s="10" t="n">
        <v>55000</v>
      </c>
      <c r="M3685" s="10" t="n">
        <v>4237.29</v>
      </c>
      <c r="N3685" s="11">
        <f>IF(M3685="","",ROUND(M3685*1.18,2))</f>
        <v/>
      </c>
      <c r="O3685" s="12">
        <f>IF(M3685="","",ROUND(N3685-M3685,2))</f>
        <v/>
      </c>
      <c r="P3685" s="13">
        <f>IF(AND(A3685&lt;&gt;"",B3685&lt;&gt;""), A3685&amp;" · "&amp;B3685, "")</f>
        <v/>
      </c>
    </row>
    <row r="3686">
      <c r="A3686" s="6" t="inlineStr">
        <is>
          <t>FY27</t>
        </is>
      </c>
      <c r="B3686" s="6" t="inlineStr">
        <is>
          <t>Aug</t>
        </is>
      </c>
      <c r="C3686" s="6" t="inlineStr">
        <is>
          <t>TN</t>
        </is>
      </c>
      <c r="D3686" s="7" t="inlineStr">
        <is>
          <t>TN33AZ5100</t>
        </is>
      </c>
      <c r="E3686" s="7" t="inlineStr">
        <is>
          <t>HYUNDAI</t>
        </is>
      </c>
      <c r="F3686" s="7" t="inlineStr">
        <is>
          <t>Santro</t>
        </is>
      </c>
      <c r="G3686" s="7" t="inlineStr">
        <is>
          <t>EXCHANGE ROTN</t>
        </is>
      </c>
      <c r="H3686" s="7" t="inlineStr">
        <is>
          <t>Captive</t>
        </is>
      </c>
      <c r="I3686" s="7" t="inlineStr">
        <is>
          <t>SAKARAPANI AUTO CONSULTING</t>
        </is>
      </c>
      <c r="J3686" s="8" t="n">
        <v>2005</v>
      </c>
      <c r="K3686" s="9" t="n">
        <v>153523</v>
      </c>
      <c r="L3686" s="10" t="n">
        <v>103000</v>
      </c>
      <c r="M3686" s="10" t="n">
        <v>5084.75</v>
      </c>
      <c r="N3686" s="11">
        <f>IF(M3686="","",ROUND(M3686*1.18,2))</f>
        <v/>
      </c>
      <c r="O3686" s="12">
        <f>IF(M3686="","",ROUND(N3686-M3686,2))</f>
        <v/>
      </c>
      <c r="P3686" s="13">
        <f>IF(AND(A3686&lt;&gt;"",B3686&lt;&gt;""), A3686&amp;" · "&amp;B3686, "")</f>
        <v/>
      </c>
    </row>
    <row r="3687">
      <c r="A3687" s="6" t="inlineStr">
        <is>
          <t>FY27</t>
        </is>
      </c>
      <c r="B3687" s="6" t="inlineStr">
        <is>
          <t>Aug</t>
        </is>
      </c>
      <c r="C3687" s="6" t="inlineStr">
        <is>
          <t>TN</t>
        </is>
      </c>
      <c r="D3687" s="7" t="inlineStr">
        <is>
          <t>TN34AX0810</t>
        </is>
      </c>
      <c r="E3687" s="7" t="inlineStr">
        <is>
          <t>KIA</t>
        </is>
      </c>
      <c r="F3687" s="7" t="inlineStr">
        <is>
          <t>Seltos</t>
        </is>
      </c>
      <c r="G3687" s="7" t="inlineStr">
        <is>
          <t>EXCHANGE ROTN</t>
        </is>
      </c>
      <c r="H3687" s="7" t="inlineStr">
        <is>
          <t>Captive</t>
        </is>
      </c>
      <c r="I3687" s="7" t="inlineStr">
        <is>
          <t>Sivashankar Cars</t>
        </is>
      </c>
      <c r="J3687" s="8" t="n">
        <v>2020</v>
      </c>
      <c r="K3687" s="9" t="n">
        <v>82264</v>
      </c>
      <c r="L3687" s="10" t="n">
        <v>975000</v>
      </c>
      <c r="M3687" s="10" t="n">
        <v>21186.44</v>
      </c>
      <c r="N3687" s="11">
        <f>IF(M3687="","",ROUND(M3687*1.18,2))</f>
        <v/>
      </c>
      <c r="O3687" s="12">
        <f>IF(M3687="","",ROUND(N3687-M3687,2))</f>
        <v/>
      </c>
      <c r="P3687" s="13">
        <f>IF(AND(A3687&lt;&gt;"",B3687&lt;&gt;""), A3687&amp;" · "&amp;B3687, "")</f>
        <v/>
      </c>
    </row>
    <row r="3688">
      <c r="A3688" s="6" t="inlineStr">
        <is>
          <t>FY27</t>
        </is>
      </c>
      <c r="B3688" s="6" t="inlineStr">
        <is>
          <t>Aug</t>
        </is>
      </c>
      <c r="C3688" s="6" t="inlineStr">
        <is>
          <t>TN</t>
        </is>
      </c>
      <c r="D3688" s="7" t="inlineStr">
        <is>
          <t>TN34Z3785</t>
        </is>
      </c>
      <c r="E3688" s="7" t="inlineStr">
        <is>
          <t>MARUTI SUZUKI</t>
        </is>
      </c>
      <c r="F3688" s="7" t="inlineStr">
        <is>
          <t>Swift</t>
        </is>
      </c>
      <c r="G3688" s="7" t="inlineStr">
        <is>
          <t>EXCHANGE ROTN</t>
        </is>
      </c>
      <c r="H3688" s="7" t="inlineStr">
        <is>
          <t>Captive</t>
        </is>
      </c>
      <c r="I3688" s="7" t="inlineStr">
        <is>
          <t>STALIN CARS</t>
        </is>
      </c>
      <c r="J3688" s="8" t="n">
        <v>2017</v>
      </c>
      <c r="K3688" s="9" t="n">
        <v>100403</v>
      </c>
      <c r="L3688" s="10" t="n">
        <v>385000</v>
      </c>
      <c r="M3688" s="10" t="n">
        <v>12711.86</v>
      </c>
      <c r="N3688" s="11">
        <f>IF(M3688="","",ROUND(M3688*1.18,2))</f>
        <v/>
      </c>
      <c r="O3688" s="12">
        <f>IF(M3688="","",ROUND(N3688-M3688,2))</f>
        <v/>
      </c>
      <c r="P3688" s="13">
        <f>IF(AND(A3688&lt;&gt;"",B3688&lt;&gt;""), A3688&amp;" · "&amp;B3688, "")</f>
        <v/>
      </c>
    </row>
    <row r="3689">
      <c r="A3689" s="6" t="inlineStr">
        <is>
          <t>FY27</t>
        </is>
      </c>
      <c r="B3689" s="6" t="inlineStr">
        <is>
          <t>Aug</t>
        </is>
      </c>
      <c r="C3689" s="6" t="inlineStr">
        <is>
          <t>TN</t>
        </is>
      </c>
      <c r="D3689" s="7" t="inlineStr">
        <is>
          <t>TN36U2410</t>
        </is>
      </c>
      <c r="E3689" s="7" t="inlineStr">
        <is>
          <t>MARUTI SUZUKI</t>
        </is>
      </c>
      <c r="F3689" s="7" t="inlineStr">
        <is>
          <t>Alto</t>
        </is>
      </c>
      <c r="G3689" s="7" t="inlineStr">
        <is>
          <t>EXCHANGE ROTN</t>
        </is>
      </c>
      <c r="H3689" s="7" t="inlineStr">
        <is>
          <t>Captive</t>
        </is>
      </c>
      <c r="I3689" s="7" t="inlineStr">
        <is>
          <t>Sri Murugan Cars</t>
        </is>
      </c>
      <c r="J3689" s="8" t="n">
        <v>2009</v>
      </c>
      <c r="K3689" s="9" t="n">
        <v>281351</v>
      </c>
      <c r="L3689" s="10" t="n">
        <v>160000</v>
      </c>
      <c r="M3689" s="10" t="n">
        <v>5084.75</v>
      </c>
      <c r="N3689" s="11">
        <f>IF(M3689="","",ROUND(M3689*1.18,2))</f>
        <v/>
      </c>
      <c r="O3689" s="12">
        <f>IF(M3689="","",ROUND(N3689-M3689,2))</f>
        <v/>
      </c>
      <c r="P3689" s="13">
        <f>IF(AND(A3689&lt;&gt;"",B3689&lt;&gt;""), A3689&amp;" · "&amp;B3689, "")</f>
        <v/>
      </c>
    </row>
    <row r="3690">
      <c r="A3690" s="6" t="inlineStr">
        <is>
          <t>FY27</t>
        </is>
      </c>
      <c r="B3690" s="6" t="inlineStr">
        <is>
          <t>Aug</t>
        </is>
      </c>
      <c r="C3690" s="6" t="inlineStr">
        <is>
          <t>TN</t>
        </is>
      </c>
      <c r="D3690" s="7" t="inlineStr">
        <is>
          <t>TN37AL8966</t>
        </is>
      </c>
      <c r="E3690" s="7" t="inlineStr">
        <is>
          <t>HYUNDAI</t>
        </is>
      </c>
      <c r="F3690" s="7" t="inlineStr">
        <is>
          <t>Getz</t>
        </is>
      </c>
      <c r="G3690" s="7" t="inlineStr">
        <is>
          <t>VISHNU CARS PRIVATE LIMITED</t>
        </is>
      </c>
      <c r="H3690" s="7" t="inlineStr">
        <is>
          <t>Non-Captive</t>
        </is>
      </c>
      <c r="I3690" s="7" t="inlineStr">
        <is>
          <t>Cars24</t>
        </is>
      </c>
      <c r="J3690" s="8" t="n">
        <v>2005</v>
      </c>
      <c r="K3690" s="9" t="n">
        <v>48958</v>
      </c>
      <c r="L3690" s="10" t="n">
        <v>99000</v>
      </c>
      <c r="M3690" s="10" t="n">
        <v>4237.29</v>
      </c>
      <c r="N3690" s="11">
        <f>IF(M3690="","",ROUND(M3690*1.18,2))</f>
        <v/>
      </c>
      <c r="O3690" s="12">
        <f>IF(M3690="","",ROUND(N3690-M3690,2))</f>
        <v/>
      </c>
      <c r="P3690" s="13">
        <f>IF(AND(A3690&lt;&gt;"",B3690&lt;&gt;""), A3690&amp;" · "&amp;B3690, "")</f>
        <v/>
      </c>
    </row>
    <row r="3691">
      <c r="A3691" s="6" t="inlineStr">
        <is>
          <t>FY27</t>
        </is>
      </c>
      <c r="B3691" s="6" t="inlineStr">
        <is>
          <t>Aug</t>
        </is>
      </c>
      <c r="C3691" s="6" t="inlineStr">
        <is>
          <t>TN</t>
        </is>
      </c>
      <c r="D3691" s="7" t="inlineStr">
        <is>
          <t>TN37AQ8008</t>
        </is>
      </c>
      <c r="E3691" s="7" t="inlineStr">
        <is>
          <t>HONDA</t>
        </is>
      </c>
      <c r="F3691" s="7" t="inlineStr">
        <is>
          <t>City</t>
        </is>
      </c>
      <c r="G3691" s="7" t="inlineStr">
        <is>
          <t>STEER AUTO TECHNOLOGIES PRIVATE LIMITED</t>
        </is>
      </c>
      <c r="H3691" s="7" t="inlineStr">
        <is>
          <t>Non-Captive</t>
        </is>
      </c>
      <c r="I3691" s="7" t="inlineStr">
        <is>
          <t>Nirmal Cars</t>
        </is>
      </c>
      <c r="J3691" s="8" t="n">
        <v>2006</v>
      </c>
      <c r="K3691" s="9" t="n">
        <v>115060</v>
      </c>
      <c r="L3691" s="10" t="n">
        <v>97000</v>
      </c>
      <c r="M3691" s="10" t="n">
        <v>2542.37</v>
      </c>
      <c r="N3691" s="11">
        <f>IF(M3691="","",ROUND(M3691*1.18,2))</f>
        <v/>
      </c>
      <c r="O3691" s="12">
        <f>IF(M3691="","",ROUND(N3691-M3691,2))</f>
        <v/>
      </c>
      <c r="P3691" s="13">
        <f>IF(AND(A3691&lt;&gt;"",B3691&lt;&gt;""), A3691&amp;" · "&amp;B3691, "")</f>
        <v/>
      </c>
    </row>
    <row r="3692">
      <c r="A3692" s="6" t="inlineStr">
        <is>
          <t>FY27</t>
        </is>
      </c>
      <c r="B3692" s="6" t="inlineStr">
        <is>
          <t>Aug</t>
        </is>
      </c>
      <c r="C3692" s="6" t="inlineStr">
        <is>
          <t>TN</t>
        </is>
      </c>
      <c r="D3692" s="7" t="inlineStr">
        <is>
          <t>TN37BX9138</t>
        </is>
      </c>
      <c r="E3692" s="7" t="inlineStr">
        <is>
          <t>MARUTI SUZUKI</t>
        </is>
      </c>
      <c r="F3692" s="7" t="inlineStr">
        <is>
          <t>Alto</t>
        </is>
      </c>
      <c r="G3692" s="7" t="inlineStr">
        <is>
          <t>SREE SARADHAMBAL AUTOMOBILES PRIVATE LIMITED</t>
        </is>
      </c>
      <c r="H3692" s="7" t="inlineStr">
        <is>
          <t>Non-Captive</t>
        </is>
      </c>
      <c r="I3692" s="7" t="inlineStr">
        <is>
          <t>Sarvesh Cars</t>
        </is>
      </c>
      <c r="J3692" s="8" t="n">
        <v>2012</v>
      </c>
      <c r="K3692" s="9" t="n">
        <v>111098</v>
      </c>
      <c r="L3692" s="10" t="n">
        <v>97000</v>
      </c>
      <c r="M3692" s="10" t="n">
        <v>4237.29</v>
      </c>
      <c r="N3692" s="11">
        <f>IF(M3692="","",ROUND(M3692*1.18,2))</f>
        <v/>
      </c>
      <c r="O3692" s="12">
        <f>IF(M3692="","",ROUND(N3692-M3692,2))</f>
        <v/>
      </c>
      <c r="P3692" s="13">
        <f>IF(AND(A3692&lt;&gt;"",B3692&lt;&gt;""), A3692&amp;" · "&amp;B3692, "")</f>
        <v/>
      </c>
    </row>
    <row r="3693">
      <c r="A3693" s="6" t="inlineStr">
        <is>
          <t>FY27</t>
        </is>
      </c>
      <c r="B3693" s="6" t="inlineStr">
        <is>
          <t>Aug</t>
        </is>
      </c>
      <c r="C3693" s="6" t="inlineStr">
        <is>
          <t>TN</t>
        </is>
      </c>
      <c r="D3693" s="7" t="inlineStr">
        <is>
          <t>TN37CJ9726</t>
        </is>
      </c>
      <c r="E3693" s="7" t="inlineStr">
        <is>
          <t>HONDA</t>
        </is>
      </c>
      <c r="F3693" s="7" t="inlineStr">
        <is>
          <t>Brio</t>
        </is>
      </c>
      <c r="G3693" s="7" t="inlineStr">
        <is>
          <t>SREE SARADHAMBAL AUTOMOBILES PRIVATE LIMITED</t>
        </is>
      </c>
      <c r="H3693" s="7" t="inlineStr">
        <is>
          <t>Non-Captive</t>
        </is>
      </c>
      <c r="I3693" s="7" t="inlineStr">
        <is>
          <t>Uzhavan Enterprise</t>
        </is>
      </c>
      <c r="J3693" s="8" t="n">
        <v>2014</v>
      </c>
      <c r="K3693" s="9" t="n">
        <v>141857</v>
      </c>
      <c r="L3693" s="10" t="n">
        <v>220000</v>
      </c>
      <c r="M3693" s="10" t="n">
        <v>8474.58</v>
      </c>
      <c r="N3693" s="11">
        <f>IF(M3693="","",ROUND(M3693*1.18,2))</f>
        <v/>
      </c>
      <c r="O3693" s="12">
        <f>IF(M3693="","",ROUND(N3693-M3693,2))</f>
        <v/>
      </c>
      <c r="P3693" s="13">
        <f>IF(AND(A3693&lt;&gt;"",B3693&lt;&gt;""), A3693&amp;" · "&amp;B3693, "")</f>
        <v/>
      </c>
    </row>
    <row r="3694">
      <c r="A3694" s="6" t="inlineStr">
        <is>
          <t>FY27</t>
        </is>
      </c>
      <c r="B3694" s="6" t="inlineStr">
        <is>
          <t>Aug</t>
        </is>
      </c>
      <c r="C3694" s="6" t="inlineStr">
        <is>
          <t>TN</t>
        </is>
      </c>
      <c r="D3694" s="7" t="inlineStr">
        <is>
          <t>TN37DM5449</t>
        </is>
      </c>
      <c r="E3694" s="7" t="inlineStr">
        <is>
          <t>HYUNDAI</t>
        </is>
      </c>
      <c r="F3694" s="7" t="inlineStr">
        <is>
          <t>i20</t>
        </is>
      </c>
      <c r="G3694" s="7" t="inlineStr">
        <is>
          <t>EXCHANGE ROTN</t>
        </is>
      </c>
      <c r="H3694" s="7" t="inlineStr">
        <is>
          <t>Captive</t>
        </is>
      </c>
      <c r="I3694" s="7" t="inlineStr">
        <is>
          <t>Auto Solution</t>
        </is>
      </c>
      <c r="J3694" s="8" t="n">
        <v>2022</v>
      </c>
      <c r="K3694" s="9" t="n">
        <v>40307</v>
      </c>
      <c r="L3694" s="10" t="n">
        <v>710000</v>
      </c>
      <c r="M3694" s="10" t="n">
        <v>12711.86</v>
      </c>
      <c r="N3694" s="11">
        <f>IF(M3694="","",ROUND(M3694*1.18,2))</f>
        <v/>
      </c>
      <c r="O3694" s="12">
        <f>IF(M3694="","",ROUND(N3694-M3694,2))</f>
        <v/>
      </c>
      <c r="P3694" s="13">
        <f>IF(AND(A3694&lt;&gt;"",B3694&lt;&gt;""), A3694&amp;" · "&amp;B3694, "")</f>
        <v/>
      </c>
    </row>
    <row r="3695">
      <c r="A3695" s="6" t="inlineStr">
        <is>
          <t>FY27</t>
        </is>
      </c>
      <c r="B3695" s="6" t="inlineStr">
        <is>
          <t>Aug</t>
        </is>
      </c>
      <c r="C3695" s="6" t="inlineStr">
        <is>
          <t>TN</t>
        </is>
      </c>
      <c r="D3695" s="7" t="inlineStr">
        <is>
          <t>TN37DR9464</t>
        </is>
      </c>
      <c r="E3695" s="7" t="inlineStr">
        <is>
          <t>NISSAN</t>
        </is>
      </c>
      <c r="F3695" s="7" t="inlineStr">
        <is>
          <t>Magnite</t>
        </is>
      </c>
      <c r="G3695" s="7" t="inlineStr">
        <is>
          <t>SREE SARADHAMBAL AUTOMOBILES PRIVATE LIMITED</t>
        </is>
      </c>
      <c r="H3695" s="7" t="inlineStr">
        <is>
          <t>Non-Captive</t>
        </is>
      </c>
      <c r="I3695" s="7" t="inlineStr">
        <is>
          <t>Uzhavan Enterprise</t>
        </is>
      </c>
      <c r="J3695" s="8" t="n">
        <v>2023</v>
      </c>
      <c r="K3695" s="9" t="n">
        <v>47397</v>
      </c>
      <c r="L3695" s="10" t="n">
        <v>525000</v>
      </c>
      <c r="M3695" s="10" t="n">
        <v>8474.58</v>
      </c>
      <c r="N3695" s="11">
        <f>IF(M3695="","",ROUND(M3695*1.18,2))</f>
        <v/>
      </c>
      <c r="O3695" s="12">
        <f>IF(M3695="","",ROUND(N3695-M3695,2))</f>
        <v/>
      </c>
      <c r="P3695" s="13">
        <f>IF(AND(A3695&lt;&gt;"",B3695&lt;&gt;""), A3695&amp;" · "&amp;B3695, "")</f>
        <v/>
      </c>
    </row>
    <row r="3696">
      <c r="A3696" s="6" t="inlineStr">
        <is>
          <t>FY27</t>
        </is>
      </c>
      <c r="B3696" s="6" t="inlineStr">
        <is>
          <t>Aug</t>
        </is>
      </c>
      <c r="C3696" s="6" t="inlineStr">
        <is>
          <t>TN</t>
        </is>
      </c>
      <c r="D3696" s="7" t="inlineStr">
        <is>
          <t>TN37DZ4833</t>
        </is>
      </c>
      <c r="E3696" s="7" t="inlineStr">
        <is>
          <t>SKODA</t>
        </is>
      </c>
      <c r="F3696" s="7" t="inlineStr">
        <is>
          <t>Rapid</t>
        </is>
      </c>
      <c r="G3696" s="7" t="inlineStr">
        <is>
          <t>EXCHANGE ROTN</t>
        </is>
      </c>
      <c r="H3696" s="7" t="inlineStr">
        <is>
          <t>Captive</t>
        </is>
      </c>
      <c r="I3696" s="7" t="inlineStr">
        <is>
          <t>READY TO RIDE CARS</t>
        </is>
      </c>
      <c r="J3696" s="8" t="n">
        <v>2017</v>
      </c>
      <c r="K3696" s="9" t="n">
        <v>110924</v>
      </c>
      <c r="L3696" s="10" t="n">
        <v>370000</v>
      </c>
      <c r="M3696" s="10" t="n">
        <v>8474.58</v>
      </c>
      <c r="N3696" s="11">
        <f>IF(M3696="","",ROUND(M3696*1.18,2))</f>
        <v/>
      </c>
      <c r="O3696" s="12">
        <f>IF(M3696="","",ROUND(N3696-M3696,2))</f>
        <v/>
      </c>
      <c r="P3696" s="13">
        <f>IF(AND(A3696&lt;&gt;"",B3696&lt;&gt;""), A3696&amp;" · "&amp;B3696, "")</f>
        <v/>
      </c>
    </row>
    <row r="3697">
      <c r="A3697" s="6" t="inlineStr">
        <is>
          <t>FY27</t>
        </is>
      </c>
      <c r="B3697" s="6" t="inlineStr">
        <is>
          <t>Aug</t>
        </is>
      </c>
      <c r="C3697" s="6" t="inlineStr">
        <is>
          <t>TN</t>
        </is>
      </c>
      <c r="D3697" s="7" t="inlineStr">
        <is>
          <t>TN37EX0925</t>
        </is>
      </c>
      <c r="E3697" s="7" t="inlineStr">
        <is>
          <t>HONDA</t>
        </is>
      </c>
      <c r="F3697" s="7" t="inlineStr">
        <is>
          <t>City</t>
        </is>
      </c>
      <c r="G3697" s="7" t="inlineStr">
        <is>
          <t>KRISH TOYOTA</t>
        </is>
      </c>
      <c r="H3697" s="7" t="inlineStr">
        <is>
          <t>Non-Captive</t>
        </is>
      </c>
      <c r="I3697" s="7" t="inlineStr">
        <is>
          <t>SRI VIGNESH PRE OWNED CARS</t>
        </is>
      </c>
      <c r="J3697" s="8" t="n">
        <v>2022</v>
      </c>
      <c r="K3697" s="9" t="n">
        <v>158720</v>
      </c>
      <c r="L3697" s="10" t="n">
        <v>700000</v>
      </c>
      <c r="M3697" s="10" t="n">
        <v>8474.58</v>
      </c>
      <c r="N3697" s="11">
        <f>IF(M3697="","",ROUND(M3697*1.18,2))</f>
        <v/>
      </c>
      <c r="O3697" s="12">
        <f>IF(M3697="","",ROUND(N3697-M3697,2))</f>
        <v/>
      </c>
      <c r="P3697" s="13">
        <f>IF(AND(A3697&lt;&gt;"",B3697&lt;&gt;""), A3697&amp;" · "&amp;B3697, "")</f>
        <v/>
      </c>
    </row>
    <row r="3698">
      <c r="A3698" s="6" t="inlineStr">
        <is>
          <t>FY27</t>
        </is>
      </c>
      <c r="B3698" s="6" t="inlineStr">
        <is>
          <t>Aug</t>
        </is>
      </c>
      <c r="C3698" s="6" t="inlineStr">
        <is>
          <t>TN</t>
        </is>
      </c>
      <c r="D3698" s="7" t="inlineStr">
        <is>
          <t>TN38AM3090</t>
        </is>
      </c>
      <c r="E3698" s="7" t="inlineStr">
        <is>
          <t>MARUTI SUZUKI</t>
        </is>
      </c>
      <c r="F3698" s="7" t="inlineStr">
        <is>
          <t>Swift</t>
        </is>
      </c>
      <c r="G3698" s="7" t="inlineStr">
        <is>
          <t>&lt;NA&gt;</t>
        </is>
      </c>
      <c r="H3698" s="7" t="inlineStr">
        <is>
          <t>Non-Captive</t>
        </is>
      </c>
      <c r="I3698" s="7" t="inlineStr">
        <is>
          <t>SRI VIGNESH PRE OWNED CARS</t>
        </is>
      </c>
      <c r="J3698" s="8" t="n">
        <v>2007</v>
      </c>
      <c r="K3698" s="9" t="n">
        <v>59560</v>
      </c>
      <c r="L3698" s="10" t="n">
        <v>96000</v>
      </c>
      <c r="M3698" s="10" t="n">
        <v>4237.29</v>
      </c>
      <c r="N3698" s="11">
        <f>IF(M3698="","",ROUND(M3698*1.18,2))</f>
        <v/>
      </c>
      <c r="O3698" s="12">
        <f>IF(M3698="","",ROUND(N3698-M3698,2))</f>
        <v/>
      </c>
      <c r="P3698" s="13">
        <f>IF(AND(A3698&lt;&gt;"",B3698&lt;&gt;""), A3698&amp;" · "&amp;B3698, "")</f>
        <v/>
      </c>
    </row>
    <row r="3699">
      <c r="A3699" s="6" t="inlineStr">
        <is>
          <t>FY27</t>
        </is>
      </c>
      <c r="B3699" s="6" t="inlineStr">
        <is>
          <t>Aug</t>
        </is>
      </c>
      <c r="C3699" s="6" t="inlineStr">
        <is>
          <t>TN</t>
        </is>
      </c>
      <c r="D3699" s="7" t="inlineStr">
        <is>
          <t>TN38AQ2592</t>
        </is>
      </c>
      <c r="E3699" s="7" t="inlineStr">
        <is>
          <t>MARUTI SUZUKI</t>
        </is>
      </c>
      <c r="F3699" s="7" t="inlineStr">
        <is>
          <t>800</t>
        </is>
      </c>
      <c r="G3699" s="7" t="inlineStr">
        <is>
          <t>EXCHANGE ROTN</t>
        </is>
      </c>
      <c r="H3699" s="7" t="inlineStr">
        <is>
          <t>Captive</t>
        </is>
      </c>
      <c r="I3699" s="7" t="inlineStr">
        <is>
          <t>SAKARAPANI AUTO CONSULTING</t>
        </is>
      </c>
      <c r="J3699" s="8" t="n">
        <v>2007</v>
      </c>
      <c r="K3699" s="9" t="n">
        <v>87349</v>
      </c>
      <c r="L3699" s="10" t="n">
        <v>70000</v>
      </c>
      <c r="M3699" s="10" t="n">
        <v>4237.29</v>
      </c>
      <c r="N3699" s="11">
        <f>IF(M3699="","",ROUND(M3699*1.18,2))</f>
        <v/>
      </c>
      <c r="O3699" s="12">
        <f>IF(M3699="","",ROUND(N3699-M3699,2))</f>
        <v/>
      </c>
      <c r="P3699" s="13">
        <f>IF(AND(A3699&lt;&gt;"",B3699&lt;&gt;""), A3699&amp;" · "&amp;B3699, "")</f>
        <v/>
      </c>
    </row>
    <row r="3700">
      <c r="A3700" s="6" t="inlineStr">
        <is>
          <t>FY27</t>
        </is>
      </c>
      <c r="B3700" s="6" t="inlineStr">
        <is>
          <t>Aug</t>
        </is>
      </c>
      <c r="C3700" s="6" t="inlineStr">
        <is>
          <t>TN</t>
        </is>
      </c>
      <c r="D3700" s="7" t="inlineStr">
        <is>
          <t>TN38AZ2805</t>
        </is>
      </c>
      <c r="E3700" s="7" t="inlineStr">
        <is>
          <t>HYUNDAI</t>
        </is>
      </c>
      <c r="F3700" s="7" t="inlineStr">
        <is>
          <t>i10</t>
        </is>
      </c>
      <c r="G3700" s="7" t="inlineStr">
        <is>
          <t>SREE SARADHAMBAL AUTOMOBILES PRIVATE LIMITED</t>
        </is>
      </c>
      <c r="H3700" s="7" t="inlineStr">
        <is>
          <t>Non-Captive</t>
        </is>
      </c>
      <c r="I3700" s="7" t="inlineStr">
        <is>
          <t>Sarvesh Cars</t>
        </is>
      </c>
      <c r="J3700" s="8" t="n">
        <v>2009</v>
      </c>
      <c r="K3700" s="9" t="n">
        <v>62407</v>
      </c>
      <c r="L3700" s="10" t="n">
        <v>95000</v>
      </c>
      <c r="M3700" s="10" t="n">
        <v>4237.29</v>
      </c>
      <c r="N3700" s="11">
        <f>IF(M3700="","",ROUND(M3700*1.18,2))</f>
        <v/>
      </c>
      <c r="O3700" s="12">
        <f>IF(M3700="","",ROUND(N3700-M3700,2))</f>
        <v/>
      </c>
      <c r="P3700" s="13">
        <f>IF(AND(A3700&lt;&gt;"",B3700&lt;&gt;""), A3700&amp;" · "&amp;B3700, "")</f>
        <v/>
      </c>
    </row>
    <row r="3701">
      <c r="A3701" s="6" t="inlineStr">
        <is>
          <t>FY27</t>
        </is>
      </c>
      <c r="B3701" s="6" t="inlineStr">
        <is>
          <t>Aug</t>
        </is>
      </c>
      <c r="C3701" s="6" t="inlineStr">
        <is>
          <t>TN</t>
        </is>
      </c>
      <c r="D3701" s="7" t="inlineStr">
        <is>
          <t>TN38BF3606</t>
        </is>
      </c>
      <c r="E3701" s="7" t="inlineStr">
        <is>
          <t>MARUTI SUZUKI</t>
        </is>
      </c>
      <c r="F3701" s="7" t="inlineStr">
        <is>
          <t>Swift</t>
        </is>
      </c>
      <c r="G3701" s="7" t="inlineStr">
        <is>
          <t>&lt;NA&gt;</t>
        </is>
      </c>
      <c r="H3701" s="7" t="inlineStr">
        <is>
          <t>Non-Captive</t>
        </is>
      </c>
      <c r="I3701" s="7" t="inlineStr">
        <is>
          <t>READY TO RIDE CARS</t>
        </is>
      </c>
      <c r="J3701" s="8" t="n">
        <v>2011</v>
      </c>
      <c r="K3701" s="9" t="n">
        <v>153758</v>
      </c>
      <c r="L3701" s="10" t="n">
        <v>90000</v>
      </c>
      <c r="M3701" s="10" t="n">
        <v>4237.29</v>
      </c>
      <c r="N3701" s="11">
        <f>IF(M3701="","",ROUND(M3701*1.18,2))</f>
        <v/>
      </c>
      <c r="O3701" s="12">
        <f>IF(M3701="","",ROUND(N3701-M3701,2))</f>
        <v/>
      </c>
      <c r="P3701" s="13">
        <f>IF(AND(A3701&lt;&gt;"",B3701&lt;&gt;""), A3701&amp;" · "&amp;B3701, "")</f>
        <v/>
      </c>
    </row>
    <row r="3702">
      <c r="A3702" s="6" t="inlineStr">
        <is>
          <t>FY27</t>
        </is>
      </c>
      <c r="B3702" s="6" t="inlineStr">
        <is>
          <t>Aug</t>
        </is>
      </c>
      <c r="C3702" s="6" t="inlineStr">
        <is>
          <t>TN</t>
        </is>
      </c>
      <c r="D3702" s="7" t="inlineStr">
        <is>
          <t>TN38BQ6154</t>
        </is>
      </c>
      <c r="E3702" s="7" t="inlineStr">
        <is>
          <t>TATA</t>
        </is>
      </c>
      <c r="F3702" s="7" t="inlineStr">
        <is>
          <t>Indica</t>
        </is>
      </c>
      <c r="G3702" s="7" t="inlineStr">
        <is>
          <t>AADHI CARS PRIVATE LIMITED</t>
        </is>
      </c>
      <c r="H3702" s="7" t="inlineStr">
        <is>
          <t>Non-Captive</t>
        </is>
      </c>
      <c r="I3702" s="7" t="inlineStr">
        <is>
          <t>SRI RAJA KANAPATHY CARS</t>
        </is>
      </c>
      <c r="J3702" s="8" t="n">
        <v>2012</v>
      </c>
      <c r="K3702" s="9" t="n">
        <v>176566</v>
      </c>
      <c r="L3702" s="10" t="n">
        <v>115000</v>
      </c>
      <c r="M3702" s="10" t="n">
        <v>4237.29</v>
      </c>
      <c r="N3702" s="11">
        <f>IF(M3702="","",ROUND(M3702*1.18,2))</f>
        <v/>
      </c>
      <c r="O3702" s="12">
        <f>IF(M3702="","",ROUND(N3702-M3702,2))</f>
        <v/>
      </c>
      <c r="P3702" s="13">
        <f>IF(AND(A3702&lt;&gt;"",B3702&lt;&gt;""), A3702&amp;" · "&amp;B3702, "")</f>
        <v/>
      </c>
    </row>
    <row r="3703">
      <c r="A3703" s="6" t="inlineStr">
        <is>
          <t>FY27</t>
        </is>
      </c>
      <c r="B3703" s="6" t="inlineStr">
        <is>
          <t>Aug</t>
        </is>
      </c>
      <c r="C3703" s="6" t="inlineStr">
        <is>
          <t>TN</t>
        </is>
      </c>
      <c r="D3703" s="7" t="inlineStr">
        <is>
          <t>TN38BV1777</t>
        </is>
      </c>
      <c r="E3703" s="7" t="inlineStr">
        <is>
          <t>HYUNDAI</t>
        </is>
      </c>
      <c r="F3703" s="7" t="inlineStr">
        <is>
          <t>i10</t>
        </is>
      </c>
      <c r="G3703" s="7" t="inlineStr">
        <is>
          <t>STEER AUTO TECHNOLOGIES PRIVATE LIMITED</t>
        </is>
      </c>
      <c r="H3703" s="7" t="inlineStr">
        <is>
          <t>Non-Captive</t>
        </is>
      </c>
      <c r="I3703" s="7" t="inlineStr">
        <is>
          <t>Nirmal Cars</t>
        </is>
      </c>
      <c r="J3703" s="8" t="n">
        <v>2013</v>
      </c>
      <c r="K3703" s="9" t="n">
        <v>75277</v>
      </c>
      <c r="L3703" s="10" t="n">
        <v>91000</v>
      </c>
      <c r="M3703" s="10" t="n">
        <v>2542.37</v>
      </c>
      <c r="N3703" s="11">
        <f>IF(M3703="","",ROUND(M3703*1.18,2))</f>
        <v/>
      </c>
      <c r="O3703" s="12">
        <f>IF(M3703="","",ROUND(N3703-M3703,2))</f>
        <v/>
      </c>
      <c r="P3703" s="13">
        <f>IF(AND(A3703&lt;&gt;"",B3703&lt;&gt;""), A3703&amp;" · "&amp;B3703, "")</f>
        <v/>
      </c>
    </row>
    <row r="3704">
      <c r="A3704" s="6" t="inlineStr">
        <is>
          <t>FY27</t>
        </is>
      </c>
      <c r="B3704" s="6" t="inlineStr">
        <is>
          <t>Aug</t>
        </is>
      </c>
      <c r="C3704" s="6" t="inlineStr">
        <is>
          <t>TN</t>
        </is>
      </c>
      <c r="D3704" s="7" t="inlineStr">
        <is>
          <t>TN38BV4360</t>
        </is>
      </c>
      <c r="E3704" s="7" t="inlineStr">
        <is>
          <t>TATA</t>
        </is>
      </c>
      <c r="F3704" s="7" t="inlineStr">
        <is>
          <t>Nano</t>
        </is>
      </c>
      <c r="G3704" s="7" t="inlineStr">
        <is>
          <t>POPULAR VEHICLES</t>
        </is>
      </c>
      <c r="H3704" s="7" t="inlineStr">
        <is>
          <t>Non-Captive</t>
        </is>
      </c>
      <c r="I3704" s="7" t="inlineStr">
        <is>
          <t>Senthur Cars</t>
        </is>
      </c>
      <c r="J3704" s="8" t="n">
        <v>2012</v>
      </c>
      <c r="K3704" s="9" t="n">
        <v>45895</v>
      </c>
      <c r="L3704" s="10" t="n">
        <v>89000</v>
      </c>
      <c r="M3704" s="10" t="n">
        <v>4237.29</v>
      </c>
      <c r="N3704" s="11">
        <f>IF(M3704="","",ROUND(M3704*1.18,2))</f>
        <v/>
      </c>
      <c r="O3704" s="12">
        <f>IF(M3704="","",ROUND(N3704-M3704,2))</f>
        <v/>
      </c>
      <c r="P3704" s="13">
        <f>IF(AND(A3704&lt;&gt;"",B3704&lt;&gt;""), A3704&amp;" · "&amp;B3704, "")</f>
        <v/>
      </c>
    </row>
    <row r="3705">
      <c r="A3705" s="6" t="inlineStr">
        <is>
          <t>FY27</t>
        </is>
      </c>
      <c r="B3705" s="6" t="inlineStr">
        <is>
          <t>Aug</t>
        </is>
      </c>
      <c r="C3705" s="6" t="inlineStr">
        <is>
          <t>TN</t>
        </is>
      </c>
      <c r="D3705" s="7" t="inlineStr">
        <is>
          <t>TN38BV6364</t>
        </is>
      </c>
      <c r="E3705" s="7" t="inlineStr">
        <is>
          <t>TOYOTA</t>
        </is>
      </c>
      <c r="F3705" s="7" t="inlineStr">
        <is>
          <t>Etios</t>
        </is>
      </c>
      <c r="G3705" s="7" t="inlineStr">
        <is>
          <t>EXCHANGE ROTN</t>
        </is>
      </c>
      <c r="H3705" s="7" t="inlineStr">
        <is>
          <t>Captive</t>
        </is>
      </c>
      <c r="I3705" s="7" t="inlineStr">
        <is>
          <t>Sri Murugan Cars</t>
        </is>
      </c>
      <c r="J3705" s="8" t="n">
        <v>2013</v>
      </c>
      <c r="K3705" s="9" t="n">
        <v>215971</v>
      </c>
      <c r="L3705" s="10" t="n">
        <v>265000</v>
      </c>
      <c r="M3705" s="10" t="n">
        <v>8474.58</v>
      </c>
      <c r="N3705" s="11">
        <f>IF(M3705="","",ROUND(M3705*1.18,2))</f>
        <v/>
      </c>
      <c r="O3705" s="12">
        <f>IF(M3705="","",ROUND(N3705-M3705,2))</f>
        <v/>
      </c>
      <c r="P3705" s="13">
        <f>IF(AND(A3705&lt;&gt;"",B3705&lt;&gt;""), A3705&amp;" · "&amp;B3705, "")</f>
        <v/>
      </c>
    </row>
    <row r="3706">
      <c r="A3706" s="6" t="inlineStr">
        <is>
          <t>FY27</t>
        </is>
      </c>
      <c r="B3706" s="6" t="inlineStr">
        <is>
          <t>Aug</t>
        </is>
      </c>
      <c r="C3706" s="6" t="inlineStr">
        <is>
          <t>TN</t>
        </is>
      </c>
      <c r="D3706" s="7" t="inlineStr">
        <is>
          <t>TN38BY3964</t>
        </is>
      </c>
      <c r="E3706" s="7" t="inlineStr">
        <is>
          <t>MARUTI SUZUKI</t>
        </is>
      </c>
      <c r="F3706" s="7" t="inlineStr">
        <is>
          <t>Alto 800</t>
        </is>
      </c>
      <c r="G3706" s="7" t="inlineStr">
        <is>
          <t>SREE SARADHAMBAL AUTOMOBILES PRIVATE LIMITED</t>
        </is>
      </c>
      <c r="H3706" s="7" t="inlineStr">
        <is>
          <t>Non-Captive</t>
        </is>
      </c>
      <c r="I3706" s="7" t="inlineStr">
        <is>
          <t>Uzhavan Enterprise</t>
        </is>
      </c>
      <c r="J3706" s="8" t="n">
        <v>2014</v>
      </c>
      <c r="K3706" s="9" t="n">
        <v>83437</v>
      </c>
      <c r="L3706" s="10" t="n">
        <v>200000</v>
      </c>
      <c r="M3706" s="10" t="n">
        <v>5932.2</v>
      </c>
      <c r="N3706" s="11">
        <f>IF(M3706="","",ROUND(M3706*1.18,2))</f>
        <v/>
      </c>
      <c r="O3706" s="12">
        <f>IF(M3706="","",ROUND(N3706-M3706,2))</f>
        <v/>
      </c>
      <c r="P3706" s="13">
        <f>IF(AND(A3706&lt;&gt;"",B3706&lt;&gt;""), A3706&amp;" · "&amp;B3706, "")</f>
        <v/>
      </c>
    </row>
    <row r="3707">
      <c r="A3707" s="6" t="inlineStr">
        <is>
          <t>FY27</t>
        </is>
      </c>
      <c r="B3707" s="6" t="inlineStr">
        <is>
          <t>Aug</t>
        </is>
      </c>
      <c r="C3707" s="6" t="inlineStr">
        <is>
          <t>TN</t>
        </is>
      </c>
      <c r="D3707" s="7" t="inlineStr">
        <is>
          <t>TN38CJ4438</t>
        </is>
      </c>
      <c r="E3707" s="7" t="inlineStr">
        <is>
          <t>MARUTI SUZUKI</t>
        </is>
      </c>
      <c r="F3707" s="7" t="inlineStr">
        <is>
          <t>Celerio</t>
        </is>
      </c>
      <c r="G3707" s="7" t="inlineStr">
        <is>
          <t>AADHI CARS PRIVATE LIMITED</t>
        </is>
      </c>
      <c r="H3707" s="7" t="inlineStr">
        <is>
          <t>Non-Captive</t>
        </is>
      </c>
      <c r="I3707" s="7" t="inlineStr">
        <is>
          <t>Auto Solution</t>
        </is>
      </c>
      <c r="J3707" s="8" t="n">
        <v>2017</v>
      </c>
      <c r="K3707" s="9" t="n">
        <v>87399</v>
      </c>
      <c r="L3707" s="10" t="n">
        <v>362500</v>
      </c>
      <c r="M3707" s="10" t="n">
        <v>6355.93</v>
      </c>
      <c r="N3707" s="11">
        <f>IF(M3707="","",ROUND(M3707*1.18,2))</f>
        <v/>
      </c>
      <c r="O3707" s="12">
        <f>IF(M3707="","",ROUND(N3707-M3707,2))</f>
        <v/>
      </c>
      <c r="P3707" s="13">
        <f>IF(AND(A3707&lt;&gt;"",B3707&lt;&gt;""), A3707&amp;" · "&amp;B3707, "")</f>
        <v/>
      </c>
    </row>
    <row r="3708">
      <c r="A3708" s="6" t="inlineStr">
        <is>
          <t>FY27</t>
        </is>
      </c>
      <c r="B3708" s="6" t="inlineStr">
        <is>
          <t>Aug</t>
        </is>
      </c>
      <c r="C3708" s="6" t="inlineStr">
        <is>
          <t>TN</t>
        </is>
      </c>
      <c r="D3708" s="7" t="inlineStr">
        <is>
          <t>TN38CJ8437</t>
        </is>
      </c>
      <c r="E3708" s="7" t="inlineStr">
        <is>
          <t>MARUTI SUZUKI</t>
        </is>
      </c>
      <c r="F3708" s="7" t="inlineStr">
        <is>
          <t>Ciaz</t>
        </is>
      </c>
      <c r="G3708" s="7" t="inlineStr">
        <is>
          <t>EXCHANGE ROTN</t>
        </is>
      </c>
      <c r="H3708" s="7" t="inlineStr">
        <is>
          <t>Captive</t>
        </is>
      </c>
      <c r="I3708" s="7" t="inlineStr">
        <is>
          <t>YUGA DHEERAN CARS</t>
        </is>
      </c>
      <c r="J3708" s="8" t="n">
        <v>2017</v>
      </c>
      <c r="K3708" s="9" t="n">
        <v>80768</v>
      </c>
      <c r="L3708" s="10" t="n">
        <v>620000</v>
      </c>
      <c r="M3708" s="10" t="n">
        <v>12711.86</v>
      </c>
      <c r="N3708" s="11">
        <f>IF(M3708="","",ROUND(M3708*1.18,2))</f>
        <v/>
      </c>
      <c r="O3708" s="12">
        <f>IF(M3708="","",ROUND(N3708-M3708,2))</f>
        <v/>
      </c>
      <c r="P3708" s="13">
        <f>IF(AND(A3708&lt;&gt;"",B3708&lt;&gt;""), A3708&amp;" · "&amp;B3708, "")</f>
        <v/>
      </c>
    </row>
    <row r="3709">
      <c r="A3709" s="6" t="inlineStr">
        <is>
          <t>FY27</t>
        </is>
      </c>
      <c r="B3709" s="6" t="inlineStr">
        <is>
          <t>Aug</t>
        </is>
      </c>
      <c r="C3709" s="6" t="inlineStr">
        <is>
          <t>TN</t>
        </is>
      </c>
      <c r="D3709" s="7" t="inlineStr">
        <is>
          <t>TN38CU1153</t>
        </is>
      </c>
      <c r="E3709" s="7" t="inlineStr">
        <is>
          <t>RENAULT</t>
        </is>
      </c>
      <c r="F3709" s="7" t="inlineStr">
        <is>
          <t>Kwid</t>
        </is>
      </c>
      <c r="G3709" s="7" t="inlineStr">
        <is>
          <t>PRODUCTIVITY ELEMENTS PRIVATE LIMITED</t>
        </is>
      </c>
      <c r="H3709" s="7" t="inlineStr">
        <is>
          <t>Non-Captive</t>
        </is>
      </c>
      <c r="I3709" s="7" t="inlineStr">
        <is>
          <t>Grid 33</t>
        </is>
      </c>
      <c r="J3709" s="8" t="n">
        <v>2019</v>
      </c>
      <c r="K3709" s="9" t="n">
        <v>37223</v>
      </c>
      <c r="L3709" s="10" t="n">
        <v>89000</v>
      </c>
      <c r="M3709" s="10" t="n">
        <v>4237.29</v>
      </c>
      <c r="N3709" s="11">
        <f>IF(M3709="","",ROUND(M3709*1.18,2))</f>
        <v/>
      </c>
      <c r="O3709" s="12">
        <f>IF(M3709="","",ROUND(N3709-M3709,2))</f>
        <v/>
      </c>
      <c r="P3709" s="13">
        <f>IF(AND(A3709&lt;&gt;"",B3709&lt;&gt;""), A3709&amp;" · "&amp;B3709, "")</f>
        <v/>
      </c>
    </row>
    <row r="3710">
      <c r="A3710" s="6" t="inlineStr">
        <is>
          <t>FY27</t>
        </is>
      </c>
      <c r="B3710" s="6" t="inlineStr">
        <is>
          <t>Aug</t>
        </is>
      </c>
      <c r="C3710" s="6" t="inlineStr">
        <is>
          <t>TN</t>
        </is>
      </c>
      <c r="D3710" s="7" t="inlineStr">
        <is>
          <t>TN38CX2840</t>
        </is>
      </c>
      <c r="E3710" s="7" t="inlineStr">
        <is>
          <t>FORD</t>
        </is>
      </c>
      <c r="F3710" s="7" t="inlineStr">
        <is>
          <t>EcoSport</t>
        </is>
      </c>
      <c r="G3710" s="7" t="inlineStr">
        <is>
          <t>MG MOTOR (RAMANI AUTO PRIVATE LIMITED</t>
        </is>
      </c>
      <c r="H3710" s="7" t="inlineStr">
        <is>
          <t>Non-Captive</t>
        </is>
      </c>
      <c r="I3710" s="7" t="inlineStr">
        <is>
          <t>Sai Cars</t>
        </is>
      </c>
      <c r="J3710" s="8" t="n">
        <v>2021</v>
      </c>
      <c r="K3710" s="9" t="n">
        <v>30315</v>
      </c>
      <c r="L3710" s="10" t="n">
        <v>710000</v>
      </c>
      <c r="M3710" s="10" t="n">
        <v>12711.86</v>
      </c>
      <c r="N3710" s="11">
        <f>IF(M3710="","",ROUND(M3710*1.18,2))</f>
        <v/>
      </c>
      <c r="O3710" s="12">
        <f>IF(M3710="","",ROUND(N3710-M3710,2))</f>
        <v/>
      </c>
      <c r="P3710" s="13">
        <f>IF(AND(A3710&lt;&gt;"",B3710&lt;&gt;""), A3710&amp;" · "&amp;B3710, "")</f>
        <v/>
      </c>
    </row>
    <row r="3711">
      <c r="A3711" s="6" t="inlineStr">
        <is>
          <t>FY27</t>
        </is>
      </c>
      <c r="B3711" s="6" t="inlineStr">
        <is>
          <t>Aug</t>
        </is>
      </c>
      <c r="C3711" s="6" t="inlineStr">
        <is>
          <t>TN</t>
        </is>
      </c>
      <c r="D3711" s="7" t="inlineStr">
        <is>
          <t>TN38J0123</t>
        </is>
      </c>
      <c r="E3711" s="7" t="inlineStr">
        <is>
          <t>MARUTI SUZUKI</t>
        </is>
      </c>
      <c r="F3711" s="7" t="inlineStr">
        <is>
          <t>Zen</t>
        </is>
      </c>
      <c r="G3711" s="7" t="inlineStr">
        <is>
          <t>ABT LIMITED</t>
        </is>
      </c>
      <c r="H3711" s="7" t="inlineStr">
        <is>
          <t>Non-Captive</t>
        </is>
      </c>
      <c r="I3711" s="7" t="inlineStr">
        <is>
          <t>SRI VIGNESH PRE OWNED CARS</t>
        </is>
      </c>
      <c r="J3711" s="8" t="n">
        <v>2000</v>
      </c>
      <c r="K3711" s="9" t="n">
        <v>83981</v>
      </c>
      <c r="L3711" s="10" t="n">
        <v>72000</v>
      </c>
      <c r="M3711" s="10" t="n">
        <v>4237.29</v>
      </c>
      <c r="N3711" s="11">
        <f>IF(M3711="","",ROUND(M3711*1.18,2))</f>
        <v/>
      </c>
      <c r="O3711" s="12">
        <f>IF(M3711="","",ROUND(N3711-M3711,2))</f>
        <v/>
      </c>
      <c r="P3711" s="13">
        <f>IF(AND(A3711&lt;&gt;"",B3711&lt;&gt;""), A3711&amp;" · "&amp;B3711, "")</f>
        <v/>
      </c>
    </row>
    <row r="3712">
      <c r="A3712" s="6" t="inlineStr">
        <is>
          <t>FY27</t>
        </is>
      </c>
      <c r="B3712" s="6" t="inlineStr">
        <is>
          <t>Aug</t>
        </is>
      </c>
      <c r="C3712" s="6" t="inlineStr">
        <is>
          <t>TN</t>
        </is>
      </c>
      <c r="D3712" s="7" t="inlineStr">
        <is>
          <t>TN38S7799</t>
        </is>
      </c>
      <c r="E3712" s="7" t="inlineStr">
        <is>
          <t>HONDA</t>
        </is>
      </c>
      <c r="F3712" s="7" t="inlineStr">
        <is>
          <t>City</t>
        </is>
      </c>
      <c r="G3712" s="7" t="inlineStr">
        <is>
          <t>EXCHANGE ROTN</t>
        </is>
      </c>
      <c r="H3712" s="7" t="inlineStr">
        <is>
          <t>Captive</t>
        </is>
      </c>
      <c r="I3712" s="7" t="inlineStr">
        <is>
          <t>Uzhavan Enterprise</t>
        </is>
      </c>
      <c r="J3712" s="8" t="n">
        <v>2001</v>
      </c>
      <c r="K3712" s="9" t="n">
        <v>152145</v>
      </c>
      <c r="L3712" s="10" t="n">
        <v>80000</v>
      </c>
      <c r="M3712" s="10" t="n">
        <v>4237.29</v>
      </c>
      <c r="N3712" s="11">
        <f>IF(M3712="","",ROUND(M3712*1.18,2))</f>
        <v/>
      </c>
      <c r="O3712" s="12">
        <f>IF(M3712="","",ROUND(N3712-M3712,2))</f>
        <v/>
      </c>
      <c r="P3712" s="13">
        <f>IF(AND(A3712&lt;&gt;"",B3712&lt;&gt;""), A3712&amp;" · "&amp;B3712, "")</f>
        <v/>
      </c>
    </row>
    <row r="3713">
      <c r="A3713" s="6" t="inlineStr">
        <is>
          <t>FY27</t>
        </is>
      </c>
      <c r="B3713" s="6" t="inlineStr">
        <is>
          <t>Aug</t>
        </is>
      </c>
      <c r="C3713" s="6" t="inlineStr">
        <is>
          <t>TN</t>
        </is>
      </c>
      <c r="D3713" s="7" t="inlineStr">
        <is>
          <t>TN39AD7080</t>
        </is>
      </c>
      <c r="E3713" s="7" t="inlineStr">
        <is>
          <t>HYUNDAI</t>
        </is>
      </c>
      <c r="F3713" s="7" t="inlineStr">
        <is>
          <t>Santro</t>
        </is>
      </c>
      <c r="G3713" s="7" t="inlineStr">
        <is>
          <t>PRODUCTIVITY ELEMENTS PRIVATE LIMITED</t>
        </is>
      </c>
      <c r="H3713" s="7" t="inlineStr">
        <is>
          <t>Non-Captive</t>
        </is>
      </c>
      <c r="I3713" s="7" t="inlineStr">
        <is>
          <t>Pine Autos</t>
        </is>
      </c>
      <c r="J3713" s="8" t="n">
        <v>2005</v>
      </c>
      <c r="K3713" s="9" t="n">
        <v>71534</v>
      </c>
      <c r="L3713" s="10" t="n">
        <v>87000</v>
      </c>
      <c r="M3713" s="10" t="n">
        <v>2542.37</v>
      </c>
      <c r="N3713" s="11">
        <f>IF(M3713="","",ROUND(M3713*1.18,2))</f>
        <v/>
      </c>
      <c r="O3713" s="12">
        <f>IF(M3713="","",ROUND(N3713-M3713,2))</f>
        <v/>
      </c>
      <c r="P3713" s="13">
        <f>IF(AND(A3713&lt;&gt;"",B3713&lt;&gt;""), A3713&amp;" · "&amp;B3713, "")</f>
        <v/>
      </c>
    </row>
    <row r="3714">
      <c r="A3714" s="6" t="inlineStr">
        <is>
          <t>FY27</t>
        </is>
      </c>
      <c r="B3714" s="6" t="inlineStr">
        <is>
          <t>Aug</t>
        </is>
      </c>
      <c r="C3714" s="6" t="inlineStr">
        <is>
          <t>TN</t>
        </is>
      </c>
      <c r="D3714" s="7" t="inlineStr">
        <is>
          <t>TN39AX5166</t>
        </is>
      </c>
      <c r="E3714" s="7" t="inlineStr">
        <is>
          <t>TATA</t>
        </is>
      </c>
      <c r="F3714" s="7" t="inlineStr">
        <is>
          <t>Indigo</t>
        </is>
      </c>
      <c r="G3714" s="7" t="inlineStr">
        <is>
          <t>S M CAR PRIVATE LIMITED</t>
        </is>
      </c>
      <c r="H3714" s="7" t="inlineStr">
        <is>
          <t>Non-Captive</t>
        </is>
      </c>
      <c r="I3714" s="7" t="inlineStr">
        <is>
          <t>Chanakya Cars</t>
        </is>
      </c>
      <c r="J3714" s="8" t="n">
        <v>2010</v>
      </c>
      <c r="K3714" s="9" t="n">
        <v>223246</v>
      </c>
      <c r="L3714" s="10" t="n">
        <v>90000</v>
      </c>
      <c r="M3714" s="10" t="n">
        <v>4237.29</v>
      </c>
      <c r="N3714" s="11">
        <f>IF(M3714="","",ROUND(M3714*1.18,2))</f>
        <v/>
      </c>
      <c r="O3714" s="12">
        <f>IF(M3714="","",ROUND(N3714-M3714,2))</f>
        <v/>
      </c>
      <c r="P3714" s="13">
        <f>IF(AND(A3714&lt;&gt;"",B3714&lt;&gt;""), A3714&amp;" · "&amp;B3714, "")</f>
        <v/>
      </c>
    </row>
    <row r="3715">
      <c r="A3715" s="6" t="inlineStr">
        <is>
          <t>FY27</t>
        </is>
      </c>
      <c r="B3715" s="6" t="inlineStr">
        <is>
          <t>Aug</t>
        </is>
      </c>
      <c r="C3715" s="6" t="inlineStr">
        <is>
          <t>TN</t>
        </is>
      </c>
      <c r="D3715" s="7" t="inlineStr">
        <is>
          <t>TN39AY2080</t>
        </is>
      </c>
      <c r="E3715" s="7" t="inlineStr">
        <is>
          <t>MARUTI SUZUKI</t>
        </is>
      </c>
      <c r="F3715" s="7" t="inlineStr">
        <is>
          <t>Omni</t>
        </is>
      </c>
      <c r="G3715" s="7" t="inlineStr">
        <is>
          <t>EXCHANGE ROTN</t>
        </is>
      </c>
      <c r="H3715" s="7" t="inlineStr">
        <is>
          <t>Captive</t>
        </is>
      </c>
      <c r="I3715" s="7" t="inlineStr">
        <is>
          <t>Chakrabani Auto Consulting</t>
        </is>
      </c>
      <c r="J3715" s="8" t="n">
        <v>2010</v>
      </c>
      <c r="K3715" s="9" t="n">
        <v>110359</v>
      </c>
      <c r="L3715" s="10" t="n">
        <v>115000</v>
      </c>
      <c r="M3715" s="10" t="n">
        <v>16949.15</v>
      </c>
      <c r="N3715" s="11">
        <f>IF(M3715="","",ROUND(M3715*1.18,2))</f>
        <v/>
      </c>
      <c r="O3715" s="12">
        <f>IF(M3715="","",ROUND(N3715-M3715,2))</f>
        <v/>
      </c>
      <c r="P3715" s="13">
        <f>IF(AND(A3715&lt;&gt;"",B3715&lt;&gt;""), A3715&amp;" · "&amp;B3715, "")</f>
        <v/>
      </c>
    </row>
    <row r="3716">
      <c r="A3716" s="6" t="inlineStr">
        <is>
          <t>FY27</t>
        </is>
      </c>
      <c r="B3716" s="6" t="inlineStr">
        <is>
          <t>Aug</t>
        </is>
      </c>
      <c r="C3716" s="6" t="inlineStr">
        <is>
          <t>TN</t>
        </is>
      </c>
      <c r="D3716" s="7" t="inlineStr">
        <is>
          <t>TN39BH0254</t>
        </is>
      </c>
      <c r="E3716" s="7" t="inlineStr">
        <is>
          <t>RENAULT</t>
        </is>
      </c>
      <c r="F3716" s="7" t="inlineStr">
        <is>
          <t>Pulse</t>
        </is>
      </c>
      <c r="G3716" s="7" t="inlineStr">
        <is>
          <t>EXCHANGE ROTN</t>
        </is>
      </c>
      <c r="H3716" s="7" t="inlineStr">
        <is>
          <t>Captive</t>
        </is>
      </c>
      <c r="I3716" s="7" t="inlineStr">
        <is>
          <t>Chakrabani Auto Consulting</t>
        </is>
      </c>
      <c r="J3716" s="8" t="n">
        <v>2012</v>
      </c>
      <c r="K3716" s="9" t="n">
        <v>87095</v>
      </c>
      <c r="L3716" s="10" t="n">
        <v>180000</v>
      </c>
      <c r="M3716" s="10" t="n">
        <v>16949.15</v>
      </c>
      <c r="N3716" s="11">
        <f>IF(M3716="","",ROUND(M3716*1.18,2))</f>
        <v/>
      </c>
      <c r="O3716" s="12">
        <f>IF(M3716="","",ROUND(N3716-M3716,2))</f>
        <v/>
      </c>
      <c r="P3716" s="13">
        <f>IF(AND(A3716&lt;&gt;"",B3716&lt;&gt;""), A3716&amp;" · "&amp;B3716, "")</f>
        <v/>
      </c>
    </row>
    <row r="3717">
      <c r="A3717" s="6" t="inlineStr">
        <is>
          <t>FY27</t>
        </is>
      </c>
      <c r="B3717" s="6" t="inlineStr">
        <is>
          <t>Aug</t>
        </is>
      </c>
      <c r="C3717" s="6" t="inlineStr">
        <is>
          <t>TN</t>
        </is>
      </c>
      <c r="D3717" s="7" t="inlineStr">
        <is>
          <t>TN39CF6999</t>
        </is>
      </c>
      <c r="E3717" s="7" t="inlineStr">
        <is>
          <t>HONDA</t>
        </is>
      </c>
      <c r="F3717" s="7" t="inlineStr">
        <is>
          <t>Amaze</t>
        </is>
      </c>
      <c r="G3717" s="7" t="inlineStr">
        <is>
          <t>EXCHANGE ROTN</t>
        </is>
      </c>
      <c r="H3717" s="7" t="inlineStr">
        <is>
          <t>Captive</t>
        </is>
      </c>
      <c r="I3717" s="7" t="inlineStr">
        <is>
          <t>Chanakya Cars</t>
        </is>
      </c>
      <c r="J3717" s="8" t="n">
        <v>2018</v>
      </c>
      <c r="K3717" s="9" t="n">
        <v>96565</v>
      </c>
      <c r="L3717" s="10" t="n">
        <v>275000</v>
      </c>
      <c r="M3717" s="10" t="n">
        <v>8474.58</v>
      </c>
      <c r="N3717" s="11">
        <f>IF(M3717="","",ROUND(M3717*1.18,2))</f>
        <v/>
      </c>
      <c r="O3717" s="12">
        <f>IF(M3717="","",ROUND(N3717-M3717,2))</f>
        <v/>
      </c>
      <c r="P3717" s="13">
        <f>IF(AND(A3717&lt;&gt;"",B3717&lt;&gt;""), A3717&amp;" · "&amp;B3717, "")</f>
        <v/>
      </c>
    </row>
    <row r="3718">
      <c r="A3718" s="6" t="inlineStr">
        <is>
          <t>FY27</t>
        </is>
      </c>
      <c r="B3718" s="6" t="inlineStr">
        <is>
          <t>Aug</t>
        </is>
      </c>
      <c r="C3718" s="6" t="inlineStr">
        <is>
          <t>TN</t>
        </is>
      </c>
      <c r="D3718" s="7" t="inlineStr">
        <is>
          <t>TN40X2488</t>
        </is>
      </c>
      <c r="E3718" s="7" t="inlineStr">
        <is>
          <t>HYUNDAI</t>
        </is>
      </c>
      <c r="F3718" s="7" t="inlineStr">
        <is>
          <t>Santro</t>
        </is>
      </c>
      <c r="G3718" s="7" t="inlineStr">
        <is>
          <t>POPULAR VEHICLES</t>
        </is>
      </c>
      <c r="H3718" s="7" t="inlineStr">
        <is>
          <t>Non-Captive</t>
        </is>
      </c>
      <c r="I3718" s="7" t="inlineStr">
        <is>
          <t>Grid 33</t>
        </is>
      </c>
      <c r="J3718" s="8" t="n">
        <v>2005</v>
      </c>
      <c r="K3718" s="9" t="n">
        <v>61987</v>
      </c>
      <c r="L3718" s="10" t="n">
        <v>92000</v>
      </c>
      <c r="M3718" s="10" t="n">
        <v>2542.37</v>
      </c>
      <c r="N3718" s="11">
        <f>IF(M3718="","",ROUND(M3718*1.18,2))</f>
        <v/>
      </c>
      <c r="O3718" s="12">
        <f>IF(M3718="","",ROUND(N3718-M3718,2))</f>
        <v/>
      </c>
      <c r="P3718" s="13">
        <f>IF(AND(A3718&lt;&gt;"",B3718&lt;&gt;""), A3718&amp;" · "&amp;B3718, "")</f>
        <v/>
      </c>
    </row>
    <row r="3719">
      <c r="A3719" s="6" t="inlineStr">
        <is>
          <t>FY27</t>
        </is>
      </c>
      <c r="B3719" s="6" t="inlineStr">
        <is>
          <t>Aug</t>
        </is>
      </c>
      <c r="C3719" s="6" t="inlineStr">
        <is>
          <t>TN</t>
        </is>
      </c>
      <c r="D3719" s="7" t="inlineStr">
        <is>
          <t>TN42AJ6241</t>
        </is>
      </c>
      <c r="E3719" s="7" t="inlineStr">
        <is>
          <t>HONDA</t>
        </is>
      </c>
      <c r="F3719" s="7" t="inlineStr">
        <is>
          <t>Amaze</t>
        </is>
      </c>
      <c r="G3719" s="7" t="inlineStr">
        <is>
          <t>EXCHANGE ROTN</t>
        </is>
      </c>
      <c r="H3719" s="7" t="inlineStr">
        <is>
          <t>Captive</t>
        </is>
      </c>
      <c r="I3719" s="7" t="inlineStr">
        <is>
          <t>Chanakya Cars</t>
        </is>
      </c>
      <c r="J3719" s="8" t="n">
        <v>2022</v>
      </c>
      <c r="K3719" s="9" t="n">
        <v>54422</v>
      </c>
      <c r="L3719" s="10" t="n">
        <v>475000</v>
      </c>
      <c r="M3719" s="10" t="n">
        <v>8474.58</v>
      </c>
      <c r="N3719" s="11">
        <f>IF(M3719="","",ROUND(M3719*1.18,2))</f>
        <v/>
      </c>
      <c r="O3719" s="12">
        <f>IF(M3719="","",ROUND(N3719-M3719,2))</f>
        <v/>
      </c>
      <c r="P3719" s="13">
        <f>IF(AND(A3719&lt;&gt;"",B3719&lt;&gt;""), A3719&amp;" · "&amp;B3719, "")</f>
        <v/>
      </c>
    </row>
    <row r="3720">
      <c r="A3720" s="6" t="inlineStr">
        <is>
          <t>FY27</t>
        </is>
      </c>
      <c r="B3720" s="6" t="inlineStr">
        <is>
          <t>Aug</t>
        </is>
      </c>
      <c r="C3720" s="6" t="inlineStr">
        <is>
          <t>TN</t>
        </is>
      </c>
      <c r="D3720" s="7" t="inlineStr">
        <is>
          <t>TN42S4118</t>
        </is>
      </c>
      <c r="E3720" s="7" t="inlineStr">
        <is>
          <t>TATA</t>
        </is>
      </c>
      <c r="F3720" s="7" t="inlineStr">
        <is>
          <t>Bolt</t>
        </is>
      </c>
      <c r="G3720" s="7" t="inlineStr">
        <is>
          <t>EXCHANGE ROTN</t>
        </is>
      </c>
      <c r="H3720" s="7" t="inlineStr">
        <is>
          <t>Captive</t>
        </is>
      </c>
      <c r="I3720" s="7" t="inlineStr">
        <is>
          <t>Suganya Cars</t>
        </is>
      </c>
      <c r="J3720" s="8" t="n">
        <v>2017</v>
      </c>
      <c r="K3720" s="9" t="n">
        <v>88829</v>
      </c>
      <c r="L3720" s="10" t="n">
        <v>200000</v>
      </c>
      <c r="M3720" s="10" t="n">
        <v>12711.86</v>
      </c>
      <c r="N3720" s="11">
        <f>IF(M3720="","",ROUND(M3720*1.18,2))</f>
        <v/>
      </c>
      <c r="O3720" s="12">
        <f>IF(M3720="","",ROUND(N3720-M3720,2))</f>
        <v/>
      </c>
      <c r="P3720" s="13">
        <f>IF(AND(A3720&lt;&gt;"",B3720&lt;&gt;""), A3720&amp;" · "&amp;B3720, "")</f>
        <v/>
      </c>
    </row>
    <row r="3721">
      <c r="A3721" s="6" t="inlineStr">
        <is>
          <t>FY27</t>
        </is>
      </c>
      <c r="B3721" s="6" t="inlineStr">
        <is>
          <t>Aug</t>
        </is>
      </c>
      <c r="C3721" s="6" t="inlineStr">
        <is>
          <t>TN</t>
        </is>
      </c>
      <c r="D3721" s="7" t="inlineStr">
        <is>
          <t>TN43C5960</t>
        </is>
      </c>
      <c r="E3721" s="7" t="inlineStr">
        <is>
          <t>MARUTI SUZUKI</t>
        </is>
      </c>
      <c r="F3721" s="7" t="inlineStr">
        <is>
          <t>Swift</t>
        </is>
      </c>
      <c r="G3721" s="7" t="inlineStr">
        <is>
          <t>LAKSHMI TATA</t>
        </is>
      </c>
      <c r="H3721" s="7" t="inlineStr">
        <is>
          <t>Non-Captive</t>
        </is>
      </c>
      <c r="I3721" s="7" t="inlineStr">
        <is>
          <t>SRI KARUPPAIYA CARS</t>
        </is>
      </c>
      <c r="J3721" s="8" t="n">
        <v>2009</v>
      </c>
      <c r="K3721" s="9" t="n">
        <v>93423</v>
      </c>
      <c r="L3721" s="10" t="n">
        <v>98000</v>
      </c>
      <c r="M3721" s="10" t="n">
        <v>4237.29</v>
      </c>
      <c r="N3721" s="11">
        <f>IF(M3721="","",ROUND(M3721*1.18,2))</f>
        <v/>
      </c>
      <c r="O3721" s="12">
        <f>IF(M3721="","",ROUND(N3721-M3721,2))</f>
        <v/>
      </c>
      <c r="P3721" s="13">
        <f>IF(AND(A3721&lt;&gt;"",B3721&lt;&gt;""), A3721&amp;" · "&amp;B3721, "")</f>
        <v/>
      </c>
    </row>
    <row r="3722">
      <c r="A3722" s="6" t="inlineStr">
        <is>
          <t>FY27</t>
        </is>
      </c>
      <c r="B3722" s="6" t="inlineStr">
        <is>
          <t>Aug</t>
        </is>
      </c>
      <c r="C3722" s="6" t="inlineStr">
        <is>
          <t>TN</t>
        </is>
      </c>
      <c r="D3722" s="7" t="inlineStr">
        <is>
          <t>TN43D4582</t>
        </is>
      </c>
      <c r="E3722" s="7" t="inlineStr">
        <is>
          <t>MARUTI SUZUKI</t>
        </is>
      </c>
      <c r="F3722" s="7" t="inlineStr">
        <is>
          <t>Alto</t>
        </is>
      </c>
      <c r="G3722" s="7" t="inlineStr">
        <is>
          <t>ABT LIMITED</t>
        </is>
      </c>
      <c r="H3722" s="7" t="inlineStr">
        <is>
          <t>Non-Captive</t>
        </is>
      </c>
      <c r="I3722" s="7" t="inlineStr">
        <is>
          <t>SRI VIGNESH PRE OWNED CARS</t>
        </is>
      </c>
      <c r="J3722" s="8" t="n">
        <v>2011</v>
      </c>
      <c r="K3722" s="9" t="n">
        <v>51693</v>
      </c>
      <c r="L3722" s="10" t="n">
        <v>95000</v>
      </c>
      <c r="M3722" s="10" t="n">
        <v>4237.29</v>
      </c>
      <c r="N3722" s="11">
        <f>IF(M3722="","",ROUND(M3722*1.18,2))</f>
        <v/>
      </c>
      <c r="O3722" s="12">
        <f>IF(M3722="","",ROUND(N3722-M3722,2))</f>
        <v/>
      </c>
      <c r="P3722" s="13">
        <f>IF(AND(A3722&lt;&gt;"",B3722&lt;&gt;""), A3722&amp;" · "&amp;B3722, "")</f>
        <v/>
      </c>
    </row>
    <row r="3723">
      <c r="A3723" s="6" t="inlineStr">
        <is>
          <t>FY27</t>
        </is>
      </c>
      <c r="B3723" s="6" t="inlineStr">
        <is>
          <t>Aug</t>
        </is>
      </c>
      <c r="C3723" s="6" t="inlineStr">
        <is>
          <t>TN</t>
        </is>
      </c>
      <c r="D3723" s="7" t="inlineStr">
        <is>
          <t>TN43F7472</t>
        </is>
      </c>
      <c r="E3723" s="7" t="inlineStr">
        <is>
          <t>MARUTI SUZUKI</t>
        </is>
      </c>
      <c r="F3723" s="7" t="inlineStr">
        <is>
          <t>Celerio</t>
        </is>
      </c>
      <c r="G3723" s="7" t="inlineStr">
        <is>
          <t>STEER AUTO TECHNOLOGIES PRIVATE LIMITED</t>
        </is>
      </c>
      <c r="H3723" s="7" t="inlineStr">
        <is>
          <t>Non-Captive</t>
        </is>
      </c>
      <c r="I3723" s="7" t="inlineStr">
        <is>
          <t>SRI KARUPPAIYA CARS</t>
        </is>
      </c>
      <c r="J3723" s="8" t="n">
        <v>2015</v>
      </c>
      <c r="K3723" s="9" t="n">
        <v>135665</v>
      </c>
      <c r="L3723" s="10" t="n">
        <v>398000</v>
      </c>
      <c r="M3723" s="10" t="n">
        <v>6779.66</v>
      </c>
      <c r="N3723" s="11">
        <f>IF(M3723="","",ROUND(M3723*1.18,2))</f>
        <v/>
      </c>
      <c r="O3723" s="12">
        <f>IF(M3723="","",ROUND(N3723-M3723,2))</f>
        <v/>
      </c>
      <c r="P3723" s="13">
        <f>IF(AND(A3723&lt;&gt;"",B3723&lt;&gt;""), A3723&amp;" · "&amp;B3723, "")</f>
        <v/>
      </c>
    </row>
    <row r="3724">
      <c r="A3724" s="6" t="inlineStr">
        <is>
          <t>FY27</t>
        </is>
      </c>
      <c r="B3724" s="6" t="inlineStr">
        <is>
          <t>Aug</t>
        </is>
      </c>
      <c r="C3724" s="6" t="inlineStr">
        <is>
          <t>TN</t>
        </is>
      </c>
      <c r="D3724" s="7" t="inlineStr">
        <is>
          <t>TN45BB9617</t>
        </is>
      </c>
      <c r="E3724" s="7" t="inlineStr">
        <is>
          <t>HYUNDAI</t>
        </is>
      </c>
      <c r="F3724" s="7" t="inlineStr">
        <is>
          <t>Eon</t>
        </is>
      </c>
      <c r="G3724" s="7" t="inlineStr">
        <is>
          <t>PLA MOTORS</t>
        </is>
      </c>
      <c r="H3724" s="7" t="inlineStr">
        <is>
          <t>Non-Captive</t>
        </is>
      </c>
      <c r="I3724" s="7" t="inlineStr">
        <is>
          <t>ASHOKAUTOMAX</t>
        </is>
      </c>
      <c r="J3724" s="8" t="n">
        <v>2012</v>
      </c>
      <c r="K3724" s="9" t="n">
        <v>53009</v>
      </c>
      <c r="L3724" s="10" t="n">
        <v>90000</v>
      </c>
      <c r="M3724" s="10" t="n">
        <v>4237.29</v>
      </c>
      <c r="N3724" s="11">
        <f>IF(M3724="","",ROUND(M3724*1.18,2))</f>
        <v/>
      </c>
      <c r="O3724" s="12">
        <f>IF(M3724="","",ROUND(N3724-M3724,2))</f>
        <v/>
      </c>
      <c r="P3724" s="13">
        <f>IF(AND(A3724&lt;&gt;"",B3724&lt;&gt;""), A3724&amp;" · "&amp;B3724, "")</f>
        <v/>
      </c>
    </row>
    <row r="3725">
      <c r="A3725" s="6" t="inlineStr">
        <is>
          <t>FY27</t>
        </is>
      </c>
      <c r="B3725" s="6" t="inlineStr">
        <is>
          <t>Aug</t>
        </is>
      </c>
      <c r="C3725" s="6" t="inlineStr">
        <is>
          <t>TN</t>
        </is>
      </c>
      <c r="D3725" s="7" t="inlineStr">
        <is>
          <t>TN46V7104</t>
        </is>
      </c>
      <c r="E3725" s="7" t="inlineStr">
        <is>
          <t>MARUTI SUZUKI</t>
        </is>
      </c>
      <c r="F3725" s="7" t="inlineStr">
        <is>
          <t>Alto 800</t>
        </is>
      </c>
      <c r="G3725" s="7" t="inlineStr">
        <is>
          <t>PRODUCTIVITY ELEMENTS PRIVATE LIMITED</t>
        </is>
      </c>
      <c r="H3725" s="7" t="inlineStr">
        <is>
          <t>Non-Captive</t>
        </is>
      </c>
      <c r="I3725" s="7" t="inlineStr">
        <is>
          <t>Rithika cars</t>
        </is>
      </c>
      <c r="J3725" s="8" t="n">
        <v>2017</v>
      </c>
      <c r="K3725" s="9" t="n">
        <v>149941</v>
      </c>
      <c r="L3725" s="10" t="n">
        <v>92000</v>
      </c>
      <c r="M3725" s="10" t="n">
        <v>2542.37</v>
      </c>
      <c r="N3725" s="11">
        <f>IF(M3725="","",ROUND(M3725*1.18,2))</f>
        <v/>
      </c>
      <c r="O3725" s="12">
        <f>IF(M3725="","",ROUND(N3725-M3725,2))</f>
        <v/>
      </c>
      <c r="P3725" s="13">
        <f>IF(AND(A3725&lt;&gt;"",B3725&lt;&gt;""), A3725&amp;" · "&amp;B3725, "")</f>
        <v/>
      </c>
    </row>
    <row r="3726">
      <c r="A3726" s="6" t="inlineStr">
        <is>
          <t>FY27</t>
        </is>
      </c>
      <c r="B3726" s="6" t="inlineStr">
        <is>
          <t>Aug</t>
        </is>
      </c>
      <c r="C3726" s="6" t="inlineStr">
        <is>
          <t>TN</t>
        </is>
      </c>
      <c r="D3726" s="7" t="inlineStr">
        <is>
          <t>TN47AD5799</t>
        </is>
      </c>
      <c r="E3726" s="7" t="inlineStr">
        <is>
          <t>TATA</t>
        </is>
      </c>
      <c r="F3726" s="7" t="inlineStr">
        <is>
          <t>Indigo</t>
        </is>
      </c>
      <c r="G3726" s="7" t="inlineStr">
        <is>
          <t>EXCHANGE ROTN</t>
        </is>
      </c>
      <c r="H3726" s="7" t="inlineStr">
        <is>
          <t>Captive</t>
        </is>
      </c>
      <c r="I3726" s="7" t="inlineStr">
        <is>
          <t>Sivashankar Cars</t>
        </is>
      </c>
      <c r="J3726" s="8" t="n">
        <v>2013</v>
      </c>
      <c r="K3726" s="9" t="n">
        <v>94577</v>
      </c>
      <c r="L3726" s="10" t="n">
        <v>175000</v>
      </c>
      <c r="M3726" s="10" t="n">
        <v>8474.58</v>
      </c>
      <c r="N3726" s="11">
        <f>IF(M3726="","",ROUND(M3726*1.18,2))</f>
        <v/>
      </c>
      <c r="O3726" s="12">
        <f>IF(M3726="","",ROUND(N3726-M3726,2))</f>
        <v/>
      </c>
      <c r="P3726" s="13">
        <f>IF(AND(A3726&lt;&gt;"",B3726&lt;&gt;""), A3726&amp;" · "&amp;B3726, "")</f>
        <v/>
      </c>
    </row>
    <row r="3727">
      <c r="A3727" s="6" t="inlineStr">
        <is>
          <t>FY27</t>
        </is>
      </c>
      <c r="B3727" s="6" t="inlineStr">
        <is>
          <t>Aug</t>
        </is>
      </c>
      <c r="C3727" s="6" t="inlineStr">
        <is>
          <t>TN</t>
        </is>
      </c>
      <c r="D3727" s="7" t="inlineStr">
        <is>
          <t>TN47AF5665</t>
        </is>
      </c>
      <c r="E3727" s="7" t="inlineStr">
        <is>
          <t>HONDA</t>
        </is>
      </c>
      <c r="F3727" s="7" t="inlineStr">
        <is>
          <t>Mobilio</t>
        </is>
      </c>
      <c r="G3727" s="7" t="inlineStr">
        <is>
          <t>EXCHANGE ROTN</t>
        </is>
      </c>
      <c r="H3727" s="7" t="inlineStr">
        <is>
          <t>Captive</t>
        </is>
      </c>
      <c r="I3727" s="7" t="inlineStr">
        <is>
          <t>Sivashankar Cars</t>
        </is>
      </c>
      <c r="J3727" s="8" t="n">
        <v>2014</v>
      </c>
      <c r="K3727" s="9" t="n">
        <v>121198</v>
      </c>
      <c r="L3727" s="10" t="n">
        <v>310000</v>
      </c>
      <c r="M3727" s="10" t="n">
        <v>8474.58</v>
      </c>
      <c r="N3727" s="11">
        <f>IF(M3727="","",ROUND(M3727*1.18,2))</f>
        <v/>
      </c>
      <c r="O3727" s="12">
        <f>IF(M3727="","",ROUND(N3727-M3727,2))</f>
        <v/>
      </c>
      <c r="P3727" s="13">
        <f>IF(AND(A3727&lt;&gt;"",B3727&lt;&gt;""), A3727&amp;" · "&amp;B3727, "")</f>
        <v/>
      </c>
    </row>
    <row r="3728">
      <c r="A3728" s="6" t="inlineStr">
        <is>
          <t>FY27</t>
        </is>
      </c>
      <c r="B3728" s="6" t="inlineStr">
        <is>
          <t>Aug</t>
        </is>
      </c>
      <c r="C3728" s="6" t="inlineStr">
        <is>
          <t>TN</t>
        </is>
      </c>
      <c r="D3728" s="7" t="inlineStr">
        <is>
          <t>TN48AB8209</t>
        </is>
      </c>
      <c r="E3728" s="7" t="inlineStr">
        <is>
          <t>DATSUN</t>
        </is>
      </c>
      <c r="F3728" s="7" t="inlineStr">
        <is>
          <t>Redi-GO</t>
        </is>
      </c>
      <c r="G3728" s="7" t="inlineStr">
        <is>
          <t>SREE SARADHAMBAL AUTOMOBILES PRIVATE LIMITED</t>
        </is>
      </c>
      <c r="H3728" s="7" t="inlineStr">
        <is>
          <t>Non-Captive</t>
        </is>
      </c>
      <c r="I3728" s="7" t="inlineStr">
        <is>
          <t>MADHURA CARS</t>
        </is>
      </c>
      <c r="J3728" s="8" t="n">
        <v>2014</v>
      </c>
      <c r="K3728" s="9" t="n">
        <v>85109</v>
      </c>
      <c r="L3728" s="10" t="n">
        <v>80000</v>
      </c>
      <c r="M3728" s="10" t="n">
        <v>4237.29</v>
      </c>
      <c r="N3728" s="11">
        <f>IF(M3728="","",ROUND(M3728*1.18,2))</f>
        <v/>
      </c>
      <c r="O3728" s="12">
        <f>IF(M3728="","",ROUND(N3728-M3728,2))</f>
        <v/>
      </c>
      <c r="P3728" s="13">
        <f>IF(AND(A3728&lt;&gt;"",B3728&lt;&gt;""), A3728&amp;" · "&amp;B3728, "")</f>
        <v/>
      </c>
    </row>
    <row r="3729">
      <c r="A3729" s="6" t="inlineStr">
        <is>
          <t>FY27</t>
        </is>
      </c>
      <c r="B3729" s="6" t="inlineStr">
        <is>
          <t>Aug</t>
        </is>
      </c>
      <c r="C3729" s="6" t="inlineStr">
        <is>
          <t>TN</t>
        </is>
      </c>
      <c r="D3729" s="7" t="inlineStr">
        <is>
          <t>TN48Q5657</t>
        </is>
      </c>
      <c r="E3729" s="7" t="inlineStr">
        <is>
          <t>FORD</t>
        </is>
      </c>
      <c r="F3729" s="7" t="inlineStr">
        <is>
          <t>Figo</t>
        </is>
      </c>
      <c r="G3729" s="7" t="inlineStr">
        <is>
          <t>EXCHANGE ROTN</t>
        </is>
      </c>
      <c r="H3729" s="7" t="inlineStr">
        <is>
          <t>Captive</t>
        </is>
      </c>
      <c r="I3729" s="7" t="inlineStr">
        <is>
          <t>Sivashankar Cars</t>
        </is>
      </c>
      <c r="J3729" s="8" t="n">
        <v>2010</v>
      </c>
      <c r="K3729" s="9" t="n">
        <v>113098</v>
      </c>
      <c r="L3729" s="10" t="n">
        <v>125000</v>
      </c>
      <c r="M3729" s="10" t="n">
        <v>8474.58</v>
      </c>
      <c r="N3729" s="11">
        <f>IF(M3729="","",ROUND(M3729*1.18,2))</f>
        <v/>
      </c>
      <c r="O3729" s="12">
        <f>IF(M3729="","",ROUND(N3729-M3729,2))</f>
        <v/>
      </c>
      <c r="P3729" s="13">
        <f>IF(AND(A3729&lt;&gt;"",B3729&lt;&gt;""), A3729&amp;" · "&amp;B3729, "")</f>
        <v/>
      </c>
    </row>
    <row r="3730">
      <c r="A3730" s="6" t="inlineStr">
        <is>
          <t>FY27</t>
        </is>
      </c>
      <c r="B3730" s="6" t="inlineStr">
        <is>
          <t>Aug</t>
        </is>
      </c>
      <c r="C3730" s="6" t="inlineStr">
        <is>
          <t>TN</t>
        </is>
      </c>
      <c r="D3730" s="7" t="inlineStr">
        <is>
          <t>TN49BE9009</t>
        </is>
      </c>
      <c r="E3730" s="7" t="inlineStr">
        <is>
          <t>MARUTI SUZUKI</t>
        </is>
      </c>
      <c r="F3730" s="7" t="inlineStr">
        <is>
          <t>S-Cross</t>
        </is>
      </c>
      <c r="G3730" s="7" t="inlineStr">
        <is>
          <t>EXCHANGE ROTN</t>
        </is>
      </c>
      <c r="H3730" s="7" t="inlineStr">
        <is>
          <t>Captive</t>
        </is>
      </c>
      <c r="I3730" s="7" t="inlineStr">
        <is>
          <t>SRI VIGNESH PRE OWNED CARS</t>
        </is>
      </c>
      <c r="J3730" s="8" t="n">
        <v>2015</v>
      </c>
      <c r="K3730" s="9" t="n">
        <v>224565</v>
      </c>
      <c r="L3730" s="10" t="n">
        <v>320000</v>
      </c>
      <c r="M3730" s="10" t="n">
        <v>8474.58</v>
      </c>
      <c r="N3730" s="11">
        <f>IF(M3730="","",ROUND(M3730*1.18,2))</f>
        <v/>
      </c>
      <c r="O3730" s="12">
        <f>IF(M3730="","",ROUND(N3730-M3730,2))</f>
        <v/>
      </c>
      <c r="P3730" s="13">
        <f>IF(AND(A3730&lt;&gt;"",B3730&lt;&gt;""), A3730&amp;" · "&amp;B3730, "")</f>
        <v/>
      </c>
    </row>
    <row r="3731">
      <c r="A3731" s="6" t="inlineStr">
        <is>
          <t>FY27</t>
        </is>
      </c>
      <c r="B3731" s="6" t="inlineStr">
        <is>
          <t>Aug</t>
        </is>
      </c>
      <c r="C3731" s="6" t="inlineStr">
        <is>
          <t>TN</t>
        </is>
      </c>
      <c r="D3731" s="7" t="inlineStr">
        <is>
          <t>TN52Z6754</t>
        </is>
      </c>
      <c r="E3731" s="7" t="inlineStr">
        <is>
          <t>MARUTI SUZUKI</t>
        </is>
      </c>
      <c r="F3731" s="7" t="inlineStr">
        <is>
          <t>A-Star</t>
        </is>
      </c>
      <c r="G3731" s="7" t="inlineStr">
        <is>
          <t>SREE SARADHAMBAL AUTOMOBILES PRIVATE LIMITED</t>
        </is>
      </c>
      <c r="H3731" s="7" t="inlineStr">
        <is>
          <t>Non-Captive</t>
        </is>
      </c>
      <c r="I3731" s="7" t="inlineStr">
        <is>
          <t>MADHURA CARS</t>
        </is>
      </c>
      <c r="J3731" s="8" t="n">
        <v>2009</v>
      </c>
      <c r="K3731" s="9" t="n">
        <v>146413</v>
      </c>
      <c r="L3731" s="10" t="n">
        <v>95000</v>
      </c>
      <c r="M3731" s="10" t="n">
        <v>4237.29</v>
      </c>
      <c r="N3731" s="11">
        <f>IF(M3731="","",ROUND(M3731*1.18,2))</f>
        <v/>
      </c>
      <c r="O3731" s="12">
        <f>IF(M3731="","",ROUND(N3731-M3731,2))</f>
        <v/>
      </c>
      <c r="P3731" s="13">
        <f>IF(AND(A3731&lt;&gt;"",B3731&lt;&gt;""), A3731&amp;" · "&amp;B3731, "")</f>
        <v/>
      </c>
    </row>
    <row r="3732">
      <c r="A3732" s="6" t="inlineStr">
        <is>
          <t>FY27</t>
        </is>
      </c>
      <c r="B3732" s="6" t="inlineStr">
        <is>
          <t>Aug</t>
        </is>
      </c>
      <c r="C3732" s="6" t="inlineStr">
        <is>
          <t>TN</t>
        </is>
      </c>
      <c r="D3732" s="7" t="inlineStr">
        <is>
          <t>TN55AA2968</t>
        </is>
      </c>
      <c r="E3732" s="7" t="inlineStr">
        <is>
          <t>CHEVROLET</t>
        </is>
      </c>
      <c r="F3732" s="7" t="inlineStr">
        <is>
          <t>Spark</t>
        </is>
      </c>
      <c r="G3732" s="7" t="inlineStr">
        <is>
          <t>GOKUL CARS</t>
        </is>
      </c>
      <c r="H3732" s="7" t="inlineStr">
        <is>
          <t>Non-Captive</t>
        </is>
      </c>
      <c r="I3732" s="7" t="inlineStr">
        <is>
          <t>PURUSOTHAMAN J CARS</t>
        </is>
      </c>
      <c r="J3732" s="8" t="n">
        <v>2011</v>
      </c>
      <c r="K3732" s="9" t="n">
        <v>132588</v>
      </c>
      <c r="L3732" s="10" t="n">
        <v>35000</v>
      </c>
      <c r="M3732" s="10" t="n">
        <v>4237.29</v>
      </c>
      <c r="N3732" s="11">
        <f>IF(M3732="","",ROUND(M3732*1.18,2))</f>
        <v/>
      </c>
      <c r="O3732" s="12">
        <f>IF(M3732="","",ROUND(N3732-M3732,2))</f>
        <v/>
      </c>
      <c r="P3732" s="13">
        <f>IF(AND(A3732&lt;&gt;"",B3732&lt;&gt;""), A3732&amp;" · "&amp;B3732, "")</f>
        <v/>
      </c>
    </row>
    <row r="3733">
      <c r="A3733" s="6" t="inlineStr">
        <is>
          <t>FY27</t>
        </is>
      </c>
      <c r="B3733" s="6" t="inlineStr">
        <is>
          <t>Aug</t>
        </is>
      </c>
      <c r="C3733" s="6" t="inlineStr">
        <is>
          <t>TN</t>
        </is>
      </c>
      <c r="D3733" s="7" t="inlineStr">
        <is>
          <t>TN55AJ0869</t>
        </is>
      </c>
      <c r="E3733" s="7" t="inlineStr">
        <is>
          <t>MARUTI SUZUKI</t>
        </is>
      </c>
      <c r="F3733" s="7" t="inlineStr">
        <is>
          <t>Omni</t>
        </is>
      </c>
      <c r="G3733" s="7" t="inlineStr">
        <is>
          <t>PLA MOTORS</t>
        </is>
      </c>
      <c r="H3733" s="7" t="inlineStr">
        <is>
          <t>Non-Captive</t>
        </is>
      </c>
      <c r="I3733" s="7" t="inlineStr">
        <is>
          <t>READY TO RIDE CARS</t>
        </is>
      </c>
      <c r="J3733" s="8" t="n">
        <v>2013</v>
      </c>
      <c r="K3733" s="9" t="n">
        <v>63282</v>
      </c>
      <c r="L3733" s="10" t="n">
        <v>80000</v>
      </c>
      <c r="M3733" s="10" t="n">
        <v>4237.29</v>
      </c>
      <c r="N3733" s="11">
        <f>IF(M3733="","",ROUND(M3733*1.18,2))</f>
        <v/>
      </c>
      <c r="O3733" s="12">
        <f>IF(M3733="","",ROUND(N3733-M3733,2))</f>
        <v/>
      </c>
      <c r="P3733" s="13">
        <f>IF(AND(A3733&lt;&gt;"",B3733&lt;&gt;""), A3733&amp;" · "&amp;B3733, "")</f>
        <v/>
      </c>
    </row>
    <row r="3734">
      <c r="A3734" s="6" t="inlineStr">
        <is>
          <t>FY27</t>
        </is>
      </c>
      <c r="B3734" s="6" t="inlineStr">
        <is>
          <t>Aug</t>
        </is>
      </c>
      <c r="C3734" s="6" t="inlineStr">
        <is>
          <t>TN</t>
        </is>
      </c>
      <c r="D3734" s="7" t="inlineStr">
        <is>
          <t>TN55AP7081</t>
        </is>
      </c>
      <c r="E3734" s="7" t="inlineStr">
        <is>
          <t>RENAULT</t>
        </is>
      </c>
      <c r="F3734" s="7" t="inlineStr">
        <is>
          <t>Kwid</t>
        </is>
      </c>
      <c r="G3734" s="7" t="inlineStr">
        <is>
          <t>PLA MOTORS</t>
        </is>
      </c>
      <c r="H3734" s="7" t="inlineStr">
        <is>
          <t>Non-Captive</t>
        </is>
      </c>
      <c r="I3734" s="7" t="inlineStr">
        <is>
          <t>READY TO RIDE CARS</t>
        </is>
      </c>
      <c r="J3734" s="8" t="n">
        <v>2016</v>
      </c>
      <c r="K3734" s="9" t="n">
        <v>117040</v>
      </c>
      <c r="L3734" s="10" t="n">
        <v>96000</v>
      </c>
      <c r="M3734" s="10" t="n">
        <v>4237.29</v>
      </c>
      <c r="N3734" s="11">
        <f>IF(M3734="","",ROUND(M3734*1.18,2))</f>
        <v/>
      </c>
      <c r="O3734" s="12">
        <f>IF(M3734="","",ROUND(N3734-M3734,2))</f>
        <v/>
      </c>
      <c r="P3734" s="13">
        <f>IF(AND(A3734&lt;&gt;"",B3734&lt;&gt;""), A3734&amp;" · "&amp;B3734, "")</f>
        <v/>
      </c>
    </row>
    <row r="3735">
      <c r="A3735" s="6" t="inlineStr">
        <is>
          <t>FY27</t>
        </is>
      </c>
      <c r="B3735" s="6" t="inlineStr">
        <is>
          <t>Aug</t>
        </is>
      </c>
      <c r="C3735" s="6" t="inlineStr">
        <is>
          <t>TN</t>
        </is>
      </c>
      <c r="D3735" s="7" t="inlineStr">
        <is>
          <t>TN55AQ5509</t>
        </is>
      </c>
      <c r="E3735" s="7" t="inlineStr">
        <is>
          <t>HONDA</t>
        </is>
      </c>
      <c r="F3735" s="7" t="inlineStr">
        <is>
          <t>Jazz</t>
        </is>
      </c>
      <c r="G3735" s="7" t="inlineStr">
        <is>
          <t>EXCHANGE ROTN</t>
        </is>
      </c>
      <c r="H3735" s="7" t="inlineStr">
        <is>
          <t>Captive</t>
        </is>
      </c>
      <c r="I3735" s="7" t="inlineStr">
        <is>
          <t>SRI RAJA KANAPATHY CARS</t>
        </is>
      </c>
      <c r="J3735" s="8" t="n">
        <v>2016</v>
      </c>
      <c r="K3735" s="9" t="n">
        <v>194548</v>
      </c>
      <c r="L3735" s="10" t="n">
        <v>320000</v>
      </c>
      <c r="M3735" s="10" t="n">
        <v>10169.49</v>
      </c>
      <c r="N3735" s="11">
        <f>IF(M3735="","",ROUND(M3735*1.18,2))</f>
        <v/>
      </c>
      <c r="O3735" s="12">
        <f>IF(M3735="","",ROUND(N3735-M3735,2))</f>
        <v/>
      </c>
      <c r="P3735" s="13">
        <f>IF(AND(A3735&lt;&gt;"",B3735&lt;&gt;""), A3735&amp;" · "&amp;B3735, "")</f>
        <v/>
      </c>
    </row>
    <row r="3736">
      <c r="A3736" s="6" t="inlineStr">
        <is>
          <t>FY27</t>
        </is>
      </c>
      <c r="B3736" s="6" t="inlineStr">
        <is>
          <t>Aug</t>
        </is>
      </c>
      <c r="C3736" s="6" t="inlineStr">
        <is>
          <t>TN</t>
        </is>
      </c>
      <c r="D3736" s="7" t="inlineStr">
        <is>
          <t>TN55U8822</t>
        </is>
      </c>
      <c r="E3736" s="7" t="inlineStr">
        <is>
          <t>TATA</t>
        </is>
      </c>
      <c r="F3736" s="7" t="inlineStr">
        <is>
          <t>Indica</t>
        </is>
      </c>
      <c r="G3736" s="7" t="inlineStr">
        <is>
          <t>SGA MOTORS INDIA PRIVATE LIMITED</t>
        </is>
      </c>
      <c r="H3736" s="7" t="inlineStr">
        <is>
          <t>Non-Captive</t>
        </is>
      </c>
      <c r="I3736" s="7" t="inlineStr">
        <is>
          <t>AAA Cars</t>
        </is>
      </c>
      <c r="J3736" s="8" t="n">
        <v>2010</v>
      </c>
      <c r="K3736" s="9" t="n">
        <v>150297</v>
      </c>
      <c r="L3736" s="10" t="n">
        <v>80000</v>
      </c>
      <c r="M3736" s="10" t="n">
        <v>4237.29</v>
      </c>
      <c r="N3736" s="11">
        <f>IF(M3736="","",ROUND(M3736*1.18,2))</f>
        <v/>
      </c>
      <c r="O3736" s="12">
        <f>IF(M3736="","",ROUND(N3736-M3736,2))</f>
        <v/>
      </c>
      <c r="P3736" s="13">
        <f>IF(AND(A3736&lt;&gt;"",B3736&lt;&gt;""), A3736&amp;" · "&amp;B3736, "")</f>
        <v/>
      </c>
    </row>
    <row r="3737">
      <c r="A3737" s="6" t="inlineStr">
        <is>
          <t>FY27</t>
        </is>
      </c>
      <c r="B3737" s="6" t="inlineStr">
        <is>
          <t>Aug</t>
        </is>
      </c>
      <c r="C3737" s="6" t="inlineStr">
        <is>
          <t>TN</t>
        </is>
      </c>
      <c r="D3737" s="7" t="inlineStr">
        <is>
          <t>TN57BZ0981</t>
        </is>
      </c>
      <c r="E3737" s="7" t="inlineStr">
        <is>
          <t>MARUTI SUZUKI</t>
        </is>
      </c>
      <c r="F3737" s="7" t="inlineStr">
        <is>
          <t>Omni</t>
        </is>
      </c>
      <c r="G3737" s="7" t="inlineStr">
        <is>
          <t>CRESCO CARS</t>
        </is>
      </c>
      <c r="H3737" s="7" t="inlineStr">
        <is>
          <t>Non-Captive</t>
        </is>
      </c>
      <c r="I3737" s="7" t="inlineStr">
        <is>
          <t>Pine Autos</t>
        </is>
      </c>
      <c r="J3737" s="8" t="n">
        <v>2016</v>
      </c>
      <c r="K3737" s="9" t="n">
        <v>44206</v>
      </c>
      <c r="L3737" s="10" t="n">
        <v>99000</v>
      </c>
      <c r="M3737" s="10" t="n">
        <v>4237.29</v>
      </c>
      <c r="N3737" s="11">
        <f>IF(M3737="","",ROUND(M3737*1.18,2))</f>
        <v/>
      </c>
      <c r="O3737" s="12">
        <f>IF(M3737="","",ROUND(N3737-M3737,2))</f>
        <v/>
      </c>
      <c r="P3737" s="13">
        <f>IF(AND(A3737&lt;&gt;"",B3737&lt;&gt;""), A3737&amp;" · "&amp;B3737, "")</f>
        <v/>
      </c>
    </row>
    <row r="3738">
      <c r="A3738" s="6" t="inlineStr">
        <is>
          <t>FY27</t>
        </is>
      </c>
      <c r="B3738" s="6" t="inlineStr">
        <is>
          <t>Aug</t>
        </is>
      </c>
      <c r="C3738" s="6" t="inlineStr">
        <is>
          <t>TN</t>
        </is>
      </c>
      <c r="D3738" s="7" t="inlineStr">
        <is>
          <t>TN58AB9736</t>
        </is>
      </c>
      <c r="E3738" s="7" t="inlineStr">
        <is>
          <t>HYUNDAI</t>
        </is>
      </c>
      <c r="F3738" s="7" t="inlineStr">
        <is>
          <t>i10</t>
        </is>
      </c>
      <c r="G3738" s="7" t="inlineStr">
        <is>
          <t>PLA MOTORS</t>
        </is>
      </c>
      <c r="H3738" s="7" t="inlineStr">
        <is>
          <t>Non-Captive</t>
        </is>
      </c>
      <c r="I3738" s="7" t="inlineStr">
        <is>
          <t>GGEE Cars</t>
        </is>
      </c>
      <c r="J3738" s="8" t="n">
        <v>2012</v>
      </c>
      <c r="K3738" s="9" t="n">
        <v>229103</v>
      </c>
      <c r="L3738" s="10" t="n">
        <v>80000</v>
      </c>
      <c r="M3738" s="10" t="n">
        <v>4237.29</v>
      </c>
      <c r="N3738" s="11">
        <f>IF(M3738="","",ROUND(M3738*1.18,2))</f>
        <v/>
      </c>
      <c r="O3738" s="12">
        <f>IF(M3738="","",ROUND(N3738-M3738,2))</f>
        <v/>
      </c>
      <c r="P3738" s="13">
        <f>IF(AND(A3738&lt;&gt;"",B3738&lt;&gt;""), A3738&amp;" · "&amp;B3738, "")</f>
        <v/>
      </c>
    </row>
    <row r="3739">
      <c r="A3739" s="6" t="inlineStr">
        <is>
          <t>FY27</t>
        </is>
      </c>
      <c r="B3739" s="6" t="inlineStr">
        <is>
          <t>Aug</t>
        </is>
      </c>
      <c r="C3739" s="6" t="inlineStr">
        <is>
          <t>TN</t>
        </is>
      </c>
      <c r="D3739" s="7" t="inlineStr">
        <is>
          <t>TN58AQ2835</t>
        </is>
      </c>
      <c r="E3739" s="7" t="inlineStr">
        <is>
          <t>VOLKSWAGEN</t>
        </is>
      </c>
      <c r="F3739" s="7" t="inlineStr">
        <is>
          <t>Polo</t>
        </is>
      </c>
      <c r="G3739" s="7" t="inlineStr">
        <is>
          <t>EXCHANGE ROTN</t>
        </is>
      </c>
      <c r="H3739" s="7" t="inlineStr">
        <is>
          <t>Captive</t>
        </is>
      </c>
      <c r="I3739" s="7" t="inlineStr">
        <is>
          <t>Gokul Cars</t>
        </is>
      </c>
      <c r="J3739" s="8" t="n">
        <v>2017</v>
      </c>
      <c r="K3739" s="9" t="n">
        <v>91353</v>
      </c>
      <c r="L3739" s="10" t="n">
        <v>355000</v>
      </c>
      <c r="M3739" s="10" t="n">
        <v>16949.15</v>
      </c>
      <c r="N3739" s="11">
        <f>IF(M3739="","",ROUND(M3739*1.18,2))</f>
        <v/>
      </c>
      <c r="O3739" s="12">
        <f>IF(M3739="","",ROUND(N3739-M3739,2))</f>
        <v/>
      </c>
      <c r="P3739" s="13">
        <f>IF(AND(A3739&lt;&gt;"",B3739&lt;&gt;""), A3739&amp;" · "&amp;B3739, "")</f>
        <v/>
      </c>
    </row>
    <row r="3740">
      <c r="A3740" s="6" t="inlineStr">
        <is>
          <t>FY27</t>
        </is>
      </c>
      <c r="B3740" s="6" t="inlineStr">
        <is>
          <t>Aug</t>
        </is>
      </c>
      <c r="C3740" s="6" t="inlineStr">
        <is>
          <t>TN</t>
        </is>
      </c>
      <c r="D3740" s="7" t="inlineStr">
        <is>
          <t>TN58AQ7836</t>
        </is>
      </c>
      <c r="E3740" s="7" t="inlineStr">
        <is>
          <t>MARUTI SUZUKI</t>
        </is>
      </c>
      <c r="F3740" s="7" t="inlineStr">
        <is>
          <t>Baleno</t>
        </is>
      </c>
      <c r="G3740" s="7" t="inlineStr">
        <is>
          <t>EXCHANGE ROTN</t>
        </is>
      </c>
      <c r="H3740" s="7" t="inlineStr">
        <is>
          <t>Captive</t>
        </is>
      </c>
      <c r="I3740" s="7" t="inlineStr">
        <is>
          <t>Paul Cars</t>
        </is>
      </c>
      <c r="J3740" s="8" t="n">
        <v>2018</v>
      </c>
      <c r="K3740" s="9" t="n">
        <v>65999</v>
      </c>
      <c r="L3740" s="10" t="n">
        <v>440000</v>
      </c>
      <c r="M3740" s="10" t="n">
        <v>16950</v>
      </c>
      <c r="N3740" s="11">
        <f>IF(M3740="","",ROUND(M3740*1.18,2))</f>
        <v/>
      </c>
      <c r="O3740" s="12">
        <f>IF(M3740="","",ROUND(N3740-M3740,2))</f>
        <v/>
      </c>
      <c r="P3740" s="13">
        <f>IF(AND(A3740&lt;&gt;"",B3740&lt;&gt;""), A3740&amp;" · "&amp;B3740, "")</f>
        <v/>
      </c>
    </row>
    <row r="3741">
      <c r="A3741" s="6" t="inlineStr">
        <is>
          <t>FY27</t>
        </is>
      </c>
      <c r="B3741" s="6" t="inlineStr">
        <is>
          <t>Aug</t>
        </is>
      </c>
      <c r="C3741" s="6" t="inlineStr">
        <is>
          <t>TN</t>
        </is>
      </c>
      <c r="D3741" s="7" t="inlineStr">
        <is>
          <t>TN58BE1656</t>
        </is>
      </c>
      <c r="E3741" s="7" t="inlineStr">
        <is>
          <t>HONDA</t>
        </is>
      </c>
      <c r="F3741" s="7" t="inlineStr">
        <is>
          <t>Amaze</t>
        </is>
      </c>
      <c r="G3741" s="7" t="inlineStr">
        <is>
          <t>EXCHANGE ROTN</t>
        </is>
      </c>
      <c r="H3741" s="7" t="inlineStr">
        <is>
          <t>Captive</t>
        </is>
      </c>
      <c r="I3741" s="7" t="inlineStr">
        <is>
          <t>GGEE Cars</t>
        </is>
      </c>
      <c r="J3741" s="8" t="n">
        <v>2021</v>
      </c>
      <c r="K3741" s="9" t="n">
        <v>87084</v>
      </c>
      <c r="L3741" s="10" t="n">
        <v>450000</v>
      </c>
      <c r="M3741" s="10" t="n">
        <v>25423.73</v>
      </c>
      <c r="N3741" s="11">
        <f>IF(M3741="","",ROUND(M3741*1.18,2))</f>
        <v/>
      </c>
      <c r="O3741" s="12">
        <f>IF(M3741="","",ROUND(N3741-M3741,2))</f>
        <v/>
      </c>
      <c r="P3741" s="13">
        <f>IF(AND(A3741&lt;&gt;"",B3741&lt;&gt;""), A3741&amp;" · "&amp;B3741, "")</f>
        <v/>
      </c>
    </row>
    <row r="3742">
      <c r="A3742" s="6" t="inlineStr">
        <is>
          <t>FY27</t>
        </is>
      </c>
      <c r="B3742" s="6" t="inlineStr">
        <is>
          <t>Aug</t>
        </is>
      </c>
      <c r="C3742" s="6" t="inlineStr">
        <is>
          <t>TN</t>
        </is>
      </c>
      <c r="D3742" s="7" t="inlineStr">
        <is>
          <t>TN58BP7428</t>
        </is>
      </c>
      <c r="E3742" s="7" t="inlineStr">
        <is>
          <t>MARUTI SUZUKI</t>
        </is>
      </c>
      <c r="F3742" s="7" t="inlineStr">
        <is>
          <t>Wagon R</t>
        </is>
      </c>
      <c r="G3742" s="7" t="inlineStr">
        <is>
          <t>EXCHANGE ROTN</t>
        </is>
      </c>
      <c r="H3742" s="7" t="inlineStr">
        <is>
          <t>Captive</t>
        </is>
      </c>
      <c r="I3742" s="7" t="inlineStr">
        <is>
          <t>KSM Auto Consulting</t>
        </is>
      </c>
      <c r="J3742" s="8" t="n">
        <v>2025</v>
      </c>
      <c r="K3742" s="9" t="n">
        <v>19611</v>
      </c>
      <c r="L3742" s="10" t="n">
        <v>547500</v>
      </c>
      <c r="M3742" s="10" t="n">
        <v>12711.86</v>
      </c>
      <c r="N3742" s="11">
        <f>IF(M3742="","",ROUND(M3742*1.18,2))</f>
        <v/>
      </c>
      <c r="O3742" s="12">
        <f>IF(M3742="","",ROUND(N3742-M3742,2))</f>
        <v/>
      </c>
      <c r="P3742" s="13">
        <f>IF(AND(A3742&lt;&gt;"",B3742&lt;&gt;""), A3742&amp;" · "&amp;B3742, "")</f>
        <v/>
      </c>
    </row>
    <row r="3743">
      <c r="A3743" s="6" t="inlineStr">
        <is>
          <t>FY27</t>
        </is>
      </c>
      <c r="B3743" s="6" t="inlineStr">
        <is>
          <t>Aug</t>
        </is>
      </c>
      <c r="C3743" s="6" t="inlineStr">
        <is>
          <t>TN</t>
        </is>
      </c>
      <c r="D3743" s="7" t="inlineStr">
        <is>
          <t>TN59AH7445</t>
        </is>
      </c>
      <c r="E3743" s="7" t="inlineStr">
        <is>
          <t>HYUNDAI</t>
        </is>
      </c>
      <c r="F3743" s="7" t="inlineStr">
        <is>
          <t>Santro</t>
        </is>
      </c>
      <c r="G3743" s="7" t="inlineStr">
        <is>
          <t>EXCHANGE ROTN</t>
        </is>
      </c>
      <c r="H3743" s="7" t="inlineStr">
        <is>
          <t>Captive</t>
        </is>
      </c>
      <c r="I3743" s="7" t="inlineStr">
        <is>
          <t>MAK CARS</t>
        </is>
      </c>
      <c r="J3743" s="8" t="n">
        <v>2008</v>
      </c>
      <c r="K3743" s="9" t="n">
        <v>156458</v>
      </c>
      <c r="L3743" s="10" t="n">
        <v>85000</v>
      </c>
      <c r="M3743" s="10" t="n">
        <v>4237.29</v>
      </c>
      <c r="N3743" s="11">
        <f>IF(M3743="","",ROUND(M3743*1.18,2))</f>
        <v/>
      </c>
      <c r="O3743" s="12">
        <f>IF(M3743="","",ROUND(N3743-M3743,2))</f>
        <v/>
      </c>
      <c r="P3743" s="13">
        <f>IF(AND(A3743&lt;&gt;"",B3743&lt;&gt;""), A3743&amp;" · "&amp;B3743, "")</f>
        <v/>
      </c>
    </row>
    <row r="3744">
      <c r="A3744" s="6" t="inlineStr">
        <is>
          <t>FY27</t>
        </is>
      </c>
      <c r="B3744" s="6" t="inlineStr">
        <is>
          <t>Aug</t>
        </is>
      </c>
      <c r="C3744" s="6" t="inlineStr">
        <is>
          <t>TN</t>
        </is>
      </c>
      <c r="D3744" s="7" t="inlineStr">
        <is>
          <t>TN59AP9964</t>
        </is>
      </c>
      <c r="E3744" s="7" t="inlineStr">
        <is>
          <t>MARUTI SUZUKI</t>
        </is>
      </c>
      <c r="F3744" s="7" t="inlineStr">
        <is>
          <t>Swift</t>
        </is>
      </c>
      <c r="G3744" s="7" t="inlineStr">
        <is>
          <t>EXCHANGE ROTN</t>
        </is>
      </c>
      <c r="H3744" s="7" t="inlineStr">
        <is>
          <t>Captive</t>
        </is>
      </c>
      <c r="I3744" s="7" t="inlineStr">
        <is>
          <t>Auto Motivators</t>
        </is>
      </c>
      <c r="J3744" s="8" t="n">
        <v>2010</v>
      </c>
      <c r="K3744" s="9" t="n">
        <v>114146</v>
      </c>
      <c r="L3744" s="10" t="n">
        <v>180000</v>
      </c>
      <c r="M3744" s="10" t="n">
        <v>8474.58</v>
      </c>
      <c r="N3744" s="11">
        <f>IF(M3744="","",ROUND(M3744*1.18,2))</f>
        <v/>
      </c>
      <c r="O3744" s="12">
        <f>IF(M3744="","",ROUND(N3744-M3744,2))</f>
        <v/>
      </c>
      <c r="P3744" s="13">
        <f>IF(AND(A3744&lt;&gt;"",B3744&lt;&gt;""), A3744&amp;" · "&amp;B3744, "")</f>
        <v/>
      </c>
    </row>
    <row r="3745">
      <c r="A3745" s="6" t="inlineStr">
        <is>
          <t>FY27</t>
        </is>
      </c>
      <c r="B3745" s="6" t="inlineStr">
        <is>
          <t>Aug</t>
        </is>
      </c>
      <c r="C3745" s="6" t="inlineStr">
        <is>
          <t>TN</t>
        </is>
      </c>
      <c r="D3745" s="7" t="inlineStr">
        <is>
          <t>TN59AU6694</t>
        </is>
      </c>
      <c r="E3745" s="7" t="inlineStr">
        <is>
          <t>CHEVROLET</t>
        </is>
      </c>
      <c r="F3745" s="7" t="inlineStr">
        <is>
          <t>Spark</t>
        </is>
      </c>
      <c r="G3745" s="7" t="inlineStr">
        <is>
          <t>SIVA AUTOMOTIVE TRADING PRIVATE LIMITED</t>
        </is>
      </c>
      <c r="H3745" s="7" t="inlineStr">
        <is>
          <t>Non-Captive</t>
        </is>
      </c>
      <c r="I3745" s="7" t="inlineStr">
        <is>
          <t>READY TO RIDE CARS</t>
        </is>
      </c>
      <c r="J3745" s="8" t="n">
        <v>2012</v>
      </c>
      <c r="K3745" s="9" t="n">
        <v>54650</v>
      </c>
      <c r="L3745" s="10" t="n">
        <v>80000</v>
      </c>
      <c r="M3745" s="10" t="n">
        <v>4237.29</v>
      </c>
      <c r="N3745" s="11">
        <f>IF(M3745="","",ROUND(M3745*1.18,2))</f>
        <v/>
      </c>
      <c r="O3745" s="12">
        <f>IF(M3745="","",ROUND(N3745-M3745,2))</f>
        <v/>
      </c>
      <c r="P3745" s="13">
        <f>IF(AND(A3745&lt;&gt;"",B3745&lt;&gt;""), A3745&amp;" · "&amp;B3745, "")</f>
        <v/>
      </c>
    </row>
    <row r="3746">
      <c r="A3746" s="6" t="inlineStr">
        <is>
          <t>FY27</t>
        </is>
      </c>
      <c r="B3746" s="6" t="inlineStr">
        <is>
          <t>Aug</t>
        </is>
      </c>
      <c r="C3746" s="6" t="inlineStr">
        <is>
          <t>TN</t>
        </is>
      </c>
      <c r="D3746" s="7" t="inlineStr">
        <is>
          <t>TN59BC0648</t>
        </is>
      </c>
      <c r="E3746" s="7" t="inlineStr">
        <is>
          <t>HONDA</t>
        </is>
      </c>
      <c r="F3746" s="7" t="inlineStr">
        <is>
          <t>City</t>
        </is>
      </c>
      <c r="G3746" s="7" t="inlineStr">
        <is>
          <t>EXCHANGE ROTN</t>
        </is>
      </c>
      <c r="H3746" s="7" t="inlineStr">
        <is>
          <t>Captive</t>
        </is>
      </c>
      <c r="I3746" s="7" t="inlineStr">
        <is>
          <t>Thirumalai Cars (Madurai</t>
        </is>
      </c>
      <c r="J3746" s="8" t="n">
        <v>2013</v>
      </c>
      <c r="K3746" s="9" t="n">
        <v>162295</v>
      </c>
      <c r="L3746" s="10" t="n">
        <v>260000</v>
      </c>
      <c r="M3746" s="10" t="n">
        <v>8474.58</v>
      </c>
      <c r="N3746" s="11">
        <f>IF(M3746="","",ROUND(M3746*1.18,2))</f>
        <v/>
      </c>
      <c r="O3746" s="12">
        <f>IF(M3746="","",ROUND(N3746-M3746,2))</f>
        <v/>
      </c>
      <c r="P3746" s="13">
        <f>IF(AND(A3746&lt;&gt;"",B3746&lt;&gt;""), A3746&amp;" · "&amp;B3746, "")</f>
        <v/>
      </c>
    </row>
    <row r="3747">
      <c r="A3747" s="6" t="inlineStr">
        <is>
          <t>FY27</t>
        </is>
      </c>
      <c r="B3747" s="6" t="inlineStr">
        <is>
          <t>Aug</t>
        </is>
      </c>
      <c r="C3747" s="6" t="inlineStr">
        <is>
          <t>TN</t>
        </is>
      </c>
      <c r="D3747" s="7" t="inlineStr">
        <is>
          <t>TN59BM3433</t>
        </is>
      </c>
      <c r="E3747" s="7" t="inlineStr">
        <is>
          <t>HONDA</t>
        </is>
      </c>
      <c r="F3747" s="7" t="inlineStr">
        <is>
          <t>Jazz</t>
        </is>
      </c>
      <c r="G3747" s="7" t="inlineStr">
        <is>
          <t>EXCHANGE ROTN</t>
        </is>
      </c>
      <c r="H3747" s="7" t="inlineStr">
        <is>
          <t>Captive</t>
        </is>
      </c>
      <c r="I3747" s="7" t="inlineStr">
        <is>
          <t>SRI RAJA KANAPATHY CARS</t>
        </is>
      </c>
      <c r="J3747" s="8" t="n">
        <v>2017</v>
      </c>
      <c r="K3747" s="9" t="n">
        <v>123902</v>
      </c>
      <c r="L3747" s="10" t="n">
        <v>330000</v>
      </c>
      <c r="M3747" s="10" t="n">
        <v>8474.58</v>
      </c>
      <c r="N3747" s="11">
        <f>IF(M3747="","",ROUND(M3747*1.18,2))</f>
        <v/>
      </c>
      <c r="O3747" s="12">
        <f>IF(M3747="","",ROUND(N3747-M3747,2))</f>
        <v/>
      </c>
      <c r="P3747" s="13">
        <f>IF(AND(A3747&lt;&gt;"",B3747&lt;&gt;""), A3747&amp;" · "&amp;B3747, "")</f>
        <v/>
      </c>
    </row>
    <row r="3748">
      <c r="A3748" s="6" t="inlineStr">
        <is>
          <t>FY27</t>
        </is>
      </c>
      <c r="B3748" s="6" t="inlineStr">
        <is>
          <t>Aug</t>
        </is>
      </c>
      <c r="C3748" s="6" t="inlineStr">
        <is>
          <t>TN</t>
        </is>
      </c>
      <c r="D3748" s="7" t="inlineStr">
        <is>
          <t>TN59BP1621</t>
        </is>
      </c>
      <c r="E3748" s="7" t="inlineStr">
        <is>
          <t>MARUTI SUZUKI</t>
        </is>
      </c>
      <c r="F3748" s="7" t="inlineStr">
        <is>
          <t>Celerio</t>
        </is>
      </c>
      <c r="G3748" s="7" t="inlineStr">
        <is>
          <t>THIRUMALAI CARS</t>
        </is>
      </c>
      <c r="H3748" s="7" t="inlineStr">
        <is>
          <t>Non-Captive</t>
        </is>
      </c>
      <c r="I3748" s="7" t="inlineStr">
        <is>
          <t>KSM Auto Consulting</t>
        </is>
      </c>
      <c r="J3748" s="8" t="n">
        <v>2017</v>
      </c>
      <c r="K3748" s="9" t="n">
        <v>79498</v>
      </c>
      <c r="L3748" s="10" t="n">
        <v>310000</v>
      </c>
      <c r="M3748" s="10" t="n">
        <v>8474.58</v>
      </c>
      <c r="N3748" s="11">
        <f>IF(M3748="","",ROUND(M3748*1.18,2))</f>
        <v/>
      </c>
      <c r="O3748" s="12">
        <f>IF(M3748="","",ROUND(N3748-M3748,2))</f>
        <v/>
      </c>
      <c r="P3748" s="13">
        <f>IF(AND(A3748&lt;&gt;"",B3748&lt;&gt;""), A3748&amp;" · "&amp;B3748, "")</f>
        <v/>
      </c>
    </row>
    <row r="3749">
      <c r="A3749" s="6" t="inlineStr">
        <is>
          <t>FY27</t>
        </is>
      </c>
      <c r="B3749" s="6" t="inlineStr">
        <is>
          <t>Aug</t>
        </is>
      </c>
      <c r="C3749" s="6" t="inlineStr">
        <is>
          <t>TN</t>
        </is>
      </c>
      <c r="D3749" s="7" t="inlineStr">
        <is>
          <t>TN59BX9967</t>
        </is>
      </c>
      <c r="E3749" s="7" t="inlineStr">
        <is>
          <t>FORD</t>
        </is>
      </c>
      <c r="F3749" s="7" t="inlineStr">
        <is>
          <t>Figo</t>
        </is>
      </c>
      <c r="G3749" s="7" t="inlineStr">
        <is>
          <t>CASTLE TRADERS MARUTI</t>
        </is>
      </c>
      <c r="H3749" s="7" t="inlineStr">
        <is>
          <t>Non-Captive</t>
        </is>
      </c>
      <c r="I3749" s="7" t="inlineStr">
        <is>
          <t>Value Drive Tech</t>
        </is>
      </c>
      <c r="J3749" s="8" t="n">
        <v>2013</v>
      </c>
      <c r="K3749" s="9" t="n">
        <v>66239</v>
      </c>
      <c r="L3749" s="10" t="n">
        <v>99000</v>
      </c>
      <c r="M3749" s="10" t="n">
        <v>4237.29</v>
      </c>
      <c r="N3749" s="11">
        <f>IF(M3749="","",ROUND(M3749*1.18,2))</f>
        <v/>
      </c>
      <c r="O3749" s="12">
        <f>IF(M3749="","",ROUND(N3749-M3749,2))</f>
        <v/>
      </c>
      <c r="P3749" s="13">
        <f>IF(AND(A3749&lt;&gt;"",B3749&lt;&gt;""), A3749&amp;" · "&amp;B3749, "")</f>
        <v/>
      </c>
    </row>
    <row r="3750">
      <c r="A3750" s="6" t="inlineStr">
        <is>
          <t>FY27</t>
        </is>
      </c>
      <c r="B3750" s="6" t="inlineStr">
        <is>
          <t>Aug</t>
        </is>
      </c>
      <c r="C3750" s="6" t="inlineStr">
        <is>
          <t>TN</t>
        </is>
      </c>
      <c r="D3750" s="7" t="inlineStr">
        <is>
          <t>TN59CD2255</t>
        </is>
      </c>
      <c r="E3750" s="7" t="inlineStr">
        <is>
          <t>SKODA</t>
        </is>
      </c>
      <c r="F3750" s="7" t="inlineStr">
        <is>
          <t>Rapid</t>
        </is>
      </c>
      <c r="G3750" s="7" t="inlineStr">
        <is>
          <t>EXCHANGE ROTN</t>
        </is>
      </c>
      <c r="H3750" s="7" t="inlineStr">
        <is>
          <t>Captive</t>
        </is>
      </c>
      <c r="I3750" s="7" t="inlineStr">
        <is>
          <t>READY TO RIDE CARS</t>
        </is>
      </c>
      <c r="J3750" s="8" t="n">
        <v>2018</v>
      </c>
      <c r="K3750" s="9" t="n">
        <v>172995</v>
      </c>
      <c r="L3750" s="10" t="n">
        <v>480000</v>
      </c>
      <c r="M3750" s="10" t="n">
        <v>16949.15</v>
      </c>
      <c r="N3750" s="11">
        <f>IF(M3750="","",ROUND(M3750*1.18,2))</f>
        <v/>
      </c>
      <c r="O3750" s="12">
        <f>IF(M3750="","",ROUND(N3750-M3750,2))</f>
        <v/>
      </c>
      <c r="P3750" s="13">
        <f>IF(AND(A3750&lt;&gt;"",B3750&lt;&gt;""), A3750&amp;" · "&amp;B3750, "")</f>
        <v/>
      </c>
    </row>
    <row r="3751">
      <c r="A3751" s="6" t="inlineStr">
        <is>
          <t>FY27</t>
        </is>
      </c>
      <c r="B3751" s="6" t="inlineStr">
        <is>
          <t>Aug</t>
        </is>
      </c>
      <c r="C3751" s="6" t="inlineStr">
        <is>
          <t>TN</t>
        </is>
      </c>
      <c r="D3751" s="7" t="inlineStr">
        <is>
          <t>TN59CL4794</t>
        </is>
      </c>
      <c r="E3751" s="7" t="inlineStr">
        <is>
          <t>JEEP</t>
        </is>
      </c>
      <c r="F3751" s="7" t="inlineStr">
        <is>
          <t>Compass</t>
        </is>
      </c>
      <c r="G3751" s="7" t="inlineStr">
        <is>
          <t>EXCHANGE ROTN</t>
        </is>
      </c>
      <c r="H3751" s="7" t="inlineStr">
        <is>
          <t>Captive</t>
        </is>
      </c>
      <c r="I3751" s="7" t="inlineStr">
        <is>
          <t>READY TO RIDE CARS</t>
        </is>
      </c>
      <c r="J3751" s="8" t="n">
        <v>2021</v>
      </c>
      <c r="K3751" s="9" t="n">
        <v>59495</v>
      </c>
      <c r="L3751" s="10" t="n">
        <v>810000</v>
      </c>
      <c r="M3751" s="10" t="n">
        <v>25423.73</v>
      </c>
      <c r="N3751" s="11">
        <f>IF(M3751="","",ROUND(M3751*1.18,2))</f>
        <v/>
      </c>
      <c r="O3751" s="12">
        <f>IF(M3751="","",ROUND(N3751-M3751,2))</f>
        <v/>
      </c>
      <c r="P3751" s="13">
        <f>IF(AND(A3751&lt;&gt;"",B3751&lt;&gt;""), A3751&amp;" · "&amp;B3751, "")</f>
        <v/>
      </c>
    </row>
    <row r="3752">
      <c r="A3752" s="6" t="inlineStr">
        <is>
          <t>FY27</t>
        </is>
      </c>
      <c r="B3752" s="6" t="inlineStr">
        <is>
          <t>Aug</t>
        </is>
      </c>
      <c r="C3752" s="6" t="inlineStr">
        <is>
          <t>TN</t>
        </is>
      </c>
      <c r="D3752" s="7" t="inlineStr">
        <is>
          <t>TN59DC7787</t>
        </is>
      </c>
      <c r="E3752" s="7" t="inlineStr">
        <is>
          <t>TOYOTA</t>
        </is>
      </c>
      <c r="F3752" s="7" t="inlineStr">
        <is>
          <t>Glanza</t>
        </is>
      </c>
      <c r="G3752" s="7" t="inlineStr">
        <is>
          <t>EXCHANGE ROTN</t>
        </is>
      </c>
      <c r="H3752" s="7" t="inlineStr">
        <is>
          <t>Captive</t>
        </is>
      </c>
      <c r="I3752" s="7" t="inlineStr">
        <is>
          <t>Sun Cars</t>
        </is>
      </c>
      <c r="J3752" s="8" t="n">
        <v>2024</v>
      </c>
      <c r="K3752" s="9" t="n">
        <v>18312</v>
      </c>
      <c r="L3752" s="10" t="n">
        <v>740000</v>
      </c>
      <c r="M3752" s="10" t="n">
        <v>8474.58</v>
      </c>
      <c r="N3752" s="11">
        <f>IF(M3752="","",ROUND(M3752*1.18,2))</f>
        <v/>
      </c>
      <c r="O3752" s="12">
        <f>IF(M3752="","",ROUND(N3752-M3752,2))</f>
        <v/>
      </c>
      <c r="P3752" s="13">
        <f>IF(AND(A3752&lt;&gt;"",B3752&lt;&gt;""), A3752&amp;" · "&amp;B3752, "")</f>
        <v/>
      </c>
    </row>
    <row r="3753">
      <c r="A3753" s="6" t="inlineStr">
        <is>
          <t>FY27</t>
        </is>
      </c>
      <c r="B3753" s="6" t="inlineStr">
        <is>
          <t>Aug</t>
        </is>
      </c>
      <c r="C3753" s="6" t="inlineStr">
        <is>
          <t>TN</t>
        </is>
      </c>
      <c r="D3753" s="7" t="inlineStr">
        <is>
          <t>TN60AF1568</t>
        </is>
      </c>
      <c r="E3753" s="7" t="inlineStr">
        <is>
          <t>DATSUN</t>
        </is>
      </c>
      <c r="F3753" s="7" t="inlineStr">
        <is>
          <t>Redi-GO</t>
        </is>
      </c>
      <c r="G3753" s="7" t="inlineStr">
        <is>
          <t>EXCHANGE ROTN</t>
        </is>
      </c>
      <c r="H3753" s="7" t="inlineStr">
        <is>
          <t>Captive</t>
        </is>
      </c>
      <c r="I3753" s="7" t="inlineStr">
        <is>
          <t>BALAJI CARS (THENI</t>
        </is>
      </c>
      <c r="J3753" s="8" t="n">
        <v>2019</v>
      </c>
      <c r="K3753" s="9" t="n">
        <v>34801</v>
      </c>
      <c r="L3753" s="10" t="n">
        <v>168000</v>
      </c>
      <c r="M3753" s="10" t="n">
        <v>10169.49</v>
      </c>
      <c r="N3753" s="11">
        <f>IF(M3753="","",ROUND(M3753*1.18,2))</f>
        <v/>
      </c>
      <c r="O3753" s="12">
        <f>IF(M3753="","",ROUND(N3753-M3753,2))</f>
        <v/>
      </c>
      <c r="P3753" s="13">
        <f>IF(AND(A3753&lt;&gt;"",B3753&lt;&gt;""), A3753&amp;" · "&amp;B3753, "")</f>
        <v/>
      </c>
    </row>
    <row r="3754">
      <c r="A3754" s="6" t="inlineStr">
        <is>
          <t>FY27</t>
        </is>
      </c>
      <c r="B3754" s="6" t="inlineStr">
        <is>
          <t>Aug</t>
        </is>
      </c>
      <c r="C3754" s="6" t="inlineStr">
        <is>
          <t>TN</t>
        </is>
      </c>
      <c r="D3754" s="7" t="inlineStr">
        <is>
          <t>TN60L8312</t>
        </is>
      </c>
      <c r="E3754" s="7" t="inlineStr">
        <is>
          <t>MARUTI SUZUKI</t>
        </is>
      </c>
      <c r="F3754" s="7" t="inlineStr">
        <is>
          <t>Dzire</t>
        </is>
      </c>
      <c r="G3754" s="7" t="inlineStr">
        <is>
          <t>EXCHANGE ROTN</t>
        </is>
      </c>
      <c r="H3754" s="7" t="inlineStr">
        <is>
          <t>Captive</t>
        </is>
      </c>
      <c r="I3754" s="7" t="inlineStr">
        <is>
          <t>BALAJI CARS (THENI</t>
        </is>
      </c>
      <c r="J3754" s="8" t="n">
        <v>2013</v>
      </c>
      <c r="K3754" s="9" t="n">
        <v>115749</v>
      </c>
      <c r="L3754" s="10" t="n">
        <v>200000</v>
      </c>
      <c r="M3754" s="10" t="n">
        <v>12711.86</v>
      </c>
      <c r="N3754" s="11">
        <f>IF(M3754="","",ROUND(M3754*1.18,2))</f>
        <v/>
      </c>
      <c r="O3754" s="12">
        <f>IF(M3754="","",ROUND(N3754-M3754,2))</f>
        <v/>
      </c>
      <c r="P3754" s="13">
        <f>IF(AND(A3754&lt;&gt;"",B3754&lt;&gt;""), A3754&amp;" · "&amp;B3754, "")</f>
        <v/>
      </c>
    </row>
    <row r="3755">
      <c r="A3755" s="6" t="inlineStr">
        <is>
          <t>FY27</t>
        </is>
      </c>
      <c r="B3755" s="6" t="inlineStr">
        <is>
          <t>Aug</t>
        </is>
      </c>
      <c r="C3755" s="6" t="inlineStr">
        <is>
          <t>TN</t>
        </is>
      </c>
      <c r="D3755" s="7" t="inlineStr">
        <is>
          <t>TN63AU4260</t>
        </is>
      </c>
      <c r="E3755" s="7" t="inlineStr">
        <is>
          <t>MARUTI SUZUKI</t>
        </is>
      </c>
      <c r="F3755" s="7" t="inlineStr">
        <is>
          <t>Celerio</t>
        </is>
      </c>
      <c r="G3755" s="7" t="inlineStr">
        <is>
          <t>MEENAKSHI AUTO ZONE PRIVATE LIMITED (MARUTI</t>
        </is>
      </c>
      <c r="H3755" s="7" t="inlineStr">
        <is>
          <t>Non-Captive</t>
        </is>
      </c>
      <c r="I3755" s="7" t="inlineStr">
        <is>
          <t>GGEE Cars</t>
        </is>
      </c>
      <c r="J3755" s="8" t="n">
        <v>2014</v>
      </c>
      <c r="K3755" s="9" t="n">
        <v>7944</v>
      </c>
      <c r="L3755" s="10" t="n">
        <v>262000</v>
      </c>
      <c r="M3755" s="10" t="n">
        <v>8474.58</v>
      </c>
      <c r="N3755" s="11">
        <f>IF(M3755="","",ROUND(M3755*1.18,2))</f>
        <v/>
      </c>
      <c r="O3755" s="12">
        <f>IF(M3755="","",ROUND(N3755-M3755,2))</f>
        <v/>
      </c>
      <c r="P3755" s="13">
        <f>IF(AND(A3755&lt;&gt;"",B3755&lt;&gt;""), A3755&amp;" · "&amp;B3755, "")</f>
        <v/>
      </c>
    </row>
    <row r="3756">
      <c r="A3756" s="6" t="inlineStr">
        <is>
          <t>FY27</t>
        </is>
      </c>
      <c r="B3756" s="6" t="inlineStr">
        <is>
          <t>Aug</t>
        </is>
      </c>
      <c r="C3756" s="6" t="inlineStr">
        <is>
          <t>TN</t>
        </is>
      </c>
      <c r="D3756" s="7" t="inlineStr">
        <is>
          <t>TN65H6916</t>
        </is>
      </c>
      <c r="E3756" s="7" t="inlineStr">
        <is>
          <t>MARUTI SUZUKI</t>
        </is>
      </c>
      <c r="F3756" s="7" t="inlineStr">
        <is>
          <t>Alto</t>
        </is>
      </c>
      <c r="G3756" s="7" t="inlineStr">
        <is>
          <t>EXCHANGE ROTN</t>
        </is>
      </c>
      <c r="H3756" s="7" t="inlineStr">
        <is>
          <t>Captive</t>
        </is>
      </c>
      <c r="I3756" s="7" t="inlineStr">
        <is>
          <t>Auto Motivators</t>
        </is>
      </c>
      <c r="J3756" s="8" t="n">
        <v>2007</v>
      </c>
      <c r="K3756" s="9" t="n">
        <v>118622</v>
      </c>
      <c r="L3756" s="10" t="n">
        <v>65000</v>
      </c>
      <c r="M3756" s="10" t="n">
        <v>12711.86</v>
      </c>
      <c r="N3756" s="11">
        <f>IF(M3756="","",ROUND(M3756*1.18,2))</f>
        <v/>
      </c>
      <c r="O3756" s="12">
        <f>IF(M3756="","",ROUND(N3756-M3756,2))</f>
        <v/>
      </c>
      <c r="P3756" s="13">
        <f>IF(AND(A3756&lt;&gt;"",B3756&lt;&gt;""), A3756&amp;" · "&amp;B3756, "")</f>
        <v/>
      </c>
    </row>
    <row r="3757">
      <c r="A3757" s="6" t="inlineStr">
        <is>
          <t>FY27</t>
        </is>
      </c>
      <c r="B3757" s="6" t="inlineStr">
        <is>
          <t>Aug</t>
        </is>
      </c>
      <c r="C3757" s="6" t="inlineStr">
        <is>
          <t>TN</t>
        </is>
      </c>
      <c r="D3757" s="7" t="inlineStr">
        <is>
          <t>TN66A1051</t>
        </is>
      </c>
      <c r="E3757" s="7" t="inlineStr">
        <is>
          <t>MARUTI SUZUKI</t>
        </is>
      </c>
      <c r="F3757" s="7" t="inlineStr">
        <is>
          <t>Ritz</t>
        </is>
      </c>
      <c r="G3757" s="7" t="inlineStr">
        <is>
          <t>EXCHANGE ROTN</t>
        </is>
      </c>
      <c r="H3757" s="7" t="inlineStr">
        <is>
          <t>Captive</t>
        </is>
      </c>
      <c r="I3757" s="7" t="inlineStr">
        <is>
          <t>&lt;NA&gt;</t>
        </is>
      </c>
      <c r="J3757" s="8" t="n">
        <v>2009</v>
      </c>
      <c r="K3757" s="9" t="n">
        <v>135197</v>
      </c>
      <c r="L3757" s="10" t="n">
        <v>175000</v>
      </c>
      <c r="M3757" s="10" t="n">
        <v>4237.29</v>
      </c>
      <c r="N3757" s="11">
        <f>IF(M3757="","",ROUND(M3757*1.18,2))</f>
        <v/>
      </c>
      <c r="O3757" s="12">
        <f>IF(M3757="","",ROUND(N3757-M3757,2))</f>
        <v/>
      </c>
      <c r="P3757" s="13">
        <f>IF(AND(A3757&lt;&gt;"",B3757&lt;&gt;""), A3757&amp;" · "&amp;B3757, "")</f>
        <v/>
      </c>
    </row>
    <row r="3758">
      <c r="A3758" s="6" t="inlineStr">
        <is>
          <t>FY27</t>
        </is>
      </c>
      <c r="B3758" s="6" t="inlineStr">
        <is>
          <t>Aug</t>
        </is>
      </c>
      <c r="C3758" s="6" t="inlineStr">
        <is>
          <t>TN</t>
        </is>
      </c>
      <c r="D3758" s="7" t="inlineStr">
        <is>
          <t>TN66AA5223</t>
        </is>
      </c>
      <c r="E3758" s="7" t="inlineStr">
        <is>
          <t>MARUTI SUZUKI</t>
        </is>
      </c>
      <c r="F3758" s="7" t="inlineStr">
        <is>
          <t>Alto K10</t>
        </is>
      </c>
      <c r="G3758" s="7" t="inlineStr">
        <is>
          <t>EXCHANGE ROTN</t>
        </is>
      </c>
      <c r="H3758" s="7" t="inlineStr">
        <is>
          <t>Captive</t>
        </is>
      </c>
      <c r="I3758" s="7" t="inlineStr">
        <is>
          <t>YUGA DHEERAN CARS</t>
        </is>
      </c>
      <c r="J3758" s="8" t="n">
        <v>2018</v>
      </c>
      <c r="K3758" s="9" t="n">
        <v>7581</v>
      </c>
      <c r="L3758" s="10" t="n">
        <v>295000</v>
      </c>
      <c r="M3758" s="10" t="n">
        <v>12711.86</v>
      </c>
      <c r="N3758" s="11">
        <f>IF(M3758="","",ROUND(M3758*1.18,2))</f>
        <v/>
      </c>
      <c r="O3758" s="12">
        <f>IF(M3758="","",ROUND(N3758-M3758,2))</f>
        <v/>
      </c>
      <c r="P3758" s="13">
        <f>IF(AND(A3758&lt;&gt;"",B3758&lt;&gt;""), A3758&amp;" · "&amp;B3758, "")</f>
        <v/>
      </c>
    </row>
    <row r="3759">
      <c r="A3759" s="6" t="inlineStr">
        <is>
          <t>FY27</t>
        </is>
      </c>
      <c r="B3759" s="6" t="inlineStr">
        <is>
          <t>Aug</t>
        </is>
      </c>
      <c r="C3759" s="6" t="inlineStr">
        <is>
          <t>TN</t>
        </is>
      </c>
      <c r="D3759" s="7" t="inlineStr">
        <is>
          <t>TN66AP5319</t>
        </is>
      </c>
      <c r="E3759" s="7" t="inlineStr">
        <is>
          <t>NISSAN</t>
        </is>
      </c>
      <c r="F3759" s="7" t="inlineStr">
        <is>
          <t>Magnite</t>
        </is>
      </c>
      <c r="G3759" s="7" t="inlineStr">
        <is>
          <t>EXCHANGE ROTN</t>
        </is>
      </c>
      <c r="H3759" s="7" t="inlineStr">
        <is>
          <t>Captive</t>
        </is>
      </c>
      <c r="I3759" s="7" t="inlineStr">
        <is>
          <t>Gugha Cars</t>
        </is>
      </c>
      <c r="J3759" s="8" t="n">
        <v>2023</v>
      </c>
      <c r="K3759" s="9" t="n">
        <v>12382</v>
      </c>
      <c r="L3759" s="10" t="n">
        <v>430000</v>
      </c>
      <c r="M3759" s="10" t="n">
        <v>12711.86</v>
      </c>
      <c r="N3759" s="11">
        <f>IF(M3759="","",ROUND(M3759*1.18,2))</f>
        <v/>
      </c>
      <c r="O3759" s="12">
        <f>IF(M3759="","",ROUND(N3759-M3759,2))</f>
        <v/>
      </c>
      <c r="P3759" s="13">
        <f>IF(AND(A3759&lt;&gt;"",B3759&lt;&gt;""), A3759&amp;" · "&amp;B3759, "")</f>
        <v/>
      </c>
    </row>
    <row r="3760">
      <c r="A3760" s="6" t="inlineStr">
        <is>
          <t>FY27</t>
        </is>
      </c>
      <c r="B3760" s="6" t="inlineStr">
        <is>
          <t>Aug</t>
        </is>
      </c>
      <c r="C3760" s="6" t="inlineStr">
        <is>
          <t>TN</t>
        </is>
      </c>
      <c r="D3760" s="7" t="inlineStr">
        <is>
          <t>TN66C7202</t>
        </is>
      </c>
      <c r="E3760" s="7" t="inlineStr">
        <is>
          <t>MARUTI SUZUKI</t>
        </is>
      </c>
      <c r="F3760" s="7" t="inlineStr">
        <is>
          <t>Wagon R</t>
        </is>
      </c>
      <c r="G3760" s="7" t="inlineStr">
        <is>
          <t>ABT LIMITED</t>
        </is>
      </c>
      <c r="H3760" s="7" t="inlineStr">
        <is>
          <t>Non-Captive</t>
        </is>
      </c>
      <c r="I3760" s="7" t="inlineStr">
        <is>
          <t>MADHURA CARS</t>
        </is>
      </c>
      <c r="J3760" s="8" t="n">
        <v>2011</v>
      </c>
      <c r="K3760" s="9" t="n">
        <v>99651</v>
      </c>
      <c r="L3760" s="10" t="n">
        <v>93000</v>
      </c>
      <c r="M3760" s="10" t="n">
        <v>4237.29</v>
      </c>
      <c r="N3760" s="11">
        <f>IF(M3760="","",ROUND(M3760*1.18,2))</f>
        <v/>
      </c>
      <c r="O3760" s="12">
        <f>IF(M3760="","",ROUND(N3760-M3760,2))</f>
        <v/>
      </c>
      <c r="P3760" s="13">
        <f>IF(AND(A3760&lt;&gt;"",B3760&lt;&gt;""), A3760&amp;" · "&amp;B3760, "")</f>
        <v/>
      </c>
    </row>
    <row r="3761">
      <c r="A3761" s="6" t="inlineStr">
        <is>
          <t>FY27</t>
        </is>
      </c>
      <c r="B3761" s="6" t="inlineStr">
        <is>
          <t>Aug</t>
        </is>
      </c>
      <c r="C3761" s="6" t="inlineStr">
        <is>
          <t>TN</t>
        </is>
      </c>
      <c r="D3761" s="7" t="inlineStr">
        <is>
          <t>TN66D5494</t>
        </is>
      </c>
      <c r="E3761" s="7" t="inlineStr">
        <is>
          <t>VOLKSWAGEN</t>
        </is>
      </c>
      <c r="F3761" s="7" t="inlineStr">
        <is>
          <t>Polo</t>
        </is>
      </c>
      <c r="G3761" s="7" t="inlineStr">
        <is>
          <t>EXCHANGE ROTN</t>
        </is>
      </c>
      <c r="H3761" s="7" t="inlineStr">
        <is>
          <t>Captive</t>
        </is>
      </c>
      <c r="I3761" s="7" t="inlineStr">
        <is>
          <t>Auto Solution</t>
        </is>
      </c>
      <c r="J3761" s="8" t="n">
        <v>2011</v>
      </c>
      <c r="K3761" s="9" t="n">
        <v>82682</v>
      </c>
      <c r="L3761" s="10" t="n">
        <v>255000</v>
      </c>
      <c r="M3761" s="10" t="n">
        <v>8474.58</v>
      </c>
      <c r="N3761" s="11">
        <f>IF(M3761="","",ROUND(M3761*1.18,2))</f>
        <v/>
      </c>
      <c r="O3761" s="12">
        <f>IF(M3761="","",ROUND(N3761-M3761,2))</f>
        <v/>
      </c>
      <c r="P3761" s="13">
        <f>IF(AND(A3761&lt;&gt;"",B3761&lt;&gt;""), A3761&amp;" · "&amp;B3761, "")</f>
        <v/>
      </c>
    </row>
    <row r="3762">
      <c r="A3762" s="6" t="inlineStr">
        <is>
          <t>FY27</t>
        </is>
      </c>
      <c r="B3762" s="6" t="inlineStr">
        <is>
          <t>Aug</t>
        </is>
      </c>
      <c r="C3762" s="6" t="inlineStr">
        <is>
          <t>TN</t>
        </is>
      </c>
      <c r="D3762" s="7" t="inlineStr">
        <is>
          <t>TN66M9841</t>
        </is>
      </c>
      <c r="E3762" s="7" t="inlineStr">
        <is>
          <t>HONDA</t>
        </is>
      </c>
      <c r="F3762" s="7" t="inlineStr">
        <is>
          <t>City</t>
        </is>
      </c>
      <c r="G3762" s="7" t="inlineStr">
        <is>
          <t>EXCHANGE ROTN</t>
        </is>
      </c>
      <c r="H3762" s="7" t="inlineStr">
        <is>
          <t>Captive</t>
        </is>
      </c>
      <c r="I3762" s="7" t="inlineStr">
        <is>
          <t>SRI VIGNESH PRE OWNED CARS</t>
        </is>
      </c>
      <c r="J3762" s="8" t="n">
        <v>2015</v>
      </c>
      <c r="K3762" s="9" t="n">
        <v>210081</v>
      </c>
      <c r="L3762" s="10" t="n">
        <v>315100</v>
      </c>
      <c r="M3762" s="10" t="n">
        <v>33898.31</v>
      </c>
      <c r="N3762" s="11">
        <f>IF(M3762="","",ROUND(M3762*1.18,2))</f>
        <v/>
      </c>
      <c r="O3762" s="12">
        <f>IF(M3762="","",ROUND(N3762-M3762,2))</f>
        <v/>
      </c>
      <c r="P3762" s="13">
        <f>IF(AND(A3762&lt;&gt;"",B3762&lt;&gt;""), A3762&amp;" · "&amp;B3762, "")</f>
        <v/>
      </c>
    </row>
    <row r="3763">
      <c r="A3763" s="6" t="inlineStr">
        <is>
          <t>FY27</t>
        </is>
      </c>
      <c r="B3763" s="6" t="inlineStr">
        <is>
          <t>Aug</t>
        </is>
      </c>
      <c r="C3763" s="6" t="inlineStr">
        <is>
          <t>TN</t>
        </is>
      </c>
      <c r="D3763" s="7" t="inlineStr">
        <is>
          <t>TN66P1899</t>
        </is>
      </c>
      <c r="E3763" s="7" t="inlineStr">
        <is>
          <t>HONDA</t>
        </is>
      </c>
      <c r="F3763" s="7" t="inlineStr">
        <is>
          <t>Amaze</t>
        </is>
      </c>
      <c r="G3763" s="7" t="inlineStr">
        <is>
          <t>EXCHANGE ROTN</t>
        </is>
      </c>
      <c r="H3763" s="7" t="inlineStr">
        <is>
          <t>Captive</t>
        </is>
      </c>
      <c r="I3763" s="7" t="inlineStr">
        <is>
          <t>Sr Auto Consulting</t>
        </is>
      </c>
      <c r="J3763" s="8" t="n">
        <v>2015</v>
      </c>
      <c r="K3763" s="9" t="n">
        <v>92713</v>
      </c>
      <c r="L3763" s="10" t="n">
        <v>275000</v>
      </c>
      <c r="M3763" s="10" t="n">
        <v>12711.86</v>
      </c>
      <c r="N3763" s="11">
        <f>IF(M3763="","",ROUND(M3763*1.18,2))</f>
        <v/>
      </c>
      <c r="O3763" s="12">
        <f>IF(M3763="","",ROUND(N3763-M3763,2))</f>
        <v/>
      </c>
      <c r="P3763" s="13">
        <f>IF(AND(A3763&lt;&gt;"",B3763&lt;&gt;""), A3763&amp;" · "&amp;B3763, "")</f>
        <v/>
      </c>
    </row>
    <row r="3764">
      <c r="A3764" s="6" t="inlineStr">
        <is>
          <t>FY27</t>
        </is>
      </c>
      <c r="B3764" s="6" t="inlineStr">
        <is>
          <t>Aug</t>
        </is>
      </c>
      <c r="C3764" s="6" t="inlineStr">
        <is>
          <t>TN</t>
        </is>
      </c>
      <c r="D3764" s="7" t="inlineStr">
        <is>
          <t>TN66Q5121</t>
        </is>
      </c>
      <c r="E3764" s="7" t="inlineStr">
        <is>
          <t>HONDA</t>
        </is>
      </c>
      <c r="F3764" s="7" t="inlineStr">
        <is>
          <t>City</t>
        </is>
      </c>
      <c r="G3764" s="7" t="inlineStr">
        <is>
          <t>EXCHANGE ROTN</t>
        </is>
      </c>
      <c r="H3764" s="7" t="inlineStr">
        <is>
          <t>Captive</t>
        </is>
      </c>
      <c r="I3764" s="7" t="inlineStr">
        <is>
          <t>Senthur Finance</t>
        </is>
      </c>
      <c r="J3764" s="8" t="n">
        <v>2015</v>
      </c>
      <c r="K3764" s="9" t="n">
        <v>124017</v>
      </c>
      <c r="L3764" s="10" t="n">
        <v>460000</v>
      </c>
      <c r="M3764" s="10" t="n">
        <v>8474.58</v>
      </c>
      <c r="N3764" s="11">
        <f>IF(M3764="","",ROUND(M3764*1.18,2))</f>
        <v/>
      </c>
      <c r="O3764" s="12">
        <f>IF(M3764="","",ROUND(N3764-M3764,2))</f>
        <v/>
      </c>
      <c r="P3764" s="13">
        <f>IF(AND(A3764&lt;&gt;"",B3764&lt;&gt;""), A3764&amp;" · "&amp;B3764, "")</f>
        <v/>
      </c>
    </row>
    <row r="3765">
      <c r="A3765" s="6" t="inlineStr">
        <is>
          <t>FY27</t>
        </is>
      </c>
      <c r="B3765" s="6" t="inlineStr">
        <is>
          <t>Aug</t>
        </is>
      </c>
      <c r="C3765" s="6" t="inlineStr">
        <is>
          <t>TN</t>
        </is>
      </c>
      <c r="D3765" s="7" t="inlineStr">
        <is>
          <t>TN66R7117</t>
        </is>
      </c>
      <c r="E3765" s="7" t="inlineStr">
        <is>
          <t>HONDA</t>
        </is>
      </c>
      <c r="F3765" s="7" t="inlineStr">
        <is>
          <t>City</t>
        </is>
      </c>
      <c r="G3765" s="7" t="inlineStr">
        <is>
          <t>EXCHANGE ROTN</t>
        </is>
      </c>
      <c r="H3765" s="7" t="inlineStr">
        <is>
          <t>Captive</t>
        </is>
      </c>
      <c r="I3765" s="7" t="inlineStr">
        <is>
          <t>DEERAA CARS</t>
        </is>
      </c>
      <c r="J3765" s="8" t="n">
        <v>2016</v>
      </c>
      <c r="K3765" s="9" t="n">
        <v>86891</v>
      </c>
      <c r="L3765" s="10" t="n">
        <v>535000</v>
      </c>
      <c r="M3765" s="10" t="n">
        <v>21186.44</v>
      </c>
      <c r="N3765" s="11">
        <f>IF(M3765="","",ROUND(M3765*1.18,2))</f>
        <v/>
      </c>
      <c r="O3765" s="12">
        <f>IF(M3765="","",ROUND(N3765-M3765,2))</f>
        <v/>
      </c>
      <c r="P3765" s="13">
        <f>IF(AND(A3765&lt;&gt;"",B3765&lt;&gt;""), A3765&amp;" · "&amp;B3765, "")</f>
        <v/>
      </c>
    </row>
    <row r="3766">
      <c r="A3766" s="6" t="inlineStr">
        <is>
          <t>FY27</t>
        </is>
      </c>
      <c r="B3766" s="6" t="inlineStr">
        <is>
          <t>Aug</t>
        </is>
      </c>
      <c r="C3766" s="6" t="inlineStr">
        <is>
          <t>TN</t>
        </is>
      </c>
      <c r="D3766" s="7" t="inlineStr">
        <is>
          <t>TN66S6219</t>
        </is>
      </c>
      <c r="E3766" s="7" t="inlineStr">
        <is>
          <t>HONDA</t>
        </is>
      </c>
      <c r="F3766" s="7" t="inlineStr">
        <is>
          <t>Jazz</t>
        </is>
      </c>
      <c r="G3766" s="7" t="inlineStr">
        <is>
          <t>EXCHANGE ROTN</t>
        </is>
      </c>
      <c r="H3766" s="7" t="inlineStr">
        <is>
          <t>Captive</t>
        </is>
      </c>
      <c r="I3766" s="7" t="inlineStr">
        <is>
          <t>SRI VIGNESH PRE OWNED CARS</t>
        </is>
      </c>
      <c r="J3766" s="8" t="n">
        <v>2016</v>
      </c>
      <c r="K3766" s="9" t="n">
        <v>96666</v>
      </c>
      <c r="L3766" s="10" t="n">
        <v>370000</v>
      </c>
      <c r="M3766" s="10" t="n">
        <v>8474.58</v>
      </c>
      <c r="N3766" s="11">
        <f>IF(M3766="","",ROUND(M3766*1.18,2))</f>
        <v/>
      </c>
      <c r="O3766" s="12">
        <f>IF(M3766="","",ROUND(N3766-M3766,2))</f>
        <v/>
      </c>
      <c r="P3766" s="13">
        <f>IF(AND(A3766&lt;&gt;"",B3766&lt;&gt;""), A3766&amp;" · "&amp;B3766, "")</f>
        <v/>
      </c>
    </row>
    <row r="3767">
      <c r="A3767" s="6" t="inlineStr">
        <is>
          <t>FY27</t>
        </is>
      </c>
      <c r="B3767" s="6" t="inlineStr">
        <is>
          <t>Aug</t>
        </is>
      </c>
      <c r="C3767" s="6" t="inlineStr">
        <is>
          <t>TN</t>
        </is>
      </c>
      <c r="D3767" s="7" t="inlineStr">
        <is>
          <t>TN66X3474</t>
        </is>
      </c>
      <c r="E3767" s="7" t="inlineStr">
        <is>
          <t>HONDA</t>
        </is>
      </c>
      <c r="F3767" s="7" t="inlineStr">
        <is>
          <t>Jazz</t>
        </is>
      </c>
      <c r="G3767" s="7" t="inlineStr">
        <is>
          <t>EXCHANGE ROTN</t>
        </is>
      </c>
      <c r="H3767" s="7" t="inlineStr">
        <is>
          <t>Captive</t>
        </is>
      </c>
      <c r="I3767" s="7" t="inlineStr">
        <is>
          <t>Vasundhara Cars</t>
        </is>
      </c>
      <c r="J3767" s="8" t="n">
        <v>2017</v>
      </c>
      <c r="K3767" s="9" t="n">
        <v>134535</v>
      </c>
      <c r="L3767" s="10" t="n">
        <v>460000</v>
      </c>
      <c r="M3767" s="10" t="n">
        <v>12711.86</v>
      </c>
      <c r="N3767" s="11">
        <f>IF(M3767="","",ROUND(M3767*1.18,2))</f>
        <v/>
      </c>
      <c r="O3767" s="12">
        <f>IF(M3767="","",ROUND(N3767-M3767,2))</f>
        <v/>
      </c>
      <c r="P3767" s="13">
        <f>IF(AND(A3767&lt;&gt;"",B3767&lt;&gt;""), A3767&amp;" · "&amp;B3767, "")</f>
        <v/>
      </c>
    </row>
    <row r="3768">
      <c r="A3768" s="6" t="inlineStr">
        <is>
          <t>FY27</t>
        </is>
      </c>
      <c r="B3768" s="6" t="inlineStr">
        <is>
          <t>Aug</t>
        </is>
      </c>
      <c r="C3768" s="6" t="inlineStr">
        <is>
          <t>TN</t>
        </is>
      </c>
      <c r="D3768" s="7" t="inlineStr">
        <is>
          <t>TN67BM3460</t>
        </is>
      </c>
      <c r="E3768" s="7" t="inlineStr">
        <is>
          <t>TATA</t>
        </is>
      </c>
      <c r="F3768" s="7" t="inlineStr">
        <is>
          <t>Tiago</t>
        </is>
      </c>
      <c r="G3768" s="7" t="inlineStr">
        <is>
          <t>EXCHANGE ROTN</t>
        </is>
      </c>
      <c r="H3768" s="7" t="inlineStr">
        <is>
          <t>Captive</t>
        </is>
      </c>
      <c r="I3768" s="7" t="inlineStr">
        <is>
          <t>ASHOKAUTOMAX</t>
        </is>
      </c>
      <c r="J3768" s="8" t="n">
        <v>2021</v>
      </c>
      <c r="K3768" s="9" t="n">
        <v>50144</v>
      </c>
      <c r="L3768" s="10" t="n">
        <v>375000</v>
      </c>
      <c r="M3768" s="10" t="n">
        <v>8474.58</v>
      </c>
      <c r="N3768" s="11">
        <f>IF(M3768="","",ROUND(M3768*1.18,2))</f>
        <v/>
      </c>
      <c r="O3768" s="12">
        <f>IF(M3768="","",ROUND(N3768-M3768,2))</f>
        <v/>
      </c>
      <c r="P3768" s="13">
        <f>IF(AND(A3768&lt;&gt;"",B3768&lt;&gt;""), A3768&amp;" · "&amp;B3768, "")</f>
        <v/>
      </c>
    </row>
    <row r="3769">
      <c r="A3769" s="6" t="inlineStr">
        <is>
          <t>FY27</t>
        </is>
      </c>
      <c r="B3769" s="6" t="inlineStr">
        <is>
          <t>Aug</t>
        </is>
      </c>
      <c r="C3769" s="6" t="inlineStr">
        <is>
          <t>TN</t>
        </is>
      </c>
      <c r="D3769" s="7" t="inlineStr">
        <is>
          <t>TN67F7979</t>
        </is>
      </c>
      <c r="E3769" s="7" t="inlineStr">
        <is>
          <t>HONDA</t>
        </is>
      </c>
      <c r="F3769" s="7" t="inlineStr">
        <is>
          <t>Civic</t>
        </is>
      </c>
      <c r="G3769" s="7" t="inlineStr">
        <is>
          <t>EXCHANGE ROTN</t>
        </is>
      </c>
      <c r="H3769" s="7" t="inlineStr">
        <is>
          <t>Captive</t>
        </is>
      </c>
      <c r="I3769" s="7" t="inlineStr">
        <is>
          <t>KSM Auto Consulting</t>
        </is>
      </c>
      <c r="J3769" s="8" t="n">
        <v>2006</v>
      </c>
      <c r="K3769" s="9" t="n">
        <v>108668</v>
      </c>
      <c r="L3769" s="10" t="n">
        <v>180000</v>
      </c>
      <c r="M3769" s="10" t="n">
        <v>12711.86</v>
      </c>
      <c r="N3769" s="11">
        <f>IF(M3769="","",ROUND(M3769*1.18,2))</f>
        <v/>
      </c>
      <c r="O3769" s="12">
        <f>IF(M3769="","",ROUND(N3769-M3769,2))</f>
        <v/>
      </c>
      <c r="P3769" s="13">
        <f>IF(AND(A3769&lt;&gt;"",B3769&lt;&gt;""), A3769&amp;" · "&amp;B3769, "")</f>
        <v/>
      </c>
    </row>
    <row r="3770">
      <c r="A3770" s="6" t="inlineStr">
        <is>
          <t>FY27</t>
        </is>
      </c>
      <c r="B3770" s="6" t="inlineStr">
        <is>
          <t>Aug</t>
        </is>
      </c>
      <c r="C3770" s="6" t="inlineStr">
        <is>
          <t>TN</t>
        </is>
      </c>
      <c r="D3770" s="7" t="inlineStr">
        <is>
          <t>TN68AE2940</t>
        </is>
      </c>
      <c r="E3770" s="7" t="inlineStr">
        <is>
          <t>DATSUN</t>
        </is>
      </c>
      <c r="F3770" s="7" t="inlineStr">
        <is>
          <t>Redi-GO</t>
        </is>
      </c>
      <c r="G3770" s="7" t="inlineStr">
        <is>
          <t>NIRMAL</t>
        </is>
      </c>
      <c r="H3770" s="7" t="inlineStr">
        <is>
          <t>Non-Captive</t>
        </is>
      </c>
      <c r="I3770" s="7" t="inlineStr">
        <is>
          <t>SRI KARUPPAIYA CARS</t>
        </is>
      </c>
      <c r="J3770" s="8" t="n">
        <v>2021</v>
      </c>
      <c r="K3770" s="9" t="n">
        <v>58372</v>
      </c>
      <c r="L3770" s="10" t="n">
        <v>95000</v>
      </c>
      <c r="M3770" s="10" t="n">
        <v>4237.29</v>
      </c>
      <c r="N3770" s="11">
        <f>IF(M3770="","",ROUND(M3770*1.18,2))</f>
        <v/>
      </c>
      <c r="O3770" s="12">
        <f>IF(M3770="","",ROUND(N3770-M3770,2))</f>
        <v/>
      </c>
      <c r="P3770" s="13">
        <f>IF(AND(A3770&lt;&gt;"",B3770&lt;&gt;""), A3770&amp;" · "&amp;B3770, "")</f>
        <v/>
      </c>
    </row>
    <row r="3771">
      <c r="A3771" s="6" t="inlineStr">
        <is>
          <t>FY27</t>
        </is>
      </c>
      <c r="B3771" s="6" t="inlineStr">
        <is>
          <t>Aug</t>
        </is>
      </c>
      <c r="C3771" s="6" t="inlineStr">
        <is>
          <t>TN</t>
        </is>
      </c>
      <c r="D3771" s="7" t="inlineStr">
        <is>
          <t>TN68AF1717</t>
        </is>
      </c>
      <c r="E3771" s="7" t="inlineStr">
        <is>
          <t>HONDA</t>
        </is>
      </c>
      <c r="F3771" s="7" t="inlineStr">
        <is>
          <t>City</t>
        </is>
      </c>
      <c r="G3771" s="7" t="inlineStr">
        <is>
          <t>TAFE ACCESS LIMITED</t>
        </is>
      </c>
      <c r="H3771" s="7" t="inlineStr">
        <is>
          <t>Non-Captive</t>
        </is>
      </c>
      <c r="I3771" s="7" t="inlineStr">
        <is>
          <t>Sivashankar Cars</t>
        </is>
      </c>
      <c r="J3771" s="8" t="n">
        <v>2021</v>
      </c>
      <c r="K3771" s="9" t="n">
        <v>54205</v>
      </c>
      <c r="L3771" s="10" t="n">
        <v>510000</v>
      </c>
      <c r="M3771" s="10" t="n">
        <v>8474.58</v>
      </c>
      <c r="N3771" s="11">
        <f>IF(M3771="","",ROUND(M3771*1.18,2))</f>
        <v/>
      </c>
      <c r="O3771" s="12">
        <f>IF(M3771="","",ROUND(N3771-M3771,2))</f>
        <v/>
      </c>
      <c r="P3771" s="13">
        <f>IF(AND(A3771&lt;&gt;"",B3771&lt;&gt;""), A3771&amp;" · "&amp;B3771, "")</f>
        <v/>
      </c>
    </row>
    <row r="3772">
      <c r="A3772" s="6" t="inlineStr">
        <is>
          <t>FY27</t>
        </is>
      </c>
      <c r="B3772" s="6" t="inlineStr">
        <is>
          <t>Aug</t>
        </is>
      </c>
      <c r="C3772" s="6" t="inlineStr">
        <is>
          <t>TN</t>
        </is>
      </c>
      <c r="D3772" s="7" t="inlineStr">
        <is>
          <t>TN68F0900</t>
        </is>
      </c>
      <c r="E3772" s="7" t="inlineStr">
        <is>
          <t>MARUTI SUZUKI</t>
        </is>
      </c>
      <c r="F3772" s="7" t="inlineStr">
        <is>
          <t>SX4</t>
        </is>
      </c>
      <c r="G3772" s="7" t="inlineStr">
        <is>
          <t>SIVASHANKAR CARS</t>
        </is>
      </c>
      <c r="H3772" s="7" t="inlineStr">
        <is>
          <t>Non-Captive</t>
        </is>
      </c>
      <c r="I3772" s="7" t="inlineStr">
        <is>
          <t>Suganya Cars</t>
        </is>
      </c>
      <c r="J3772" s="8" t="n">
        <v>2012</v>
      </c>
      <c r="K3772" s="9" t="n">
        <v>220215</v>
      </c>
      <c r="L3772" s="10" t="n">
        <v>95000</v>
      </c>
      <c r="M3772" s="10" t="n">
        <v>4237.29</v>
      </c>
      <c r="N3772" s="11">
        <f>IF(M3772="","",ROUND(M3772*1.18,2))</f>
        <v/>
      </c>
      <c r="O3772" s="12">
        <f>IF(M3772="","",ROUND(N3772-M3772,2))</f>
        <v/>
      </c>
      <c r="P3772" s="13">
        <f>IF(AND(A3772&lt;&gt;"",B3772&lt;&gt;""), A3772&amp;" · "&amp;B3772, "")</f>
        <v/>
      </c>
    </row>
    <row r="3773">
      <c r="A3773" s="6" t="inlineStr">
        <is>
          <t>FY27</t>
        </is>
      </c>
      <c r="B3773" s="6" t="inlineStr">
        <is>
          <t>Aug</t>
        </is>
      </c>
      <c r="C3773" s="6" t="inlineStr">
        <is>
          <t>TN</t>
        </is>
      </c>
      <c r="D3773" s="7" t="inlineStr">
        <is>
          <t>TN69AJ5824</t>
        </is>
      </c>
      <c r="E3773" s="7" t="inlineStr">
        <is>
          <t>HONDA</t>
        </is>
      </c>
      <c r="F3773" s="7" t="inlineStr">
        <is>
          <t>Amaze</t>
        </is>
      </c>
      <c r="G3773" s="7" t="inlineStr">
        <is>
          <t>EXCHANGE ROTN</t>
        </is>
      </c>
      <c r="H3773" s="7" t="inlineStr">
        <is>
          <t>Captive</t>
        </is>
      </c>
      <c r="I3773" s="7" t="inlineStr">
        <is>
          <t>Sivashankar Cars</t>
        </is>
      </c>
      <c r="J3773" s="8" t="n">
        <v>2013</v>
      </c>
      <c r="K3773" s="9" t="n">
        <v>138940</v>
      </c>
      <c r="L3773" s="10" t="n">
        <v>220000</v>
      </c>
      <c r="M3773" s="10" t="n">
        <v>12711.86</v>
      </c>
      <c r="N3773" s="11">
        <f>IF(M3773="","",ROUND(M3773*1.18,2))</f>
        <v/>
      </c>
      <c r="O3773" s="12">
        <f>IF(M3773="","",ROUND(N3773-M3773,2))</f>
        <v/>
      </c>
      <c r="P3773" s="13">
        <f>IF(AND(A3773&lt;&gt;"",B3773&lt;&gt;""), A3773&amp;" · "&amp;B3773, "")</f>
        <v/>
      </c>
    </row>
    <row r="3774">
      <c r="A3774" s="6" t="inlineStr">
        <is>
          <t>FY27</t>
        </is>
      </c>
      <c r="B3774" s="6" t="inlineStr">
        <is>
          <t>Aug</t>
        </is>
      </c>
      <c r="C3774" s="6" t="inlineStr">
        <is>
          <t>TN</t>
        </is>
      </c>
      <c r="D3774" s="7" t="inlineStr">
        <is>
          <t>TN69M8488</t>
        </is>
      </c>
      <c r="E3774" s="7" t="inlineStr">
        <is>
          <t>FORD</t>
        </is>
      </c>
      <c r="F3774" s="7" t="inlineStr">
        <is>
          <t>Fiesta</t>
        </is>
      </c>
      <c r="G3774" s="7" t="inlineStr">
        <is>
          <t>SIVA AUTOMOTIVE TRADING PRIVATE LIMITED</t>
        </is>
      </c>
      <c r="H3774" s="7" t="inlineStr">
        <is>
          <t>Non-Captive</t>
        </is>
      </c>
      <c r="I3774" s="7" t="inlineStr">
        <is>
          <t>Thirumalai Cars (Madurai</t>
        </is>
      </c>
      <c r="J3774" s="8" t="n">
        <v>2008</v>
      </c>
      <c r="K3774" s="9" t="n">
        <v>177000</v>
      </c>
      <c r="L3774" s="10" t="n">
        <v>70000</v>
      </c>
      <c r="M3774" s="10" t="n">
        <v>4237.29</v>
      </c>
      <c r="N3774" s="11">
        <f>IF(M3774="","",ROUND(M3774*1.18,2))</f>
        <v/>
      </c>
      <c r="O3774" s="12">
        <f>IF(M3774="","",ROUND(N3774-M3774,2))</f>
        <v/>
      </c>
      <c r="P3774" s="13">
        <f>IF(AND(A3774&lt;&gt;"",B3774&lt;&gt;""), A3774&amp;" · "&amp;B3774, "")</f>
        <v/>
      </c>
    </row>
    <row r="3775">
      <c r="A3775" s="6" t="inlineStr">
        <is>
          <t>FY27</t>
        </is>
      </c>
      <c r="B3775" s="6" t="inlineStr">
        <is>
          <t>Aug</t>
        </is>
      </c>
      <c r="C3775" s="6" t="inlineStr">
        <is>
          <t>TN</t>
        </is>
      </c>
      <c r="D3775" s="7" t="inlineStr">
        <is>
          <t>TN70F9594</t>
        </is>
      </c>
      <c r="E3775" s="7" t="inlineStr">
        <is>
          <t>HYUNDAI</t>
        </is>
      </c>
      <c r="F3775" s="7" t="inlineStr">
        <is>
          <t>Eon</t>
        </is>
      </c>
      <c r="G3775" s="7" t="inlineStr">
        <is>
          <t>PRODUCTIVITY ELEMENTS PRIVATE LIMITED</t>
        </is>
      </c>
      <c r="H3775" s="7" t="inlineStr">
        <is>
          <t>Non-Captive</t>
        </is>
      </c>
      <c r="I3775" s="7" t="inlineStr">
        <is>
          <t>Thiyagarajan Raja Cars</t>
        </is>
      </c>
      <c r="J3775" s="8" t="n">
        <v>2012</v>
      </c>
      <c r="K3775" s="9" t="n">
        <v>104464</v>
      </c>
      <c r="L3775" s="10" t="n">
        <v>95000</v>
      </c>
      <c r="M3775" s="10" t="n">
        <v>2542.37</v>
      </c>
      <c r="N3775" s="11">
        <f>IF(M3775="","",ROUND(M3775*1.18,2))</f>
        <v/>
      </c>
      <c r="O3775" s="12">
        <f>IF(M3775="","",ROUND(N3775-M3775,2))</f>
        <v/>
      </c>
      <c r="P3775" s="13">
        <f>IF(AND(A3775&lt;&gt;"",B3775&lt;&gt;""), A3775&amp;" · "&amp;B3775, "")</f>
        <v/>
      </c>
    </row>
    <row r="3776">
      <c r="A3776" s="6" t="inlineStr">
        <is>
          <t>FY27</t>
        </is>
      </c>
      <c r="B3776" s="6" t="inlineStr">
        <is>
          <t>Aug</t>
        </is>
      </c>
      <c r="C3776" s="6" t="inlineStr">
        <is>
          <t>TN</t>
        </is>
      </c>
      <c r="D3776" s="7" t="inlineStr">
        <is>
          <t>TN70K7943</t>
        </is>
      </c>
      <c r="E3776" s="7" t="inlineStr">
        <is>
          <t>MARUTI SUZUKI</t>
        </is>
      </c>
      <c r="F3776" s="7" t="inlineStr">
        <is>
          <t>Swift</t>
        </is>
      </c>
      <c r="G3776" s="7" t="inlineStr">
        <is>
          <t>NIRMAL</t>
        </is>
      </c>
      <c r="H3776" s="7" t="inlineStr">
        <is>
          <t>Non-Captive</t>
        </is>
      </c>
      <c r="I3776" s="7" t="inlineStr">
        <is>
          <t>Maruthi Industries</t>
        </is>
      </c>
      <c r="J3776" s="8" t="n">
        <v>2013</v>
      </c>
      <c r="K3776" s="9" t="n">
        <v>130813</v>
      </c>
      <c r="L3776" s="10" t="n">
        <v>180000</v>
      </c>
      <c r="M3776" s="10" t="n">
        <v>5084.75</v>
      </c>
      <c r="N3776" s="11">
        <f>IF(M3776="","",ROUND(M3776*1.18,2))</f>
        <v/>
      </c>
      <c r="O3776" s="12">
        <f>IF(M3776="","",ROUND(N3776-M3776,2))</f>
        <v/>
      </c>
      <c r="P3776" s="13">
        <f>IF(AND(A3776&lt;&gt;"",B3776&lt;&gt;""), A3776&amp;" · "&amp;B3776, "")</f>
        <v/>
      </c>
    </row>
    <row r="3777">
      <c r="A3777" s="6" t="inlineStr">
        <is>
          <t>FY27</t>
        </is>
      </c>
      <c r="B3777" s="6" t="inlineStr">
        <is>
          <t>Aug</t>
        </is>
      </c>
      <c r="C3777" s="6" t="inlineStr">
        <is>
          <t>TN</t>
        </is>
      </c>
      <c r="D3777" s="7" t="inlineStr">
        <is>
          <t>TN730095</t>
        </is>
      </c>
      <c r="E3777" s="7" t="inlineStr">
        <is>
          <t>MARUTI SUZUKI</t>
        </is>
      </c>
      <c r="F3777" s="7" t="inlineStr">
        <is>
          <t>Swift</t>
        </is>
      </c>
      <c r="G3777" s="7" t="inlineStr">
        <is>
          <t>&lt;NA&gt;</t>
        </is>
      </c>
      <c r="H3777" s="7" t="inlineStr">
        <is>
          <t>Non-Captive</t>
        </is>
      </c>
      <c r="I3777" s="7" t="inlineStr">
        <is>
          <t>AS CARS</t>
        </is>
      </c>
      <c r="J3777" s="8" t="n"/>
      <c r="K3777" s="9" t="n">
        <v>226936</v>
      </c>
      <c r="L3777" s="10" t="n">
        <v>234000</v>
      </c>
      <c r="M3777" s="10" t="n">
        <v>5084.75</v>
      </c>
      <c r="N3777" s="11">
        <f>IF(M3777="","",ROUND(M3777*1.18,2))</f>
        <v/>
      </c>
      <c r="O3777" s="12">
        <f>IF(M3777="","",ROUND(N3777-M3777,2))</f>
        <v/>
      </c>
      <c r="P3777" s="13">
        <f>IF(AND(A3777&lt;&gt;"",B3777&lt;&gt;""), A3777&amp;" · "&amp;B3777, "")</f>
        <v/>
      </c>
    </row>
    <row r="3778">
      <c r="A3778" s="6" t="inlineStr">
        <is>
          <t>FY27</t>
        </is>
      </c>
      <c r="B3778" s="6" t="inlineStr">
        <is>
          <t>Aug</t>
        </is>
      </c>
      <c r="C3778" s="6" t="inlineStr">
        <is>
          <t>TN</t>
        </is>
      </c>
      <c r="D3778" s="7" t="inlineStr">
        <is>
          <t>TN73AW2102</t>
        </is>
      </c>
      <c r="E3778" s="7" t="inlineStr">
        <is>
          <t>MARUTI SUZUKI</t>
        </is>
      </c>
      <c r="F3778" s="7" t="inlineStr">
        <is>
          <t>Wagon R</t>
        </is>
      </c>
      <c r="G3778" s="7" t="inlineStr">
        <is>
          <t>CASTLE TRADERS MARUTI</t>
        </is>
      </c>
      <c r="H3778" s="7" t="inlineStr">
        <is>
          <t>Non-Captive</t>
        </is>
      </c>
      <c r="I3778" s="7" t="inlineStr">
        <is>
          <t>LANSON QCARS PRIVATE LIMITED</t>
        </is>
      </c>
      <c r="J3778" s="8" t="n">
        <v>2021</v>
      </c>
      <c r="K3778" s="9" t="n">
        <v>98665</v>
      </c>
      <c r="L3778" s="10" t="n">
        <v>370000</v>
      </c>
      <c r="M3778" s="10" t="n">
        <v>4237.29</v>
      </c>
      <c r="N3778" s="11">
        <f>IF(M3778="","",ROUND(M3778*1.18,2))</f>
        <v/>
      </c>
      <c r="O3778" s="12">
        <f>IF(M3778="","",ROUND(N3778-M3778,2))</f>
        <v/>
      </c>
      <c r="P3778" s="13">
        <f>IF(AND(A3778&lt;&gt;"",B3778&lt;&gt;""), A3778&amp;" · "&amp;B3778, "")</f>
        <v/>
      </c>
    </row>
    <row r="3779">
      <c r="A3779" s="6" t="inlineStr">
        <is>
          <t>FY27</t>
        </is>
      </c>
      <c r="B3779" s="6" t="inlineStr">
        <is>
          <t>Aug</t>
        </is>
      </c>
      <c r="C3779" s="6" t="inlineStr">
        <is>
          <t>TN</t>
        </is>
      </c>
      <c r="D3779" s="7" t="inlineStr">
        <is>
          <t>TN73V0970</t>
        </is>
      </c>
      <c r="E3779" s="7" t="inlineStr">
        <is>
          <t>MARUTI SUZUKI</t>
        </is>
      </c>
      <c r="F3779" s="7" t="inlineStr">
        <is>
          <t>Zen</t>
        </is>
      </c>
      <c r="G3779" s="7" t="inlineStr">
        <is>
          <t>CARS INDIA</t>
        </is>
      </c>
      <c r="H3779" s="7" t="inlineStr">
        <is>
          <t>Non-Captive</t>
        </is>
      </c>
      <c r="I3779" s="7" t="inlineStr">
        <is>
          <t>S2 MOTORZ</t>
        </is>
      </c>
      <c r="J3779" s="8" t="n">
        <v>2013</v>
      </c>
      <c r="K3779" s="9" t="n">
        <v>138806</v>
      </c>
      <c r="L3779" s="10" t="n">
        <v>99000</v>
      </c>
      <c r="M3779" s="10" t="n">
        <v>4237.29</v>
      </c>
      <c r="N3779" s="11">
        <f>IF(M3779="","",ROUND(M3779*1.18,2))</f>
        <v/>
      </c>
      <c r="O3779" s="12">
        <f>IF(M3779="","",ROUND(N3779-M3779,2))</f>
        <v/>
      </c>
      <c r="P3779" s="13">
        <f>IF(AND(A3779&lt;&gt;"",B3779&lt;&gt;""), A3779&amp;" · "&amp;B3779, "")</f>
        <v/>
      </c>
    </row>
    <row r="3780">
      <c r="A3780" s="6" t="inlineStr">
        <is>
          <t>FY27</t>
        </is>
      </c>
      <c r="B3780" s="6" t="inlineStr">
        <is>
          <t>Aug</t>
        </is>
      </c>
      <c r="C3780" s="6" t="inlineStr">
        <is>
          <t>TN</t>
        </is>
      </c>
      <c r="D3780" s="7" t="inlineStr">
        <is>
          <t>TN77E1399</t>
        </is>
      </c>
      <c r="E3780" s="7" t="inlineStr">
        <is>
          <t>HONDA</t>
        </is>
      </c>
      <c r="F3780" s="7" t="inlineStr">
        <is>
          <t>Amaze</t>
        </is>
      </c>
      <c r="G3780" s="7" t="inlineStr">
        <is>
          <t>EXCHANGE ROTN</t>
        </is>
      </c>
      <c r="H3780" s="7" t="inlineStr">
        <is>
          <t>Captive</t>
        </is>
      </c>
      <c r="I3780" s="7" t="inlineStr">
        <is>
          <t>Hasini Cars</t>
        </is>
      </c>
      <c r="J3780" s="8" t="n">
        <v>2014</v>
      </c>
      <c r="K3780" s="9" t="n">
        <v>297067</v>
      </c>
      <c r="L3780" s="10" t="n">
        <v>230000</v>
      </c>
      <c r="M3780" s="10" t="n">
        <v>4237.29</v>
      </c>
      <c r="N3780" s="11">
        <f>IF(M3780="","",ROUND(M3780*1.18,2))</f>
        <v/>
      </c>
      <c r="O3780" s="12">
        <f>IF(M3780="","",ROUND(N3780-M3780,2))</f>
        <v/>
      </c>
      <c r="P3780" s="13">
        <f>IF(AND(A3780&lt;&gt;"",B3780&lt;&gt;""), A3780&amp;" · "&amp;B3780, "")</f>
        <v/>
      </c>
    </row>
    <row r="3781">
      <c r="A3781" s="6" t="inlineStr">
        <is>
          <t>FY27</t>
        </is>
      </c>
      <c r="B3781" s="6" t="inlineStr">
        <is>
          <t>Aug</t>
        </is>
      </c>
      <c r="C3781" s="6" t="inlineStr">
        <is>
          <t>TN</t>
        </is>
      </c>
      <c r="D3781" s="7" t="inlineStr">
        <is>
          <t>TN78MA7826</t>
        </is>
      </c>
      <c r="E3781" s="7" t="inlineStr">
        <is>
          <t>KIA</t>
        </is>
      </c>
      <c r="F3781" s="7" t="inlineStr">
        <is>
          <t>Sonet</t>
        </is>
      </c>
      <c r="G3781" s="7" t="inlineStr">
        <is>
          <t>EXCHANGE ROTN</t>
        </is>
      </c>
      <c r="H3781" s="7" t="inlineStr">
        <is>
          <t>Captive</t>
        </is>
      </c>
      <c r="I3781" s="7" t="inlineStr">
        <is>
          <t>Sai Cars</t>
        </is>
      </c>
      <c r="J3781" s="8" t="n">
        <v>2022</v>
      </c>
      <c r="K3781" s="9" t="n">
        <v>52474</v>
      </c>
      <c r="L3781" s="10" t="n">
        <v>660000</v>
      </c>
      <c r="M3781" s="10" t="n">
        <v>12711.86</v>
      </c>
      <c r="N3781" s="11">
        <f>IF(M3781="","",ROUND(M3781*1.18,2))</f>
        <v/>
      </c>
      <c r="O3781" s="12">
        <f>IF(M3781="","",ROUND(N3781-M3781,2))</f>
        <v/>
      </c>
      <c r="P3781" s="13">
        <f>IF(AND(A3781&lt;&gt;"",B3781&lt;&gt;""), A3781&amp;" · "&amp;B3781, "")</f>
        <v/>
      </c>
    </row>
    <row r="3782">
      <c r="A3782" s="6" t="inlineStr">
        <is>
          <t>FY27</t>
        </is>
      </c>
      <c r="B3782" s="6" t="inlineStr">
        <is>
          <t>Aug</t>
        </is>
      </c>
      <c r="C3782" s="6" t="inlineStr">
        <is>
          <t>TN</t>
        </is>
      </c>
      <c r="D3782" s="7" t="inlineStr">
        <is>
          <t>TN81D4167</t>
        </is>
      </c>
      <c r="E3782" s="7" t="inlineStr">
        <is>
          <t>MARUTI SUZUKI</t>
        </is>
      </c>
      <c r="F3782" s="7" t="inlineStr">
        <is>
          <t>Wagon R</t>
        </is>
      </c>
      <c r="G3782" s="7" t="inlineStr">
        <is>
          <t>PLA MOTORS</t>
        </is>
      </c>
      <c r="H3782" s="7" t="inlineStr">
        <is>
          <t>Non-Captive</t>
        </is>
      </c>
      <c r="I3782" s="7" t="inlineStr">
        <is>
          <t>Aswin Cars</t>
        </is>
      </c>
      <c r="J3782" s="8" t="n">
        <v>2018</v>
      </c>
      <c r="K3782" s="9" t="n">
        <v>40653</v>
      </c>
      <c r="L3782" s="10" t="n">
        <v>363000</v>
      </c>
      <c r="M3782" s="10" t="n">
        <v>10169.49</v>
      </c>
      <c r="N3782" s="11">
        <f>IF(M3782="","",ROUND(M3782*1.18,2))</f>
        <v/>
      </c>
      <c r="O3782" s="12">
        <f>IF(M3782="","",ROUND(N3782-M3782,2))</f>
        <v/>
      </c>
      <c r="P3782" s="13">
        <f>IF(AND(A3782&lt;&gt;"",B3782&lt;&gt;""), A3782&amp;" · "&amp;B3782, "")</f>
        <v/>
      </c>
    </row>
    <row r="3783">
      <c r="A3783" s="6" t="inlineStr">
        <is>
          <t>FY27</t>
        </is>
      </c>
      <c r="B3783" s="6" t="inlineStr">
        <is>
          <t>Aug</t>
        </is>
      </c>
      <c r="C3783" s="6" t="inlineStr">
        <is>
          <t>TN</t>
        </is>
      </c>
      <c r="D3783" s="7" t="inlineStr">
        <is>
          <t>TN82X9077</t>
        </is>
      </c>
      <c r="E3783" s="7" t="inlineStr">
        <is>
          <t>MARUTI SUZUKI</t>
        </is>
      </c>
      <c r="F3783" s="7" t="inlineStr">
        <is>
          <t>Alto 800</t>
        </is>
      </c>
      <c r="G3783" s="7" t="inlineStr">
        <is>
          <t>CRESCO CARS</t>
        </is>
      </c>
      <c r="H3783" s="7" t="inlineStr">
        <is>
          <t>Non-Captive</t>
        </is>
      </c>
      <c r="I3783" s="7" t="inlineStr">
        <is>
          <t>Senthur Cars</t>
        </is>
      </c>
      <c r="J3783" s="8" t="n">
        <v>2018</v>
      </c>
      <c r="K3783" s="9" t="n">
        <v>69936</v>
      </c>
      <c r="L3783" s="10" t="n">
        <v>96000</v>
      </c>
      <c r="M3783" s="10" t="n">
        <v>4237.29</v>
      </c>
      <c r="N3783" s="11">
        <f>IF(M3783="","",ROUND(M3783*1.18,2))</f>
        <v/>
      </c>
      <c r="O3783" s="12">
        <f>IF(M3783="","",ROUND(N3783-M3783,2))</f>
        <v/>
      </c>
      <c r="P3783" s="13">
        <f>IF(AND(A3783&lt;&gt;"",B3783&lt;&gt;""), A3783&amp;" · "&amp;B3783, "")</f>
        <v/>
      </c>
    </row>
    <row r="3784">
      <c r="A3784" s="6" t="inlineStr">
        <is>
          <t>FY27</t>
        </is>
      </c>
      <c r="B3784" s="6" t="inlineStr">
        <is>
          <t>Aug</t>
        </is>
      </c>
      <c r="C3784" s="6" t="inlineStr">
        <is>
          <t>TN</t>
        </is>
      </c>
      <c r="D3784" s="7" t="inlineStr">
        <is>
          <t>TN84Z5580</t>
        </is>
      </c>
      <c r="E3784" s="7" t="inlineStr">
        <is>
          <t>MARUTI SUZUKI</t>
        </is>
      </c>
      <c r="F3784" s="7" t="inlineStr">
        <is>
          <t>Ritz</t>
        </is>
      </c>
      <c r="G3784" s="7" t="inlineStr">
        <is>
          <t>RAJALAKSHMI CARS</t>
        </is>
      </c>
      <c r="H3784" s="7" t="inlineStr">
        <is>
          <t>Non-Captive</t>
        </is>
      </c>
      <c r="I3784" s="7" t="inlineStr">
        <is>
          <t>Senthil Cars</t>
        </is>
      </c>
      <c r="J3784" s="8" t="n">
        <v>2013</v>
      </c>
      <c r="K3784" s="9" t="n">
        <v>102430</v>
      </c>
      <c r="L3784" s="10" t="n">
        <v>100000</v>
      </c>
      <c r="M3784" s="10" t="n">
        <v>4237.29</v>
      </c>
      <c r="N3784" s="11">
        <f>IF(M3784="","",ROUND(M3784*1.18,2))</f>
        <v/>
      </c>
      <c r="O3784" s="12">
        <f>IF(M3784="","",ROUND(N3784-M3784,2))</f>
        <v/>
      </c>
      <c r="P3784" s="13">
        <f>IF(AND(A3784&lt;&gt;"",B3784&lt;&gt;""), A3784&amp;" · "&amp;B3784, "")</f>
        <v/>
      </c>
    </row>
    <row r="3785">
      <c r="A3785" s="6" t="inlineStr">
        <is>
          <t>FY27</t>
        </is>
      </c>
      <c r="B3785" s="6" t="inlineStr">
        <is>
          <t>Aug</t>
        </is>
      </c>
      <c r="C3785" s="6" t="inlineStr">
        <is>
          <t>TN</t>
        </is>
      </c>
      <c r="D3785" s="7" t="inlineStr">
        <is>
          <t>TN85Z3724</t>
        </is>
      </c>
      <c r="E3785" s="7" t="inlineStr">
        <is>
          <t>HYUNDAI</t>
        </is>
      </c>
      <c r="F3785" s="7" t="inlineStr">
        <is>
          <t>i10</t>
        </is>
      </c>
      <c r="G3785" s="7" t="inlineStr">
        <is>
          <t>CASTLE TRADERS MARUTI</t>
        </is>
      </c>
      <c r="H3785" s="7" t="inlineStr">
        <is>
          <t>Non-Captive</t>
        </is>
      </c>
      <c r="I3785" s="7" t="inlineStr">
        <is>
          <t>Pine Autos</t>
        </is>
      </c>
      <c r="J3785" s="8" t="n">
        <v>2026</v>
      </c>
      <c r="K3785" s="9" t="n">
        <v>8524</v>
      </c>
      <c r="L3785" s="10" t="n">
        <v>95000</v>
      </c>
      <c r="M3785" s="10" t="n">
        <v>2542.37</v>
      </c>
      <c r="N3785" s="11">
        <f>IF(M3785="","",ROUND(M3785*1.18,2))</f>
        <v/>
      </c>
      <c r="O3785" s="12">
        <f>IF(M3785="","",ROUND(N3785-M3785,2))</f>
        <v/>
      </c>
      <c r="P3785" s="13">
        <f>IF(AND(A3785&lt;&gt;"",B3785&lt;&gt;""), A3785&amp;" · "&amp;B3785, "")</f>
        <v/>
      </c>
    </row>
    <row r="3786">
      <c r="A3786" s="6" t="inlineStr">
        <is>
          <t>FY27</t>
        </is>
      </c>
      <c r="B3786" s="6" t="inlineStr">
        <is>
          <t>Aug</t>
        </is>
      </c>
      <c r="C3786" s="6" t="inlineStr">
        <is>
          <t>TN</t>
        </is>
      </c>
      <c r="D3786" s="7" t="inlineStr">
        <is>
          <t>TN87A7056</t>
        </is>
      </c>
      <c r="E3786" s="7" t="inlineStr">
        <is>
          <t>NISSAN</t>
        </is>
      </c>
      <c r="F3786" s="7" t="inlineStr">
        <is>
          <t>Kicks</t>
        </is>
      </c>
      <c r="G3786" s="7" t="inlineStr">
        <is>
          <t>&lt;NA&gt;</t>
        </is>
      </c>
      <c r="H3786" s="7" t="inlineStr">
        <is>
          <t>Non-Captive</t>
        </is>
      </c>
      <c r="I3786" s="7" t="inlineStr">
        <is>
          <t>SRI KARUPPAIYA CARS</t>
        </is>
      </c>
      <c r="J3786" s="8" t="n">
        <v>2018</v>
      </c>
      <c r="K3786" s="9" t="n">
        <v>99999</v>
      </c>
      <c r="L3786" s="10" t="n">
        <v>330000</v>
      </c>
      <c r="M3786" s="10" t="n">
        <v>7627.12</v>
      </c>
      <c r="N3786" s="11">
        <f>IF(M3786="","",ROUND(M3786*1.18,2))</f>
        <v/>
      </c>
      <c r="O3786" s="12">
        <f>IF(M3786="","",ROUND(N3786-M3786,2))</f>
        <v/>
      </c>
      <c r="P3786" s="13">
        <f>IF(AND(A3786&lt;&gt;"",B3786&lt;&gt;""), A3786&amp;" · "&amp;B3786, "")</f>
        <v/>
      </c>
    </row>
    <row r="3787">
      <c r="A3787" s="6" t="inlineStr">
        <is>
          <t>FY27</t>
        </is>
      </c>
      <c r="B3787" s="6" t="inlineStr">
        <is>
          <t>Aug</t>
        </is>
      </c>
      <c r="C3787" s="6" t="inlineStr">
        <is>
          <t>TN</t>
        </is>
      </c>
      <c r="D3787" s="7" t="inlineStr">
        <is>
          <t>TN87B2176</t>
        </is>
      </c>
      <c r="E3787" s="7" t="inlineStr">
        <is>
          <t>NISSAN</t>
        </is>
      </c>
      <c r="F3787" s="7" t="inlineStr">
        <is>
          <t>Kicks</t>
        </is>
      </c>
      <c r="G3787" s="7" t="inlineStr">
        <is>
          <t>&lt;NA&gt;</t>
        </is>
      </c>
      <c r="H3787" s="7" t="inlineStr">
        <is>
          <t>Non-Captive</t>
        </is>
      </c>
      <c r="I3787" s="7" t="inlineStr">
        <is>
          <t>SRI KARUPPAIYA CARS</t>
        </is>
      </c>
      <c r="J3787" s="8" t="n">
        <v>2018</v>
      </c>
      <c r="K3787" s="9" t="n">
        <v>110723</v>
      </c>
      <c r="L3787" s="10" t="n">
        <v>330000</v>
      </c>
      <c r="M3787" s="10" t="n">
        <v>7627.12</v>
      </c>
      <c r="N3787" s="11">
        <f>IF(M3787="","",ROUND(M3787*1.18,2))</f>
        <v/>
      </c>
      <c r="O3787" s="12">
        <f>IF(M3787="","",ROUND(N3787-M3787,2))</f>
        <v/>
      </c>
      <c r="P3787" s="13">
        <f>IF(AND(A3787&lt;&gt;"",B3787&lt;&gt;""), A3787&amp;" · "&amp;B3787, "")</f>
        <v/>
      </c>
    </row>
    <row r="3788">
      <c r="A3788" s="6" t="inlineStr">
        <is>
          <t>FY27</t>
        </is>
      </c>
      <c r="B3788" s="6" t="inlineStr">
        <is>
          <t>Aug</t>
        </is>
      </c>
      <c r="C3788" s="6" t="inlineStr">
        <is>
          <t>TN</t>
        </is>
      </c>
      <c r="D3788" s="7" t="inlineStr">
        <is>
          <t>TN87B5558</t>
        </is>
      </c>
      <c r="E3788" s="7" t="inlineStr">
        <is>
          <t>NISSAN</t>
        </is>
      </c>
      <c r="F3788" s="7" t="inlineStr">
        <is>
          <t>Kicks</t>
        </is>
      </c>
      <c r="G3788" s="7" t="inlineStr">
        <is>
          <t>&lt;NA&gt;</t>
        </is>
      </c>
      <c r="H3788" s="7" t="inlineStr">
        <is>
          <t>Non-Captive</t>
        </is>
      </c>
      <c r="I3788" s="7" t="inlineStr">
        <is>
          <t>SRI KARUPPAIYA CARS</t>
        </is>
      </c>
      <c r="J3788" s="8" t="n">
        <v>2019</v>
      </c>
      <c r="K3788" s="9" t="n">
        <v>99999</v>
      </c>
      <c r="L3788" s="10" t="n">
        <v>275000</v>
      </c>
      <c r="M3788" s="10" t="n">
        <v>7627.12</v>
      </c>
      <c r="N3788" s="11">
        <f>IF(M3788="","",ROUND(M3788*1.18,2))</f>
        <v/>
      </c>
      <c r="O3788" s="12">
        <f>IF(M3788="","",ROUND(N3788-M3788,2))</f>
        <v/>
      </c>
      <c r="P3788" s="13">
        <f>IF(AND(A3788&lt;&gt;"",B3788&lt;&gt;""), A3788&amp;" · "&amp;B3788, "")</f>
        <v/>
      </c>
    </row>
    <row r="3789">
      <c r="A3789" s="6" t="inlineStr">
        <is>
          <t>FY27</t>
        </is>
      </c>
      <c r="B3789" s="6" t="inlineStr">
        <is>
          <t>Aug</t>
        </is>
      </c>
      <c r="C3789" s="6" t="inlineStr">
        <is>
          <t>TN</t>
        </is>
      </c>
      <c r="D3789" s="7" t="inlineStr">
        <is>
          <t>TN87F0705</t>
        </is>
      </c>
      <c r="E3789" s="7" t="inlineStr">
        <is>
          <t>MARUTI SUZUKI</t>
        </is>
      </c>
      <c r="F3789" s="7" t="inlineStr">
        <is>
          <t>Ignis</t>
        </is>
      </c>
      <c r="G3789" s="7" t="inlineStr">
        <is>
          <t>CASTLE TRADERS MARUTI</t>
        </is>
      </c>
      <c r="H3789" s="7" t="inlineStr">
        <is>
          <t>Non-Captive</t>
        </is>
      </c>
      <c r="I3789" s="7" t="inlineStr">
        <is>
          <t>Value Drive Tech</t>
        </is>
      </c>
      <c r="J3789" s="8" t="n">
        <v>2023</v>
      </c>
      <c r="K3789" s="9" t="n">
        <v>57804</v>
      </c>
      <c r="L3789" s="10" t="n">
        <v>493000</v>
      </c>
      <c r="M3789" s="10" t="n">
        <v>5084.75</v>
      </c>
      <c r="N3789" s="11">
        <f>IF(M3789="","",ROUND(M3789*1.18,2))</f>
        <v/>
      </c>
      <c r="O3789" s="12">
        <f>IF(M3789="","",ROUND(N3789-M3789,2))</f>
        <v/>
      </c>
      <c r="P3789" s="13">
        <f>IF(AND(A3789&lt;&gt;"",B3789&lt;&gt;""), A3789&amp;" · "&amp;B3789, "")</f>
        <v/>
      </c>
    </row>
    <row r="3790">
      <c r="A3790" s="6" t="inlineStr">
        <is>
          <t>FY27</t>
        </is>
      </c>
      <c r="B3790" s="6" t="inlineStr">
        <is>
          <t>Aug</t>
        </is>
      </c>
      <c r="C3790" s="6" t="inlineStr">
        <is>
          <t>TN</t>
        </is>
      </c>
      <c r="D3790" s="7" t="inlineStr">
        <is>
          <t>TN91A2693</t>
        </is>
      </c>
      <c r="E3790" s="7" t="inlineStr">
        <is>
          <t>HONDA</t>
        </is>
      </c>
      <c r="F3790" s="7" t="inlineStr">
        <is>
          <t>Amaze</t>
        </is>
      </c>
      <c r="G3790" s="7" t="inlineStr">
        <is>
          <t>EXCHANGE CHENNAI</t>
        </is>
      </c>
      <c r="H3790" s="7" t="inlineStr">
        <is>
          <t>Captive</t>
        </is>
      </c>
      <c r="I3790" s="7" t="inlineStr">
        <is>
          <t>Santhosh Cars</t>
        </is>
      </c>
      <c r="J3790" s="8" t="n">
        <v>2015</v>
      </c>
      <c r="K3790" s="9" t="n">
        <v>160036</v>
      </c>
      <c r="L3790" s="10" t="n">
        <v>170000</v>
      </c>
      <c r="M3790" s="10" t="n">
        <v>8474.58</v>
      </c>
      <c r="N3790" s="11">
        <f>IF(M3790="","",ROUND(M3790*1.18,2))</f>
        <v/>
      </c>
      <c r="O3790" s="12">
        <f>IF(M3790="","",ROUND(N3790-M3790,2))</f>
        <v/>
      </c>
      <c r="P3790" s="13">
        <f>IF(AND(A3790&lt;&gt;"",B3790&lt;&gt;""), A3790&amp;" · "&amp;B3790, "")</f>
        <v/>
      </c>
    </row>
    <row r="3791">
      <c r="A3791" s="6" t="inlineStr">
        <is>
          <t>FY27</t>
        </is>
      </c>
      <c r="B3791" s="6" t="inlineStr">
        <is>
          <t>Aug</t>
        </is>
      </c>
      <c r="C3791" s="6" t="inlineStr">
        <is>
          <t>TN</t>
        </is>
      </c>
      <c r="D3791" s="7" t="inlineStr">
        <is>
          <t>TN97W4974</t>
        </is>
      </c>
      <c r="E3791" s="7" t="inlineStr">
        <is>
          <t>MARUTI SUZUKI</t>
        </is>
      </c>
      <c r="F3791" s="7" t="inlineStr">
        <is>
          <t>Celerio</t>
        </is>
      </c>
      <c r="G3791" s="7" t="inlineStr">
        <is>
          <t>CARS INDIA</t>
        </is>
      </c>
      <c r="H3791" s="7" t="inlineStr">
        <is>
          <t>Non-Captive</t>
        </is>
      </c>
      <c r="I3791" s="7" t="inlineStr">
        <is>
          <t>Grid 33</t>
        </is>
      </c>
      <c r="J3791" s="8" t="n">
        <v>2022</v>
      </c>
      <c r="K3791" s="9" t="n">
        <v>32236</v>
      </c>
      <c r="L3791" s="10" t="n">
        <v>940000</v>
      </c>
      <c r="M3791" s="10" t="n">
        <v>4237.29</v>
      </c>
      <c r="N3791" s="11">
        <f>IF(M3791="","",ROUND(M3791*1.18,2))</f>
        <v/>
      </c>
      <c r="O3791" s="12">
        <f>IF(M3791="","",ROUND(N3791-M3791,2))</f>
        <v/>
      </c>
      <c r="P3791" s="13">
        <f>IF(AND(A3791&lt;&gt;"",B3791&lt;&gt;""), A3791&amp;" · "&amp;B3791, "")</f>
        <v/>
      </c>
    </row>
    <row r="3792">
      <c r="A3792" s="6" t="inlineStr">
        <is>
          <t>FY27</t>
        </is>
      </c>
      <c r="B3792" s="6" t="inlineStr">
        <is>
          <t>Aug</t>
        </is>
      </c>
      <c r="C3792" s="6" t="inlineStr">
        <is>
          <t>TN</t>
        </is>
      </c>
      <c r="D3792" s="7" t="inlineStr">
        <is>
          <t>TN99E1109</t>
        </is>
      </c>
      <c r="E3792" s="7" t="inlineStr">
        <is>
          <t>CHEVROLET</t>
        </is>
      </c>
      <c r="F3792" s="7" t="inlineStr">
        <is>
          <t>Beat</t>
        </is>
      </c>
      <c r="G3792" s="7" t="inlineStr">
        <is>
          <t>LANSON QCARS PRIVATE LIMITED</t>
        </is>
      </c>
      <c r="H3792" s="7" t="inlineStr">
        <is>
          <t>Non-Captive</t>
        </is>
      </c>
      <c r="I3792" s="7" t="inlineStr">
        <is>
          <t>Nirmal Cars</t>
        </is>
      </c>
      <c r="J3792" s="8" t="n">
        <v>2015</v>
      </c>
      <c r="K3792" s="9" t="n">
        <v>93860</v>
      </c>
      <c r="L3792" s="10" t="n">
        <v>89000</v>
      </c>
      <c r="M3792" s="10" t="n">
        <v>2542.37</v>
      </c>
      <c r="N3792" s="11">
        <f>IF(M3792="","",ROUND(M3792*1.18,2))</f>
        <v/>
      </c>
      <c r="O3792" s="12">
        <f>IF(M3792="","",ROUND(N3792-M3792,2))</f>
        <v/>
      </c>
      <c r="P3792" s="13">
        <f>IF(AND(A3792&lt;&gt;"",B3792&lt;&gt;""), A3792&amp;" · "&amp;B3792, "")</f>
        <v/>
      </c>
    </row>
    <row r="3793">
      <c r="A3793" s="6" t="inlineStr">
        <is>
          <t>FY27</t>
        </is>
      </c>
      <c r="B3793" s="6" t="inlineStr">
        <is>
          <t>Sep</t>
        </is>
      </c>
      <c r="C3793" s="6" t="inlineStr">
        <is>
          <t>AP/TS</t>
        </is>
      </c>
      <c r="D3793" s="7" t="inlineStr">
        <is>
          <t>AP05CP1677</t>
        </is>
      </c>
      <c r="E3793" s="7" t="inlineStr">
        <is>
          <t>TATA</t>
        </is>
      </c>
      <c r="F3793" s="7" t="inlineStr">
        <is>
          <t>Nano</t>
        </is>
      </c>
      <c r="G3793" s="7" t="inlineStr">
        <is>
          <t>KESIREDDY SAIKIRAN</t>
        </is>
      </c>
      <c r="H3793" s="7" t="inlineStr">
        <is>
          <t>Non-Captive</t>
        </is>
      </c>
      <c r="I3793" s="7" t="inlineStr">
        <is>
          <t>B Venkata Rao</t>
        </is>
      </c>
      <c r="J3793" s="8" t="n">
        <v>2012</v>
      </c>
      <c r="K3793" s="9" t="n">
        <v>50280</v>
      </c>
      <c r="L3793" s="10" t="n">
        <v>46000</v>
      </c>
      <c r="M3793" s="10" t="n">
        <v>4920</v>
      </c>
      <c r="N3793" s="11">
        <f>IF(M3793="","",ROUND(M3793*1.18,2))</f>
        <v/>
      </c>
      <c r="O3793" s="12">
        <f>IF(M3793="","",ROUND(N3793-M3793,2))</f>
        <v/>
      </c>
      <c r="P3793" s="13">
        <f>IF(AND(A3793&lt;&gt;"",B3793&lt;&gt;""), A3793&amp;" · "&amp;B3793, "")</f>
        <v/>
      </c>
    </row>
    <row r="3794">
      <c r="A3794" s="6" t="inlineStr">
        <is>
          <t>FY27</t>
        </is>
      </c>
      <c r="B3794" s="6" t="inlineStr">
        <is>
          <t>Sep</t>
        </is>
      </c>
      <c r="C3794" s="6" t="inlineStr">
        <is>
          <t>AP/TS</t>
        </is>
      </c>
      <c r="D3794" s="7" t="inlineStr">
        <is>
          <t>AP05CR6969</t>
        </is>
      </c>
      <c r="E3794" s="7" t="inlineStr">
        <is>
          <t>NISSAN</t>
        </is>
      </c>
      <c r="F3794" s="7" t="inlineStr">
        <is>
          <t>Terrano</t>
        </is>
      </c>
      <c r="G3794" s="7" t="inlineStr">
        <is>
          <t>MOHAMMED GOUSE BASHA</t>
        </is>
      </c>
      <c r="H3794" s="7" t="inlineStr">
        <is>
          <t>Non-Captive</t>
        </is>
      </c>
      <c r="I3794" s="7" t="inlineStr">
        <is>
          <t>Chandu Ram Sai</t>
        </is>
      </c>
      <c r="J3794" s="8" t="n">
        <v>2014</v>
      </c>
      <c r="K3794" s="9" t="n">
        <v>275290</v>
      </c>
      <c r="L3794" s="10" t="n">
        <v>95000</v>
      </c>
      <c r="M3794" s="10" t="n">
        <v>4100</v>
      </c>
      <c r="N3794" s="11">
        <f>IF(M3794="","",ROUND(M3794*1.18,2))</f>
        <v/>
      </c>
      <c r="O3794" s="12">
        <f>IF(M3794="","",ROUND(N3794-M3794,2))</f>
        <v/>
      </c>
      <c r="P3794" s="13">
        <f>IF(AND(A3794&lt;&gt;"",B3794&lt;&gt;""), A3794&amp;" · "&amp;B3794, "")</f>
        <v/>
      </c>
    </row>
    <row r="3795">
      <c r="A3795" s="6" t="inlineStr">
        <is>
          <t>FY27</t>
        </is>
      </c>
      <c r="B3795" s="6" t="inlineStr">
        <is>
          <t>Sep</t>
        </is>
      </c>
      <c r="C3795" s="6" t="inlineStr">
        <is>
          <t>AP/TS</t>
        </is>
      </c>
      <c r="D3795" s="7" t="inlineStr">
        <is>
          <t>AP09BS5058</t>
        </is>
      </c>
      <c r="E3795" s="7" t="inlineStr">
        <is>
          <t>HONDA</t>
        </is>
      </c>
      <c r="F3795" s="7" t="inlineStr">
        <is>
          <t>City</t>
        </is>
      </c>
      <c r="G3795" s="7" t="inlineStr">
        <is>
          <t>PUNEET GUPTA</t>
        </is>
      </c>
      <c r="H3795" s="7" t="inlineStr">
        <is>
          <t>Non-Captive</t>
        </is>
      </c>
      <c r="I3795" s="7" t="inlineStr">
        <is>
          <t>Zaki Ahmed Khan</t>
        </is>
      </c>
      <c r="J3795" s="8" t="n">
        <v>2008</v>
      </c>
      <c r="K3795" s="9" t="n">
        <v>107989</v>
      </c>
      <c r="L3795" s="10" t="n">
        <v>116000</v>
      </c>
      <c r="M3795" s="10" t="n">
        <v>4920</v>
      </c>
      <c r="N3795" s="11">
        <f>IF(M3795="","",ROUND(M3795*1.18,2))</f>
        <v/>
      </c>
      <c r="O3795" s="12">
        <f>IF(M3795="","",ROUND(N3795-M3795,2))</f>
        <v/>
      </c>
      <c r="P3795" s="13">
        <f>IF(AND(A3795&lt;&gt;"",B3795&lt;&gt;""), A3795&amp;" · "&amp;B3795, "")</f>
        <v/>
      </c>
    </row>
    <row r="3796">
      <c r="A3796" s="6" t="inlineStr">
        <is>
          <t>FY27</t>
        </is>
      </c>
      <c r="B3796" s="6" t="inlineStr">
        <is>
          <t>Sep</t>
        </is>
      </c>
      <c r="C3796" s="6" t="inlineStr">
        <is>
          <t>AP/TS</t>
        </is>
      </c>
      <c r="D3796" s="7" t="inlineStr">
        <is>
          <t>AP09BW0636</t>
        </is>
      </c>
      <c r="E3796" s="7" t="inlineStr">
        <is>
          <t>HYUNDAI</t>
        </is>
      </c>
      <c r="F3796" s="7" t="inlineStr">
        <is>
          <t>i10</t>
        </is>
      </c>
      <c r="G3796" s="7" t="inlineStr">
        <is>
          <t>BUKYA SANTHOSH NAIK</t>
        </is>
      </c>
      <c r="H3796" s="7" t="inlineStr">
        <is>
          <t>Non-Captive</t>
        </is>
      </c>
      <c r="I3796" s="7" t="inlineStr">
        <is>
          <t>Vara Rajendra Varma</t>
        </is>
      </c>
      <c r="J3796" s="8" t="n">
        <v>2009</v>
      </c>
      <c r="K3796" s="9" t="n">
        <v>62759</v>
      </c>
      <c r="L3796" s="10" t="n">
        <v>65000</v>
      </c>
      <c r="M3796" s="10" t="n">
        <v>4100</v>
      </c>
      <c r="N3796" s="11">
        <f>IF(M3796="","",ROUND(M3796*1.18,2))</f>
        <v/>
      </c>
      <c r="O3796" s="12">
        <f>IF(M3796="","",ROUND(N3796-M3796,2))</f>
        <v/>
      </c>
      <c r="P3796" s="13">
        <f>IF(AND(A3796&lt;&gt;"",B3796&lt;&gt;""), A3796&amp;" · "&amp;B3796, "")</f>
        <v/>
      </c>
    </row>
    <row r="3797">
      <c r="A3797" s="6" t="inlineStr">
        <is>
          <t>FY27</t>
        </is>
      </c>
      <c r="B3797" s="6" t="inlineStr">
        <is>
          <t>Sep</t>
        </is>
      </c>
      <c r="C3797" s="6" t="inlineStr">
        <is>
          <t>AP/TS</t>
        </is>
      </c>
      <c r="D3797" s="7" t="inlineStr">
        <is>
          <t>AP09BZ6453</t>
        </is>
      </c>
      <c r="E3797" s="7" t="inlineStr">
        <is>
          <t>CHEVROLET</t>
        </is>
      </c>
      <c r="F3797" s="7" t="inlineStr">
        <is>
          <t>Spark</t>
        </is>
      </c>
      <c r="G3797" s="7" t="inlineStr">
        <is>
          <t>EXCHANGE</t>
        </is>
      </c>
      <c r="H3797" s="7" t="inlineStr">
        <is>
          <t>Captive</t>
        </is>
      </c>
      <c r="I3797" s="7" t="inlineStr">
        <is>
          <t>Janagama Srinivas</t>
        </is>
      </c>
      <c r="J3797" s="8" t="n">
        <v>2010</v>
      </c>
      <c r="K3797" s="9" t="n">
        <v>24511</v>
      </c>
      <c r="L3797" s="10" t="n">
        <v>86000</v>
      </c>
      <c r="M3797" s="10" t="n">
        <v>4920</v>
      </c>
      <c r="N3797" s="11">
        <f>IF(M3797="","",ROUND(M3797*1.18,2))</f>
        <v/>
      </c>
      <c r="O3797" s="12">
        <f>IF(M3797="","",ROUND(N3797-M3797,2))</f>
        <v/>
      </c>
      <c r="P3797" s="13">
        <f>IF(AND(A3797&lt;&gt;"",B3797&lt;&gt;""), A3797&amp;" · "&amp;B3797, "")</f>
        <v/>
      </c>
    </row>
    <row r="3798">
      <c r="A3798" s="6" t="inlineStr">
        <is>
          <t>FY27</t>
        </is>
      </c>
      <c r="B3798" s="6" t="inlineStr">
        <is>
          <t>Sep</t>
        </is>
      </c>
      <c r="C3798" s="6" t="inlineStr">
        <is>
          <t>AP/TS</t>
        </is>
      </c>
      <c r="D3798" s="7" t="inlineStr">
        <is>
          <t>AP09CH0648</t>
        </is>
      </c>
      <c r="E3798" s="7" t="inlineStr">
        <is>
          <t>HONDA</t>
        </is>
      </c>
      <c r="F3798" s="7" t="inlineStr">
        <is>
          <t>City</t>
        </is>
      </c>
      <c r="G3798" s="7" t="inlineStr">
        <is>
          <t>EXCHANGE</t>
        </is>
      </c>
      <c r="H3798" s="7" t="inlineStr">
        <is>
          <t>Captive</t>
        </is>
      </c>
      <c r="I3798" s="7" t="inlineStr">
        <is>
          <t>Abdul Razzaq</t>
        </is>
      </c>
      <c r="J3798" s="8" t="n">
        <v>2011</v>
      </c>
      <c r="K3798" s="9" t="n">
        <v>56602</v>
      </c>
      <c r="L3798" s="10" t="n">
        <v>149000</v>
      </c>
      <c r="M3798" s="10" t="n">
        <v>7380</v>
      </c>
      <c r="N3798" s="11">
        <f>IF(M3798="","",ROUND(M3798*1.18,2))</f>
        <v/>
      </c>
      <c r="O3798" s="12">
        <f>IF(M3798="","",ROUND(N3798-M3798,2))</f>
        <v/>
      </c>
      <c r="P3798" s="13">
        <f>IF(AND(A3798&lt;&gt;"",B3798&lt;&gt;""), A3798&amp;" · "&amp;B3798, "")</f>
        <v/>
      </c>
    </row>
    <row r="3799">
      <c r="A3799" s="6" t="inlineStr">
        <is>
          <t>FY27</t>
        </is>
      </c>
      <c r="B3799" s="6" t="inlineStr">
        <is>
          <t>Sep</t>
        </is>
      </c>
      <c r="C3799" s="6" t="inlineStr">
        <is>
          <t>AP/TS</t>
        </is>
      </c>
      <c r="D3799" s="7" t="inlineStr">
        <is>
          <t>AP10AZ2662</t>
        </is>
      </c>
      <c r="E3799" s="7" t="inlineStr">
        <is>
          <t>MARUTI SUZUKI</t>
        </is>
      </c>
      <c r="F3799" s="7" t="inlineStr">
        <is>
          <t>Alto K10</t>
        </is>
      </c>
      <c r="G3799" s="7" t="inlineStr">
        <is>
          <t>MOHAMMED GOUSE BASHA</t>
        </is>
      </c>
      <c r="H3799" s="7" t="inlineStr">
        <is>
          <t>Non-Captive</t>
        </is>
      </c>
      <c r="I3799" s="7" t="inlineStr">
        <is>
          <t>Chandu Ram Sai</t>
        </is>
      </c>
      <c r="J3799" s="8" t="n">
        <v>2011</v>
      </c>
      <c r="K3799" s="9" t="n">
        <v>134690</v>
      </c>
      <c r="L3799" s="10" t="n">
        <v>85000</v>
      </c>
      <c r="M3799" s="10" t="n">
        <v>4100</v>
      </c>
      <c r="N3799" s="11">
        <f>IF(M3799="","",ROUND(M3799*1.18,2))</f>
        <v/>
      </c>
      <c r="O3799" s="12">
        <f>IF(M3799="","",ROUND(N3799-M3799,2))</f>
        <v/>
      </c>
      <c r="P3799" s="13">
        <f>IF(AND(A3799&lt;&gt;"",B3799&lt;&gt;""), A3799&amp;" · "&amp;B3799, "")</f>
        <v/>
      </c>
    </row>
    <row r="3800">
      <c r="A3800" s="6" t="inlineStr">
        <is>
          <t>FY27</t>
        </is>
      </c>
      <c r="B3800" s="6" t="inlineStr">
        <is>
          <t>Sep</t>
        </is>
      </c>
      <c r="C3800" s="6" t="inlineStr">
        <is>
          <t>AP/TS</t>
        </is>
      </c>
      <c r="D3800" s="7" t="inlineStr">
        <is>
          <t>AP10BB9536</t>
        </is>
      </c>
      <c r="E3800" s="7" t="inlineStr">
        <is>
          <t>MARUTI SUZUKI</t>
        </is>
      </c>
      <c r="F3800" s="7" t="inlineStr">
        <is>
          <t>Swift</t>
        </is>
      </c>
      <c r="G3800" s="7" t="inlineStr">
        <is>
          <t>MOHAMMED GOUSE BASHA</t>
        </is>
      </c>
      <c r="H3800" s="7" t="inlineStr">
        <is>
          <t>Non-Captive</t>
        </is>
      </c>
      <c r="I3800" s="7" t="inlineStr">
        <is>
          <t>Tenali Srinivas</t>
        </is>
      </c>
      <c r="J3800" s="8" t="n">
        <v>2012</v>
      </c>
      <c r="K3800" s="9" t="n">
        <v>197850</v>
      </c>
      <c r="L3800" s="10" t="n">
        <v>106000</v>
      </c>
      <c r="M3800" s="10" t="n">
        <v>4920</v>
      </c>
      <c r="N3800" s="11">
        <f>IF(M3800="","",ROUND(M3800*1.18,2))</f>
        <v/>
      </c>
      <c r="O3800" s="12">
        <f>IF(M3800="","",ROUND(N3800-M3800,2))</f>
        <v/>
      </c>
      <c r="P3800" s="13">
        <f>IF(AND(A3800&lt;&gt;"",B3800&lt;&gt;""), A3800&amp;" · "&amp;B3800, "")</f>
        <v/>
      </c>
    </row>
    <row r="3801">
      <c r="A3801" s="6" t="inlineStr">
        <is>
          <t>FY27</t>
        </is>
      </c>
      <c r="B3801" s="6" t="inlineStr">
        <is>
          <t>Sep</t>
        </is>
      </c>
      <c r="C3801" s="6" t="inlineStr">
        <is>
          <t>AP/TS</t>
        </is>
      </c>
      <c r="D3801" s="7" t="inlineStr">
        <is>
          <t>AP10BG1515</t>
        </is>
      </c>
      <c r="E3801" s="7" t="inlineStr">
        <is>
          <t>HONDA</t>
        </is>
      </c>
      <c r="F3801" s="7" t="inlineStr">
        <is>
          <t>Amaze</t>
        </is>
      </c>
      <c r="G3801" s="7" t="inlineStr">
        <is>
          <t>EXCHANGE</t>
        </is>
      </c>
      <c r="H3801" s="7" t="inlineStr">
        <is>
          <t>Captive</t>
        </is>
      </c>
      <c r="I3801" s="7" t="inlineStr">
        <is>
          <t>Abdul Razzaq</t>
        </is>
      </c>
      <c r="J3801" s="8" t="n">
        <v>2013</v>
      </c>
      <c r="K3801" s="9" t="n">
        <v>75852</v>
      </c>
      <c r="L3801" s="10" t="n">
        <v>197000</v>
      </c>
      <c r="M3801" s="10" t="n">
        <v>5740</v>
      </c>
      <c r="N3801" s="11">
        <f>IF(M3801="","",ROUND(M3801*1.18,2))</f>
        <v/>
      </c>
      <c r="O3801" s="12">
        <f>IF(M3801="","",ROUND(N3801-M3801,2))</f>
        <v/>
      </c>
      <c r="P3801" s="13">
        <f>IF(AND(A3801&lt;&gt;"",B3801&lt;&gt;""), A3801&amp;" · "&amp;B3801, "")</f>
        <v/>
      </c>
    </row>
    <row r="3802">
      <c r="A3802" s="6" t="inlineStr">
        <is>
          <t>FY27</t>
        </is>
      </c>
      <c r="B3802" s="6" t="inlineStr">
        <is>
          <t>Sep</t>
        </is>
      </c>
      <c r="C3802" s="6" t="inlineStr">
        <is>
          <t>AP/TS</t>
        </is>
      </c>
      <c r="D3802" s="7" t="inlineStr">
        <is>
          <t>AP16BJ2229</t>
        </is>
      </c>
      <c r="E3802" s="7" t="inlineStr">
        <is>
          <t>MARUTI SUZUKI</t>
        </is>
      </c>
      <c r="F3802" s="7" t="inlineStr">
        <is>
          <t>Swift</t>
        </is>
      </c>
      <c r="G3802" s="7" t="inlineStr">
        <is>
          <t>EXCHANGE</t>
        </is>
      </c>
      <c r="H3802" s="7" t="inlineStr">
        <is>
          <t>Captive</t>
        </is>
      </c>
      <c r="I3802" s="7" t="inlineStr">
        <is>
          <t>Suresh Ginjupalli</t>
        </is>
      </c>
      <c r="J3802" s="8" t="n">
        <v>2008</v>
      </c>
      <c r="K3802" s="9" t="n">
        <v>99013</v>
      </c>
      <c r="L3802" s="10" t="n">
        <v>105000</v>
      </c>
      <c r="M3802" s="10" t="n">
        <v>12300</v>
      </c>
      <c r="N3802" s="11">
        <f>IF(M3802="","",ROUND(M3802*1.18,2))</f>
        <v/>
      </c>
      <c r="O3802" s="12">
        <f>IF(M3802="","",ROUND(N3802-M3802,2))</f>
        <v/>
      </c>
      <c r="P3802" s="13">
        <f>IF(AND(A3802&lt;&gt;"",B3802&lt;&gt;""), A3802&amp;" · "&amp;B3802, "")</f>
        <v/>
      </c>
    </row>
    <row r="3803">
      <c r="A3803" s="6" t="inlineStr">
        <is>
          <t>FY27</t>
        </is>
      </c>
      <c r="B3803" s="6" t="inlineStr">
        <is>
          <t>Sep</t>
        </is>
      </c>
      <c r="C3803" s="6" t="inlineStr">
        <is>
          <t>AP/TS</t>
        </is>
      </c>
      <c r="D3803" s="7" t="inlineStr">
        <is>
          <t>AP16CJ2616</t>
        </is>
      </c>
      <c r="E3803" s="7" t="inlineStr">
        <is>
          <t>MARUTI SUZUKI</t>
        </is>
      </c>
      <c r="F3803" s="7" t="inlineStr">
        <is>
          <t>Dzire</t>
        </is>
      </c>
      <c r="G3803" s="7" t="inlineStr">
        <is>
          <t>MOHAMMED GOUSE BASHA</t>
        </is>
      </c>
      <c r="H3803" s="7" t="inlineStr">
        <is>
          <t>Non-Captive</t>
        </is>
      </c>
      <c r="I3803" s="7" t="inlineStr">
        <is>
          <t>Gopi Nagaraju</t>
        </is>
      </c>
      <c r="J3803" s="8" t="n">
        <v>2013</v>
      </c>
      <c r="K3803" s="9" t="n">
        <v>95208</v>
      </c>
      <c r="L3803" s="10" t="n">
        <v>100000</v>
      </c>
      <c r="M3803" s="10" t="n">
        <v>4100</v>
      </c>
      <c r="N3803" s="11">
        <f>IF(M3803="","",ROUND(M3803*1.18,2))</f>
        <v/>
      </c>
      <c r="O3803" s="12">
        <f>IF(M3803="","",ROUND(N3803-M3803,2))</f>
        <v/>
      </c>
      <c r="P3803" s="13">
        <f>IF(AND(A3803&lt;&gt;"",B3803&lt;&gt;""), A3803&amp;" · "&amp;B3803, "")</f>
        <v/>
      </c>
    </row>
    <row r="3804">
      <c r="A3804" s="6" t="inlineStr">
        <is>
          <t>FY27</t>
        </is>
      </c>
      <c r="B3804" s="6" t="inlineStr">
        <is>
          <t>Sep</t>
        </is>
      </c>
      <c r="C3804" s="6" t="inlineStr">
        <is>
          <t>AP/TS</t>
        </is>
      </c>
      <c r="D3804" s="7" t="inlineStr">
        <is>
          <t>AP16CW9366</t>
        </is>
      </c>
      <c r="E3804" s="7" t="inlineStr">
        <is>
          <t>MARUTI SUZUKI</t>
        </is>
      </c>
      <c r="F3804" s="7" t="inlineStr">
        <is>
          <t>Celerio</t>
        </is>
      </c>
      <c r="G3804" s="7" t="inlineStr">
        <is>
          <t>MOHAMMED GOUSE BASHA</t>
        </is>
      </c>
      <c r="H3804" s="7" t="inlineStr">
        <is>
          <t>Non-Captive</t>
        </is>
      </c>
      <c r="I3804" s="7" t="inlineStr">
        <is>
          <t>Naga Suresh Polukonda</t>
        </is>
      </c>
      <c r="J3804" s="8" t="n">
        <v>2014</v>
      </c>
      <c r="K3804" s="9" t="n">
        <v>82998</v>
      </c>
      <c r="L3804" s="10" t="n">
        <v>100000</v>
      </c>
      <c r="M3804" s="10" t="n">
        <v>4100</v>
      </c>
      <c r="N3804" s="11">
        <f>IF(M3804="","",ROUND(M3804*1.18,2))</f>
        <v/>
      </c>
      <c r="O3804" s="12">
        <f>IF(M3804="","",ROUND(N3804-M3804,2))</f>
        <v/>
      </c>
      <c r="P3804" s="13">
        <f>IF(AND(A3804&lt;&gt;"",B3804&lt;&gt;""), A3804&amp;" · "&amp;B3804, "")</f>
        <v/>
      </c>
    </row>
    <row r="3805">
      <c r="A3805" s="6" t="inlineStr">
        <is>
          <t>FY27</t>
        </is>
      </c>
      <c r="B3805" s="6" t="inlineStr">
        <is>
          <t>Sep</t>
        </is>
      </c>
      <c r="C3805" s="6" t="inlineStr">
        <is>
          <t>AP/TS</t>
        </is>
      </c>
      <c r="D3805" s="7" t="inlineStr">
        <is>
          <t>AP16CY5787</t>
        </is>
      </c>
      <c r="E3805" s="7" t="inlineStr">
        <is>
          <t>MARUTI SUZUKI</t>
        </is>
      </c>
      <c r="F3805" s="7" t="inlineStr">
        <is>
          <t>Wagon R</t>
        </is>
      </c>
      <c r="G3805" s="7" t="inlineStr">
        <is>
          <t>MOHAMMED GOUSE BASHA</t>
        </is>
      </c>
      <c r="H3805" s="7" t="inlineStr">
        <is>
          <t>Non-Captive</t>
        </is>
      </c>
      <c r="I3805" s="7" t="inlineStr">
        <is>
          <t>Guthi Ravi Krishna</t>
        </is>
      </c>
      <c r="J3805" s="8" t="n">
        <v>2015</v>
      </c>
      <c r="K3805" s="9" t="n">
        <v>148960</v>
      </c>
      <c r="L3805" s="10" t="n">
        <v>90000</v>
      </c>
      <c r="M3805" s="10" t="n">
        <v>4100</v>
      </c>
      <c r="N3805" s="11">
        <f>IF(M3805="","",ROUND(M3805*1.18,2))</f>
        <v/>
      </c>
      <c r="O3805" s="12">
        <f>IF(M3805="","",ROUND(N3805-M3805,2))</f>
        <v/>
      </c>
      <c r="P3805" s="13">
        <f>IF(AND(A3805&lt;&gt;"",B3805&lt;&gt;""), A3805&amp;" · "&amp;B3805, "")</f>
        <v/>
      </c>
    </row>
    <row r="3806">
      <c r="A3806" s="6" t="inlineStr">
        <is>
          <t>FY27</t>
        </is>
      </c>
      <c r="B3806" s="6" t="inlineStr">
        <is>
          <t>Sep</t>
        </is>
      </c>
      <c r="C3806" s="6" t="inlineStr">
        <is>
          <t>AP/TS</t>
        </is>
      </c>
      <c r="D3806" s="7" t="inlineStr">
        <is>
          <t>AP16DM7059</t>
        </is>
      </c>
      <c r="E3806" s="7" t="inlineStr">
        <is>
          <t>HYUNDAI</t>
        </is>
      </c>
      <c r="F3806" s="7" t="inlineStr">
        <is>
          <t>Grand i10</t>
        </is>
      </c>
      <c r="G3806" s="7" t="inlineStr">
        <is>
          <t>EXCHANGE</t>
        </is>
      </c>
      <c r="H3806" s="7" t="inlineStr">
        <is>
          <t>Captive</t>
        </is>
      </c>
      <c r="I3806" s="7" t="inlineStr">
        <is>
          <t>Mohammed Gouse Basha</t>
        </is>
      </c>
      <c r="J3806" s="8" t="n">
        <v>2016</v>
      </c>
      <c r="K3806" s="9" t="n">
        <v>58286</v>
      </c>
      <c r="L3806" s="10" t="n">
        <v>280500</v>
      </c>
      <c r="M3806" s="10" t="n">
        <v>6560</v>
      </c>
      <c r="N3806" s="11">
        <f>IF(M3806="","",ROUND(M3806*1.18,2))</f>
        <v/>
      </c>
      <c r="O3806" s="12">
        <f>IF(M3806="","",ROUND(N3806-M3806,2))</f>
        <v/>
      </c>
      <c r="P3806" s="13">
        <f>IF(AND(A3806&lt;&gt;"",B3806&lt;&gt;""), A3806&amp;" · "&amp;B3806, "")</f>
        <v/>
      </c>
    </row>
    <row r="3807">
      <c r="A3807" s="6" t="inlineStr">
        <is>
          <t>FY27</t>
        </is>
      </c>
      <c r="B3807" s="6" t="inlineStr">
        <is>
          <t>Sep</t>
        </is>
      </c>
      <c r="C3807" s="6" t="inlineStr">
        <is>
          <t>AP/TS</t>
        </is>
      </c>
      <c r="D3807" s="7" t="inlineStr">
        <is>
          <t>AP21CJ7576</t>
        </is>
      </c>
      <c r="E3807" s="7" t="inlineStr">
        <is>
          <t>RENAULT</t>
        </is>
      </c>
      <c r="F3807" s="7" t="inlineStr">
        <is>
          <t>Kwid</t>
        </is>
      </c>
      <c r="G3807" s="7" t="inlineStr">
        <is>
          <t>MOHAMMED GOUSE BASHA</t>
        </is>
      </c>
      <c r="H3807" s="7" t="inlineStr">
        <is>
          <t>Non-Captive</t>
        </is>
      </c>
      <c r="I3807" s="7" t="inlineStr">
        <is>
          <t>Tenali Srinivas</t>
        </is>
      </c>
      <c r="J3807" s="8" t="n">
        <v>2018</v>
      </c>
      <c r="K3807" s="9" t="n">
        <v>69820</v>
      </c>
      <c r="L3807" s="10" t="n">
        <v>196000</v>
      </c>
      <c r="M3807" s="10" t="n">
        <v>4920</v>
      </c>
      <c r="N3807" s="11">
        <f>IF(M3807="","",ROUND(M3807*1.18,2))</f>
        <v/>
      </c>
      <c r="O3807" s="12">
        <f>IF(M3807="","",ROUND(N3807-M3807,2))</f>
        <v/>
      </c>
      <c r="P3807" s="13">
        <f>IF(AND(A3807&lt;&gt;"",B3807&lt;&gt;""), A3807&amp;" · "&amp;B3807, "")</f>
        <v/>
      </c>
    </row>
    <row r="3808">
      <c r="A3808" s="6" t="inlineStr">
        <is>
          <t>FY27</t>
        </is>
      </c>
      <c r="B3808" s="6" t="inlineStr">
        <is>
          <t>Sep</t>
        </is>
      </c>
      <c r="C3808" s="6" t="inlineStr">
        <is>
          <t>AP/TS</t>
        </is>
      </c>
      <c r="D3808" s="7" t="inlineStr">
        <is>
          <t>AP24AV3278</t>
        </is>
      </c>
      <c r="E3808" s="7" t="inlineStr">
        <is>
          <t>HYUNDAI</t>
        </is>
      </c>
      <c r="F3808" s="7" t="inlineStr">
        <is>
          <t>i10</t>
        </is>
      </c>
      <c r="G3808" s="7" t="inlineStr">
        <is>
          <t>EXCHANGE</t>
        </is>
      </c>
      <c r="H3808" s="7" t="inlineStr">
        <is>
          <t>Captive</t>
        </is>
      </c>
      <c r="I3808" s="7" t="inlineStr">
        <is>
          <t>Odapally Sandeep</t>
        </is>
      </c>
      <c r="J3808" s="8" t="n">
        <v>2013</v>
      </c>
      <c r="K3808" s="9" t="n">
        <v>90082</v>
      </c>
      <c r="L3808" s="10" t="n">
        <v>161000</v>
      </c>
      <c r="M3808" s="10" t="n">
        <v>4920</v>
      </c>
      <c r="N3808" s="11">
        <f>IF(M3808="","",ROUND(M3808*1.18,2))</f>
        <v/>
      </c>
      <c r="O3808" s="12">
        <f>IF(M3808="","",ROUND(N3808-M3808,2))</f>
        <v/>
      </c>
      <c r="P3808" s="13">
        <f>IF(AND(A3808&lt;&gt;"",B3808&lt;&gt;""), A3808&amp;" · "&amp;B3808, "")</f>
        <v/>
      </c>
    </row>
    <row r="3809">
      <c r="A3809" s="6" t="inlineStr">
        <is>
          <t>FY27</t>
        </is>
      </c>
      <c r="B3809" s="6" t="inlineStr">
        <is>
          <t>Sep</t>
        </is>
      </c>
      <c r="C3809" s="6" t="inlineStr">
        <is>
          <t>AP/TS</t>
        </is>
      </c>
      <c r="D3809" s="7" t="inlineStr">
        <is>
          <t>AP25AD6252</t>
        </is>
      </c>
      <c r="E3809" s="7" t="inlineStr">
        <is>
          <t>MARUTI SUZUKI</t>
        </is>
      </c>
      <c r="F3809" s="7" t="inlineStr">
        <is>
          <t>Alto K10</t>
        </is>
      </c>
      <c r="G3809" s="7" t="inlineStr">
        <is>
          <t>BUKYA SANTHOSH NAIK</t>
        </is>
      </c>
      <c r="H3809" s="7" t="inlineStr">
        <is>
          <t>Non-Captive</t>
        </is>
      </c>
      <c r="I3809" s="7" t="inlineStr">
        <is>
          <t>Janagama Srinivas</t>
        </is>
      </c>
      <c r="J3809" s="8" t="n">
        <v>2010</v>
      </c>
      <c r="K3809" s="9" t="n">
        <v>155405</v>
      </c>
      <c r="L3809" s="10" t="n">
        <v>72000</v>
      </c>
      <c r="M3809" s="10" t="n">
        <v>5740</v>
      </c>
      <c r="N3809" s="11">
        <f>IF(M3809="","",ROUND(M3809*1.18,2))</f>
        <v/>
      </c>
      <c r="O3809" s="12">
        <f>IF(M3809="","",ROUND(N3809-M3809,2))</f>
        <v/>
      </c>
      <c r="P3809" s="13">
        <f>IF(AND(A3809&lt;&gt;"",B3809&lt;&gt;""), A3809&amp;" · "&amp;B3809, "")</f>
        <v/>
      </c>
    </row>
    <row r="3810">
      <c r="A3810" s="6" t="inlineStr">
        <is>
          <t>FY27</t>
        </is>
      </c>
      <c r="B3810" s="6" t="inlineStr">
        <is>
          <t>Sep</t>
        </is>
      </c>
      <c r="C3810" s="6" t="inlineStr">
        <is>
          <t>AP/TS</t>
        </is>
      </c>
      <c r="D3810" s="7" t="inlineStr">
        <is>
          <t>AP28BC0959</t>
        </is>
      </c>
      <c r="E3810" s="7" t="inlineStr">
        <is>
          <t>HONDA</t>
        </is>
      </c>
      <c r="F3810" s="7" t="inlineStr">
        <is>
          <t>Accord</t>
        </is>
      </c>
      <c r="G3810" s="7" t="inlineStr">
        <is>
          <t>EXCHANGE</t>
        </is>
      </c>
      <c r="H3810" s="7" t="inlineStr">
        <is>
          <t>Captive</t>
        </is>
      </c>
      <c r="I3810" s="7" t="inlineStr">
        <is>
          <t>Abdul Razzaq</t>
        </is>
      </c>
      <c r="J3810" s="8" t="n">
        <v>2005</v>
      </c>
      <c r="K3810" s="9" t="n">
        <v>131525</v>
      </c>
      <c r="L3810" s="10" t="n">
        <v>81000</v>
      </c>
      <c r="M3810" s="10" t="n">
        <v>4920</v>
      </c>
      <c r="N3810" s="11">
        <f>IF(M3810="","",ROUND(M3810*1.18,2))</f>
        <v/>
      </c>
      <c r="O3810" s="12">
        <f>IF(M3810="","",ROUND(N3810-M3810,2))</f>
        <v/>
      </c>
      <c r="P3810" s="13">
        <f>IF(AND(A3810&lt;&gt;"",B3810&lt;&gt;""), A3810&amp;" · "&amp;B3810, "")</f>
        <v/>
      </c>
    </row>
    <row r="3811">
      <c r="A3811" s="6" t="inlineStr">
        <is>
          <t>FY27</t>
        </is>
      </c>
      <c r="B3811" s="6" t="inlineStr">
        <is>
          <t>Sep</t>
        </is>
      </c>
      <c r="C3811" s="6" t="inlineStr">
        <is>
          <t>AP/TS</t>
        </is>
      </c>
      <c r="D3811" s="7" t="inlineStr">
        <is>
          <t>AP28CB5045</t>
        </is>
      </c>
      <c r="E3811" s="7" t="inlineStr">
        <is>
          <t>HYUNDAI</t>
        </is>
      </c>
      <c r="F3811" s="7" t="inlineStr">
        <is>
          <t>i10</t>
        </is>
      </c>
      <c r="G3811" s="7" t="inlineStr">
        <is>
          <t>BUKYA SANTHOSH NAIK</t>
        </is>
      </c>
      <c r="H3811" s="7" t="inlineStr">
        <is>
          <t>Non-Captive</t>
        </is>
      </c>
      <c r="I3811" s="7" t="inlineStr">
        <is>
          <t>Janagama Srinivas</t>
        </is>
      </c>
      <c r="J3811" s="8" t="n">
        <v>2008</v>
      </c>
      <c r="K3811" s="9" t="n">
        <v>153280</v>
      </c>
      <c r="L3811" s="10" t="n">
        <v>77000</v>
      </c>
      <c r="M3811" s="10" t="n">
        <v>5740</v>
      </c>
      <c r="N3811" s="11">
        <f>IF(M3811="","",ROUND(M3811*1.18,2))</f>
        <v/>
      </c>
      <c r="O3811" s="12">
        <f>IF(M3811="","",ROUND(N3811-M3811,2))</f>
        <v/>
      </c>
      <c r="P3811" s="13">
        <f>IF(AND(A3811&lt;&gt;"",B3811&lt;&gt;""), A3811&amp;" · "&amp;B3811, "")</f>
        <v/>
      </c>
    </row>
    <row r="3812">
      <c r="A3812" s="6" t="inlineStr">
        <is>
          <t>FY27</t>
        </is>
      </c>
      <c r="B3812" s="6" t="inlineStr">
        <is>
          <t>Sep</t>
        </is>
      </c>
      <c r="C3812" s="6" t="inlineStr">
        <is>
          <t>AP/TS</t>
        </is>
      </c>
      <c r="D3812" s="7" t="inlineStr">
        <is>
          <t>AP28CG3180</t>
        </is>
      </c>
      <c r="E3812" s="7" t="inlineStr">
        <is>
          <t>MARUTI SUZUKI</t>
        </is>
      </c>
      <c r="F3812" s="7" t="inlineStr">
        <is>
          <t>Ritz</t>
        </is>
      </c>
      <c r="G3812" s="7" t="inlineStr">
        <is>
          <t>EXCHANGE</t>
        </is>
      </c>
      <c r="H3812" s="7" t="inlineStr">
        <is>
          <t>Captive</t>
        </is>
      </c>
      <c r="I3812" s="7" t="inlineStr">
        <is>
          <t>B Venkata Rao</t>
        </is>
      </c>
      <c r="J3812" s="8" t="n">
        <v>2011</v>
      </c>
      <c r="K3812" s="9" t="n">
        <v>85691</v>
      </c>
      <c r="L3812" s="10" t="n">
        <v>96000</v>
      </c>
      <c r="M3812" s="10" t="n">
        <v>4920</v>
      </c>
      <c r="N3812" s="11">
        <f>IF(M3812="","",ROUND(M3812*1.18,2))</f>
        <v/>
      </c>
      <c r="O3812" s="12">
        <f>IF(M3812="","",ROUND(N3812-M3812,2))</f>
        <v/>
      </c>
      <c r="P3812" s="13">
        <f>IF(AND(A3812&lt;&gt;"",B3812&lt;&gt;""), A3812&amp;" · "&amp;B3812, "")</f>
        <v/>
      </c>
    </row>
    <row r="3813">
      <c r="A3813" s="6" t="inlineStr">
        <is>
          <t>FY27</t>
        </is>
      </c>
      <c r="B3813" s="6" t="inlineStr">
        <is>
          <t>Sep</t>
        </is>
      </c>
      <c r="C3813" s="6" t="inlineStr">
        <is>
          <t>AP/TS</t>
        </is>
      </c>
      <c r="D3813" s="7" t="inlineStr">
        <is>
          <t>AP28DJ2172</t>
        </is>
      </c>
      <c r="E3813" s="7" t="inlineStr">
        <is>
          <t>HYUNDAI</t>
        </is>
      </c>
      <c r="F3813" s="7" t="inlineStr">
        <is>
          <t>i10</t>
        </is>
      </c>
      <c r="G3813" s="7" t="inlineStr">
        <is>
          <t>PRABJYOTH SINGH WASU</t>
        </is>
      </c>
      <c r="H3813" s="7" t="inlineStr">
        <is>
          <t>Non-Captive</t>
        </is>
      </c>
      <c r="I3813" s="7" t="inlineStr">
        <is>
          <t>Abdul Razzaq</t>
        </is>
      </c>
      <c r="J3813" s="8" t="n">
        <v>2011</v>
      </c>
      <c r="K3813" s="9" t="n">
        <v>98253</v>
      </c>
      <c r="L3813" s="10" t="n">
        <v>93000</v>
      </c>
      <c r="M3813" s="10" t="n">
        <v>6560</v>
      </c>
      <c r="N3813" s="11">
        <f>IF(M3813="","",ROUND(M3813*1.18,2))</f>
        <v/>
      </c>
      <c r="O3813" s="12">
        <f>IF(M3813="","",ROUND(N3813-M3813,2))</f>
        <v/>
      </c>
      <c r="P3813" s="13">
        <f>IF(AND(A3813&lt;&gt;"",B3813&lt;&gt;""), A3813&amp;" · "&amp;B3813, "")</f>
        <v/>
      </c>
    </row>
    <row r="3814">
      <c r="A3814" s="6" t="inlineStr">
        <is>
          <t>FY27</t>
        </is>
      </c>
      <c r="B3814" s="6" t="inlineStr">
        <is>
          <t>Sep</t>
        </is>
      </c>
      <c r="C3814" s="6" t="inlineStr">
        <is>
          <t>AP/TS</t>
        </is>
      </c>
      <c r="D3814" s="7" t="inlineStr">
        <is>
          <t>AP28DS9236</t>
        </is>
      </c>
      <c r="E3814" s="7" t="inlineStr">
        <is>
          <t>HYUNDAI</t>
        </is>
      </c>
      <c r="F3814" s="7" t="inlineStr">
        <is>
          <t>Eon</t>
        </is>
      </c>
      <c r="G3814" s="7" t="inlineStr">
        <is>
          <t>PUNEET GUPTA</t>
        </is>
      </c>
      <c r="H3814" s="7" t="inlineStr">
        <is>
          <t>Non-Captive</t>
        </is>
      </c>
      <c r="I3814" s="7" t="inlineStr">
        <is>
          <t>Zaki Ahmed Khan</t>
        </is>
      </c>
      <c r="J3814" s="8" t="n">
        <v>2013</v>
      </c>
      <c r="K3814" s="9" t="n">
        <v>48523</v>
      </c>
      <c r="L3814" s="10" t="n">
        <v>106000</v>
      </c>
      <c r="M3814" s="10" t="n">
        <v>4920</v>
      </c>
      <c r="N3814" s="11">
        <f>IF(M3814="","",ROUND(M3814*1.18,2))</f>
        <v/>
      </c>
      <c r="O3814" s="12">
        <f>IF(M3814="","",ROUND(N3814-M3814,2))</f>
        <v/>
      </c>
      <c r="P3814" s="13">
        <f>IF(AND(A3814&lt;&gt;"",B3814&lt;&gt;""), A3814&amp;" · "&amp;B3814, "")</f>
        <v/>
      </c>
    </row>
    <row r="3815">
      <c r="A3815" s="6" t="inlineStr">
        <is>
          <t>FY27</t>
        </is>
      </c>
      <c r="B3815" s="6" t="inlineStr">
        <is>
          <t>Sep</t>
        </is>
      </c>
      <c r="C3815" s="6" t="inlineStr">
        <is>
          <t>AP/TS</t>
        </is>
      </c>
      <c r="D3815" s="7" t="inlineStr">
        <is>
          <t>AP29AZ7297</t>
        </is>
      </c>
      <c r="E3815" s="7" t="inlineStr">
        <is>
          <t>HONDA</t>
        </is>
      </c>
      <c r="F3815" s="7" t="inlineStr">
        <is>
          <t>Amaze</t>
        </is>
      </c>
      <c r="G3815" s="7" t="inlineStr">
        <is>
          <t>PUNEET GUPTA</t>
        </is>
      </c>
      <c r="H3815" s="7" t="inlineStr">
        <is>
          <t>Non-Captive</t>
        </is>
      </c>
      <c r="I3815" s="7" t="inlineStr">
        <is>
          <t>Zaki Ahmed Khan</t>
        </is>
      </c>
      <c r="J3815" s="8" t="n">
        <v>2013</v>
      </c>
      <c r="K3815" s="9" t="n">
        <v>55086</v>
      </c>
      <c r="L3815" s="10" t="n">
        <v>188000</v>
      </c>
      <c r="M3815" s="10" t="n">
        <v>6560</v>
      </c>
      <c r="N3815" s="11">
        <f>IF(M3815="","",ROUND(M3815*1.18,2))</f>
        <v/>
      </c>
      <c r="O3815" s="12">
        <f>IF(M3815="","",ROUND(N3815-M3815,2))</f>
        <v/>
      </c>
      <c r="P3815" s="13">
        <f>IF(AND(A3815&lt;&gt;"",B3815&lt;&gt;""), A3815&amp;" · "&amp;B3815, "")</f>
        <v/>
      </c>
    </row>
    <row r="3816">
      <c r="A3816" s="6" t="inlineStr">
        <is>
          <t>FY27</t>
        </is>
      </c>
      <c r="B3816" s="6" t="inlineStr">
        <is>
          <t>Sep</t>
        </is>
      </c>
      <c r="C3816" s="6" t="inlineStr">
        <is>
          <t>AP/TS</t>
        </is>
      </c>
      <c r="D3816" s="7" t="inlineStr">
        <is>
          <t>AP29BE7339</t>
        </is>
      </c>
      <c r="E3816" s="7" t="inlineStr">
        <is>
          <t>HYUNDAI</t>
        </is>
      </c>
      <c r="F3816" s="7" t="inlineStr">
        <is>
          <t>i10</t>
        </is>
      </c>
      <c r="G3816" s="7" t="inlineStr">
        <is>
          <t>EXCHANGE</t>
        </is>
      </c>
      <c r="H3816" s="7" t="inlineStr">
        <is>
          <t>Captive</t>
        </is>
      </c>
      <c r="I3816" s="7" t="inlineStr">
        <is>
          <t>Vara Rajendra Varma</t>
        </is>
      </c>
      <c r="J3816" s="8" t="n">
        <v>2008</v>
      </c>
      <c r="K3816" s="9" t="n">
        <v>95811</v>
      </c>
      <c r="L3816" s="10" t="n">
        <v>55000</v>
      </c>
      <c r="M3816" s="10" t="n">
        <v>4100</v>
      </c>
      <c r="N3816" s="11">
        <f>IF(M3816="","",ROUND(M3816*1.18,2))</f>
        <v/>
      </c>
      <c r="O3816" s="12">
        <f>IF(M3816="","",ROUND(N3816-M3816,2))</f>
        <v/>
      </c>
      <c r="P3816" s="13">
        <f>IF(AND(A3816&lt;&gt;"",B3816&lt;&gt;""), A3816&amp;" · "&amp;B3816, "")</f>
        <v/>
      </c>
    </row>
    <row r="3817">
      <c r="A3817" s="6" t="inlineStr">
        <is>
          <t>FY27</t>
        </is>
      </c>
      <c r="B3817" s="6" t="inlineStr">
        <is>
          <t>Sep</t>
        </is>
      </c>
      <c r="C3817" s="6" t="inlineStr">
        <is>
          <t>AP/TS</t>
        </is>
      </c>
      <c r="D3817" s="7" t="inlineStr">
        <is>
          <t>AP31BK6226</t>
        </is>
      </c>
      <c r="E3817" s="7" t="inlineStr">
        <is>
          <t>MARUTI SUZUKI</t>
        </is>
      </c>
      <c r="F3817" s="7" t="inlineStr">
        <is>
          <t>Swift</t>
        </is>
      </c>
      <c r="G3817" s="7" t="inlineStr">
        <is>
          <t>KESIREDDY SAIKIRAN</t>
        </is>
      </c>
      <c r="H3817" s="7" t="inlineStr">
        <is>
          <t>Non-Captive</t>
        </is>
      </c>
      <c r="I3817" s="7" t="inlineStr">
        <is>
          <t>Kasarapu Bhagyasri</t>
        </is>
      </c>
      <c r="J3817" s="8" t="n">
        <v>2010</v>
      </c>
      <c r="K3817" s="9" t="n">
        <v>101248</v>
      </c>
      <c r="L3817" s="10" t="n">
        <v>96050</v>
      </c>
      <c r="M3817" s="10" t="n">
        <v>4961</v>
      </c>
      <c r="N3817" s="11">
        <f>IF(M3817="","",ROUND(M3817*1.18,2))</f>
        <v/>
      </c>
      <c r="O3817" s="12">
        <f>IF(M3817="","",ROUND(N3817-M3817,2))</f>
        <v/>
      </c>
      <c r="P3817" s="13">
        <f>IF(AND(A3817&lt;&gt;"",B3817&lt;&gt;""), A3817&amp;" · "&amp;B3817, "")</f>
        <v/>
      </c>
    </row>
    <row r="3818">
      <c r="A3818" s="6" t="inlineStr">
        <is>
          <t>FY27</t>
        </is>
      </c>
      <c r="B3818" s="6" t="inlineStr">
        <is>
          <t>Sep</t>
        </is>
      </c>
      <c r="C3818" s="6" t="inlineStr">
        <is>
          <t>AP/TS</t>
        </is>
      </c>
      <c r="D3818" s="7" t="inlineStr">
        <is>
          <t>AP31CC0369</t>
        </is>
      </c>
      <c r="E3818" s="7" t="inlineStr">
        <is>
          <t>VOLKSWAGEN</t>
        </is>
      </c>
      <c r="F3818" s="7" t="inlineStr">
        <is>
          <t>Vento</t>
        </is>
      </c>
      <c r="G3818" s="7" t="inlineStr">
        <is>
          <t>EXCHANGE</t>
        </is>
      </c>
      <c r="H3818" s="7" t="inlineStr">
        <is>
          <t>Captive</t>
        </is>
      </c>
      <c r="I3818" s="7" t="inlineStr">
        <is>
          <t>B Venkata Rao</t>
        </is>
      </c>
      <c r="J3818" s="8" t="n">
        <v>2012</v>
      </c>
      <c r="K3818" s="9" t="n">
        <v>160521</v>
      </c>
      <c r="L3818" s="10" t="n">
        <v>166000</v>
      </c>
      <c r="M3818" s="10" t="n">
        <v>4920</v>
      </c>
      <c r="N3818" s="11">
        <f>IF(M3818="","",ROUND(M3818*1.18,2))</f>
        <v/>
      </c>
      <c r="O3818" s="12">
        <f>IF(M3818="","",ROUND(N3818-M3818,2))</f>
        <v/>
      </c>
      <c r="P3818" s="13">
        <f>IF(AND(A3818&lt;&gt;"",B3818&lt;&gt;""), A3818&amp;" · "&amp;B3818, "")</f>
        <v/>
      </c>
    </row>
    <row r="3819">
      <c r="A3819" s="6" t="inlineStr">
        <is>
          <t>FY27</t>
        </is>
      </c>
      <c r="B3819" s="6" t="inlineStr">
        <is>
          <t>Sep</t>
        </is>
      </c>
      <c r="C3819" s="6" t="inlineStr">
        <is>
          <t>AP/TS</t>
        </is>
      </c>
      <c r="D3819" s="7" t="inlineStr">
        <is>
          <t>AP31CC7092</t>
        </is>
      </c>
      <c r="E3819" s="7" t="inlineStr">
        <is>
          <t>CHEVROLET</t>
        </is>
      </c>
      <c r="F3819" s="7" t="inlineStr">
        <is>
          <t>Beat</t>
        </is>
      </c>
      <c r="G3819" s="7" t="inlineStr">
        <is>
          <t>MOHAMMED ADIL</t>
        </is>
      </c>
      <c r="H3819" s="7" t="inlineStr">
        <is>
          <t>Non-Captive</t>
        </is>
      </c>
      <c r="I3819" s="7" t="inlineStr">
        <is>
          <t>Gadi Sri Bharathi</t>
        </is>
      </c>
      <c r="J3819" s="8" t="n">
        <v>2012</v>
      </c>
      <c r="K3819" s="9" t="n">
        <v>97915</v>
      </c>
      <c r="L3819" s="10" t="n">
        <v>51000</v>
      </c>
      <c r="M3819" s="10" t="n">
        <v>4920</v>
      </c>
      <c r="N3819" s="11">
        <f>IF(M3819="","",ROUND(M3819*1.18,2))</f>
        <v/>
      </c>
      <c r="O3819" s="12">
        <f>IF(M3819="","",ROUND(N3819-M3819,2))</f>
        <v/>
      </c>
      <c r="P3819" s="13">
        <f>IF(AND(A3819&lt;&gt;"",B3819&lt;&gt;""), A3819&amp;" · "&amp;B3819, "")</f>
        <v/>
      </c>
    </row>
    <row r="3820">
      <c r="A3820" s="6" t="inlineStr">
        <is>
          <t>FY27</t>
        </is>
      </c>
      <c r="B3820" s="6" t="inlineStr">
        <is>
          <t>Sep</t>
        </is>
      </c>
      <c r="C3820" s="6" t="inlineStr">
        <is>
          <t>AP/TS</t>
        </is>
      </c>
      <c r="D3820" s="7" t="inlineStr">
        <is>
          <t>AP37AQ1188</t>
        </is>
      </c>
      <c r="E3820" s="7" t="inlineStr">
        <is>
          <t>HYUNDAI</t>
        </is>
      </c>
      <c r="F3820" s="7" t="inlineStr">
        <is>
          <t>Santro</t>
        </is>
      </c>
      <c r="G3820" s="7" t="inlineStr">
        <is>
          <t>MOHAMMED GOUSE BASHA</t>
        </is>
      </c>
      <c r="H3820" s="7" t="inlineStr">
        <is>
          <t>Non-Captive</t>
        </is>
      </c>
      <c r="I3820" s="7" t="inlineStr">
        <is>
          <t>Tenali Srinivas</t>
        </is>
      </c>
      <c r="J3820" s="8" t="n">
        <v>2007</v>
      </c>
      <c r="K3820" s="9" t="n">
        <v>125425</v>
      </c>
      <c r="L3820" s="10" t="n">
        <v>81000</v>
      </c>
      <c r="M3820" s="10" t="n">
        <v>4920</v>
      </c>
      <c r="N3820" s="11">
        <f>IF(M3820="","",ROUND(M3820*1.18,2))</f>
        <v/>
      </c>
      <c r="O3820" s="12">
        <f>IF(M3820="","",ROUND(N3820-M3820,2))</f>
        <v/>
      </c>
      <c r="P3820" s="13">
        <f>IF(AND(A3820&lt;&gt;"",B3820&lt;&gt;""), A3820&amp;" · "&amp;B3820, "")</f>
        <v/>
      </c>
    </row>
    <row r="3821">
      <c r="A3821" s="6" t="inlineStr">
        <is>
          <t>FY27</t>
        </is>
      </c>
      <c r="B3821" s="6" t="inlineStr">
        <is>
          <t>Sep</t>
        </is>
      </c>
      <c r="C3821" s="6" t="inlineStr">
        <is>
          <t>AP/TS</t>
        </is>
      </c>
      <c r="D3821" s="7" t="inlineStr">
        <is>
          <t>AP39AQ6999</t>
        </is>
      </c>
      <c r="E3821" s="7" t="inlineStr">
        <is>
          <t>HONDA</t>
        </is>
      </c>
      <c r="F3821" s="7" t="inlineStr">
        <is>
          <t>WR-V</t>
        </is>
      </c>
      <c r="G3821" s="7" t="inlineStr">
        <is>
          <t>TENALI SRINIVAS</t>
        </is>
      </c>
      <c r="H3821" s="7" t="inlineStr">
        <is>
          <t>Non-Captive</t>
        </is>
      </c>
      <c r="I3821" s="7" t="inlineStr">
        <is>
          <t>Mohammed Gouse Basha</t>
        </is>
      </c>
      <c r="J3821" s="8" t="n">
        <v>2019</v>
      </c>
      <c r="K3821" s="9" t="n">
        <v>64463</v>
      </c>
      <c r="L3821" s="10" t="n">
        <v>200000</v>
      </c>
      <c r="M3821" s="10" t="n">
        <v>5740</v>
      </c>
      <c r="N3821" s="11">
        <f>IF(M3821="","",ROUND(M3821*1.18,2))</f>
        <v/>
      </c>
      <c r="O3821" s="12">
        <f>IF(M3821="","",ROUND(N3821-M3821,2))</f>
        <v/>
      </c>
      <c r="P3821" s="13">
        <f>IF(AND(A3821&lt;&gt;"",B3821&lt;&gt;""), A3821&amp;" · "&amp;B3821, "")</f>
        <v/>
      </c>
    </row>
    <row r="3822">
      <c r="A3822" s="6" t="inlineStr">
        <is>
          <t>FY27</t>
        </is>
      </c>
      <c r="B3822" s="6" t="inlineStr">
        <is>
          <t>Sep</t>
        </is>
      </c>
      <c r="C3822" s="6" t="inlineStr">
        <is>
          <t>AP/TS</t>
        </is>
      </c>
      <c r="D3822" s="7" t="inlineStr">
        <is>
          <t>AP39AW2689</t>
        </is>
      </c>
      <c r="E3822" s="7" t="inlineStr">
        <is>
          <t>HYUNDAI</t>
        </is>
      </c>
      <c r="F3822" s="7" t="inlineStr">
        <is>
          <t>i20</t>
        </is>
      </c>
      <c r="G3822" s="7" t="inlineStr">
        <is>
          <t>EXCHANGE</t>
        </is>
      </c>
      <c r="H3822" s="7" t="inlineStr">
        <is>
          <t>Captive</t>
        </is>
      </c>
      <c r="I3822" s="7" t="inlineStr">
        <is>
          <t>B Venkata Rao</t>
        </is>
      </c>
      <c r="J3822" s="8" t="n">
        <v>2019</v>
      </c>
      <c r="K3822" s="9" t="n">
        <v>77846</v>
      </c>
      <c r="L3822" s="10" t="n">
        <v>430000</v>
      </c>
      <c r="M3822" s="10" t="n">
        <v>8200</v>
      </c>
      <c r="N3822" s="11">
        <f>IF(M3822="","",ROUND(M3822*1.18,2))</f>
        <v/>
      </c>
      <c r="O3822" s="12">
        <f>IF(M3822="","",ROUND(N3822-M3822,2))</f>
        <v/>
      </c>
      <c r="P3822" s="13">
        <f>IF(AND(A3822&lt;&gt;"",B3822&lt;&gt;""), A3822&amp;" · "&amp;B3822, "")</f>
        <v/>
      </c>
    </row>
    <row r="3823">
      <c r="A3823" s="6" t="inlineStr">
        <is>
          <t>FY27</t>
        </is>
      </c>
      <c r="B3823" s="6" t="inlineStr">
        <is>
          <t>Sep</t>
        </is>
      </c>
      <c r="C3823" s="6" t="inlineStr">
        <is>
          <t>AP/TS</t>
        </is>
      </c>
      <c r="D3823" s="7" t="inlineStr">
        <is>
          <t>AP39LU4009</t>
        </is>
      </c>
      <c r="E3823" s="7" t="inlineStr">
        <is>
          <t>MARUTI SUZUKI</t>
        </is>
      </c>
      <c r="F3823" s="7" t="inlineStr">
        <is>
          <t>XL6</t>
        </is>
      </c>
      <c r="G3823" s="7" t="inlineStr">
        <is>
          <t>EXCHANGE</t>
        </is>
      </c>
      <c r="H3823" s="7" t="inlineStr">
        <is>
          <t>Captive</t>
        </is>
      </c>
      <c r="I3823" s="7" t="inlineStr">
        <is>
          <t>Manku Tharaka Rama Rao</t>
        </is>
      </c>
      <c r="J3823" s="8" t="n">
        <v>2021</v>
      </c>
      <c r="K3823" s="9" t="n">
        <v>68301</v>
      </c>
      <c r="L3823" s="10" t="n">
        <v>515000</v>
      </c>
      <c r="M3823" s="10" t="n">
        <v>12300</v>
      </c>
      <c r="N3823" s="11">
        <f>IF(M3823="","",ROUND(M3823*1.18,2))</f>
        <v/>
      </c>
      <c r="O3823" s="12">
        <f>IF(M3823="","",ROUND(N3823-M3823,2))</f>
        <v/>
      </c>
      <c r="P3823" s="13">
        <f>IF(AND(A3823&lt;&gt;"",B3823&lt;&gt;""), A3823&amp;" · "&amp;B3823, "")</f>
        <v/>
      </c>
    </row>
    <row r="3824">
      <c r="A3824" s="6" t="inlineStr">
        <is>
          <t>FY27</t>
        </is>
      </c>
      <c r="B3824" s="6" t="inlineStr">
        <is>
          <t>Sep</t>
        </is>
      </c>
      <c r="C3824" s="6" t="inlineStr">
        <is>
          <t>AP/TS</t>
        </is>
      </c>
      <c r="D3824" s="7" t="inlineStr">
        <is>
          <t>AP39NQ8364</t>
        </is>
      </c>
      <c r="E3824" s="7" t="inlineStr">
        <is>
          <t>MARUTI SUZUKI</t>
        </is>
      </c>
      <c r="F3824" s="7" t="inlineStr">
        <is>
          <t>Eeco</t>
        </is>
      </c>
      <c r="G3824" s="7" t="inlineStr">
        <is>
          <t>KESIREDDY SAIKIRAN</t>
        </is>
      </c>
      <c r="H3824" s="7" t="inlineStr">
        <is>
          <t>Non-Captive</t>
        </is>
      </c>
      <c r="I3824" s="7" t="inlineStr">
        <is>
          <t>B Venkata Rao</t>
        </is>
      </c>
      <c r="J3824" s="8" t="n">
        <v>2021</v>
      </c>
      <c r="K3824" s="9" t="n">
        <v>41970</v>
      </c>
      <c r="L3824" s="10" t="n">
        <v>196000</v>
      </c>
      <c r="M3824" s="10" t="n">
        <v>4920</v>
      </c>
      <c r="N3824" s="11">
        <f>IF(M3824="","",ROUND(M3824*1.18,2))</f>
        <v/>
      </c>
      <c r="O3824" s="12">
        <f>IF(M3824="","",ROUND(N3824-M3824,2))</f>
        <v/>
      </c>
      <c r="P3824" s="13">
        <f>IF(AND(A3824&lt;&gt;"",B3824&lt;&gt;""), A3824&amp;" · "&amp;B3824, "")</f>
        <v/>
      </c>
    </row>
    <row r="3825">
      <c r="A3825" s="6" t="inlineStr">
        <is>
          <t>FY27</t>
        </is>
      </c>
      <c r="B3825" s="6" t="inlineStr">
        <is>
          <t>Sep</t>
        </is>
      </c>
      <c r="C3825" s="6" t="inlineStr">
        <is>
          <t>AP/TS</t>
        </is>
      </c>
      <c r="D3825" s="7" t="inlineStr">
        <is>
          <t>TS07GV2665</t>
        </is>
      </c>
      <c r="E3825" s="7" t="inlineStr">
        <is>
          <t>MARUTI SUZUKI</t>
        </is>
      </c>
      <c r="F3825" s="7" t="inlineStr">
        <is>
          <t>Baleno</t>
        </is>
      </c>
      <c r="G3825" s="7" t="inlineStr">
        <is>
          <t>DODDI VIDYA SRI</t>
        </is>
      </c>
      <c r="H3825" s="7" t="inlineStr">
        <is>
          <t>Non-Captive</t>
        </is>
      </c>
      <c r="I3825" s="7" t="inlineStr">
        <is>
          <t>Zaheed Mohiuddin</t>
        </is>
      </c>
      <c r="J3825" s="8" t="n">
        <v>2019</v>
      </c>
      <c r="K3825" s="9" t="n">
        <v>97986</v>
      </c>
      <c r="L3825" s="10" t="n">
        <v>355000</v>
      </c>
      <c r="M3825" s="10" t="n">
        <v>4100</v>
      </c>
      <c r="N3825" s="11">
        <f>IF(M3825="","",ROUND(M3825*1.18,2))</f>
        <v/>
      </c>
      <c r="O3825" s="12">
        <f>IF(M3825="","",ROUND(N3825-M3825,2))</f>
        <v/>
      </c>
      <c r="P3825" s="13">
        <f>IF(AND(A3825&lt;&gt;"",B3825&lt;&gt;""), A3825&amp;" · "&amp;B3825, "")</f>
        <v/>
      </c>
    </row>
    <row r="3826">
      <c r="A3826" s="6" t="inlineStr">
        <is>
          <t>FY27</t>
        </is>
      </c>
      <c r="B3826" s="6" t="inlineStr">
        <is>
          <t>Sep</t>
        </is>
      </c>
      <c r="C3826" s="6" t="inlineStr">
        <is>
          <t>AP/TS</t>
        </is>
      </c>
      <c r="D3826" s="7" t="inlineStr">
        <is>
          <t>TS08EN9738</t>
        </is>
      </c>
      <c r="E3826" s="7" t="inlineStr">
        <is>
          <t>NISSAN</t>
        </is>
      </c>
      <c r="F3826" s="7" t="inlineStr">
        <is>
          <t>Go</t>
        </is>
      </c>
      <c r="G3826" s="7" t="inlineStr">
        <is>
          <t>PUDARI BABU</t>
        </is>
      </c>
      <c r="H3826" s="7" t="inlineStr">
        <is>
          <t>Non-Captive</t>
        </is>
      </c>
      <c r="I3826" s="7" t="inlineStr">
        <is>
          <t>Odapally Sandeep</t>
        </is>
      </c>
      <c r="J3826" s="8" t="n">
        <v>2015</v>
      </c>
      <c r="K3826" s="9" t="n">
        <v>53375</v>
      </c>
      <c r="L3826" s="10" t="n">
        <v>90000</v>
      </c>
      <c r="M3826" s="10" t="n">
        <v>4100</v>
      </c>
      <c r="N3826" s="11">
        <f>IF(M3826="","",ROUND(M3826*1.18,2))</f>
        <v/>
      </c>
      <c r="O3826" s="12">
        <f>IF(M3826="","",ROUND(N3826-M3826,2))</f>
        <v/>
      </c>
      <c r="P3826" s="13">
        <f>IF(AND(A3826&lt;&gt;"",B3826&lt;&gt;""), A3826&amp;" · "&amp;B3826, "")</f>
        <v/>
      </c>
    </row>
    <row r="3827">
      <c r="A3827" s="6" t="inlineStr">
        <is>
          <t>FY27</t>
        </is>
      </c>
      <c r="B3827" s="6" t="inlineStr">
        <is>
          <t>Sep</t>
        </is>
      </c>
      <c r="C3827" s="6" t="inlineStr">
        <is>
          <t>AP/TS</t>
        </is>
      </c>
      <c r="D3827" s="7" t="inlineStr">
        <is>
          <t>TS08HP3069</t>
        </is>
      </c>
      <c r="E3827" s="7" t="inlineStr">
        <is>
          <t>JEEP</t>
        </is>
      </c>
      <c r="F3827" s="7" t="inlineStr">
        <is>
          <t>Compass</t>
        </is>
      </c>
      <c r="G3827" s="7" t="inlineStr">
        <is>
          <t>GUDAPATI SURESH KUMAR</t>
        </is>
      </c>
      <c r="H3827" s="7" t="inlineStr">
        <is>
          <t>Non-Captive</t>
        </is>
      </c>
      <c r="I3827" s="7" t="inlineStr">
        <is>
          <t>Prestige Carz</t>
        </is>
      </c>
      <c r="J3827" s="8" t="n">
        <v>2021</v>
      </c>
      <c r="K3827" s="9" t="n">
        <v>91000</v>
      </c>
      <c r="L3827" s="10" t="n">
        <v>860000</v>
      </c>
      <c r="M3827" s="10" t="n">
        <v>8200</v>
      </c>
      <c r="N3827" s="11">
        <f>IF(M3827="","",ROUND(M3827*1.18,2))</f>
        <v/>
      </c>
      <c r="O3827" s="12">
        <f>IF(M3827="","",ROUND(N3827-M3827,2))</f>
        <v/>
      </c>
      <c r="P3827" s="13">
        <f>IF(AND(A3827&lt;&gt;"",B3827&lt;&gt;""), A3827&amp;" · "&amp;B3827, "")</f>
        <v/>
      </c>
    </row>
    <row r="3828">
      <c r="A3828" s="6" t="inlineStr">
        <is>
          <t>FY27</t>
        </is>
      </c>
      <c r="B3828" s="6" t="inlineStr">
        <is>
          <t>Sep</t>
        </is>
      </c>
      <c r="C3828" s="6" t="inlineStr">
        <is>
          <t>AP/TS</t>
        </is>
      </c>
      <c r="D3828" s="7" t="inlineStr">
        <is>
          <t>TS08JR0236</t>
        </is>
      </c>
      <c r="E3828" s="7" t="inlineStr">
        <is>
          <t>MAHINDRA</t>
        </is>
      </c>
      <c r="F3828" s="7" t="inlineStr">
        <is>
          <t>XUV700</t>
        </is>
      </c>
      <c r="G3828" s="7" t="inlineStr">
        <is>
          <t>SAI ROSHAN</t>
        </is>
      </c>
      <c r="H3828" s="7" t="inlineStr">
        <is>
          <t>Non-Captive</t>
        </is>
      </c>
      <c r="I3828" s="7" t="inlineStr">
        <is>
          <t>Umahesh</t>
        </is>
      </c>
      <c r="J3828" s="8" t="n">
        <v>2023</v>
      </c>
      <c r="K3828" s="9" t="n">
        <v>46789</v>
      </c>
      <c r="L3828" s="10" t="n">
        <v>1700000</v>
      </c>
      <c r="M3828" s="10" t="n">
        <v>8200</v>
      </c>
      <c r="N3828" s="11">
        <f>IF(M3828="","",ROUND(M3828*1.18,2))</f>
        <v/>
      </c>
      <c r="O3828" s="12">
        <f>IF(M3828="","",ROUND(N3828-M3828,2))</f>
        <v/>
      </c>
      <c r="P3828" s="13">
        <f>IF(AND(A3828&lt;&gt;"",B3828&lt;&gt;""), A3828&amp;" · "&amp;B3828, "")</f>
        <v/>
      </c>
    </row>
    <row r="3829">
      <c r="A3829" s="6" t="inlineStr">
        <is>
          <t>FY27</t>
        </is>
      </c>
      <c r="B3829" s="6" t="inlineStr">
        <is>
          <t>Sep</t>
        </is>
      </c>
      <c r="C3829" s="6" t="inlineStr">
        <is>
          <t>AP/TS</t>
        </is>
      </c>
      <c r="D3829" s="7" t="inlineStr">
        <is>
          <t>TS09EE3617</t>
        </is>
      </c>
      <c r="E3829" s="7" t="inlineStr">
        <is>
          <t>HYUNDAI</t>
        </is>
      </c>
      <c r="F3829" s="7" t="inlineStr">
        <is>
          <t>i20</t>
        </is>
      </c>
      <c r="G3829" s="7" t="inlineStr">
        <is>
          <t>EXCHANGE</t>
        </is>
      </c>
      <c r="H3829" s="7" t="inlineStr">
        <is>
          <t>Captive</t>
        </is>
      </c>
      <c r="I3829" s="7" t="inlineStr">
        <is>
          <t>Prabjyoth Singh Wasu</t>
        </is>
      </c>
      <c r="J3829" s="8" t="n">
        <v>2015</v>
      </c>
      <c r="K3829" s="9" t="n">
        <v>37053</v>
      </c>
      <c r="L3829" s="10" t="n">
        <v>325000</v>
      </c>
      <c r="M3829" s="10" t="n">
        <v>8200</v>
      </c>
      <c r="N3829" s="11">
        <f>IF(M3829="","",ROUND(M3829*1.18,2))</f>
        <v/>
      </c>
      <c r="O3829" s="12">
        <f>IF(M3829="","",ROUND(N3829-M3829,2))</f>
        <v/>
      </c>
      <c r="P3829" s="13">
        <f>IF(AND(A3829&lt;&gt;"",B3829&lt;&gt;""), A3829&amp;" · "&amp;B3829, "")</f>
        <v/>
      </c>
    </row>
    <row r="3830">
      <c r="A3830" s="6" t="inlineStr">
        <is>
          <t>FY27</t>
        </is>
      </c>
      <c r="B3830" s="6" t="inlineStr">
        <is>
          <t>Sep</t>
        </is>
      </c>
      <c r="C3830" s="6" t="inlineStr">
        <is>
          <t>AP/TS</t>
        </is>
      </c>
      <c r="D3830" s="7" t="inlineStr">
        <is>
          <t>TS09EM1006</t>
        </is>
      </c>
      <c r="E3830" s="7" t="inlineStr">
        <is>
          <t>MARUTI SUZUKI</t>
        </is>
      </c>
      <c r="F3830" s="7" t="inlineStr">
        <is>
          <t>Dzire</t>
        </is>
      </c>
      <c r="G3830" s="7" t="inlineStr">
        <is>
          <t>EXCHANGE</t>
        </is>
      </c>
      <c r="H3830" s="7" t="inlineStr">
        <is>
          <t>Captive</t>
        </is>
      </c>
      <c r="I3830" s="7" t="inlineStr">
        <is>
          <t>Janagama Srinivas</t>
        </is>
      </c>
      <c r="J3830" s="8" t="n">
        <v>2016</v>
      </c>
      <c r="K3830" s="9" t="n">
        <v>104567</v>
      </c>
      <c r="L3830" s="10" t="n">
        <v>310000</v>
      </c>
      <c r="M3830" s="10" t="n">
        <v>8200</v>
      </c>
      <c r="N3830" s="11">
        <f>IF(M3830="","",ROUND(M3830*1.18,2))</f>
        <v/>
      </c>
      <c r="O3830" s="12">
        <f>IF(M3830="","",ROUND(N3830-M3830,2))</f>
        <v/>
      </c>
      <c r="P3830" s="13">
        <f>IF(AND(A3830&lt;&gt;"",B3830&lt;&gt;""), A3830&amp;" · "&amp;B3830, "")</f>
        <v/>
      </c>
    </row>
    <row r="3831">
      <c r="A3831" s="6" t="inlineStr">
        <is>
          <t>FY27</t>
        </is>
      </c>
      <c r="B3831" s="6" t="inlineStr">
        <is>
          <t>Sep</t>
        </is>
      </c>
      <c r="C3831" s="6" t="inlineStr">
        <is>
          <t>AP/TS</t>
        </is>
      </c>
      <c r="D3831" s="7" t="inlineStr">
        <is>
          <t>TS10ED1263</t>
        </is>
      </c>
      <c r="E3831" s="7" t="inlineStr">
        <is>
          <t>RENAULT</t>
        </is>
      </c>
      <c r="F3831" s="7" t="inlineStr">
        <is>
          <t>Pulse</t>
        </is>
      </c>
      <c r="G3831" s="7" t="inlineStr">
        <is>
          <t>PUDARI BABU</t>
        </is>
      </c>
      <c r="H3831" s="7" t="inlineStr">
        <is>
          <t>Non-Captive</t>
        </is>
      </c>
      <c r="I3831" s="7" t="inlineStr">
        <is>
          <t>Odapally Sandeep</t>
        </is>
      </c>
      <c r="J3831" s="8" t="n">
        <v>2015</v>
      </c>
      <c r="K3831" s="9" t="n">
        <v>76815</v>
      </c>
      <c r="L3831" s="10" t="n">
        <v>85000</v>
      </c>
      <c r="M3831" s="10" t="n">
        <v>4100</v>
      </c>
      <c r="N3831" s="11">
        <f>IF(M3831="","",ROUND(M3831*1.18,2))</f>
        <v/>
      </c>
      <c r="O3831" s="12">
        <f>IF(M3831="","",ROUND(N3831-M3831,2))</f>
        <v/>
      </c>
      <c r="P3831" s="13">
        <f>IF(AND(A3831&lt;&gt;"",B3831&lt;&gt;""), A3831&amp;" · "&amp;B3831, "")</f>
        <v/>
      </c>
    </row>
    <row r="3832">
      <c r="A3832" s="6" t="inlineStr">
        <is>
          <t>FY27</t>
        </is>
      </c>
      <c r="B3832" s="6" t="inlineStr">
        <is>
          <t>Sep</t>
        </is>
      </c>
      <c r="C3832" s="6" t="inlineStr">
        <is>
          <t>AP/TS</t>
        </is>
      </c>
      <c r="D3832" s="7" t="inlineStr">
        <is>
          <t>TS11EQ1468</t>
        </is>
      </c>
      <c r="E3832" s="7" t="inlineStr">
        <is>
          <t>MAHINDRA</t>
        </is>
      </c>
      <c r="F3832" s="7" t="inlineStr">
        <is>
          <t>XUV500</t>
        </is>
      </c>
      <c r="G3832" s="7" t="inlineStr">
        <is>
          <t>ZAHEED MOHIUDDIN</t>
        </is>
      </c>
      <c r="H3832" s="7" t="inlineStr">
        <is>
          <t>Non-Captive</t>
        </is>
      </c>
      <c r="I3832" s="7" t="inlineStr">
        <is>
          <t>A Surya Vidya Devi</t>
        </is>
      </c>
      <c r="J3832" s="8" t="n">
        <v>2018</v>
      </c>
      <c r="K3832" s="9" t="n">
        <v>167890</v>
      </c>
      <c r="L3832" s="10" t="n">
        <v>540000</v>
      </c>
      <c r="M3832" s="10" t="n">
        <v>8200</v>
      </c>
      <c r="N3832" s="11">
        <f>IF(M3832="","",ROUND(M3832*1.18,2))</f>
        <v/>
      </c>
      <c r="O3832" s="12">
        <f>IF(M3832="","",ROUND(N3832-M3832,2))</f>
        <v/>
      </c>
      <c r="P3832" s="13">
        <f>IF(AND(A3832&lt;&gt;"",B3832&lt;&gt;""), A3832&amp;" · "&amp;B3832, "")</f>
        <v/>
      </c>
    </row>
    <row r="3833">
      <c r="A3833" s="6" t="inlineStr">
        <is>
          <t>FY27</t>
        </is>
      </c>
      <c r="B3833" s="6" t="inlineStr">
        <is>
          <t>Sep</t>
        </is>
      </c>
      <c r="C3833" s="6" t="inlineStr">
        <is>
          <t>Kerala</t>
        </is>
      </c>
      <c r="D3833" s="7" t="inlineStr">
        <is>
          <t>KL01AU2590</t>
        </is>
      </c>
      <c r="E3833" s="7" t="inlineStr">
        <is>
          <t>CHEVROLET</t>
        </is>
      </c>
      <c r="F3833" s="7" t="inlineStr">
        <is>
          <t>Spark</t>
        </is>
      </c>
      <c r="G3833" s="7" t="inlineStr">
        <is>
          <t>POPULAR MARUTI</t>
        </is>
      </c>
      <c r="H3833" s="7" t="inlineStr">
        <is>
          <t>Non-Captive</t>
        </is>
      </c>
      <c r="I3833" s="7" t="inlineStr">
        <is>
          <t>Abhilash</t>
        </is>
      </c>
      <c r="J3833" s="8" t="n"/>
      <c r="K3833" s="9" t="n">
        <v>66728</v>
      </c>
      <c r="L3833" s="10" t="n">
        <v>30000</v>
      </c>
      <c r="M3833" s="10" t="n">
        <v>8474.58</v>
      </c>
      <c r="N3833" s="11">
        <f>IF(M3833="","",ROUND(M3833*1.18,2))</f>
        <v/>
      </c>
      <c r="O3833" s="12">
        <f>IF(M3833="","",ROUND(N3833-M3833,2))</f>
        <v/>
      </c>
      <c r="P3833" s="13">
        <f>IF(AND(A3833&lt;&gt;"",B3833&lt;&gt;""), A3833&amp;" · "&amp;B3833, "")</f>
        <v/>
      </c>
    </row>
    <row r="3834">
      <c r="A3834" s="6" t="inlineStr">
        <is>
          <t>FY27</t>
        </is>
      </c>
      <c r="B3834" s="6" t="inlineStr">
        <is>
          <t>Sep</t>
        </is>
      </c>
      <c r="C3834" s="6" t="inlineStr">
        <is>
          <t>Kerala</t>
        </is>
      </c>
      <c r="D3834" s="7" t="inlineStr">
        <is>
          <t>KL01AY4410</t>
        </is>
      </c>
      <c r="E3834" s="7" t="inlineStr">
        <is>
          <t>MARUTI SUZUKI</t>
        </is>
      </c>
      <c r="F3834" s="7" t="inlineStr">
        <is>
          <t>Dzire</t>
        </is>
      </c>
      <c r="G3834" s="7" t="inlineStr">
        <is>
          <t>POPULAR MARUTI</t>
        </is>
      </c>
      <c r="H3834" s="7" t="inlineStr">
        <is>
          <t>Non-Captive</t>
        </is>
      </c>
      <c r="I3834" s="7" t="inlineStr">
        <is>
          <t>PRAJOD</t>
        </is>
      </c>
      <c r="J3834" s="8" t="n"/>
      <c r="K3834" s="9" t="n">
        <v>170000</v>
      </c>
      <c r="L3834" s="10" t="n">
        <v>115000</v>
      </c>
      <c r="M3834" s="10" t="n">
        <v>8474.58</v>
      </c>
      <c r="N3834" s="11">
        <f>IF(M3834="","",ROUND(M3834*1.18,2))</f>
        <v/>
      </c>
      <c r="O3834" s="12">
        <f>IF(M3834="","",ROUND(N3834-M3834,2))</f>
        <v/>
      </c>
      <c r="P3834" s="13">
        <f>IF(AND(A3834&lt;&gt;"",B3834&lt;&gt;""), A3834&amp;" · "&amp;B3834, "")</f>
        <v/>
      </c>
    </row>
    <row r="3835">
      <c r="A3835" s="6" t="inlineStr">
        <is>
          <t>FY27</t>
        </is>
      </c>
      <c r="B3835" s="6" t="inlineStr">
        <is>
          <t>Sep</t>
        </is>
      </c>
      <c r="C3835" s="6" t="inlineStr">
        <is>
          <t>Kerala</t>
        </is>
      </c>
      <c r="D3835" s="7" t="inlineStr">
        <is>
          <t>KL01BM7073</t>
        </is>
      </c>
      <c r="E3835" s="7" t="inlineStr">
        <is>
          <t>MARUTI SUZUKI</t>
        </is>
      </c>
      <c r="F3835" s="7" t="inlineStr">
        <is>
          <t>Wagon R</t>
        </is>
      </c>
      <c r="G3835" s="7" t="inlineStr">
        <is>
          <t>LUXON TATA</t>
        </is>
      </c>
      <c r="H3835" s="7" t="inlineStr">
        <is>
          <t>Non-Captive</t>
        </is>
      </c>
      <c r="I3835" s="7" t="inlineStr">
        <is>
          <t>KISHORE</t>
        </is>
      </c>
      <c r="J3835" s="8" t="n"/>
      <c r="K3835" s="9" t="n">
        <v>81200</v>
      </c>
      <c r="L3835" s="10" t="n">
        <v>190000</v>
      </c>
      <c r="M3835" s="10" t="n">
        <v>8474.58</v>
      </c>
      <c r="N3835" s="11">
        <f>IF(M3835="","",ROUND(M3835*1.18,2))</f>
        <v/>
      </c>
      <c r="O3835" s="12">
        <f>IF(M3835="","",ROUND(N3835-M3835,2))</f>
        <v/>
      </c>
      <c r="P3835" s="13">
        <f>IF(AND(A3835&lt;&gt;"",B3835&lt;&gt;""), A3835&amp;" · "&amp;B3835, "")</f>
        <v/>
      </c>
    </row>
    <row r="3836">
      <c r="A3836" s="6" t="inlineStr">
        <is>
          <t>FY27</t>
        </is>
      </c>
      <c r="B3836" s="6" t="inlineStr">
        <is>
          <t>Sep</t>
        </is>
      </c>
      <c r="C3836" s="6" t="inlineStr">
        <is>
          <t>Kerala</t>
        </is>
      </c>
      <c r="D3836" s="7" t="inlineStr">
        <is>
          <t>KL01BM7329</t>
        </is>
      </c>
      <c r="E3836" s="7" t="inlineStr">
        <is>
          <t>MARUTI SUZUKI</t>
        </is>
      </c>
      <c r="F3836" s="7" t="inlineStr">
        <is>
          <t>Wagon R</t>
        </is>
      </c>
      <c r="G3836" s="7" t="inlineStr">
        <is>
          <t>POPULAR MARUTI</t>
        </is>
      </c>
      <c r="H3836" s="7" t="inlineStr">
        <is>
          <t>Non-Captive</t>
        </is>
      </c>
      <c r="I3836" s="7" t="inlineStr">
        <is>
          <t>MUHAMMED NASIM</t>
        </is>
      </c>
      <c r="J3836" s="8" t="n"/>
      <c r="K3836" s="9" t="n">
        <v>110000</v>
      </c>
      <c r="L3836" s="10" t="n">
        <v>192000</v>
      </c>
      <c r="M3836" s="10" t="n">
        <v>5932.2</v>
      </c>
      <c r="N3836" s="11">
        <f>IF(M3836="","",ROUND(M3836*1.18,2))</f>
        <v/>
      </c>
      <c r="O3836" s="12">
        <f>IF(M3836="","",ROUND(N3836-M3836,2))</f>
        <v/>
      </c>
      <c r="P3836" s="13">
        <f>IF(AND(A3836&lt;&gt;"",B3836&lt;&gt;""), A3836&amp;" · "&amp;B3836, "")</f>
        <v/>
      </c>
    </row>
    <row r="3837">
      <c r="A3837" s="6" t="inlineStr">
        <is>
          <t>FY27</t>
        </is>
      </c>
      <c r="B3837" s="6" t="inlineStr">
        <is>
          <t>Sep</t>
        </is>
      </c>
      <c r="C3837" s="6" t="inlineStr">
        <is>
          <t>Kerala</t>
        </is>
      </c>
      <c r="D3837" s="7" t="inlineStr">
        <is>
          <t>KL01BN5277</t>
        </is>
      </c>
      <c r="E3837" s="7" t="inlineStr">
        <is>
          <t>HYUNDAI</t>
        </is>
      </c>
      <c r="F3837" s="7" t="inlineStr">
        <is>
          <t>Grand i10</t>
        </is>
      </c>
      <c r="G3837" s="7" t="inlineStr">
        <is>
          <t>POPULAR HYUNDAI</t>
        </is>
      </c>
      <c r="H3837" s="7" t="inlineStr">
        <is>
          <t>Non-Captive</t>
        </is>
      </c>
      <c r="I3837" s="7" t="inlineStr">
        <is>
          <t>Manoj-Green Light Pre Owned Cars</t>
        </is>
      </c>
      <c r="J3837" s="8" t="n"/>
      <c r="K3837" s="9" t="n">
        <v>59333</v>
      </c>
      <c r="L3837" s="10" t="n">
        <v>235000</v>
      </c>
      <c r="M3837" s="10" t="n">
        <v>8474.58</v>
      </c>
      <c r="N3837" s="11">
        <f>IF(M3837="","",ROUND(M3837*1.18,2))</f>
        <v/>
      </c>
      <c r="O3837" s="12">
        <f>IF(M3837="","",ROUND(N3837-M3837,2))</f>
        <v/>
      </c>
      <c r="P3837" s="13">
        <f>IF(AND(A3837&lt;&gt;"",B3837&lt;&gt;""), A3837&amp;" · "&amp;B3837, "")</f>
        <v/>
      </c>
    </row>
    <row r="3838">
      <c r="A3838" s="6" t="inlineStr">
        <is>
          <t>FY27</t>
        </is>
      </c>
      <c r="B3838" s="6" t="inlineStr">
        <is>
          <t>Sep</t>
        </is>
      </c>
      <c r="C3838" s="6" t="inlineStr">
        <is>
          <t>Kerala</t>
        </is>
      </c>
      <c r="D3838" s="7" t="inlineStr">
        <is>
          <t>KL01BU3593</t>
        </is>
      </c>
      <c r="E3838" s="7" t="inlineStr">
        <is>
          <t>MARUTI SUZUKI</t>
        </is>
      </c>
      <c r="F3838" s="7" t="inlineStr">
        <is>
          <t>Alto K10</t>
        </is>
      </c>
      <c r="G3838" s="7" t="inlineStr">
        <is>
          <t>LUXON TATA</t>
        </is>
      </c>
      <c r="H3838" s="7" t="inlineStr">
        <is>
          <t>Non-Captive</t>
        </is>
      </c>
      <c r="I3838" s="7" t="inlineStr">
        <is>
          <t>PRAJOD</t>
        </is>
      </c>
      <c r="J3838" s="8" t="n"/>
      <c r="K3838" s="9" t="n">
        <v>102000</v>
      </c>
      <c r="L3838" s="10" t="n">
        <v>150000</v>
      </c>
      <c r="M3838" s="10" t="n">
        <v>8474.58</v>
      </c>
      <c r="N3838" s="11">
        <f>IF(M3838="","",ROUND(M3838*1.18,2))</f>
        <v/>
      </c>
      <c r="O3838" s="12">
        <f>IF(M3838="","",ROUND(N3838-M3838,2))</f>
        <v/>
      </c>
      <c r="P3838" s="13">
        <f>IF(AND(A3838&lt;&gt;"",B3838&lt;&gt;""), A3838&amp;" · "&amp;B3838, "")</f>
        <v/>
      </c>
    </row>
    <row r="3839">
      <c r="A3839" s="6" t="inlineStr">
        <is>
          <t>FY27</t>
        </is>
      </c>
      <c r="B3839" s="6" t="inlineStr">
        <is>
          <t>Sep</t>
        </is>
      </c>
      <c r="C3839" s="6" t="inlineStr">
        <is>
          <t>Kerala</t>
        </is>
      </c>
      <c r="D3839" s="7" t="inlineStr">
        <is>
          <t>KL01CV5037</t>
        </is>
      </c>
      <c r="E3839" s="7" t="inlineStr">
        <is>
          <t>RENAULT</t>
        </is>
      </c>
      <c r="F3839" s="7" t="inlineStr">
        <is>
          <t>Kiger</t>
        </is>
      </c>
      <c r="G3839" s="7" t="inlineStr">
        <is>
          <t>UCD VARUN</t>
        </is>
      </c>
      <c r="H3839" s="7" t="inlineStr">
        <is>
          <t>Non-Captive</t>
        </is>
      </c>
      <c r="I3839" s="7" t="inlineStr">
        <is>
          <t>Ligesh P M</t>
        </is>
      </c>
      <c r="J3839" s="8" t="n"/>
      <c r="K3839" s="9" t="n">
        <v>35000</v>
      </c>
      <c r="L3839" s="10" t="n">
        <v>610000</v>
      </c>
      <c r="M3839" s="10" t="n">
        <v>8474.58</v>
      </c>
      <c r="N3839" s="11">
        <f>IF(M3839="","",ROUND(M3839*1.18,2))</f>
        <v/>
      </c>
      <c r="O3839" s="12">
        <f>IF(M3839="","",ROUND(N3839-M3839,2))</f>
        <v/>
      </c>
      <c r="P3839" s="13">
        <f>IF(AND(A3839&lt;&gt;"",B3839&lt;&gt;""), A3839&amp;" · "&amp;B3839, "")</f>
        <v/>
      </c>
    </row>
    <row r="3840">
      <c r="A3840" s="6" t="inlineStr">
        <is>
          <t>FY27</t>
        </is>
      </c>
      <c r="B3840" s="6" t="inlineStr">
        <is>
          <t>Sep</t>
        </is>
      </c>
      <c r="C3840" s="6" t="inlineStr">
        <is>
          <t>Kerala</t>
        </is>
      </c>
      <c r="D3840" s="7" t="inlineStr">
        <is>
          <t>KL01DA0184</t>
        </is>
      </c>
      <c r="E3840" s="7" t="inlineStr">
        <is>
          <t>MARUTI SUZUKI</t>
        </is>
      </c>
      <c r="F3840" s="7" t="inlineStr">
        <is>
          <t>Vitara Brezza</t>
        </is>
      </c>
      <c r="G3840" s="7" t="inlineStr">
        <is>
          <t>ABHISHEK</t>
        </is>
      </c>
      <c r="H3840" s="7" t="inlineStr">
        <is>
          <t>Non-Captive</t>
        </is>
      </c>
      <c r="I3840" s="7" t="inlineStr">
        <is>
          <t>Sunil A</t>
        </is>
      </c>
      <c r="J3840" s="8" t="n"/>
      <c r="K3840" s="9" t="n">
        <v>23300</v>
      </c>
      <c r="L3840" s="10" t="n">
        <v>710000</v>
      </c>
      <c r="M3840" s="10" t="n">
        <v>8474.58</v>
      </c>
      <c r="N3840" s="11">
        <f>IF(M3840="","",ROUND(M3840*1.18,2))</f>
        <v/>
      </c>
      <c r="O3840" s="12">
        <f>IF(M3840="","",ROUND(N3840-M3840,2))</f>
        <v/>
      </c>
      <c r="P3840" s="13">
        <f>IF(AND(A3840&lt;&gt;"",B3840&lt;&gt;""), A3840&amp;" · "&amp;B3840, "")</f>
        <v/>
      </c>
    </row>
    <row r="3841">
      <c r="A3841" s="6" t="inlineStr">
        <is>
          <t>FY27</t>
        </is>
      </c>
      <c r="B3841" s="6" t="inlineStr">
        <is>
          <t>Sep</t>
        </is>
      </c>
      <c r="C3841" s="6" t="inlineStr">
        <is>
          <t>Kerala</t>
        </is>
      </c>
      <c r="D3841" s="7" t="inlineStr">
        <is>
          <t>KL01W0019</t>
        </is>
      </c>
      <c r="E3841" s="7" t="inlineStr">
        <is>
          <t>MARUTI SUZUKI</t>
        </is>
      </c>
      <c r="F3841" s="7" t="inlineStr">
        <is>
          <t>800</t>
        </is>
      </c>
      <c r="G3841" s="7" t="inlineStr">
        <is>
          <t>POPULAR MARUTI</t>
        </is>
      </c>
      <c r="H3841" s="7" t="inlineStr">
        <is>
          <t>Non-Captive</t>
        </is>
      </c>
      <c r="I3841" s="7" t="inlineStr">
        <is>
          <t>Abhilash G</t>
        </is>
      </c>
      <c r="J3841" s="8" t="n"/>
      <c r="K3841" s="9" t="n">
        <v>120000</v>
      </c>
      <c r="L3841" s="10" t="n">
        <v>25000</v>
      </c>
      <c r="M3841" s="10" t="n">
        <v>8474.58</v>
      </c>
      <c r="N3841" s="11">
        <f>IF(M3841="","",ROUND(M3841*1.18,2))</f>
        <v/>
      </c>
      <c r="O3841" s="12">
        <f>IF(M3841="","",ROUND(N3841-M3841,2))</f>
        <v/>
      </c>
      <c r="P3841" s="13">
        <f>IF(AND(A3841&lt;&gt;"",B3841&lt;&gt;""), A3841&amp;" · "&amp;B3841, "")</f>
        <v/>
      </c>
    </row>
    <row r="3842">
      <c r="A3842" s="6" t="inlineStr">
        <is>
          <t>FY27</t>
        </is>
      </c>
      <c r="B3842" s="6" t="inlineStr">
        <is>
          <t>Sep</t>
        </is>
      </c>
      <c r="C3842" s="6" t="inlineStr">
        <is>
          <t>Kerala</t>
        </is>
      </c>
      <c r="D3842" s="7" t="inlineStr">
        <is>
          <t>KL02AD2571</t>
        </is>
      </c>
      <c r="E3842" s="7" t="inlineStr">
        <is>
          <t>HYUNDAI</t>
        </is>
      </c>
      <c r="F3842" s="7" t="inlineStr">
        <is>
          <t>Santro</t>
        </is>
      </c>
      <c r="G3842" s="7" t="inlineStr">
        <is>
          <t>LUXON TATA</t>
        </is>
      </c>
      <c r="H3842" s="7" t="inlineStr">
        <is>
          <t>Non-Captive</t>
        </is>
      </c>
      <c r="I3842" s="7" t="inlineStr">
        <is>
          <t>SHAHAR</t>
        </is>
      </c>
      <c r="J3842" s="8" t="n"/>
      <c r="K3842" s="9" t="n">
        <v>83000</v>
      </c>
      <c r="L3842" s="10" t="n">
        <v>60000</v>
      </c>
      <c r="M3842" s="10" t="n">
        <v>6779.66</v>
      </c>
      <c r="N3842" s="11">
        <f>IF(M3842="","",ROUND(M3842*1.18,2))</f>
        <v/>
      </c>
      <c r="O3842" s="12">
        <f>IF(M3842="","",ROUND(N3842-M3842,2))</f>
        <v/>
      </c>
      <c r="P3842" s="13">
        <f>IF(AND(A3842&lt;&gt;"",B3842&lt;&gt;""), A3842&amp;" · "&amp;B3842, "")</f>
        <v/>
      </c>
    </row>
    <row r="3843">
      <c r="A3843" s="6" t="inlineStr">
        <is>
          <t>FY27</t>
        </is>
      </c>
      <c r="B3843" s="6" t="inlineStr">
        <is>
          <t>Sep</t>
        </is>
      </c>
      <c r="C3843" s="6" t="inlineStr">
        <is>
          <t>Kerala</t>
        </is>
      </c>
      <c r="D3843" s="7" t="inlineStr">
        <is>
          <t>KL02BD5182</t>
        </is>
      </c>
      <c r="E3843" s="7" t="inlineStr">
        <is>
          <t>RENAULT</t>
        </is>
      </c>
      <c r="F3843" s="7" t="inlineStr">
        <is>
          <t>Duster</t>
        </is>
      </c>
      <c r="G3843" s="7" t="inlineStr">
        <is>
          <t>MOTOXCHANGE</t>
        </is>
      </c>
      <c r="H3843" s="7" t="inlineStr">
        <is>
          <t>Non-Captive</t>
        </is>
      </c>
      <c r="I3843" s="7" t="inlineStr">
        <is>
          <t>HUSSAIN O E</t>
        </is>
      </c>
      <c r="J3843" s="8" t="n"/>
      <c r="K3843" s="9" t="n">
        <v>133000</v>
      </c>
      <c r="L3843" s="10" t="n">
        <v>380000</v>
      </c>
      <c r="M3843" s="10" t="n">
        <v>8474.58</v>
      </c>
      <c r="N3843" s="11">
        <f>IF(M3843="","",ROUND(M3843*1.18,2))</f>
        <v/>
      </c>
      <c r="O3843" s="12">
        <f>IF(M3843="","",ROUND(N3843-M3843,2))</f>
        <v/>
      </c>
      <c r="P3843" s="13">
        <f>IF(AND(A3843&lt;&gt;"",B3843&lt;&gt;""), A3843&amp;" · "&amp;B3843, "")</f>
        <v/>
      </c>
    </row>
    <row r="3844">
      <c r="A3844" s="6" t="inlineStr">
        <is>
          <t>FY27</t>
        </is>
      </c>
      <c r="B3844" s="6" t="inlineStr">
        <is>
          <t>Sep</t>
        </is>
      </c>
      <c r="C3844" s="6" t="inlineStr">
        <is>
          <t>Kerala</t>
        </is>
      </c>
      <c r="D3844" s="7" t="inlineStr">
        <is>
          <t>KL02BQ8457</t>
        </is>
      </c>
      <c r="E3844" s="7" t="inlineStr">
        <is>
          <t>TATA</t>
        </is>
      </c>
      <c r="F3844" s="7" t="inlineStr">
        <is>
          <t>Punch</t>
        </is>
      </c>
      <c r="G3844" s="7" t="inlineStr">
        <is>
          <t>PINNACLE NISSAN</t>
        </is>
      </c>
      <c r="H3844" s="7" t="inlineStr">
        <is>
          <t>Non-Captive</t>
        </is>
      </c>
      <c r="I3844" s="7" t="inlineStr">
        <is>
          <t>Arnold</t>
        </is>
      </c>
      <c r="J3844" s="8" t="n"/>
      <c r="K3844" s="9" t="n">
        <v>80000</v>
      </c>
      <c r="L3844" s="10" t="n">
        <v>428000</v>
      </c>
      <c r="M3844" s="10" t="n">
        <v>6779.66</v>
      </c>
      <c r="N3844" s="11">
        <f>IF(M3844="","",ROUND(M3844*1.18,2))</f>
        <v/>
      </c>
      <c r="O3844" s="12">
        <f>IF(M3844="","",ROUND(N3844-M3844,2))</f>
        <v/>
      </c>
      <c r="P3844" s="13">
        <f>IF(AND(A3844&lt;&gt;"",B3844&lt;&gt;""), A3844&amp;" · "&amp;B3844, "")</f>
        <v/>
      </c>
    </row>
    <row r="3845">
      <c r="A3845" s="6" t="inlineStr">
        <is>
          <t>FY27</t>
        </is>
      </c>
      <c r="B3845" s="6" t="inlineStr">
        <is>
          <t>Sep</t>
        </is>
      </c>
      <c r="C3845" s="6" t="inlineStr">
        <is>
          <t>Kerala</t>
        </is>
      </c>
      <c r="D3845" s="7" t="inlineStr">
        <is>
          <t>KL03U8683</t>
        </is>
      </c>
      <c r="E3845" s="7" t="inlineStr">
        <is>
          <t>VOLKSWAGEN</t>
        </is>
      </c>
      <c r="F3845" s="7" t="inlineStr">
        <is>
          <t>Polo</t>
        </is>
      </c>
      <c r="G3845" s="7" t="inlineStr">
        <is>
          <t>LUXON TATA</t>
        </is>
      </c>
      <c r="H3845" s="7" t="inlineStr">
        <is>
          <t>Non-Captive</t>
        </is>
      </c>
      <c r="I3845" s="7" t="inlineStr">
        <is>
          <t>ATHUL RAJ</t>
        </is>
      </c>
      <c r="J3845" s="8" t="n"/>
      <c r="K3845" s="9" t="n">
        <v>140000</v>
      </c>
      <c r="L3845" s="10" t="n">
        <v>82000</v>
      </c>
      <c r="M3845" s="10" t="n">
        <v>5932.2</v>
      </c>
      <c r="N3845" s="11">
        <f>IF(M3845="","",ROUND(M3845*1.18,2))</f>
        <v/>
      </c>
      <c r="O3845" s="12">
        <f>IF(M3845="","",ROUND(N3845-M3845,2))</f>
        <v/>
      </c>
      <c r="P3845" s="13">
        <f>IF(AND(A3845&lt;&gt;"",B3845&lt;&gt;""), A3845&amp;" · "&amp;B3845, "")</f>
        <v/>
      </c>
    </row>
    <row r="3846">
      <c r="A3846" s="6" t="inlineStr">
        <is>
          <t>FY27</t>
        </is>
      </c>
      <c r="B3846" s="6" t="inlineStr">
        <is>
          <t>Sep</t>
        </is>
      </c>
      <c r="C3846" s="6" t="inlineStr">
        <is>
          <t>Kerala</t>
        </is>
      </c>
      <c r="D3846" s="7" t="inlineStr">
        <is>
          <t>KL04AB3683</t>
        </is>
      </c>
      <c r="E3846" s="7" t="inlineStr">
        <is>
          <t>MARUTI SUZUKI</t>
        </is>
      </c>
      <c r="F3846" s="7" t="inlineStr">
        <is>
          <t>Dzire</t>
        </is>
      </c>
      <c r="G3846" s="7" t="inlineStr">
        <is>
          <t>POPULAR MARUTI</t>
        </is>
      </c>
      <c r="H3846" s="7" t="inlineStr">
        <is>
          <t>Non-Captive</t>
        </is>
      </c>
      <c r="I3846" s="7" t="inlineStr">
        <is>
          <t>DREAM DRIVE</t>
        </is>
      </c>
      <c r="J3846" s="8" t="n"/>
      <c r="K3846" s="9" t="n">
        <v>55443</v>
      </c>
      <c r="L3846" s="10" t="n">
        <v>110000</v>
      </c>
      <c r="M3846" s="10" t="n">
        <v>8474.58</v>
      </c>
      <c r="N3846" s="11">
        <f>IF(M3846="","",ROUND(M3846*1.18,2))</f>
        <v/>
      </c>
      <c r="O3846" s="12">
        <f>IF(M3846="","",ROUND(N3846-M3846,2))</f>
        <v/>
      </c>
      <c r="P3846" s="13">
        <f>IF(AND(A3846&lt;&gt;"",B3846&lt;&gt;""), A3846&amp;" · "&amp;B3846, "")</f>
        <v/>
      </c>
    </row>
    <row r="3847">
      <c r="A3847" s="6" t="inlineStr">
        <is>
          <t>FY27</t>
        </is>
      </c>
      <c r="B3847" s="6" t="inlineStr">
        <is>
          <t>Sep</t>
        </is>
      </c>
      <c r="C3847" s="6" t="inlineStr">
        <is>
          <t>Kerala</t>
        </is>
      </c>
      <c r="D3847" s="7" t="inlineStr">
        <is>
          <t>KL04AG2280</t>
        </is>
      </c>
      <c r="E3847" s="7" t="inlineStr">
        <is>
          <t>MARUTI SUZUKI</t>
        </is>
      </c>
      <c r="F3847" s="7" t="inlineStr">
        <is>
          <t>Swift</t>
        </is>
      </c>
      <c r="G3847" s="7" t="inlineStr">
        <is>
          <t>POPULAR MARUTI</t>
        </is>
      </c>
      <c r="H3847" s="7" t="inlineStr">
        <is>
          <t>Non-Captive</t>
        </is>
      </c>
      <c r="I3847" s="7" t="inlineStr">
        <is>
          <t>RAFEEK T A</t>
        </is>
      </c>
      <c r="J3847" s="8" t="n"/>
      <c r="K3847" s="9" t="n">
        <v>115000</v>
      </c>
      <c r="L3847" s="10" t="n">
        <v>285000</v>
      </c>
      <c r="M3847" s="10" t="n">
        <v>12711.86</v>
      </c>
      <c r="N3847" s="11">
        <f>IF(M3847="","",ROUND(M3847*1.18,2))</f>
        <v/>
      </c>
      <c r="O3847" s="12">
        <f>IF(M3847="","",ROUND(N3847-M3847,2))</f>
        <v/>
      </c>
      <c r="P3847" s="13">
        <f>IF(AND(A3847&lt;&gt;"",B3847&lt;&gt;""), A3847&amp;" · "&amp;B3847, "")</f>
        <v/>
      </c>
    </row>
    <row r="3848">
      <c r="A3848" s="6" t="inlineStr">
        <is>
          <t>FY27</t>
        </is>
      </c>
      <c r="B3848" s="6" t="inlineStr">
        <is>
          <t>Sep</t>
        </is>
      </c>
      <c r="C3848" s="6" t="inlineStr">
        <is>
          <t>Kerala</t>
        </is>
      </c>
      <c r="D3848" s="7" t="inlineStr">
        <is>
          <t>KL04L6652</t>
        </is>
      </c>
      <c r="E3848" s="7" t="inlineStr">
        <is>
          <t>MARUTI SUZUKI</t>
        </is>
      </c>
      <c r="F3848" s="7" t="inlineStr">
        <is>
          <t>800</t>
        </is>
      </c>
      <c r="G3848" s="7" t="inlineStr">
        <is>
          <t>POPULAR MARUTI</t>
        </is>
      </c>
      <c r="H3848" s="7" t="inlineStr">
        <is>
          <t>Non-Captive</t>
        </is>
      </c>
      <c r="I3848" s="7" t="inlineStr">
        <is>
          <t>Afsal</t>
        </is>
      </c>
      <c r="J3848" s="8" t="n"/>
      <c r="K3848" s="9" t="n">
        <v>156057</v>
      </c>
      <c r="L3848" s="10" t="n">
        <v>22500</v>
      </c>
      <c r="M3848" s="10" t="n">
        <v>6355.93</v>
      </c>
      <c r="N3848" s="11">
        <f>IF(M3848="","",ROUND(M3848*1.18,2))</f>
        <v/>
      </c>
      <c r="O3848" s="12">
        <f>IF(M3848="","",ROUND(N3848-M3848,2))</f>
        <v/>
      </c>
      <c r="P3848" s="13">
        <f>IF(AND(A3848&lt;&gt;"",B3848&lt;&gt;""), A3848&amp;" · "&amp;B3848, "")</f>
        <v/>
      </c>
    </row>
    <row r="3849">
      <c r="A3849" s="6" t="inlineStr">
        <is>
          <t>FY27</t>
        </is>
      </c>
      <c r="B3849" s="6" t="inlineStr">
        <is>
          <t>Sep</t>
        </is>
      </c>
      <c r="C3849" s="6" t="inlineStr">
        <is>
          <t>Kerala</t>
        </is>
      </c>
      <c r="D3849" s="7" t="inlineStr">
        <is>
          <t>KL04M3633</t>
        </is>
      </c>
      <c r="E3849" s="7" t="inlineStr">
        <is>
          <t>MARUTI SUZUKI</t>
        </is>
      </c>
      <c r="F3849" s="7" t="inlineStr">
        <is>
          <t>800</t>
        </is>
      </c>
      <c r="G3849" s="7" t="inlineStr">
        <is>
          <t>FORTUNE MG</t>
        </is>
      </c>
      <c r="H3849" s="7" t="inlineStr">
        <is>
          <t>Non-Captive</t>
        </is>
      </c>
      <c r="I3849" s="7" t="inlineStr">
        <is>
          <t>Bijeshlal</t>
        </is>
      </c>
      <c r="J3849" s="8" t="n"/>
      <c r="K3849" s="9" t="n">
        <v>84425</v>
      </c>
      <c r="L3849" s="10" t="n">
        <v>26000</v>
      </c>
      <c r="M3849" s="10" t="n">
        <v>5084.75</v>
      </c>
      <c r="N3849" s="11">
        <f>IF(M3849="","",ROUND(M3849*1.18,2))</f>
        <v/>
      </c>
      <c r="O3849" s="12">
        <f>IF(M3849="","",ROUND(N3849-M3849,2))</f>
        <v/>
      </c>
      <c r="P3849" s="13">
        <f>IF(AND(A3849&lt;&gt;"",B3849&lt;&gt;""), A3849&amp;" · "&amp;B3849, "")</f>
        <v/>
      </c>
    </row>
    <row r="3850">
      <c r="A3850" s="6" t="inlineStr">
        <is>
          <t>FY27</t>
        </is>
      </c>
      <c r="B3850" s="6" t="inlineStr">
        <is>
          <t>Sep</t>
        </is>
      </c>
      <c r="C3850" s="6" t="inlineStr">
        <is>
          <t>Kerala</t>
        </is>
      </c>
      <c r="D3850" s="7" t="inlineStr">
        <is>
          <t>KL05AG0977</t>
        </is>
      </c>
      <c r="E3850" s="7" t="inlineStr">
        <is>
          <t>HYUNDAI</t>
        </is>
      </c>
      <c r="F3850" s="7" t="inlineStr">
        <is>
          <t>Eon</t>
        </is>
      </c>
      <c r="G3850" s="7" t="inlineStr">
        <is>
          <t>AMRITH V CHANDY</t>
        </is>
      </c>
      <c r="H3850" s="7" t="inlineStr">
        <is>
          <t>Non-Captive</t>
        </is>
      </c>
      <c r="I3850" s="7" t="inlineStr">
        <is>
          <t>Albin Jose</t>
        </is>
      </c>
      <c r="J3850" s="8" t="n"/>
      <c r="K3850" s="9" t="n">
        <v>55464</v>
      </c>
      <c r="L3850" s="10" t="n">
        <v>135000</v>
      </c>
      <c r="M3850" s="10" t="n">
        <v>8474.58</v>
      </c>
      <c r="N3850" s="11">
        <f>IF(M3850="","",ROUND(M3850*1.18,2))</f>
        <v/>
      </c>
      <c r="O3850" s="12">
        <f>IF(M3850="","",ROUND(N3850-M3850,2))</f>
        <v/>
      </c>
      <c r="P3850" s="13">
        <f>IF(AND(A3850&lt;&gt;"",B3850&lt;&gt;""), A3850&amp;" · "&amp;B3850, "")</f>
        <v/>
      </c>
    </row>
    <row r="3851">
      <c r="A3851" s="6" t="inlineStr">
        <is>
          <t>FY27</t>
        </is>
      </c>
      <c r="B3851" s="6" t="inlineStr">
        <is>
          <t>Sep</t>
        </is>
      </c>
      <c r="C3851" s="6" t="inlineStr">
        <is>
          <t>Kerala</t>
        </is>
      </c>
      <c r="D3851" s="7" t="inlineStr">
        <is>
          <t>KL05AL8497</t>
        </is>
      </c>
      <c r="E3851" s="7" t="inlineStr">
        <is>
          <t>RENAULT</t>
        </is>
      </c>
      <c r="F3851" s="7" t="inlineStr">
        <is>
          <t>Duster</t>
        </is>
      </c>
      <c r="G3851" s="7" t="inlineStr">
        <is>
          <t>POPULAR MARUTI</t>
        </is>
      </c>
      <c r="H3851" s="7" t="inlineStr">
        <is>
          <t>Non-Captive</t>
        </is>
      </c>
      <c r="I3851" s="7" t="inlineStr">
        <is>
          <t>HUSSAIN O E</t>
        </is>
      </c>
      <c r="J3851" s="8" t="n"/>
      <c r="K3851" s="9" t="n">
        <v>141894</v>
      </c>
      <c r="L3851" s="10" t="n">
        <v>275000</v>
      </c>
      <c r="M3851" s="10" t="n">
        <v>8474.58</v>
      </c>
      <c r="N3851" s="11">
        <f>IF(M3851="","",ROUND(M3851*1.18,2))</f>
        <v/>
      </c>
      <c r="O3851" s="12">
        <f>IF(M3851="","",ROUND(N3851-M3851,2))</f>
        <v/>
      </c>
      <c r="P3851" s="13">
        <f>IF(AND(A3851&lt;&gt;"",B3851&lt;&gt;""), A3851&amp;" · "&amp;B3851, "")</f>
        <v/>
      </c>
    </row>
    <row r="3852">
      <c r="A3852" s="6" t="inlineStr">
        <is>
          <t>FY27</t>
        </is>
      </c>
      <c r="B3852" s="6" t="inlineStr">
        <is>
          <t>Sep</t>
        </is>
      </c>
      <c r="C3852" s="6" t="inlineStr">
        <is>
          <t>Kerala</t>
        </is>
      </c>
      <c r="D3852" s="7" t="inlineStr">
        <is>
          <t>KL05AR4381</t>
        </is>
      </c>
      <c r="E3852" s="7" t="inlineStr">
        <is>
          <t>MARUTI SUZUKI</t>
        </is>
      </c>
      <c r="F3852" s="7" t="inlineStr">
        <is>
          <t>Zen Estilo</t>
        </is>
      </c>
      <c r="G3852" s="7" t="inlineStr">
        <is>
          <t>POPULAR VEHICLES</t>
        </is>
      </c>
      <c r="H3852" s="7" t="inlineStr">
        <is>
          <t>Non-Captive</t>
        </is>
      </c>
      <c r="I3852" s="7" t="inlineStr">
        <is>
          <t>Anas Hameed</t>
        </is>
      </c>
      <c r="J3852" s="8" t="n"/>
      <c r="K3852" s="9" t="n">
        <v>94546</v>
      </c>
      <c r="L3852" s="10" t="n">
        <v>55000</v>
      </c>
      <c r="M3852" s="10" t="n">
        <v>8474.58</v>
      </c>
      <c r="N3852" s="11">
        <f>IF(M3852="","",ROUND(M3852*1.18,2))</f>
        <v/>
      </c>
      <c r="O3852" s="12">
        <f>IF(M3852="","",ROUND(N3852-M3852,2))</f>
        <v/>
      </c>
      <c r="P3852" s="13">
        <f>IF(AND(A3852&lt;&gt;"",B3852&lt;&gt;""), A3852&amp;" · "&amp;B3852, "")</f>
        <v/>
      </c>
    </row>
    <row r="3853">
      <c r="A3853" s="6" t="inlineStr">
        <is>
          <t>FY27</t>
        </is>
      </c>
      <c r="B3853" s="6" t="inlineStr">
        <is>
          <t>Sep</t>
        </is>
      </c>
      <c r="C3853" s="6" t="inlineStr">
        <is>
          <t>Kerala</t>
        </is>
      </c>
      <c r="D3853" s="7" t="inlineStr">
        <is>
          <t>KL05AS0907</t>
        </is>
      </c>
      <c r="E3853" s="7" t="inlineStr">
        <is>
          <t>MARUTI SUZUKI</t>
        </is>
      </c>
      <c r="F3853" s="7" t="inlineStr">
        <is>
          <t>Ignis</t>
        </is>
      </c>
      <c r="G3853" s="7" t="inlineStr">
        <is>
          <t>KIA</t>
        </is>
      </c>
      <c r="H3853" s="7" t="inlineStr">
        <is>
          <t>Non-Captive</t>
        </is>
      </c>
      <c r="I3853" s="7" t="inlineStr">
        <is>
          <t>4 Wheel Drive-Rafeek T A</t>
        </is>
      </c>
      <c r="J3853" s="8" t="n"/>
      <c r="K3853" s="9" t="n">
        <v>61867</v>
      </c>
      <c r="L3853" s="10" t="n">
        <v>365000</v>
      </c>
      <c r="M3853" s="10" t="n">
        <v>8474.58</v>
      </c>
      <c r="N3853" s="11">
        <f>IF(M3853="","",ROUND(M3853*1.18,2))</f>
        <v/>
      </c>
      <c r="O3853" s="12">
        <f>IF(M3853="","",ROUND(N3853-M3853,2))</f>
        <v/>
      </c>
      <c r="P3853" s="13">
        <f>IF(AND(A3853&lt;&gt;"",B3853&lt;&gt;""), A3853&amp;" · "&amp;B3853, "")</f>
        <v/>
      </c>
    </row>
    <row r="3854">
      <c r="A3854" s="6" t="inlineStr">
        <is>
          <t>FY27</t>
        </is>
      </c>
      <c r="B3854" s="6" t="inlineStr">
        <is>
          <t>Sep</t>
        </is>
      </c>
      <c r="C3854" s="6" t="inlineStr">
        <is>
          <t>Kerala</t>
        </is>
      </c>
      <c r="D3854" s="7" t="inlineStr">
        <is>
          <t>KL05AT0310</t>
        </is>
      </c>
      <c r="E3854" s="7" t="inlineStr">
        <is>
          <t>MAHINDRA</t>
        </is>
      </c>
      <c r="F3854" s="7" t="inlineStr">
        <is>
          <t>Bolero</t>
        </is>
      </c>
      <c r="G3854" s="7" t="inlineStr">
        <is>
          <t>AUTOMOTIVE</t>
        </is>
      </c>
      <c r="H3854" s="7" t="inlineStr">
        <is>
          <t>Non-Captive</t>
        </is>
      </c>
      <c r="I3854" s="7" t="inlineStr">
        <is>
          <t>Williams Varghese-(Horizon Cars</t>
        </is>
      </c>
      <c r="J3854" s="8" t="n"/>
      <c r="K3854" s="9" t="n">
        <v>169093</v>
      </c>
      <c r="L3854" s="10" t="n">
        <v>445000</v>
      </c>
      <c r="M3854" s="10" t="n">
        <v>8474.58</v>
      </c>
      <c r="N3854" s="11">
        <f>IF(M3854="","",ROUND(M3854*1.18,2))</f>
        <v/>
      </c>
      <c r="O3854" s="12">
        <f>IF(M3854="","",ROUND(N3854-M3854,2))</f>
        <v/>
      </c>
      <c r="P3854" s="13">
        <f>IF(AND(A3854&lt;&gt;"",B3854&lt;&gt;""), A3854&amp;" · "&amp;B3854, "")</f>
        <v/>
      </c>
    </row>
    <row r="3855">
      <c r="A3855" s="6" t="inlineStr">
        <is>
          <t>FY27</t>
        </is>
      </c>
      <c r="B3855" s="6" t="inlineStr">
        <is>
          <t>Sep</t>
        </is>
      </c>
      <c r="C3855" s="6" t="inlineStr">
        <is>
          <t>Kerala</t>
        </is>
      </c>
      <c r="D3855" s="7" t="inlineStr">
        <is>
          <t>KL05BA6656</t>
        </is>
      </c>
      <c r="E3855" s="7" t="inlineStr">
        <is>
          <t>HYUNDAI</t>
        </is>
      </c>
      <c r="F3855" s="7" t="inlineStr">
        <is>
          <t>Venue</t>
        </is>
      </c>
      <c r="G3855" s="7" t="inlineStr">
        <is>
          <t>INCHEON KIA</t>
        </is>
      </c>
      <c r="H3855" s="7" t="inlineStr">
        <is>
          <t>Non-Captive</t>
        </is>
      </c>
      <c r="I3855" s="7" t="inlineStr">
        <is>
          <t>VTJ</t>
        </is>
      </c>
      <c r="J3855" s="8" t="n"/>
      <c r="K3855" s="9" t="n">
        <v>35529</v>
      </c>
      <c r="L3855" s="10" t="n">
        <v>810000</v>
      </c>
      <c r="M3855" s="10" t="n">
        <v>8474.58</v>
      </c>
      <c r="N3855" s="11">
        <f>IF(M3855="","",ROUND(M3855*1.18,2))</f>
        <v/>
      </c>
      <c r="O3855" s="12">
        <f>IF(M3855="","",ROUND(N3855-M3855,2))</f>
        <v/>
      </c>
      <c r="P3855" s="13">
        <f>IF(AND(A3855&lt;&gt;"",B3855&lt;&gt;""), A3855&amp;" · "&amp;B3855, "")</f>
        <v/>
      </c>
    </row>
    <row r="3856">
      <c r="A3856" s="6" t="inlineStr">
        <is>
          <t>FY27</t>
        </is>
      </c>
      <c r="B3856" s="6" t="inlineStr">
        <is>
          <t>Sep</t>
        </is>
      </c>
      <c r="C3856" s="6" t="inlineStr">
        <is>
          <t>Kerala</t>
        </is>
      </c>
      <c r="D3856" s="7" t="inlineStr">
        <is>
          <t>KL05P1004</t>
        </is>
      </c>
      <c r="E3856" s="7" t="inlineStr">
        <is>
          <t>MARUTI SUZUKI</t>
        </is>
      </c>
      <c r="F3856" s="7" t="inlineStr">
        <is>
          <t>800</t>
        </is>
      </c>
      <c r="G3856" s="7" t="inlineStr">
        <is>
          <t>ALBIN JOSE</t>
        </is>
      </c>
      <c r="H3856" s="7" t="inlineStr">
        <is>
          <t>Non-Captive</t>
        </is>
      </c>
      <c r="I3856" s="7" t="inlineStr">
        <is>
          <t>Anas Hameed</t>
        </is>
      </c>
      <c r="J3856" s="8" t="n"/>
      <c r="K3856" s="9" t="n">
        <v>192838</v>
      </c>
      <c r="L3856" s="10" t="n">
        <v>34000</v>
      </c>
      <c r="M3856" s="10" t="n">
        <v>8474.58</v>
      </c>
      <c r="N3856" s="11">
        <f>IF(M3856="","",ROUND(M3856*1.18,2))</f>
        <v/>
      </c>
      <c r="O3856" s="12">
        <f>IF(M3856="","",ROUND(N3856-M3856,2))</f>
        <v/>
      </c>
      <c r="P3856" s="13">
        <f>IF(AND(A3856&lt;&gt;"",B3856&lt;&gt;""), A3856&amp;" · "&amp;B3856, "")</f>
        <v/>
      </c>
    </row>
    <row r="3857">
      <c r="A3857" s="6" t="inlineStr">
        <is>
          <t>FY27</t>
        </is>
      </c>
      <c r="B3857" s="6" t="inlineStr">
        <is>
          <t>Sep</t>
        </is>
      </c>
      <c r="C3857" s="6" t="inlineStr">
        <is>
          <t>Kerala</t>
        </is>
      </c>
      <c r="D3857" s="7" t="inlineStr">
        <is>
          <t>KL07BG1636</t>
        </is>
      </c>
      <c r="E3857" s="7" t="inlineStr">
        <is>
          <t>MARUTI SUZUKI</t>
        </is>
      </c>
      <c r="F3857" s="7" t="inlineStr">
        <is>
          <t>Wagon R</t>
        </is>
      </c>
      <c r="G3857" s="7" t="inlineStr">
        <is>
          <t>INCHEON KIA</t>
        </is>
      </c>
      <c r="H3857" s="7" t="inlineStr">
        <is>
          <t>Non-Captive</t>
        </is>
      </c>
      <c r="I3857" s="7" t="inlineStr">
        <is>
          <t>Desanth</t>
        </is>
      </c>
      <c r="J3857" s="8" t="n"/>
      <c r="K3857" s="9" t="n">
        <v>145000</v>
      </c>
      <c r="L3857" s="10" t="n">
        <v>55000</v>
      </c>
      <c r="M3857" s="10" t="n">
        <v>6779.66</v>
      </c>
      <c r="N3857" s="11">
        <f>IF(M3857="","",ROUND(M3857*1.18,2))</f>
        <v/>
      </c>
      <c r="O3857" s="12">
        <f>IF(M3857="","",ROUND(N3857-M3857,2))</f>
        <v/>
      </c>
      <c r="P3857" s="13">
        <f>IF(AND(A3857&lt;&gt;"",B3857&lt;&gt;""), A3857&amp;" · "&amp;B3857, "")</f>
        <v/>
      </c>
    </row>
    <row r="3858">
      <c r="A3858" s="6" t="inlineStr">
        <is>
          <t>FY27</t>
        </is>
      </c>
      <c r="B3858" s="6" t="inlineStr">
        <is>
          <t>Sep</t>
        </is>
      </c>
      <c r="C3858" s="6" t="inlineStr">
        <is>
          <t>Kerala</t>
        </is>
      </c>
      <c r="D3858" s="7" t="inlineStr">
        <is>
          <t>KL07BS4748</t>
        </is>
      </c>
      <c r="E3858" s="7" t="inlineStr">
        <is>
          <t>HYUNDAI</t>
        </is>
      </c>
      <c r="F3858" s="7" t="inlineStr">
        <is>
          <t>i10</t>
        </is>
      </c>
      <c r="G3858" s="7" t="inlineStr">
        <is>
          <t>MOTOXCHANGE</t>
        </is>
      </c>
      <c r="H3858" s="7" t="inlineStr">
        <is>
          <t>Non-Captive</t>
        </is>
      </c>
      <c r="I3858" s="7" t="inlineStr">
        <is>
          <t>Anson</t>
        </is>
      </c>
      <c r="J3858" s="8" t="n"/>
      <c r="K3858" s="9" t="n">
        <v>52891</v>
      </c>
      <c r="L3858" s="10" t="n">
        <v>75000</v>
      </c>
      <c r="M3858" s="10" t="n">
        <v>8474.58</v>
      </c>
      <c r="N3858" s="11">
        <f>IF(M3858="","",ROUND(M3858*1.18,2))</f>
        <v/>
      </c>
      <c r="O3858" s="12">
        <f>IF(M3858="","",ROUND(N3858-M3858,2))</f>
        <v/>
      </c>
      <c r="P3858" s="13">
        <f>IF(AND(A3858&lt;&gt;"",B3858&lt;&gt;""), A3858&amp;" · "&amp;B3858, "")</f>
        <v/>
      </c>
    </row>
    <row r="3859">
      <c r="A3859" s="6" t="inlineStr">
        <is>
          <t>FY27</t>
        </is>
      </c>
      <c r="B3859" s="6" t="inlineStr">
        <is>
          <t>Sep</t>
        </is>
      </c>
      <c r="C3859" s="6" t="inlineStr">
        <is>
          <t>Kerala</t>
        </is>
      </c>
      <c r="D3859" s="7" t="inlineStr">
        <is>
          <t>KL07BS5865</t>
        </is>
      </c>
      <c r="E3859" s="7" t="inlineStr">
        <is>
          <t>MARUTI SUZUKI</t>
        </is>
      </c>
      <c r="F3859" s="7" t="inlineStr">
        <is>
          <t>Alto</t>
        </is>
      </c>
      <c r="G3859" s="7" t="inlineStr">
        <is>
          <t>POPULAR MARUTI</t>
        </is>
      </c>
      <c r="H3859" s="7" t="inlineStr">
        <is>
          <t>Non-Captive</t>
        </is>
      </c>
      <c r="I3859" s="7" t="inlineStr">
        <is>
          <t>HUSSAIN O E</t>
        </is>
      </c>
      <c r="J3859" s="8" t="n"/>
      <c r="K3859" s="9" t="n">
        <v>54760</v>
      </c>
      <c r="L3859" s="10" t="n">
        <v>95000</v>
      </c>
      <c r="M3859" s="10" t="n">
        <v>8474.58</v>
      </c>
      <c r="N3859" s="11">
        <f>IF(M3859="","",ROUND(M3859*1.18,2))</f>
        <v/>
      </c>
      <c r="O3859" s="12">
        <f>IF(M3859="","",ROUND(N3859-M3859,2))</f>
        <v/>
      </c>
      <c r="P3859" s="13">
        <f>IF(AND(A3859&lt;&gt;"",B3859&lt;&gt;""), A3859&amp;" · "&amp;B3859, "")</f>
        <v/>
      </c>
    </row>
    <row r="3860">
      <c r="A3860" s="6" t="inlineStr">
        <is>
          <t>FY27</t>
        </is>
      </c>
      <c r="B3860" s="6" t="inlineStr">
        <is>
          <t>Sep</t>
        </is>
      </c>
      <c r="C3860" s="6" t="inlineStr">
        <is>
          <t>Kerala</t>
        </is>
      </c>
      <c r="D3860" s="7" t="inlineStr">
        <is>
          <t>KL07BX3316</t>
        </is>
      </c>
      <c r="E3860" s="7" t="inlineStr">
        <is>
          <t>FORD</t>
        </is>
      </c>
      <c r="F3860" s="7" t="inlineStr">
        <is>
          <t>Figo</t>
        </is>
      </c>
      <c r="G3860" s="7" t="inlineStr">
        <is>
          <t>POPULAR MARUTI</t>
        </is>
      </c>
      <c r="H3860" s="7" t="inlineStr">
        <is>
          <t>Non-Captive</t>
        </is>
      </c>
      <c r="I3860" s="7" t="inlineStr">
        <is>
          <t>HUSSAIN O E</t>
        </is>
      </c>
      <c r="J3860" s="8" t="n"/>
      <c r="K3860" s="9" t="n">
        <v>96500</v>
      </c>
      <c r="L3860" s="10" t="n">
        <v>120000</v>
      </c>
      <c r="M3860" s="10" t="n">
        <v>8474.58</v>
      </c>
      <c r="N3860" s="11">
        <f>IF(M3860="","",ROUND(M3860*1.18,2))</f>
        <v/>
      </c>
      <c r="O3860" s="12">
        <f>IF(M3860="","",ROUND(N3860-M3860,2))</f>
        <v/>
      </c>
      <c r="P3860" s="13">
        <f>IF(AND(A3860&lt;&gt;"",B3860&lt;&gt;""), A3860&amp;" · "&amp;B3860, "")</f>
        <v/>
      </c>
    </row>
    <row r="3861">
      <c r="A3861" s="6" t="inlineStr">
        <is>
          <t>FY27</t>
        </is>
      </c>
      <c r="B3861" s="6" t="inlineStr">
        <is>
          <t>Sep</t>
        </is>
      </c>
      <c r="C3861" s="6" t="inlineStr">
        <is>
          <t>Kerala</t>
        </is>
      </c>
      <c r="D3861" s="7" t="inlineStr">
        <is>
          <t>KL07CD8865</t>
        </is>
      </c>
      <c r="E3861" s="7" t="inlineStr">
        <is>
          <t>HYUNDAI</t>
        </is>
      </c>
      <c r="F3861" s="7" t="inlineStr">
        <is>
          <t>I20 Active</t>
        </is>
      </c>
      <c r="G3861" s="7" t="inlineStr">
        <is>
          <t>INCHEON KIA</t>
        </is>
      </c>
      <c r="H3861" s="7" t="inlineStr">
        <is>
          <t>Non-Captive</t>
        </is>
      </c>
      <c r="I3861" s="7" t="inlineStr">
        <is>
          <t>ABDUL SALAM K K</t>
        </is>
      </c>
      <c r="J3861" s="8" t="n"/>
      <c r="K3861" s="9" t="n">
        <v>52882</v>
      </c>
      <c r="L3861" s="10" t="n">
        <v>330000</v>
      </c>
      <c r="M3861" s="10" t="n">
        <v>8474.58</v>
      </c>
      <c r="N3861" s="11">
        <f>IF(M3861="","",ROUND(M3861*1.18,2))</f>
        <v/>
      </c>
      <c r="O3861" s="12">
        <f>IF(M3861="","",ROUND(N3861-M3861,2))</f>
        <v/>
      </c>
      <c r="P3861" s="13">
        <f>IF(AND(A3861&lt;&gt;"",B3861&lt;&gt;""), A3861&amp;" · "&amp;B3861, "")</f>
        <v/>
      </c>
    </row>
    <row r="3862">
      <c r="A3862" s="6" t="inlineStr">
        <is>
          <t>FY27</t>
        </is>
      </c>
      <c r="B3862" s="6" t="inlineStr">
        <is>
          <t>Sep</t>
        </is>
      </c>
      <c r="C3862" s="6" t="inlineStr">
        <is>
          <t>Kerala</t>
        </is>
      </c>
      <c r="D3862" s="7" t="inlineStr">
        <is>
          <t>KL07CF0359</t>
        </is>
      </c>
      <c r="E3862" s="7" t="inlineStr">
        <is>
          <t>TATA</t>
        </is>
      </c>
      <c r="F3862" s="7" t="inlineStr">
        <is>
          <t>Nano</t>
        </is>
      </c>
      <c r="G3862" s="7" t="inlineStr">
        <is>
          <t>ANAS HAMEED</t>
        </is>
      </c>
      <c r="H3862" s="7" t="inlineStr">
        <is>
          <t>Non-Captive</t>
        </is>
      </c>
      <c r="I3862" s="7" t="inlineStr">
        <is>
          <t>Albin Jose</t>
        </is>
      </c>
      <c r="J3862" s="8" t="n"/>
      <c r="K3862" s="9" t="n">
        <v>31453</v>
      </c>
      <c r="L3862" s="10" t="n">
        <v>145000</v>
      </c>
      <c r="M3862" s="10" t="n">
        <v>8474.58</v>
      </c>
      <c r="N3862" s="11">
        <f>IF(M3862="","",ROUND(M3862*1.18,2))</f>
        <v/>
      </c>
      <c r="O3862" s="12">
        <f>IF(M3862="","",ROUND(N3862-M3862,2))</f>
        <v/>
      </c>
      <c r="P3862" s="13">
        <f>IF(AND(A3862&lt;&gt;"",B3862&lt;&gt;""), A3862&amp;" · "&amp;B3862, "")</f>
        <v/>
      </c>
    </row>
    <row r="3863">
      <c r="A3863" s="6" t="inlineStr">
        <is>
          <t>FY27</t>
        </is>
      </c>
      <c r="B3863" s="6" t="inlineStr">
        <is>
          <t>Sep</t>
        </is>
      </c>
      <c r="C3863" s="6" t="inlineStr">
        <is>
          <t>Kerala</t>
        </is>
      </c>
      <c r="D3863" s="7" t="inlineStr">
        <is>
          <t>KL07CM4892</t>
        </is>
      </c>
      <c r="E3863" s="7" t="inlineStr">
        <is>
          <t>FORD</t>
        </is>
      </c>
      <c r="F3863" s="7" t="inlineStr">
        <is>
          <t>EcoSport</t>
        </is>
      </c>
      <c r="G3863" s="7" t="inlineStr">
        <is>
          <t>AUTOMOTIVE</t>
        </is>
      </c>
      <c r="H3863" s="7" t="inlineStr">
        <is>
          <t>Non-Captive</t>
        </is>
      </c>
      <c r="I3863" s="7" t="inlineStr">
        <is>
          <t>Sabir</t>
        </is>
      </c>
      <c r="J3863" s="8" t="n"/>
      <c r="K3863" s="9" t="n">
        <v>72363</v>
      </c>
      <c r="L3863" s="10" t="n">
        <v>420000</v>
      </c>
      <c r="M3863" s="10" t="n">
        <v>8474.58</v>
      </c>
      <c r="N3863" s="11">
        <f>IF(M3863="","",ROUND(M3863*1.18,2))</f>
        <v/>
      </c>
      <c r="O3863" s="12">
        <f>IF(M3863="","",ROUND(N3863-M3863,2))</f>
        <v/>
      </c>
      <c r="P3863" s="13">
        <f>IF(AND(A3863&lt;&gt;"",B3863&lt;&gt;""), A3863&amp;" · "&amp;B3863, "")</f>
        <v/>
      </c>
    </row>
    <row r="3864">
      <c r="A3864" s="6" t="inlineStr">
        <is>
          <t>FY27</t>
        </is>
      </c>
      <c r="B3864" s="6" t="inlineStr">
        <is>
          <t>Sep</t>
        </is>
      </c>
      <c r="C3864" s="6" t="inlineStr">
        <is>
          <t>Kerala</t>
        </is>
      </c>
      <c r="D3864" s="7" t="inlineStr">
        <is>
          <t>KL07CQ6333</t>
        </is>
      </c>
      <c r="E3864" s="7" t="inlineStr">
        <is>
          <t>TATA</t>
        </is>
      </c>
      <c r="F3864" s="7" t="inlineStr">
        <is>
          <t>Nexon</t>
        </is>
      </c>
      <c r="G3864" s="7" t="inlineStr">
        <is>
          <t>GOKULAM TATA</t>
        </is>
      </c>
      <c r="H3864" s="7" t="inlineStr">
        <is>
          <t>Non-Captive</t>
        </is>
      </c>
      <c r="I3864" s="7" t="inlineStr">
        <is>
          <t>Dream Cars</t>
        </is>
      </c>
      <c r="J3864" s="8" t="n"/>
      <c r="K3864" s="9" t="n">
        <v>31447</v>
      </c>
      <c r="L3864" s="10" t="n">
        <v>465000</v>
      </c>
      <c r="M3864" s="10" t="n">
        <v>8474.58</v>
      </c>
      <c r="N3864" s="11">
        <f>IF(M3864="","",ROUND(M3864*1.18,2))</f>
        <v/>
      </c>
      <c r="O3864" s="12">
        <f>IF(M3864="","",ROUND(N3864-M3864,2))</f>
        <v/>
      </c>
      <c r="P3864" s="13">
        <f>IF(AND(A3864&lt;&gt;"",B3864&lt;&gt;""), A3864&amp;" · "&amp;B3864, "")</f>
        <v/>
      </c>
    </row>
    <row r="3865">
      <c r="A3865" s="6" t="inlineStr">
        <is>
          <t>FY27</t>
        </is>
      </c>
      <c r="B3865" s="6" t="inlineStr">
        <is>
          <t>Sep</t>
        </is>
      </c>
      <c r="C3865" s="6" t="inlineStr">
        <is>
          <t>Kerala</t>
        </is>
      </c>
      <c r="D3865" s="7" t="inlineStr">
        <is>
          <t>KL07DA6858</t>
        </is>
      </c>
      <c r="E3865" s="7" t="inlineStr">
        <is>
          <t>TOYOTA</t>
        </is>
      </c>
      <c r="F3865" s="7" t="inlineStr">
        <is>
          <t>Hyryder</t>
        </is>
      </c>
      <c r="G3865" s="7" t="inlineStr">
        <is>
          <t>INDUS MARUTI</t>
        </is>
      </c>
      <c r="H3865" s="7" t="inlineStr">
        <is>
          <t>Non-Captive</t>
        </is>
      </c>
      <c r="I3865" s="7" t="inlineStr">
        <is>
          <t>Abdul Salam P U</t>
        </is>
      </c>
      <c r="J3865" s="8" t="n"/>
      <c r="K3865" s="9" t="n">
        <v>35000</v>
      </c>
      <c r="L3865" s="10" t="n">
        <v>1615000</v>
      </c>
      <c r="M3865" s="10" t="n">
        <v>8474.58</v>
      </c>
      <c r="N3865" s="11">
        <f>IF(M3865="","",ROUND(M3865*1.18,2))</f>
        <v/>
      </c>
      <c r="O3865" s="12">
        <f>IF(M3865="","",ROUND(N3865-M3865,2))</f>
        <v/>
      </c>
      <c r="P3865" s="13">
        <f>IF(AND(A3865&lt;&gt;"",B3865&lt;&gt;""), A3865&amp;" · "&amp;B3865, "")</f>
        <v/>
      </c>
    </row>
    <row r="3866">
      <c r="A3866" s="6" t="inlineStr">
        <is>
          <t>FY27</t>
        </is>
      </c>
      <c r="B3866" s="6" t="inlineStr">
        <is>
          <t>Sep</t>
        </is>
      </c>
      <c r="C3866" s="6" t="inlineStr">
        <is>
          <t>Kerala</t>
        </is>
      </c>
      <c r="D3866" s="7" t="inlineStr">
        <is>
          <t>KL08BY5440</t>
        </is>
      </c>
      <c r="E3866" s="7" t="inlineStr">
        <is>
          <t>SKODA</t>
        </is>
      </c>
      <c r="F3866" s="7" t="inlineStr">
        <is>
          <t>Slavia</t>
        </is>
      </c>
      <c r="G3866" s="7" t="inlineStr">
        <is>
          <t>PHOENIX VOLKSWAGEN</t>
        </is>
      </c>
      <c r="H3866" s="7" t="inlineStr">
        <is>
          <t>Non-Captive</t>
        </is>
      </c>
      <c r="I3866" s="7" t="inlineStr">
        <is>
          <t>Tg7(Reswin</t>
        </is>
      </c>
      <c r="J3866" s="8" t="n"/>
      <c r="K3866" s="9" t="n">
        <v>34255</v>
      </c>
      <c r="L3866" s="10" t="n">
        <v>760000</v>
      </c>
      <c r="M3866" s="10" t="n">
        <v>8474.58</v>
      </c>
      <c r="N3866" s="11">
        <f>IF(M3866="","",ROUND(M3866*1.18,2))</f>
        <v/>
      </c>
      <c r="O3866" s="12">
        <f>IF(M3866="","",ROUND(N3866-M3866,2))</f>
        <v/>
      </c>
      <c r="P3866" s="13">
        <f>IF(AND(A3866&lt;&gt;"",B3866&lt;&gt;""), A3866&amp;" · "&amp;B3866, "")</f>
        <v/>
      </c>
    </row>
    <row r="3867">
      <c r="A3867" s="6" t="inlineStr">
        <is>
          <t>FY27</t>
        </is>
      </c>
      <c r="B3867" s="6" t="inlineStr">
        <is>
          <t>Sep</t>
        </is>
      </c>
      <c r="C3867" s="6" t="inlineStr">
        <is>
          <t>Kerala</t>
        </is>
      </c>
      <c r="D3867" s="7" t="inlineStr">
        <is>
          <t>KL11AC2647</t>
        </is>
      </c>
      <c r="E3867" s="7" t="inlineStr">
        <is>
          <t>HYUNDAI</t>
        </is>
      </c>
      <c r="F3867" s="7" t="inlineStr">
        <is>
          <t>i10</t>
        </is>
      </c>
      <c r="G3867" s="7" t="inlineStr">
        <is>
          <t>EVM CITROEN</t>
        </is>
      </c>
      <c r="H3867" s="7" t="inlineStr">
        <is>
          <t>Non-Captive</t>
        </is>
      </c>
      <c r="I3867" s="7" t="inlineStr">
        <is>
          <t>Dinesh V</t>
        </is>
      </c>
      <c r="J3867" s="8" t="n"/>
      <c r="K3867" s="9" t="n">
        <v>66000</v>
      </c>
      <c r="L3867" s="10" t="n">
        <v>55000</v>
      </c>
      <c r="M3867" s="10" t="n">
        <v>4237.29</v>
      </c>
      <c r="N3867" s="11">
        <f>IF(M3867="","",ROUND(M3867*1.18,2))</f>
        <v/>
      </c>
      <c r="O3867" s="12">
        <f>IF(M3867="","",ROUND(N3867-M3867,2))</f>
        <v/>
      </c>
      <c r="P3867" s="13">
        <f>IF(AND(A3867&lt;&gt;"",B3867&lt;&gt;""), A3867&amp;" · "&amp;B3867, "")</f>
        <v/>
      </c>
    </row>
    <row r="3868">
      <c r="A3868" s="6" t="inlineStr">
        <is>
          <t>FY27</t>
        </is>
      </c>
      <c r="B3868" s="6" t="inlineStr">
        <is>
          <t>Sep</t>
        </is>
      </c>
      <c r="C3868" s="6" t="inlineStr">
        <is>
          <t>Kerala</t>
        </is>
      </c>
      <c r="D3868" s="7" t="inlineStr">
        <is>
          <t>KL11BC0769</t>
        </is>
      </c>
      <c r="E3868" s="7" t="inlineStr">
        <is>
          <t>MARUTI SUZUKI</t>
        </is>
      </c>
      <c r="F3868" s="7" t="inlineStr">
        <is>
          <t>Swift</t>
        </is>
      </c>
      <c r="G3868" s="7" t="inlineStr">
        <is>
          <t>KVR TATA</t>
        </is>
      </c>
      <c r="H3868" s="7" t="inlineStr">
        <is>
          <t>Non-Captive</t>
        </is>
      </c>
      <c r="I3868" s="7" t="inlineStr">
        <is>
          <t>SURAJ PK</t>
        </is>
      </c>
      <c r="J3868" s="8" t="n"/>
      <c r="K3868" s="9" t="n">
        <v>69000</v>
      </c>
      <c r="L3868" s="10" t="n">
        <v>356000</v>
      </c>
      <c r="M3868" s="10" t="n">
        <v>5084.75</v>
      </c>
      <c r="N3868" s="11">
        <f>IF(M3868="","",ROUND(M3868*1.18,2))</f>
        <v/>
      </c>
      <c r="O3868" s="12">
        <f>IF(M3868="","",ROUND(N3868-M3868,2))</f>
        <v/>
      </c>
      <c r="P3868" s="13">
        <f>IF(AND(A3868&lt;&gt;"",B3868&lt;&gt;""), A3868&amp;" · "&amp;B3868, "")</f>
        <v/>
      </c>
    </row>
    <row r="3869">
      <c r="A3869" s="6" t="inlineStr">
        <is>
          <t>FY27</t>
        </is>
      </c>
      <c r="B3869" s="6" t="inlineStr">
        <is>
          <t>Sep</t>
        </is>
      </c>
      <c r="C3869" s="6" t="inlineStr">
        <is>
          <t>Kerala</t>
        </is>
      </c>
      <c r="D3869" s="7" t="inlineStr">
        <is>
          <t>KL11BL7968</t>
        </is>
      </c>
      <c r="E3869" s="7" t="inlineStr">
        <is>
          <t>HYUNDAI</t>
        </is>
      </c>
      <c r="F3869" s="7" t="inlineStr">
        <is>
          <t>Grand i10</t>
        </is>
      </c>
      <c r="G3869" s="7" t="inlineStr">
        <is>
          <t>EVM SKODA</t>
        </is>
      </c>
      <c r="H3869" s="7" t="inlineStr">
        <is>
          <t>Non-Captive</t>
        </is>
      </c>
      <c r="I3869" s="7" t="inlineStr">
        <is>
          <t>Nisha Mary Mathew</t>
        </is>
      </c>
      <c r="J3869" s="8" t="n"/>
      <c r="K3869" s="9" t="n">
        <v>54000</v>
      </c>
      <c r="L3869" s="10" t="n">
        <v>310000</v>
      </c>
      <c r="M3869" s="10" t="n">
        <v>8474.58</v>
      </c>
      <c r="N3869" s="11">
        <f>IF(M3869="","",ROUND(M3869*1.18,2))</f>
        <v/>
      </c>
      <c r="O3869" s="12">
        <f>IF(M3869="","",ROUND(N3869-M3869,2))</f>
        <v/>
      </c>
      <c r="P3869" s="13">
        <f>IF(AND(A3869&lt;&gt;"",B3869&lt;&gt;""), A3869&amp;" · "&amp;B3869, "")</f>
        <v/>
      </c>
    </row>
    <row r="3870">
      <c r="A3870" s="6" t="inlineStr">
        <is>
          <t>FY27</t>
        </is>
      </c>
      <c r="B3870" s="6" t="inlineStr">
        <is>
          <t>Sep</t>
        </is>
      </c>
      <c r="C3870" s="6" t="inlineStr">
        <is>
          <t>Kerala</t>
        </is>
      </c>
      <c r="D3870" s="7" t="inlineStr">
        <is>
          <t>KL12F7794</t>
        </is>
      </c>
      <c r="E3870" s="7" t="inlineStr">
        <is>
          <t>MARUTI SUZUKI</t>
        </is>
      </c>
      <c r="F3870" s="7" t="inlineStr">
        <is>
          <t>Eeco</t>
        </is>
      </c>
      <c r="G3870" s="7" t="inlineStr">
        <is>
          <t>AM MOTORS</t>
        </is>
      </c>
      <c r="H3870" s="7" t="inlineStr">
        <is>
          <t>Non-Captive</t>
        </is>
      </c>
      <c r="I3870" s="7" t="inlineStr">
        <is>
          <t>Vidin Raj K</t>
        </is>
      </c>
      <c r="J3870" s="8" t="n"/>
      <c r="K3870" s="9" t="n">
        <v>178000</v>
      </c>
      <c r="L3870" s="10" t="n">
        <v>115000</v>
      </c>
      <c r="M3870" s="10" t="n">
        <v>4237.29</v>
      </c>
      <c r="N3870" s="11">
        <f>IF(M3870="","",ROUND(M3870*1.18,2))</f>
        <v/>
      </c>
      <c r="O3870" s="12">
        <f>IF(M3870="","",ROUND(N3870-M3870,2))</f>
        <v/>
      </c>
      <c r="P3870" s="13">
        <f>IF(AND(A3870&lt;&gt;"",B3870&lt;&gt;""), A3870&amp;" · "&amp;B3870, "")</f>
        <v/>
      </c>
    </row>
    <row r="3871">
      <c r="A3871" s="6" t="inlineStr">
        <is>
          <t>FY27</t>
        </is>
      </c>
      <c r="B3871" s="6" t="inlineStr">
        <is>
          <t>Sep</t>
        </is>
      </c>
      <c r="C3871" s="6" t="inlineStr">
        <is>
          <t>Kerala</t>
        </is>
      </c>
      <c r="D3871" s="7" t="inlineStr">
        <is>
          <t>KL13AR1279</t>
        </is>
      </c>
      <c r="E3871" s="7" t="inlineStr">
        <is>
          <t>RENAULT</t>
        </is>
      </c>
      <c r="F3871" s="7" t="inlineStr">
        <is>
          <t>Triber</t>
        </is>
      </c>
      <c r="G3871" s="7" t="inlineStr">
        <is>
          <t>OLX</t>
        </is>
      </c>
      <c r="H3871" s="7" t="inlineStr">
        <is>
          <t>Non-Captive</t>
        </is>
      </c>
      <c r="I3871" s="7" t="inlineStr">
        <is>
          <t>Abdul Salam P U</t>
        </is>
      </c>
      <c r="J3871" s="8" t="n"/>
      <c r="K3871" s="9" t="n">
        <v>65111</v>
      </c>
      <c r="L3871" s="10" t="n">
        <v>285000</v>
      </c>
      <c r="M3871" s="10" t="n">
        <v>8474.58</v>
      </c>
      <c r="N3871" s="11">
        <f>IF(M3871="","",ROUND(M3871*1.18,2))</f>
        <v/>
      </c>
      <c r="O3871" s="12">
        <f>IF(M3871="","",ROUND(N3871-M3871,2))</f>
        <v/>
      </c>
      <c r="P3871" s="13">
        <f>IF(AND(A3871&lt;&gt;"",B3871&lt;&gt;""), A3871&amp;" · "&amp;B3871, "")</f>
        <v/>
      </c>
    </row>
    <row r="3872">
      <c r="A3872" s="6" t="inlineStr">
        <is>
          <t>FY27</t>
        </is>
      </c>
      <c r="B3872" s="6" t="inlineStr">
        <is>
          <t>Sep</t>
        </is>
      </c>
      <c r="C3872" s="6" t="inlineStr">
        <is>
          <t>Kerala</t>
        </is>
      </c>
      <c r="D3872" s="7" t="inlineStr">
        <is>
          <t>KL13AR5609</t>
        </is>
      </c>
      <c r="E3872" s="7" t="inlineStr">
        <is>
          <t>TATA</t>
        </is>
      </c>
      <c r="F3872" s="7" t="inlineStr">
        <is>
          <t>Tiago</t>
        </is>
      </c>
      <c r="G3872" s="7" t="inlineStr">
        <is>
          <t>KVR TATA</t>
        </is>
      </c>
      <c r="H3872" s="7" t="inlineStr">
        <is>
          <t>Non-Captive</t>
        </is>
      </c>
      <c r="I3872" s="7" t="inlineStr">
        <is>
          <t>Muhammed Vasil Mk</t>
        </is>
      </c>
      <c r="J3872" s="8" t="n"/>
      <c r="K3872" s="9" t="n">
        <v>9200</v>
      </c>
      <c r="L3872" s="10" t="n">
        <v>445000</v>
      </c>
      <c r="M3872" s="10" t="n">
        <v>4237.29</v>
      </c>
      <c r="N3872" s="11">
        <f>IF(M3872="","",ROUND(M3872*1.18,2))</f>
        <v/>
      </c>
      <c r="O3872" s="12">
        <f>IF(M3872="","",ROUND(N3872-M3872,2))</f>
        <v/>
      </c>
      <c r="P3872" s="13">
        <f>IF(AND(A3872&lt;&gt;"",B3872&lt;&gt;""), A3872&amp;" · "&amp;B3872, "")</f>
        <v/>
      </c>
    </row>
    <row r="3873">
      <c r="A3873" s="6" t="inlineStr">
        <is>
          <t>FY27</t>
        </is>
      </c>
      <c r="B3873" s="6" t="inlineStr">
        <is>
          <t>Sep</t>
        </is>
      </c>
      <c r="C3873" s="6" t="inlineStr">
        <is>
          <t>Kerala</t>
        </is>
      </c>
      <c r="D3873" s="7" t="inlineStr">
        <is>
          <t>KL13AX0627</t>
        </is>
      </c>
      <c r="E3873" s="7" t="inlineStr">
        <is>
          <t>MARUTI SUZUKI</t>
        </is>
      </c>
      <c r="F3873" s="7" t="inlineStr">
        <is>
          <t>Wagon R</t>
        </is>
      </c>
      <c r="G3873" s="7" t="inlineStr">
        <is>
          <t>APCO HYUNDAI</t>
        </is>
      </c>
      <c r="H3873" s="7" t="inlineStr">
        <is>
          <t>Non-Captive</t>
        </is>
      </c>
      <c r="I3873" s="7" t="inlineStr">
        <is>
          <t>Shinoj Kk</t>
        </is>
      </c>
      <c r="J3873" s="8" t="n"/>
      <c r="K3873" s="9" t="n">
        <v>34000</v>
      </c>
      <c r="L3873" s="10" t="n">
        <v>551000</v>
      </c>
      <c r="M3873" s="10" t="n">
        <v>5084.75</v>
      </c>
      <c r="N3873" s="11">
        <f>IF(M3873="","",ROUND(M3873*1.18,2))</f>
        <v/>
      </c>
      <c r="O3873" s="12">
        <f>IF(M3873="","",ROUND(N3873-M3873,2))</f>
        <v/>
      </c>
      <c r="P3873" s="13">
        <f>IF(AND(A3873&lt;&gt;"",B3873&lt;&gt;""), A3873&amp;" · "&amp;B3873, "")</f>
        <v/>
      </c>
    </row>
    <row r="3874">
      <c r="A3874" s="6" t="inlineStr">
        <is>
          <t>FY27</t>
        </is>
      </c>
      <c r="B3874" s="6" t="inlineStr">
        <is>
          <t>Sep</t>
        </is>
      </c>
      <c r="C3874" s="6" t="inlineStr">
        <is>
          <t>Kerala</t>
        </is>
      </c>
      <c r="D3874" s="7" t="inlineStr">
        <is>
          <t>KL13R9787</t>
        </is>
      </c>
      <c r="E3874" s="7" t="inlineStr">
        <is>
          <t>MARUTI SUZUKI</t>
        </is>
      </c>
      <c r="F3874" s="7" t="inlineStr">
        <is>
          <t>Wagon R</t>
        </is>
      </c>
      <c r="G3874" s="7" t="inlineStr">
        <is>
          <t>POPULAR MARUTI</t>
        </is>
      </c>
      <c r="H3874" s="7" t="inlineStr">
        <is>
          <t>Non-Captive</t>
        </is>
      </c>
      <c r="I3874" s="7" t="inlineStr">
        <is>
          <t>AUTOTRUST</t>
        </is>
      </c>
      <c r="J3874" s="8" t="n"/>
      <c r="K3874" s="9" t="n">
        <v>200000</v>
      </c>
      <c r="L3874" s="10" t="n">
        <v>6000</v>
      </c>
      <c r="M3874" s="10" t="n">
        <v>5084.75</v>
      </c>
      <c r="N3874" s="11">
        <f>IF(M3874="","",ROUND(M3874*1.18,2))</f>
        <v/>
      </c>
      <c r="O3874" s="12">
        <f>IF(M3874="","",ROUND(N3874-M3874,2))</f>
        <v/>
      </c>
      <c r="P3874" s="13">
        <f>IF(AND(A3874&lt;&gt;"",B3874&lt;&gt;""), A3874&amp;" · "&amp;B3874, "")</f>
        <v/>
      </c>
    </row>
    <row r="3875">
      <c r="A3875" s="6" t="inlineStr">
        <is>
          <t>FY27</t>
        </is>
      </c>
      <c r="B3875" s="6" t="inlineStr">
        <is>
          <t>Sep</t>
        </is>
      </c>
      <c r="C3875" s="6" t="inlineStr">
        <is>
          <t>Kerala</t>
        </is>
      </c>
      <c r="D3875" s="7" t="inlineStr">
        <is>
          <t>KL13Z2325</t>
        </is>
      </c>
      <c r="E3875" s="7" t="inlineStr">
        <is>
          <t>MARUTI SUZUKI</t>
        </is>
      </c>
      <c r="F3875" s="7" t="inlineStr">
        <is>
          <t>Alto</t>
        </is>
      </c>
      <c r="G3875" s="7" t="inlineStr">
        <is>
          <t>POPULAR MARUTI</t>
        </is>
      </c>
      <c r="H3875" s="7" t="inlineStr">
        <is>
          <t>Non-Captive</t>
        </is>
      </c>
      <c r="I3875" s="7" t="inlineStr">
        <is>
          <t>FAREEDA BHANU</t>
        </is>
      </c>
      <c r="J3875" s="8" t="n"/>
      <c r="K3875" s="9" t="n">
        <v>52000</v>
      </c>
      <c r="L3875" s="10" t="n">
        <v>120000</v>
      </c>
      <c r="M3875" s="10" t="n">
        <v>8474.58</v>
      </c>
      <c r="N3875" s="11">
        <f>IF(M3875="","",ROUND(M3875*1.18,2))</f>
        <v/>
      </c>
      <c r="O3875" s="12">
        <f>IF(M3875="","",ROUND(N3875-M3875,2))</f>
        <v/>
      </c>
      <c r="P3875" s="13">
        <f>IF(AND(A3875&lt;&gt;"",B3875&lt;&gt;""), A3875&amp;" · "&amp;B3875, "")</f>
        <v/>
      </c>
    </row>
    <row r="3876">
      <c r="A3876" s="6" t="inlineStr">
        <is>
          <t>FY27</t>
        </is>
      </c>
      <c r="B3876" s="6" t="inlineStr">
        <is>
          <t>Sep</t>
        </is>
      </c>
      <c r="C3876" s="6" t="inlineStr">
        <is>
          <t>Kerala</t>
        </is>
      </c>
      <c r="D3876" s="7" t="inlineStr">
        <is>
          <t>KL14P6710</t>
        </is>
      </c>
      <c r="E3876" s="7" t="inlineStr">
        <is>
          <t>HYUNDAI</t>
        </is>
      </c>
      <c r="F3876" s="7" t="inlineStr">
        <is>
          <t>Grand i10</t>
        </is>
      </c>
      <c r="G3876" s="7" t="inlineStr">
        <is>
          <t>APCO HYUNDAI</t>
        </is>
      </c>
      <c r="H3876" s="7" t="inlineStr">
        <is>
          <t>Non-Captive</t>
        </is>
      </c>
      <c r="I3876" s="7" t="inlineStr">
        <is>
          <t>KANNUR PLATINUM DRIVE</t>
        </is>
      </c>
      <c r="J3876" s="8" t="n"/>
      <c r="K3876" s="9" t="n">
        <v>79000</v>
      </c>
      <c r="L3876" s="10" t="n">
        <v>215000</v>
      </c>
      <c r="M3876" s="10" t="n">
        <v>4237.29</v>
      </c>
      <c r="N3876" s="11">
        <f>IF(M3876="","",ROUND(M3876*1.18,2))</f>
        <v/>
      </c>
      <c r="O3876" s="12">
        <f>IF(M3876="","",ROUND(N3876-M3876,2))</f>
        <v/>
      </c>
      <c r="P3876" s="13">
        <f>IF(AND(A3876&lt;&gt;"",B3876&lt;&gt;""), A3876&amp;" · "&amp;B3876, "")</f>
        <v/>
      </c>
    </row>
    <row r="3877">
      <c r="A3877" s="6" t="inlineStr">
        <is>
          <t>FY27</t>
        </is>
      </c>
      <c r="B3877" s="6" t="inlineStr">
        <is>
          <t>Sep</t>
        </is>
      </c>
      <c r="C3877" s="6" t="inlineStr">
        <is>
          <t>Kerala</t>
        </is>
      </c>
      <c r="D3877" s="7" t="inlineStr">
        <is>
          <t>KL14V9215</t>
        </is>
      </c>
      <c r="E3877" s="7" t="inlineStr">
        <is>
          <t>MAHINDRA</t>
        </is>
      </c>
      <c r="F3877" s="7" t="inlineStr">
        <is>
          <t>KUV100</t>
        </is>
      </c>
      <c r="G3877" s="7" t="inlineStr">
        <is>
          <t>SARITH UCD</t>
        </is>
      </c>
      <c r="H3877" s="7" t="inlineStr">
        <is>
          <t>Non-Captive</t>
        </is>
      </c>
      <c r="I3877" s="7" t="inlineStr">
        <is>
          <t>Vidin Raj K</t>
        </is>
      </c>
      <c r="J3877" s="8" t="n"/>
      <c r="K3877" s="9" t="n">
        <v>58000</v>
      </c>
      <c r="L3877" s="10" t="n">
        <v>205000</v>
      </c>
      <c r="M3877" s="10" t="n">
        <v>4237.29</v>
      </c>
      <c r="N3877" s="11">
        <f>IF(M3877="","",ROUND(M3877*1.18,2))</f>
        <v/>
      </c>
      <c r="O3877" s="12">
        <f>IF(M3877="","",ROUND(N3877-M3877,2))</f>
        <v/>
      </c>
      <c r="P3877" s="13">
        <f>IF(AND(A3877&lt;&gt;"",B3877&lt;&gt;""), A3877&amp;" · "&amp;B3877, "")</f>
        <v/>
      </c>
    </row>
    <row r="3878">
      <c r="A3878" s="6" t="inlineStr">
        <is>
          <t>FY27</t>
        </is>
      </c>
      <c r="B3878" s="6" t="inlineStr">
        <is>
          <t>Sep</t>
        </is>
      </c>
      <c r="C3878" s="6" t="inlineStr">
        <is>
          <t>Kerala</t>
        </is>
      </c>
      <c r="D3878" s="7" t="inlineStr">
        <is>
          <t>KL16E3668</t>
        </is>
      </c>
      <c r="E3878" s="7" t="inlineStr">
        <is>
          <t>CHEVROLET</t>
        </is>
      </c>
      <c r="F3878" s="7" t="inlineStr">
        <is>
          <t>Spark</t>
        </is>
      </c>
      <c r="G3878" s="7" t="inlineStr">
        <is>
          <t>LUXON TATA</t>
        </is>
      </c>
      <c r="H3878" s="7" t="inlineStr">
        <is>
          <t>Non-Captive</t>
        </is>
      </c>
      <c r="I3878" s="7" t="inlineStr">
        <is>
          <t>Abhishek M</t>
        </is>
      </c>
      <c r="J3878" s="8" t="n"/>
      <c r="K3878" s="9" t="n">
        <v>56500</v>
      </c>
      <c r="L3878" s="10" t="n">
        <v>25000</v>
      </c>
      <c r="M3878" s="10" t="n">
        <v>4237.29</v>
      </c>
      <c r="N3878" s="11">
        <f>IF(M3878="","",ROUND(M3878*1.18,2))</f>
        <v/>
      </c>
      <c r="O3878" s="12">
        <f>IF(M3878="","",ROUND(N3878-M3878,2))</f>
        <v/>
      </c>
      <c r="P3878" s="13">
        <f>IF(AND(A3878&lt;&gt;"",B3878&lt;&gt;""), A3878&amp;" · "&amp;B3878, "")</f>
        <v/>
      </c>
    </row>
    <row r="3879">
      <c r="A3879" s="6" t="inlineStr">
        <is>
          <t>FY27</t>
        </is>
      </c>
      <c r="B3879" s="6" t="inlineStr">
        <is>
          <t>Sep</t>
        </is>
      </c>
      <c r="C3879" s="6" t="inlineStr">
        <is>
          <t>Kerala</t>
        </is>
      </c>
      <c r="D3879" s="7" t="inlineStr">
        <is>
          <t>KL16R7655</t>
        </is>
      </c>
      <c r="E3879" s="7" t="inlineStr">
        <is>
          <t>RENAULT</t>
        </is>
      </c>
      <c r="F3879" s="7" t="inlineStr">
        <is>
          <t>Kwid</t>
        </is>
      </c>
      <c r="G3879" s="7" t="inlineStr">
        <is>
          <t>SARATHY NEXA</t>
        </is>
      </c>
      <c r="H3879" s="7" t="inlineStr">
        <is>
          <t>Non-Captive</t>
        </is>
      </c>
      <c r="I3879" s="7" t="inlineStr">
        <is>
          <t>Sajin Satheesan</t>
        </is>
      </c>
      <c r="J3879" s="8" t="n"/>
      <c r="K3879" s="9" t="n">
        <v>53000</v>
      </c>
      <c r="L3879" s="10" t="n">
        <v>208000</v>
      </c>
      <c r="M3879" s="10" t="n">
        <v>6779.66</v>
      </c>
      <c r="N3879" s="11">
        <f>IF(M3879="","",ROUND(M3879*1.18,2))</f>
        <v/>
      </c>
      <c r="O3879" s="12">
        <f>IF(M3879="","",ROUND(N3879-M3879,2))</f>
        <v/>
      </c>
      <c r="P3879" s="13">
        <f>IF(AND(A3879&lt;&gt;"",B3879&lt;&gt;""), A3879&amp;" · "&amp;B3879, "")</f>
        <v/>
      </c>
    </row>
    <row r="3880">
      <c r="A3880" s="6" t="inlineStr">
        <is>
          <t>FY27</t>
        </is>
      </c>
      <c r="B3880" s="6" t="inlineStr">
        <is>
          <t>Sep</t>
        </is>
      </c>
      <c r="C3880" s="6" t="inlineStr">
        <is>
          <t>Kerala</t>
        </is>
      </c>
      <c r="D3880" s="7" t="inlineStr">
        <is>
          <t>KL17F2083</t>
        </is>
      </c>
      <c r="E3880" s="7" t="inlineStr">
        <is>
          <t>TATA</t>
        </is>
      </c>
      <c r="F3880" s="7" t="inlineStr">
        <is>
          <t>Indigo</t>
        </is>
      </c>
      <c r="G3880" s="7" t="inlineStr">
        <is>
          <t>POPULAR MARUTI</t>
        </is>
      </c>
      <c r="H3880" s="7" t="inlineStr">
        <is>
          <t>Non-Captive</t>
        </is>
      </c>
      <c r="I3880" s="7" t="inlineStr">
        <is>
          <t>Abdul Salam P U</t>
        </is>
      </c>
      <c r="J3880" s="8" t="n"/>
      <c r="K3880" s="9" t="n">
        <v>79918</v>
      </c>
      <c r="L3880" s="10" t="n">
        <v>32000</v>
      </c>
      <c r="M3880" s="10" t="n">
        <v>5932.2</v>
      </c>
      <c r="N3880" s="11">
        <f>IF(M3880="","",ROUND(M3880*1.18,2))</f>
        <v/>
      </c>
      <c r="O3880" s="12">
        <f>IF(M3880="","",ROUND(N3880-M3880,2))</f>
        <v/>
      </c>
      <c r="P3880" s="13">
        <f>IF(AND(A3880&lt;&gt;"",B3880&lt;&gt;""), A3880&amp;" · "&amp;B3880, "")</f>
        <v/>
      </c>
    </row>
    <row r="3881">
      <c r="A3881" s="6" t="inlineStr">
        <is>
          <t>FY27</t>
        </is>
      </c>
      <c r="B3881" s="6" t="inlineStr">
        <is>
          <t>Sep</t>
        </is>
      </c>
      <c r="C3881" s="6" t="inlineStr">
        <is>
          <t>Kerala</t>
        </is>
      </c>
      <c r="D3881" s="7" t="inlineStr">
        <is>
          <t>KL17P0641</t>
        </is>
      </c>
      <c r="E3881" s="7" t="inlineStr">
        <is>
          <t>RENAULT</t>
        </is>
      </c>
      <c r="F3881" s="7" t="inlineStr">
        <is>
          <t>Duster</t>
        </is>
      </c>
      <c r="G3881" s="7" t="inlineStr">
        <is>
          <t>ALBIN JOSE</t>
        </is>
      </c>
      <c r="H3881" s="7" t="inlineStr">
        <is>
          <t>Non-Captive</t>
        </is>
      </c>
      <c r="I3881" s="7" t="inlineStr">
        <is>
          <t>Abdul Salam P U</t>
        </is>
      </c>
      <c r="J3881" s="8" t="n"/>
      <c r="K3881" s="9" t="n">
        <v>80000</v>
      </c>
      <c r="L3881" s="10" t="n">
        <v>385000</v>
      </c>
      <c r="M3881" s="10" t="n">
        <v>8474.58</v>
      </c>
      <c r="N3881" s="11">
        <f>IF(M3881="","",ROUND(M3881*1.18,2))</f>
        <v/>
      </c>
      <c r="O3881" s="12">
        <f>IF(M3881="","",ROUND(N3881-M3881,2))</f>
        <v/>
      </c>
      <c r="P3881" s="13">
        <f>IF(AND(A3881&lt;&gt;"",B3881&lt;&gt;""), A3881&amp;" · "&amp;B3881, "")</f>
        <v/>
      </c>
    </row>
    <row r="3882">
      <c r="A3882" s="6" t="inlineStr">
        <is>
          <t>FY27</t>
        </is>
      </c>
      <c r="B3882" s="6" t="inlineStr">
        <is>
          <t>Sep</t>
        </is>
      </c>
      <c r="C3882" s="6" t="inlineStr">
        <is>
          <t>Kerala</t>
        </is>
      </c>
      <c r="D3882" s="7" t="inlineStr">
        <is>
          <t>KL18AD8907</t>
        </is>
      </c>
      <c r="E3882" s="7" t="inlineStr">
        <is>
          <t>RENAULT</t>
        </is>
      </c>
      <c r="F3882" s="7" t="inlineStr">
        <is>
          <t>Kwid</t>
        </is>
      </c>
      <c r="G3882" s="7" t="inlineStr">
        <is>
          <t>AMANA TOYOTA</t>
        </is>
      </c>
      <c r="H3882" s="7" t="inlineStr">
        <is>
          <t>Non-Captive</t>
        </is>
      </c>
      <c r="I3882" s="7" t="inlineStr">
        <is>
          <t>Nisha Mary Mathew</t>
        </is>
      </c>
      <c r="J3882" s="8" t="n"/>
      <c r="K3882" s="9" t="n">
        <v>133000</v>
      </c>
      <c r="L3882" s="10" t="n">
        <v>260000</v>
      </c>
      <c r="M3882" s="10" t="n">
        <v>8474.58</v>
      </c>
      <c r="N3882" s="11">
        <f>IF(M3882="","",ROUND(M3882*1.18,2))</f>
        <v/>
      </c>
      <c r="O3882" s="12">
        <f>IF(M3882="","",ROUND(N3882-M3882,2))</f>
        <v/>
      </c>
      <c r="P3882" s="13">
        <f>IF(AND(A3882&lt;&gt;"",B3882&lt;&gt;""), A3882&amp;" · "&amp;B3882, "")</f>
        <v/>
      </c>
    </row>
    <row r="3883">
      <c r="A3883" s="6" t="inlineStr">
        <is>
          <t>FY27</t>
        </is>
      </c>
      <c r="B3883" s="6" t="inlineStr">
        <is>
          <t>Sep</t>
        </is>
      </c>
      <c r="C3883" s="6" t="inlineStr">
        <is>
          <t>Kerala</t>
        </is>
      </c>
      <c r="D3883" s="7" t="inlineStr">
        <is>
          <t>KL18K3918</t>
        </is>
      </c>
      <c r="E3883" s="7" t="inlineStr">
        <is>
          <t>MARUTI SUZUKI</t>
        </is>
      </c>
      <c r="F3883" s="7" t="inlineStr">
        <is>
          <t>Alto</t>
        </is>
      </c>
      <c r="G3883" s="7" t="inlineStr">
        <is>
          <t>KVR TATA</t>
        </is>
      </c>
      <c r="H3883" s="7" t="inlineStr">
        <is>
          <t>Non-Captive</t>
        </is>
      </c>
      <c r="I3883" s="7" t="inlineStr">
        <is>
          <t>KANNUR PLATINUM DRIVE</t>
        </is>
      </c>
      <c r="J3883" s="8" t="n"/>
      <c r="K3883" s="9" t="n">
        <v>77000</v>
      </c>
      <c r="L3883" s="10" t="n">
        <v>135000</v>
      </c>
      <c r="M3883" s="10" t="n">
        <v>5932.2</v>
      </c>
      <c r="N3883" s="11">
        <f>IF(M3883="","",ROUND(M3883*1.18,2))</f>
        <v/>
      </c>
      <c r="O3883" s="12">
        <f>IF(M3883="","",ROUND(N3883-M3883,2))</f>
        <v/>
      </c>
      <c r="P3883" s="13">
        <f>IF(AND(A3883&lt;&gt;"",B3883&lt;&gt;""), A3883&amp;" · "&amp;B3883, "")</f>
        <v/>
      </c>
    </row>
    <row r="3884">
      <c r="A3884" s="6" t="inlineStr">
        <is>
          <t>FY27</t>
        </is>
      </c>
      <c r="B3884" s="6" t="inlineStr">
        <is>
          <t>Sep</t>
        </is>
      </c>
      <c r="C3884" s="6" t="inlineStr">
        <is>
          <t>Kerala</t>
        </is>
      </c>
      <c r="D3884" s="7" t="inlineStr">
        <is>
          <t>KL206195</t>
        </is>
      </c>
      <c r="E3884" s="7" t="inlineStr">
        <is>
          <t>MARUTI SUZUKI</t>
        </is>
      </c>
      <c r="F3884" s="7" t="inlineStr">
        <is>
          <t>Wagon R</t>
        </is>
      </c>
      <c r="G3884" s="7" t="inlineStr">
        <is>
          <t>ABHISHEK</t>
        </is>
      </c>
      <c r="H3884" s="7" t="inlineStr">
        <is>
          <t>Non-Captive</t>
        </is>
      </c>
      <c r="I3884" s="7" t="inlineStr">
        <is>
          <t>PRAJOD</t>
        </is>
      </c>
      <c r="J3884" s="8" t="n"/>
      <c r="K3884" s="9" t="n">
        <v>183000</v>
      </c>
      <c r="L3884" s="10" t="n">
        <v>65000</v>
      </c>
      <c r="M3884" s="10" t="n">
        <v>4237.29</v>
      </c>
      <c r="N3884" s="11">
        <f>IF(M3884="","",ROUND(M3884*1.18,2))</f>
        <v/>
      </c>
      <c r="O3884" s="12">
        <f>IF(M3884="","",ROUND(N3884-M3884,2))</f>
        <v/>
      </c>
      <c r="P3884" s="13">
        <f>IF(AND(A3884&lt;&gt;"",B3884&lt;&gt;""), A3884&amp;" · "&amp;B3884, "")</f>
        <v/>
      </c>
    </row>
    <row r="3885">
      <c r="A3885" s="6" t="inlineStr">
        <is>
          <t>FY27</t>
        </is>
      </c>
      <c r="B3885" s="6" t="inlineStr">
        <is>
          <t>Sep</t>
        </is>
      </c>
      <c r="C3885" s="6" t="inlineStr">
        <is>
          <t>Kerala</t>
        </is>
      </c>
      <c r="D3885" s="7" t="inlineStr">
        <is>
          <t>KL21J8951</t>
        </is>
      </c>
      <c r="E3885" s="7" t="inlineStr">
        <is>
          <t>MARUTI SUZUKI</t>
        </is>
      </c>
      <c r="F3885" s="7" t="inlineStr">
        <is>
          <t>Alto</t>
        </is>
      </c>
      <c r="G3885" s="7" t="inlineStr">
        <is>
          <t>INCHEON KIA</t>
        </is>
      </c>
      <c r="H3885" s="7" t="inlineStr">
        <is>
          <t>Non-Captive</t>
        </is>
      </c>
      <c r="I3885" s="7" t="inlineStr">
        <is>
          <t>Clind</t>
        </is>
      </c>
      <c r="J3885" s="8" t="n"/>
      <c r="K3885" s="9" t="n">
        <v>74000</v>
      </c>
      <c r="L3885" s="10" t="n">
        <v>137000</v>
      </c>
      <c r="M3885" s="10" t="n">
        <v>5932.2</v>
      </c>
      <c r="N3885" s="11">
        <f>IF(M3885="","",ROUND(M3885*1.18,2))</f>
        <v/>
      </c>
      <c r="O3885" s="12">
        <f>IF(M3885="","",ROUND(N3885-M3885,2))</f>
        <v/>
      </c>
      <c r="P3885" s="13">
        <f>IF(AND(A3885&lt;&gt;"",B3885&lt;&gt;""), A3885&amp;" · "&amp;B3885, "")</f>
        <v/>
      </c>
    </row>
    <row r="3886">
      <c r="A3886" s="6" t="inlineStr">
        <is>
          <t>FY27</t>
        </is>
      </c>
      <c r="B3886" s="6" t="inlineStr">
        <is>
          <t>Sep</t>
        </is>
      </c>
      <c r="C3886" s="6" t="inlineStr">
        <is>
          <t>Kerala</t>
        </is>
      </c>
      <c r="D3886" s="7" t="inlineStr">
        <is>
          <t>KL21P2214</t>
        </is>
      </c>
      <c r="E3886" s="7" t="inlineStr">
        <is>
          <t>MARUTI SUZUKI</t>
        </is>
      </c>
      <c r="F3886" s="7" t="inlineStr">
        <is>
          <t>Wagon R</t>
        </is>
      </c>
      <c r="G3886" s="7" t="inlineStr">
        <is>
          <t>POPULAR MARUTI</t>
        </is>
      </c>
      <c r="H3886" s="7" t="inlineStr">
        <is>
          <t>Non-Captive</t>
        </is>
      </c>
      <c r="I3886" s="7" t="inlineStr">
        <is>
          <t>Jobin S George</t>
        </is>
      </c>
      <c r="J3886" s="8" t="n"/>
      <c r="K3886" s="9" t="n">
        <v>125000</v>
      </c>
      <c r="L3886" s="10" t="n">
        <v>225000</v>
      </c>
      <c r="M3886" s="10" t="n">
        <v>8474.58</v>
      </c>
      <c r="N3886" s="11">
        <f>IF(M3886="","",ROUND(M3886*1.18,2))</f>
        <v/>
      </c>
      <c r="O3886" s="12">
        <f>IF(M3886="","",ROUND(N3886-M3886,2))</f>
        <v/>
      </c>
      <c r="P3886" s="13">
        <f>IF(AND(A3886&lt;&gt;"",B3886&lt;&gt;""), A3886&amp;" · "&amp;B3886, "")</f>
        <v/>
      </c>
    </row>
    <row r="3887">
      <c r="A3887" s="6" t="inlineStr">
        <is>
          <t>FY27</t>
        </is>
      </c>
      <c r="B3887" s="6" t="inlineStr">
        <is>
          <t>Sep</t>
        </is>
      </c>
      <c r="C3887" s="6" t="inlineStr">
        <is>
          <t>Kerala</t>
        </is>
      </c>
      <c r="D3887" s="7" t="inlineStr">
        <is>
          <t>KL21W5365</t>
        </is>
      </c>
      <c r="E3887" s="7" t="inlineStr">
        <is>
          <t>TATA</t>
        </is>
      </c>
      <c r="F3887" s="7" t="inlineStr">
        <is>
          <t>Ultra</t>
        </is>
      </c>
      <c r="G3887" s="7" t="inlineStr">
        <is>
          <t>DILEEP KUMAR(AJ ENTERPRISES</t>
        </is>
      </c>
      <c r="H3887" s="7" t="inlineStr">
        <is>
          <t>Non-Captive</t>
        </is>
      </c>
      <c r="I3887" s="7" t="inlineStr">
        <is>
          <t>Mohith,Garuda Trucks</t>
        </is>
      </c>
      <c r="J3887" s="8" t="n"/>
      <c r="K3887" s="9" t="n">
        <v>205000</v>
      </c>
      <c r="L3887" s="10" t="n">
        <v>1170000</v>
      </c>
      <c r="M3887" s="10" t="n">
        <v>16949.15</v>
      </c>
      <c r="N3887" s="11">
        <f>IF(M3887="","",ROUND(M3887*1.18,2))</f>
        <v/>
      </c>
      <c r="O3887" s="12">
        <f>IF(M3887="","",ROUND(N3887-M3887,2))</f>
        <v/>
      </c>
      <c r="P3887" s="13">
        <f>IF(AND(A3887&lt;&gt;"",B3887&lt;&gt;""), A3887&amp;" · "&amp;B3887, "")</f>
        <v/>
      </c>
    </row>
    <row r="3888">
      <c r="A3888" s="6" t="inlineStr">
        <is>
          <t>FY27</t>
        </is>
      </c>
      <c r="B3888" s="6" t="inlineStr">
        <is>
          <t>Sep</t>
        </is>
      </c>
      <c r="C3888" s="6" t="inlineStr">
        <is>
          <t>Kerala</t>
        </is>
      </c>
      <c r="D3888" s="7" t="inlineStr">
        <is>
          <t>KL229714</t>
        </is>
      </c>
      <c r="E3888" s="7" t="inlineStr">
        <is>
          <t>HYUNDAI</t>
        </is>
      </c>
      <c r="F3888" s="7" t="inlineStr">
        <is>
          <t>Santro</t>
        </is>
      </c>
      <c r="G3888" s="7" t="inlineStr">
        <is>
          <t>POPULAR MARUTI</t>
        </is>
      </c>
      <c r="H3888" s="7" t="inlineStr">
        <is>
          <t>Non-Captive</t>
        </is>
      </c>
      <c r="I3888" s="7" t="inlineStr">
        <is>
          <t>Gireesh Kumar V</t>
        </is>
      </c>
      <c r="J3888" s="8" t="n"/>
      <c r="K3888" s="9" t="n">
        <v>60000</v>
      </c>
      <c r="L3888" s="10" t="n">
        <v>50000</v>
      </c>
      <c r="M3888" s="10" t="n">
        <v>8474.58</v>
      </c>
      <c r="N3888" s="11">
        <f>IF(M3888="","",ROUND(M3888*1.18,2))</f>
        <v/>
      </c>
      <c r="O3888" s="12">
        <f>IF(M3888="","",ROUND(N3888-M3888,2))</f>
        <v/>
      </c>
      <c r="P3888" s="13">
        <f>IF(AND(A3888&lt;&gt;"",B3888&lt;&gt;""), A3888&amp;" · "&amp;B3888, "")</f>
        <v/>
      </c>
    </row>
    <row r="3889">
      <c r="A3889" s="6" t="inlineStr">
        <is>
          <t>FY27</t>
        </is>
      </c>
      <c r="B3889" s="6" t="inlineStr">
        <is>
          <t>Sep</t>
        </is>
      </c>
      <c r="C3889" s="6" t="inlineStr">
        <is>
          <t>Kerala</t>
        </is>
      </c>
      <c r="D3889" s="7" t="inlineStr">
        <is>
          <t>KL22A9324</t>
        </is>
      </c>
      <c r="E3889" s="7" t="inlineStr">
        <is>
          <t>MARUTI SUZUKI</t>
        </is>
      </c>
      <c r="F3889" s="7" t="inlineStr">
        <is>
          <t>Wagon R</t>
        </is>
      </c>
      <c r="G3889" s="7" t="inlineStr">
        <is>
          <t>POPULAR MARUTI</t>
        </is>
      </c>
      <c r="H3889" s="7" t="inlineStr">
        <is>
          <t>Non-Captive</t>
        </is>
      </c>
      <c r="I3889" s="7" t="inlineStr">
        <is>
          <t>Sherin P S</t>
        </is>
      </c>
      <c r="J3889" s="8" t="n"/>
      <c r="K3889" s="9" t="n">
        <v>110000</v>
      </c>
      <c r="L3889" s="10" t="n">
        <v>81000</v>
      </c>
      <c r="M3889" s="10" t="n">
        <v>7203.39</v>
      </c>
      <c r="N3889" s="11">
        <f>IF(M3889="","",ROUND(M3889*1.18,2))</f>
        <v/>
      </c>
      <c r="O3889" s="12">
        <f>IF(M3889="","",ROUND(N3889-M3889,2))</f>
        <v/>
      </c>
      <c r="P3889" s="13">
        <f>IF(AND(A3889&lt;&gt;"",B3889&lt;&gt;""), A3889&amp;" · "&amp;B3889, "")</f>
        <v/>
      </c>
    </row>
    <row r="3890">
      <c r="A3890" s="6" t="inlineStr">
        <is>
          <t>FY27</t>
        </is>
      </c>
      <c r="B3890" s="6" t="inlineStr">
        <is>
          <t>Sep</t>
        </is>
      </c>
      <c r="C3890" s="6" t="inlineStr">
        <is>
          <t>Kerala</t>
        </is>
      </c>
      <c r="D3890" s="7" t="inlineStr">
        <is>
          <t>KL22E1931</t>
        </is>
      </c>
      <c r="E3890" s="7" t="inlineStr">
        <is>
          <t>MARUTI SUZUKI</t>
        </is>
      </c>
      <c r="F3890" s="7" t="inlineStr">
        <is>
          <t>Alto K10</t>
        </is>
      </c>
      <c r="G3890" s="7" t="inlineStr">
        <is>
          <t>INDUS MARUTI</t>
        </is>
      </c>
      <c r="H3890" s="7" t="inlineStr">
        <is>
          <t>Non-Captive</t>
        </is>
      </c>
      <c r="I3890" s="7" t="inlineStr">
        <is>
          <t>ABHISHEK</t>
        </is>
      </c>
      <c r="J3890" s="8" t="n"/>
      <c r="K3890" s="9" t="n">
        <v>61600</v>
      </c>
      <c r="L3890" s="10" t="n">
        <v>80000</v>
      </c>
      <c r="M3890" s="10" t="n">
        <v>8474.58</v>
      </c>
      <c r="N3890" s="11">
        <f>IF(M3890="","",ROUND(M3890*1.18,2))</f>
        <v/>
      </c>
      <c r="O3890" s="12">
        <f>IF(M3890="","",ROUND(N3890-M3890,2))</f>
        <v/>
      </c>
      <c r="P3890" s="13">
        <f>IF(AND(A3890&lt;&gt;"",B3890&lt;&gt;""), A3890&amp;" · "&amp;B3890, "")</f>
        <v/>
      </c>
    </row>
    <row r="3891">
      <c r="A3891" s="6" t="inlineStr">
        <is>
          <t>FY27</t>
        </is>
      </c>
      <c r="B3891" s="6" t="inlineStr">
        <is>
          <t>Sep</t>
        </is>
      </c>
      <c r="C3891" s="6" t="inlineStr">
        <is>
          <t>Kerala</t>
        </is>
      </c>
      <c r="D3891" s="7" t="inlineStr">
        <is>
          <t>KL22E5218</t>
        </is>
      </c>
      <c r="E3891" s="7" t="inlineStr">
        <is>
          <t>HYUNDAI</t>
        </is>
      </c>
      <c r="F3891" s="7" t="inlineStr">
        <is>
          <t>Eon</t>
        </is>
      </c>
      <c r="G3891" s="7" t="inlineStr">
        <is>
          <t>SS MAHINDRA</t>
        </is>
      </c>
      <c r="H3891" s="7" t="inlineStr">
        <is>
          <t>Non-Captive</t>
        </is>
      </c>
      <c r="I3891" s="7" t="inlineStr">
        <is>
          <t>MAXX MOTORS</t>
        </is>
      </c>
      <c r="J3891" s="8" t="n"/>
      <c r="K3891" s="9" t="n">
        <v>80220</v>
      </c>
      <c r="L3891" s="10" t="n">
        <v>95000</v>
      </c>
      <c r="M3891" s="10" t="n">
        <v>4237.29</v>
      </c>
      <c r="N3891" s="11">
        <f>IF(M3891="","",ROUND(M3891*1.18,2))</f>
        <v/>
      </c>
      <c r="O3891" s="12">
        <f>IF(M3891="","",ROUND(N3891-M3891,2))</f>
        <v/>
      </c>
      <c r="P3891" s="13">
        <f>IF(AND(A3891&lt;&gt;"",B3891&lt;&gt;""), A3891&amp;" · "&amp;B3891, "")</f>
        <v/>
      </c>
    </row>
    <row r="3892">
      <c r="A3892" s="6" t="inlineStr">
        <is>
          <t>FY27</t>
        </is>
      </c>
      <c r="B3892" s="6" t="inlineStr">
        <is>
          <t>Sep</t>
        </is>
      </c>
      <c r="C3892" s="6" t="inlineStr">
        <is>
          <t>Kerala</t>
        </is>
      </c>
      <c r="D3892" s="7" t="inlineStr">
        <is>
          <t>KL22G5661</t>
        </is>
      </c>
      <c r="E3892" s="7" t="inlineStr">
        <is>
          <t>CHEVROLET</t>
        </is>
      </c>
      <c r="F3892" s="7" t="inlineStr">
        <is>
          <t>Beat</t>
        </is>
      </c>
      <c r="G3892" s="7" t="inlineStr">
        <is>
          <t>EVM CITROEN</t>
        </is>
      </c>
      <c r="H3892" s="7" t="inlineStr">
        <is>
          <t>Non-Captive</t>
        </is>
      </c>
      <c r="I3892" s="7" t="inlineStr">
        <is>
          <t>MAXX MOTORS</t>
        </is>
      </c>
      <c r="J3892" s="8" t="n"/>
      <c r="K3892" s="9" t="n">
        <v>67662</v>
      </c>
      <c r="L3892" s="10" t="n">
        <v>110000</v>
      </c>
      <c r="M3892" s="10" t="n">
        <v>8474.58</v>
      </c>
      <c r="N3892" s="11">
        <f>IF(M3892="","",ROUND(M3892*1.18,2))</f>
        <v/>
      </c>
      <c r="O3892" s="12">
        <f>IF(M3892="","",ROUND(N3892-M3892,2))</f>
        <v/>
      </c>
      <c r="P3892" s="13">
        <f>IF(AND(A3892&lt;&gt;"",B3892&lt;&gt;""), A3892&amp;" · "&amp;B3892, "")</f>
        <v/>
      </c>
    </row>
    <row r="3893">
      <c r="A3893" s="6" t="inlineStr">
        <is>
          <t>FY27</t>
        </is>
      </c>
      <c r="B3893" s="6" t="inlineStr">
        <is>
          <t>Sep</t>
        </is>
      </c>
      <c r="C3893" s="6" t="inlineStr">
        <is>
          <t>Kerala</t>
        </is>
      </c>
      <c r="D3893" s="7" t="inlineStr">
        <is>
          <t>KL22H4814</t>
        </is>
      </c>
      <c r="E3893" s="7" t="inlineStr">
        <is>
          <t>MARUTI SUZUKI</t>
        </is>
      </c>
      <c r="F3893" s="7" t="inlineStr">
        <is>
          <t>Wagon R</t>
        </is>
      </c>
      <c r="G3893" s="7" t="inlineStr">
        <is>
          <t>ABHILASH</t>
        </is>
      </c>
      <c r="H3893" s="7" t="inlineStr">
        <is>
          <t>Non-Captive</t>
        </is>
      </c>
      <c r="I3893" s="7" t="inlineStr">
        <is>
          <t>KISHORE</t>
        </is>
      </c>
      <c r="J3893" s="8" t="n"/>
      <c r="K3893" s="9" t="n">
        <v>70300</v>
      </c>
      <c r="L3893" s="10" t="n">
        <v>250000</v>
      </c>
      <c r="M3893" s="10" t="n">
        <v>8474.58</v>
      </c>
      <c r="N3893" s="11">
        <f>IF(M3893="","",ROUND(M3893*1.18,2))</f>
        <v/>
      </c>
      <c r="O3893" s="12">
        <f>IF(M3893="","",ROUND(N3893-M3893,2))</f>
        <v/>
      </c>
      <c r="P3893" s="13">
        <f>IF(AND(A3893&lt;&gt;"",B3893&lt;&gt;""), A3893&amp;" · "&amp;B3893, "")</f>
        <v/>
      </c>
    </row>
    <row r="3894">
      <c r="A3894" s="6" t="inlineStr">
        <is>
          <t>FY27</t>
        </is>
      </c>
      <c r="B3894" s="6" t="inlineStr">
        <is>
          <t>Sep</t>
        </is>
      </c>
      <c r="C3894" s="6" t="inlineStr">
        <is>
          <t>Kerala</t>
        </is>
      </c>
      <c r="D3894" s="7" t="inlineStr">
        <is>
          <t>KL23A9008</t>
        </is>
      </c>
      <c r="E3894" s="7" t="inlineStr">
        <is>
          <t>HYUNDAI</t>
        </is>
      </c>
      <c r="F3894" s="7" t="inlineStr">
        <is>
          <t>Santro</t>
        </is>
      </c>
      <c r="G3894" s="7" t="inlineStr">
        <is>
          <t>POPULAR MARUTI</t>
        </is>
      </c>
      <c r="H3894" s="7" t="inlineStr">
        <is>
          <t>Non-Captive</t>
        </is>
      </c>
      <c r="I3894" s="7" t="inlineStr">
        <is>
          <t>Arun Prasad</t>
        </is>
      </c>
      <c r="J3894" s="8" t="n"/>
      <c r="K3894" s="9" t="n">
        <v>77867</v>
      </c>
      <c r="L3894" s="10" t="n">
        <v>53000</v>
      </c>
      <c r="M3894" s="10" t="n">
        <v>6779.66</v>
      </c>
      <c r="N3894" s="11">
        <f>IF(M3894="","",ROUND(M3894*1.18,2))</f>
        <v/>
      </c>
      <c r="O3894" s="12">
        <f>IF(M3894="","",ROUND(N3894-M3894,2))</f>
        <v/>
      </c>
      <c r="P3894" s="13">
        <f>IF(AND(A3894&lt;&gt;"",B3894&lt;&gt;""), A3894&amp;" · "&amp;B3894, "")</f>
        <v/>
      </c>
    </row>
    <row r="3895">
      <c r="A3895" s="6" t="inlineStr">
        <is>
          <t>FY27</t>
        </is>
      </c>
      <c r="B3895" s="6" t="inlineStr">
        <is>
          <t>Sep</t>
        </is>
      </c>
      <c r="C3895" s="6" t="inlineStr">
        <is>
          <t>Kerala</t>
        </is>
      </c>
      <c r="D3895" s="7" t="inlineStr">
        <is>
          <t>KL24A4445</t>
        </is>
      </c>
      <c r="E3895" s="7" t="inlineStr">
        <is>
          <t>MARUTI SUZUKI</t>
        </is>
      </c>
      <c r="F3895" s="7" t="inlineStr">
        <is>
          <t>Alto</t>
        </is>
      </c>
      <c r="G3895" s="7" t="inlineStr">
        <is>
          <t>LUXON TATA</t>
        </is>
      </c>
      <c r="H3895" s="7" t="inlineStr">
        <is>
          <t>Non-Captive</t>
        </is>
      </c>
      <c r="I3895" s="7" t="inlineStr">
        <is>
          <t>Shahar T</t>
        </is>
      </c>
      <c r="J3895" s="8" t="n"/>
      <c r="K3895" s="9" t="n">
        <v>119887</v>
      </c>
      <c r="L3895" s="10" t="n">
        <v>70000</v>
      </c>
      <c r="M3895" s="10" t="n">
        <v>4237.29</v>
      </c>
      <c r="N3895" s="11">
        <f>IF(M3895="","",ROUND(M3895*1.18,2))</f>
        <v/>
      </c>
      <c r="O3895" s="12">
        <f>IF(M3895="","",ROUND(N3895-M3895,2))</f>
        <v/>
      </c>
      <c r="P3895" s="13">
        <f>IF(AND(A3895&lt;&gt;"",B3895&lt;&gt;""), A3895&amp;" · "&amp;B3895, "")</f>
        <v/>
      </c>
    </row>
    <row r="3896">
      <c r="A3896" s="6" t="inlineStr">
        <is>
          <t>FY27</t>
        </is>
      </c>
      <c r="B3896" s="6" t="inlineStr">
        <is>
          <t>Sep</t>
        </is>
      </c>
      <c r="C3896" s="6" t="inlineStr">
        <is>
          <t>Kerala</t>
        </is>
      </c>
      <c r="D3896" s="7" t="inlineStr">
        <is>
          <t>KL24G9165</t>
        </is>
      </c>
      <c r="E3896" s="7" t="inlineStr">
        <is>
          <t>MARUTI SUZUKI</t>
        </is>
      </c>
      <c r="F3896" s="7" t="inlineStr">
        <is>
          <t>Wagon R</t>
        </is>
      </c>
      <c r="G3896" s="7" t="inlineStr">
        <is>
          <t>POPULAR MARUTI</t>
        </is>
      </c>
      <c r="H3896" s="7" t="inlineStr">
        <is>
          <t>Non-Captive</t>
        </is>
      </c>
      <c r="I3896" s="7" t="inlineStr">
        <is>
          <t>Bijeshlal</t>
        </is>
      </c>
      <c r="J3896" s="8" t="n"/>
      <c r="K3896" s="9" t="n">
        <v>97900</v>
      </c>
      <c r="L3896" s="10" t="n">
        <v>190000</v>
      </c>
      <c r="M3896" s="10" t="n">
        <v>8474.58</v>
      </c>
      <c r="N3896" s="11">
        <f>IF(M3896="","",ROUND(M3896*1.18,2))</f>
        <v/>
      </c>
      <c r="O3896" s="12">
        <f>IF(M3896="","",ROUND(N3896-M3896,2))</f>
        <v/>
      </c>
      <c r="P3896" s="13">
        <f>IF(AND(A3896&lt;&gt;"",B3896&lt;&gt;""), A3896&amp;" · "&amp;B3896, "")</f>
        <v/>
      </c>
    </row>
    <row r="3897">
      <c r="A3897" s="6" t="inlineStr">
        <is>
          <t>FY27</t>
        </is>
      </c>
      <c r="B3897" s="6" t="inlineStr">
        <is>
          <t>Sep</t>
        </is>
      </c>
      <c r="C3897" s="6" t="inlineStr">
        <is>
          <t>Kerala</t>
        </is>
      </c>
      <c r="D3897" s="7" t="inlineStr">
        <is>
          <t>KL24J1616</t>
        </is>
      </c>
      <c r="E3897" s="7" t="inlineStr">
        <is>
          <t>HONDA</t>
        </is>
      </c>
      <c r="F3897" s="7" t="inlineStr">
        <is>
          <t>Amaze</t>
        </is>
      </c>
      <c r="G3897" s="7" t="inlineStr">
        <is>
          <t>ALBIN JOSE</t>
        </is>
      </c>
      <c r="H3897" s="7" t="inlineStr">
        <is>
          <t>Non-Captive</t>
        </is>
      </c>
      <c r="I3897" s="7" t="inlineStr">
        <is>
          <t>ASHRAF T A</t>
        </is>
      </c>
      <c r="J3897" s="8" t="n"/>
      <c r="K3897" s="9" t="n">
        <v>123422</v>
      </c>
      <c r="L3897" s="10" t="n">
        <v>175000</v>
      </c>
      <c r="M3897" s="10" t="n">
        <v>8474.58</v>
      </c>
      <c r="N3897" s="11">
        <f>IF(M3897="","",ROUND(M3897*1.18,2))</f>
        <v/>
      </c>
      <c r="O3897" s="12">
        <f>IF(M3897="","",ROUND(N3897-M3897,2))</f>
        <v/>
      </c>
      <c r="P3897" s="13">
        <f>IF(AND(A3897&lt;&gt;"",B3897&lt;&gt;""), A3897&amp;" · "&amp;B3897, "")</f>
        <v/>
      </c>
    </row>
    <row r="3898">
      <c r="A3898" s="6" t="inlineStr">
        <is>
          <t>FY27</t>
        </is>
      </c>
      <c r="B3898" s="6" t="inlineStr">
        <is>
          <t>Sep</t>
        </is>
      </c>
      <c r="C3898" s="6" t="inlineStr">
        <is>
          <t>Kerala</t>
        </is>
      </c>
      <c r="D3898" s="7" t="inlineStr">
        <is>
          <t>KL24N7552</t>
        </is>
      </c>
      <c r="E3898" s="7" t="inlineStr">
        <is>
          <t>HYUNDAI</t>
        </is>
      </c>
      <c r="F3898" s="7" t="inlineStr">
        <is>
          <t>Eon</t>
        </is>
      </c>
      <c r="G3898" s="7" t="inlineStr">
        <is>
          <t>POPULAR MARUTI</t>
        </is>
      </c>
      <c r="H3898" s="7" t="inlineStr">
        <is>
          <t>Non-Captive</t>
        </is>
      </c>
      <c r="I3898" s="7" t="inlineStr">
        <is>
          <t>Sherin P S</t>
        </is>
      </c>
      <c r="J3898" s="8" t="n"/>
      <c r="K3898" s="9" t="n">
        <v>141000</v>
      </c>
      <c r="L3898" s="10" t="n">
        <v>135000</v>
      </c>
      <c r="M3898" s="10" t="n">
        <v>8474.58</v>
      </c>
      <c r="N3898" s="11">
        <f>IF(M3898="","",ROUND(M3898*1.18,2))</f>
        <v/>
      </c>
      <c r="O3898" s="12">
        <f>IF(M3898="","",ROUND(N3898-M3898,2))</f>
        <v/>
      </c>
      <c r="P3898" s="13">
        <f>IF(AND(A3898&lt;&gt;"",B3898&lt;&gt;""), A3898&amp;" · "&amp;B3898, "")</f>
        <v/>
      </c>
    </row>
    <row r="3899">
      <c r="A3899" s="6" t="inlineStr">
        <is>
          <t>FY27</t>
        </is>
      </c>
      <c r="B3899" s="6" t="inlineStr">
        <is>
          <t>Sep</t>
        </is>
      </c>
      <c r="C3899" s="6" t="inlineStr">
        <is>
          <t>Kerala</t>
        </is>
      </c>
      <c r="D3899" s="7" t="inlineStr">
        <is>
          <t>KL25B9300</t>
        </is>
      </c>
      <c r="E3899" s="7" t="inlineStr">
        <is>
          <t>NISSAN</t>
        </is>
      </c>
      <c r="F3899" s="7" t="inlineStr">
        <is>
          <t>Micra</t>
        </is>
      </c>
      <c r="G3899" s="7" t="inlineStr">
        <is>
          <t>MARIKAR NISSAN</t>
        </is>
      </c>
      <c r="H3899" s="7" t="inlineStr">
        <is>
          <t>Non-Captive</t>
        </is>
      </c>
      <c r="I3899" s="7" t="inlineStr">
        <is>
          <t>Clind</t>
        </is>
      </c>
      <c r="J3899" s="8" t="n"/>
      <c r="K3899" s="9" t="n">
        <v>184300</v>
      </c>
      <c r="L3899" s="10" t="n">
        <v>107000</v>
      </c>
      <c r="M3899" s="10" t="n">
        <v>5932.2</v>
      </c>
      <c r="N3899" s="11">
        <f>IF(M3899="","",ROUND(M3899*1.18,2))</f>
        <v/>
      </c>
      <c r="O3899" s="12">
        <f>IF(M3899="","",ROUND(N3899-M3899,2))</f>
        <v/>
      </c>
      <c r="P3899" s="13">
        <f>IF(AND(A3899&lt;&gt;"",B3899&lt;&gt;""), A3899&amp;" · "&amp;B3899, "")</f>
        <v/>
      </c>
    </row>
    <row r="3900">
      <c r="A3900" s="6" t="inlineStr">
        <is>
          <t>FY27</t>
        </is>
      </c>
      <c r="B3900" s="6" t="inlineStr">
        <is>
          <t>Sep</t>
        </is>
      </c>
      <c r="C3900" s="6" t="inlineStr">
        <is>
          <t>Kerala</t>
        </is>
      </c>
      <c r="D3900" s="7" t="inlineStr">
        <is>
          <t>KL26E3983</t>
        </is>
      </c>
      <c r="E3900" s="7" t="inlineStr">
        <is>
          <t>TATA</t>
        </is>
      </c>
      <c r="F3900" s="7" t="inlineStr">
        <is>
          <t>Nano</t>
        </is>
      </c>
      <c r="G3900" s="7" t="inlineStr">
        <is>
          <t>POPULAR MARUTI</t>
        </is>
      </c>
      <c r="H3900" s="7" t="inlineStr">
        <is>
          <t>Non-Captive</t>
        </is>
      </c>
      <c r="I3900" s="7" t="inlineStr">
        <is>
          <t>RAJEEV A C</t>
        </is>
      </c>
      <c r="J3900" s="8" t="n"/>
      <c r="K3900" s="9" t="n">
        <v>72610</v>
      </c>
      <c r="L3900" s="10" t="n">
        <v>22000</v>
      </c>
      <c r="M3900" s="10" t="n">
        <v>5932.2</v>
      </c>
      <c r="N3900" s="11">
        <f>IF(M3900="","",ROUND(M3900*1.18,2))</f>
        <v/>
      </c>
      <c r="O3900" s="12">
        <f>IF(M3900="","",ROUND(N3900-M3900,2))</f>
        <v/>
      </c>
      <c r="P3900" s="13">
        <f>IF(AND(A3900&lt;&gt;"",B3900&lt;&gt;""), A3900&amp;" · "&amp;B3900, "")</f>
        <v/>
      </c>
    </row>
    <row r="3901">
      <c r="A3901" s="6" t="inlineStr">
        <is>
          <t>FY27</t>
        </is>
      </c>
      <c r="B3901" s="6" t="inlineStr">
        <is>
          <t>Sep</t>
        </is>
      </c>
      <c r="C3901" s="6" t="inlineStr">
        <is>
          <t>Kerala</t>
        </is>
      </c>
      <c r="D3901" s="7" t="inlineStr">
        <is>
          <t>KL26H6349</t>
        </is>
      </c>
      <c r="E3901" s="7" t="inlineStr">
        <is>
          <t>HYUNDAI</t>
        </is>
      </c>
      <c r="F3901" s="7" t="inlineStr">
        <is>
          <t>i20</t>
        </is>
      </c>
      <c r="G3901" s="7" t="inlineStr">
        <is>
          <t>INDUS MARUTI</t>
        </is>
      </c>
      <c r="H3901" s="7" t="inlineStr">
        <is>
          <t>Non-Captive</t>
        </is>
      </c>
      <c r="I3901" s="7" t="inlineStr">
        <is>
          <t>Arnold</t>
        </is>
      </c>
      <c r="J3901" s="8" t="n"/>
      <c r="K3901" s="9" t="n">
        <v>59000</v>
      </c>
      <c r="L3901" s="10" t="n">
        <v>300000</v>
      </c>
      <c r="M3901" s="10" t="n">
        <v>8474.58</v>
      </c>
      <c r="N3901" s="11">
        <f>IF(M3901="","",ROUND(M3901*1.18,2))</f>
        <v/>
      </c>
      <c r="O3901" s="12">
        <f>IF(M3901="","",ROUND(N3901-M3901,2))</f>
        <v/>
      </c>
      <c r="P3901" s="13">
        <f>IF(AND(A3901&lt;&gt;"",B3901&lt;&gt;""), A3901&amp;" · "&amp;B3901, "")</f>
        <v/>
      </c>
    </row>
    <row r="3902">
      <c r="A3902" s="6" t="inlineStr">
        <is>
          <t>FY27</t>
        </is>
      </c>
      <c r="B3902" s="6" t="inlineStr">
        <is>
          <t>Sep</t>
        </is>
      </c>
      <c r="C3902" s="6" t="inlineStr">
        <is>
          <t>Kerala</t>
        </is>
      </c>
      <c r="D3902" s="7" t="inlineStr">
        <is>
          <t>KL26J7566</t>
        </is>
      </c>
      <c r="E3902" s="7" t="inlineStr">
        <is>
          <t>HYUNDAI</t>
        </is>
      </c>
      <c r="F3902" s="7" t="inlineStr">
        <is>
          <t>Eon</t>
        </is>
      </c>
      <c r="G3902" s="7" t="inlineStr">
        <is>
          <t>POPULAR MARUTI</t>
        </is>
      </c>
      <c r="H3902" s="7" t="inlineStr">
        <is>
          <t>Non-Captive</t>
        </is>
      </c>
      <c r="I3902" s="7" t="inlineStr">
        <is>
          <t>SABU</t>
        </is>
      </c>
      <c r="J3902" s="8" t="n"/>
      <c r="K3902" s="9" t="n">
        <v>78700</v>
      </c>
      <c r="L3902" s="10" t="n">
        <v>153000</v>
      </c>
      <c r="M3902" s="10" t="n">
        <v>8474.58</v>
      </c>
      <c r="N3902" s="11">
        <f>IF(M3902="","",ROUND(M3902*1.18,2))</f>
        <v/>
      </c>
      <c r="O3902" s="12">
        <f>IF(M3902="","",ROUND(N3902-M3902,2))</f>
        <v/>
      </c>
      <c r="P3902" s="13">
        <f>IF(AND(A3902&lt;&gt;"",B3902&lt;&gt;""), A3902&amp;" · "&amp;B3902, "")</f>
        <v/>
      </c>
    </row>
    <row r="3903">
      <c r="A3903" s="6" t="inlineStr">
        <is>
          <t>FY27</t>
        </is>
      </c>
      <c r="B3903" s="6" t="inlineStr">
        <is>
          <t>Sep</t>
        </is>
      </c>
      <c r="C3903" s="6" t="inlineStr">
        <is>
          <t>Kerala</t>
        </is>
      </c>
      <c r="D3903" s="7" t="inlineStr">
        <is>
          <t>KL27D5464</t>
        </is>
      </c>
      <c r="E3903" s="7" t="inlineStr">
        <is>
          <t>MARUTI SUZUKI</t>
        </is>
      </c>
      <c r="F3903" s="7" t="inlineStr">
        <is>
          <t>Wagon R</t>
        </is>
      </c>
      <c r="G3903" s="7" t="inlineStr">
        <is>
          <t>KVR TATA</t>
        </is>
      </c>
      <c r="H3903" s="7" t="inlineStr">
        <is>
          <t>Non-Captive</t>
        </is>
      </c>
      <c r="I3903" s="7" t="inlineStr">
        <is>
          <t>N H Sameer</t>
        </is>
      </c>
      <c r="J3903" s="8" t="n"/>
      <c r="K3903" s="9" t="n">
        <v>133000</v>
      </c>
      <c r="L3903" s="10" t="n">
        <v>185000</v>
      </c>
      <c r="M3903" s="10" t="n">
        <v>8474.58</v>
      </c>
      <c r="N3903" s="11">
        <f>IF(M3903="","",ROUND(M3903*1.18,2))</f>
        <v/>
      </c>
      <c r="O3903" s="12">
        <f>IF(M3903="","",ROUND(N3903-M3903,2))</f>
        <v/>
      </c>
      <c r="P3903" s="13">
        <f>IF(AND(A3903&lt;&gt;"",B3903&lt;&gt;""), A3903&amp;" · "&amp;B3903, "")</f>
        <v/>
      </c>
    </row>
    <row r="3904">
      <c r="A3904" s="6" t="inlineStr">
        <is>
          <t>FY27</t>
        </is>
      </c>
      <c r="B3904" s="6" t="inlineStr">
        <is>
          <t>Sep</t>
        </is>
      </c>
      <c r="C3904" s="6" t="inlineStr">
        <is>
          <t>Kerala</t>
        </is>
      </c>
      <c r="D3904" s="7" t="inlineStr">
        <is>
          <t>KL29L3924</t>
        </is>
      </c>
      <c r="E3904" s="7" t="inlineStr">
        <is>
          <t>VOLKSWAGEN</t>
        </is>
      </c>
      <c r="F3904" s="7" t="inlineStr">
        <is>
          <t>Ameo</t>
        </is>
      </c>
      <c r="G3904" s="7" t="inlineStr">
        <is>
          <t>POPULAR MARUTI</t>
        </is>
      </c>
      <c r="H3904" s="7" t="inlineStr">
        <is>
          <t>Non-Captive</t>
        </is>
      </c>
      <c r="I3904" s="7" t="inlineStr">
        <is>
          <t>Muhammed Rafi</t>
        </is>
      </c>
      <c r="J3904" s="8" t="n"/>
      <c r="K3904" s="9" t="n">
        <v>123874</v>
      </c>
      <c r="L3904" s="10" t="n">
        <v>210000</v>
      </c>
      <c r="M3904" s="10" t="n">
        <v>8474.58</v>
      </c>
      <c r="N3904" s="11">
        <f>IF(M3904="","",ROUND(M3904*1.18,2))</f>
        <v/>
      </c>
      <c r="O3904" s="12">
        <f>IF(M3904="","",ROUND(N3904-M3904,2))</f>
        <v/>
      </c>
      <c r="P3904" s="13">
        <f>IF(AND(A3904&lt;&gt;"",B3904&lt;&gt;""), A3904&amp;" · "&amp;B3904, "")</f>
        <v/>
      </c>
    </row>
    <row r="3905">
      <c r="A3905" s="6" t="inlineStr">
        <is>
          <t>FY27</t>
        </is>
      </c>
      <c r="B3905" s="6" t="inlineStr">
        <is>
          <t>Sep</t>
        </is>
      </c>
      <c r="C3905" s="6" t="inlineStr">
        <is>
          <t>Kerala</t>
        </is>
      </c>
      <c r="D3905" s="7" t="inlineStr">
        <is>
          <t>KL30A2630</t>
        </is>
      </c>
      <c r="E3905" s="7" t="inlineStr">
        <is>
          <t>MARUTI SUZUKI</t>
        </is>
      </c>
      <c r="F3905" s="7" t="inlineStr">
        <is>
          <t>Wagon R</t>
        </is>
      </c>
      <c r="G3905" s="7" t="inlineStr">
        <is>
          <t>ALBIN JOSE</t>
        </is>
      </c>
      <c r="H3905" s="7" t="inlineStr">
        <is>
          <t>Non-Captive</t>
        </is>
      </c>
      <c r="I3905" s="7" t="inlineStr">
        <is>
          <t>Pramod C G</t>
        </is>
      </c>
      <c r="J3905" s="8" t="n"/>
      <c r="K3905" s="9" t="n">
        <v>191000</v>
      </c>
      <c r="L3905" s="10" t="n">
        <v>110000</v>
      </c>
      <c r="M3905" s="10" t="n">
        <v>8474.58</v>
      </c>
      <c r="N3905" s="11">
        <f>IF(M3905="","",ROUND(M3905*1.18,2))</f>
        <v/>
      </c>
      <c r="O3905" s="12">
        <f>IF(M3905="","",ROUND(N3905-M3905,2))</f>
        <v/>
      </c>
      <c r="P3905" s="13">
        <f>IF(AND(A3905&lt;&gt;"",B3905&lt;&gt;""), A3905&amp;" · "&amp;B3905, "")</f>
        <v/>
      </c>
    </row>
    <row r="3906">
      <c r="A3906" s="6" t="inlineStr">
        <is>
          <t>FY27</t>
        </is>
      </c>
      <c r="B3906" s="6" t="inlineStr">
        <is>
          <t>Sep</t>
        </is>
      </c>
      <c r="C3906" s="6" t="inlineStr">
        <is>
          <t>Kerala</t>
        </is>
      </c>
      <c r="D3906" s="7" t="inlineStr">
        <is>
          <t>KL30D5536</t>
        </is>
      </c>
      <c r="E3906" s="7" t="inlineStr">
        <is>
          <t>MARUTI SUZUKI</t>
        </is>
      </c>
      <c r="F3906" s="7" t="inlineStr">
        <is>
          <t>Wagon R</t>
        </is>
      </c>
      <c r="G3906" s="7" t="inlineStr">
        <is>
          <t>POPULAR VEHICLES</t>
        </is>
      </c>
      <c r="H3906" s="7" t="inlineStr">
        <is>
          <t>Non-Captive</t>
        </is>
      </c>
      <c r="I3906" s="7" t="inlineStr">
        <is>
          <t>GOOD CHOICE</t>
        </is>
      </c>
      <c r="J3906" s="8" t="n"/>
      <c r="K3906" s="9" t="n">
        <v>43624</v>
      </c>
      <c r="L3906" s="10" t="n">
        <v>235000</v>
      </c>
      <c r="M3906" s="10" t="n">
        <v>8474.58</v>
      </c>
      <c r="N3906" s="11">
        <f>IF(M3906="","",ROUND(M3906*1.18,2))</f>
        <v/>
      </c>
      <c r="O3906" s="12">
        <f>IF(M3906="","",ROUND(N3906-M3906,2))</f>
        <v/>
      </c>
      <c r="P3906" s="13">
        <f>IF(AND(A3906&lt;&gt;"",B3906&lt;&gt;""), A3906&amp;" · "&amp;B3906, "")</f>
        <v/>
      </c>
    </row>
    <row r="3907">
      <c r="A3907" s="6" t="inlineStr">
        <is>
          <t>FY27</t>
        </is>
      </c>
      <c r="B3907" s="6" t="inlineStr">
        <is>
          <t>Sep</t>
        </is>
      </c>
      <c r="C3907" s="6" t="inlineStr">
        <is>
          <t>Kerala</t>
        </is>
      </c>
      <c r="D3907" s="7" t="inlineStr">
        <is>
          <t>KL32F7160</t>
        </is>
      </c>
      <c r="E3907" s="7" t="inlineStr">
        <is>
          <t>HONDA</t>
        </is>
      </c>
      <c r="F3907" s="7" t="inlineStr">
        <is>
          <t>City</t>
        </is>
      </c>
      <c r="G3907" s="7" t="inlineStr">
        <is>
          <t>GOKULAM TATA</t>
        </is>
      </c>
      <c r="H3907" s="7" t="inlineStr">
        <is>
          <t>Non-Captive</t>
        </is>
      </c>
      <c r="I3907" s="7" t="inlineStr">
        <is>
          <t>Asharaf T A</t>
        </is>
      </c>
      <c r="J3907" s="8" t="n"/>
      <c r="K3907" s="9" t="n">
        <v>171871</v>
      </c>
      <c r="L3907" s="10" t="n">
        <v>63000</v>
      </c>
      <c r="M3907" s="10" t="n">
        <v>6779.66</v>
      </c>
      <c r="N3907" s="11">
        <f>IF(M3907="","",ROUND(M3907*1.18,2))</f>
        <v/>
      </c>
      <c r="O3907" s="12">
        <f>IF(M3907="","",ROUND(N3907-M3907,2))</f>
        <v/>
      </c>
      <c r="P3907" s="13">
        <f>IF(AND(A3907&lt;&gt;"",B3907&lt;&gt;""), A3907&amp;" · "&amp;B3907, "")</f>
        <v/>
      </c>
    </row>
    <row r="3908">
      <c r="A3908" s="6" t="inlineStr">
        <is>
          <t>FY27</t>
        </is>
      </c>
      <c r="B3908" s="6" t="inlineStr">
        <is>
          <t>Sep</t>
        </is>
      </c>
      <c r="C3908" s="6" t="inlineStr">
        <is>
          <t>Kerala</t>
        </is>
      </c>
      <c r="D3908" s="7" t="inlineStr">
        <is>
          <t>KL32J2653</t>
        </is>
      </c>
      <c r="E3908" s="7" t="inlineStr">
        <is>
          <t>HYUNDAI</t>
        </is>
      </c>
      <c r="F3908" s="7" t="inlineStr">
        <is>
          <t>Eon</t>
        </is>
      </c>
      <c r="G3908" s="7" t="inlineStr">
        <is>
          <t>INDUS MARUTI</t>
        </is>
      </c>
      <c r="H3908" s="7" t="inlineStr">
        <is>
          <t>Non-Captive</t>
        </is>
      </c>
      <c r="I3908" s="7" t="inlineStr">
        <is>
          <t>ABDUL SALAM K K</t>
        </is>
      </c>
      <c r="J3908" s="8" t="n"/>
      <c r="K3908" s="9" t="n">
        <v>73566</v>
      </c>
      <c r="L3908" s="10" t="n">
        <v>145000</v>
      </c>
      <c r="M3908" s="10" t="n">
        <v>8474.58</v>
      </c>
      <c r="N3908" s="11">
        <f>IF(M3908="","",ROUND(M3908*1.18,2))</f>
        <v/>
      </c>
      <c r="O3908" s="12">
        <f>IF(M3908="","",ROUND(N3908-M3908,2))</f>
        <v/>
      </c>
      <c r="P3908" s="13">
        <f>IF(AND(A3908&lt;&gt;"",B3908&lt;&gt;""), A3908&amp;" · "&amp;B3908, "")</f>
        <v/>
      </c>
    </row>
    <row r="3909">
      <c r="A3909" s="6" t="inlineStr">
        <is>
          <t>FY27</t>
        </is>
      </c>
      <c r="B3909" s="6" t="inlineStr">
        <is>
          <t>Sep</t>
        </is>
      </c>
      <c r="C3909" s="6" t="inlineStr">
        <is>
          <t>Kerala</t>
        </is>
      </c>
      <c r="D3909" s="7" t="inlineStr">
        <is>
          <t>KL32K6732</t>
        </is>
      </c>
      <c r="E3909" s="7" t="inlineStr">
        <is>
          <t>MARUTI SUZUKI</t>
        </is>
      </c>
      <c r="F3909" s="7" t="inlineStr">
        <is>
          <t>Alto 800</t>
        </is>
      </c>
      <c r="G3909" s="7" t="inlineStr">
        <is>
          <t>AUTOMOTIVE</t>
        </is>
      </c>
      <c r="H3909" s="7" t="inlineStr">
        <is>
          <t>Non-Captive</t>
        </is>
      </c>
      <c r="I3909" s="7" t="inlineStr">
        <is>
          <t>Umesh Kumar T U</t>
        </is>
      </c>
      <c r="J3909" s="8" t="n"/>
      <c r="K3909" s="9" t="n">
        <v>83845</v>
      </c>
      <c r="L3909" s="10" t="n">
        <v>200000</v>
      </c>
      <c r="M3909" s="10" t="n">
        <v>8474.58</v>
      </c>
      <c r="N3909" s="11">
        <f>IF(M3909="","",ROUND(M3909*1.18,2))</f>
        <v/>
      </c>
      <c r="O3909" s="12">
        <f>IF(M3909="","",ROUND(N3909-M3909,2))</f>
        <v/>
      </c>
      <c r="P3909" s="13">
        <f>IF(AND(A3909&lt;&gt;"",B3909&lt;&gt;""), A3909&amp;" · "&amp;B3909, "")</f>
        <v/>
      </c>
    </row>
    <row r="3910">
      <c r="A3910" s="6" t="inlineStr">
        <is>
          <t>FY27</t>
        </is>
      </c>
      <c r="B3910" s="6" t="inlineStr">
        <is>
          <t>Sep</t>
        </is>
      </c>
      <c r="C3910" s="6" t="inlineStr">
        <is>
          <t>Kerala</t>
        </is>
      </c>
      <c r="D3910" s="7" t="inlineStr">
        <is>
          <t>KL32N0147</t>
        </is>
      </c>
      <c r="E3910" s="7" t="inlineStr">
        <is>
          <t>MARUTI SUZUKI</t>
        </is>
      </c>
      <c r="F3910" s="7" t="inlineStr">
        <is>
          <t>Alto 800</t>
        </is>
      </c>
      <c r="G3910" s="7" t="inlineStr">
        <is>
          <t>LUXON TATA</t>
        </is>
      </c>
      <c r="H3910" s="7" t="inlineStr">
        <is>
          <t>Non-Captive</t>
        </is>
      </c>
      <c r="I3910" s="7" t="inlineStr">
        <is>
          <t>Asharaf T A</t>
        </is>
      </c>
      <c r="J3910" s="8" t="n"/>
      <c r="K3910" s="9" t="n">
        <v>46297</v>
      </c>
      <c r="L3910" s="10" t="n">
        <v>215000</v>
      </c>
      <c r="M3910" s="10" t="n">
        <v>8474.58</v>
      </c>
      <c r="N3910" s="11">
        <f>IF(M3910="","",ROUND(M3910*1.18,2))</f>
        <v/>
      </c>
      <c r="O3910" s="12">
        <f>IF(M3910="","",ROUND(N3910-M3910,2))</f>
        <v/>
      </c>
      <c r="P3910" s="13">
        <f>IF(AND(A3910&lt;&gt;"",B3910&lt;&gt;""), A3910&amp;" · "&amp;B3910, "")</f>
        <v/>
      </c>
    </row>
    <row r="3911">
      <c r="A3911" s="6" t="inlineStr">
        <is>
          <t>FY27</t>
        </is>
      </c>
      <c r="B3911" s="6" t="inlineStr">
        <is>
          <t>Sep</t>
        </is>
      </c>
      <c r="C3911" s="6" t="inlineStr">
        <is>
          <t>Kerala</t>
        </is>
      </c>
      <c r="D3911" s="7" t="inlineStr">
        <is>
          <t>KL32P7009</t>
        </is>
      </c>
      <c r="E3911" s="7" t="inlineStr">
        <is>
          <t>MARUTI SUZUKI</t>
        </is>
      </c>
      <c r="F3911" s="7" t="inlineStr">
        <is>
          <t>Ertiga</t>
        </is>
      </c>
      <c r="G3911" s="7" t="inlineStr">
        <is>
          <t>INDUS MARUTI</t>
        </is>
      </c>
      <c r="H3911" s="7" t="inlineStr">
        <is>
          <t>Non-Captive</t>
        </is>
      </c>
      <c r="I3911" s="7" t="inlineStr">
        <is>
          <t>HAVEN MOTORS</t>
        </is>
      </c>
      <c r="J3911" s="8" t="n"/>
      <c r="K3911" s="9" t="n">
        <v>81406</v>
      </c>
      <c r="L3911" s="10" t="n">
        <v>720000</v>
      </c>
      <c r="M3911" s="10" t="n">
        <v>8474.58</v>
      </c>
      <c r="N3911" s="11">
        <f>IF(M3911="","",ROUND(M3911*1.18,2))</f>
        <v/>
      </c>
      <c r="O3911" s="12">
        <f>IF(M3911="","",ROUND(N3911-M3911,2))</f>
        <v/>
      </c>
      <c r="P3911" s="13">
        <f>IF(AND(A3911&lt;&gt;"",B3911&lt;&gt;""), A3911&amp;" · "&amp;B3911, "")</f>
        <v/>
      </c>
    </row>
    <row r="3912">
      <c r="A3912" s="6" t="inlineStr">
        <is>
          <t>FY27</t>
        </is>
      </c>
      <c r="B3912" s="6" t="inlineStr">
        <is>
          <t>Sep</t>
        </is>
      </c>
      <c r="C3912" s="6" t="inlineStr">
        <is>
          <t>Kerala</t>
        </is>
      </c>
      <c r="D3912" s="7" t="inlineStr">
        <is>
          <t>KL32T1314</t>
        </is>
      </c>
      <c r="E3912" s="7" t="inlineStr">
        <is>
          <t>NISSAN</t>
        </is>
      </c>
      <c r="F3912" s="7" t="inlineStr">
        <is>
          <t>Magnite</t>
        </is>
      </c>
      <c r="G3912" s="7" t="inlineStr">
        <is>
          <t>INCHEON KIA</t>
        </is>
      </c>
      <c r="H3912" s="7" t="inlineStr">
        <is>
          <t>Non-Captive</t>
        </is>
      </c>
      <c r="I3912" s="7" t="inlineStr">
        <is>
          <t>Abdul Salam P U</t>
        </is>
      </c>
      <c r="J3912" s="8" t="n"/>
      <c r="K3912" s="9" t="n">
        <v>99451</v>
      </c>
      <c r="L3912" s="10" t="n">
        <v>300000</v>
      </c>
      <c r="M3912" s="10" t="n">
        <v>8474.58</v>
      </c>
      <c r="N3912" s="11">
        <f>IF(M3912="","",ROUND(M3912*1.18,2))</f>
        <v/>
      </c>
      <c r="O3912" s="12">
        <f>IF(M3912="","",ROUND(N3912-M3912,2))</f>
        <v/>
      </c>
      <c r="P3912" s="13">
        <f>IF(AND(A3912&lt;&gt;"",B3912&lt;&gt;""), A3912&amp;" · "&amp;B3912, "")</f>
        <v/>
      </c>
    </row>
    <row r="3913">
      <c r="A3913" s="6" t="inlineStr">
        <is>
          <t>FY27</t>
        </is>
      </c>
      <c r="B3913" s="6" t="inlineStr">
        <is>
          <t>Sep</t>
        </is>
      </c>
      <c r="C3913" s="6" t="inlineStr">
        <is>
          <t>Kerala</t>
        </is>
      </c>
      <c r="D3913" s="7" t="inlineStr">
        <is>
          <t>KL38A2538</t>
        </is>
      </c>
      <c r="E3913" s="7" t="inlineStr">
        <is>
          <t>MARUTI SUZUKI</t>
        </is>
      </c>
      <c r="F3913" s="7" t="inlineStr">
        <is>
          <t>Omni</t>
        </is>
      </c>
      <c r="G3913" s="7" t="inlineStr">
        <is>
          <t>POPULAR VEHICLES</t>
        </is>
      </c>
      <c r="H3913" s="7" t="inlineStr">
        <is>
          <t>Non-Captive</t>
        </is>
      </c>
      <c r="I3913" s="7" t="inlineStr">
        <is>
          <t>Umesh Kumar T U</t>
        </is>
      </c>
      <c r="J3913" s="8" t="n"/>
      <c r="K3913" s="9" t="n">
        <v>72000</v>
      </c>
      <c r="L3913" s="10" t="n">
        <v>100000</v>
      </c>
      <c r="M3913" s="10" t="n">
        <v>8474.58</v>
      </c>
      <c r="N3913" s="11">
        <f>IF(M3913="","",ROUND(M3913*1.18,2))</f>
        <v/>
      </c>
      <c r="O3913" s="12">
        <f>IF(M3913="","",ROUND(N3913-M3913,2))</f>
        <v/>
      </c>
      <c r="P3913" s="13">
        <f>IF(AND(A3913&lt;&gt;"",B3913&lt;&gt;""), A3913&amp;" · "&amp;B3913, "")</f>
        <v/>
      </c>
    </row>
    <row r="3914">
      <c r="A3914" s="6" t="inlineStr">
        <is>
          <t>FY27</t>
        </is>
      </c>
      <c r="B3914" s="6" t="inlineStr">
        <is>
          <t>Sep</t>
        </is>
      </c>
      <c r="C3914" s="6" t="inlineStr">
        <is>
          <t>Kerala</t>
        </is>
      </c>
      <c r="D3914" s="7" t="inlineStr">
        <is>
          <t>KL38K1540</t>
        </is>
      </c>
      <c r="E3914" s="7" t="inlineStr">
        <is>
          <t>TATA</t>
        </is>
      </c>
      <c r="F3914" s="7" t="inlineStr">
        <is>
          <t>Punch</t>
        </is>
      </c>
      <c r="G3914" s="7" t="inlineStr">
        <is>
          <t>GOKULAM TATA</t>
        </is>
      </c>
      <c r="H3914" s="7" t="inlineStr">
        <is>
          <t>Non-Captive</t>
        </is>
      </c>
      <c r="I3914" s="7" t="inlineStr">
        <is>
          <t>Aitos Cars</t>
        </is>
      </c>
      <c r="J3914" s="8" t="n"/>
      <c r="K3914" s="9" t="n">
        <v>64000</v>
      </c>
      <c r="L3914" s="10" t="n">
        <v>510000</v>
      </c>
      <c r="M3914" s="10" t="n">
        <v>8474.58</v>
      </c>
      <c r="N3914" s="11">
        <f>IF(M3914="","",ROUND(M3914*1.18,2))</f>
        <v/>
      </c>
      <c r="O3914" s="12">
        <f>IF(M3914="","",ROUND(N3914-M3914,2))</f>
        <v/>
      </c>
      <c r="P3914" s="13">
        <f>IF(AND(A3914&lt;&gt;"",B3914&lt;&gt;""), A3914&amp;" · "&amp;B3914, "")</f>
        <v/>
      </c>
    </row>
    <row r="3915">
      <c r="A3915" s="6" t="inlineStr">
        <is>
          <t>FY27</t>
        </is>
      </c>
      <c r="B3915" s="6" t="inlineStr">
        <is>
          <t>Sep</t>
        </is>
      </c>
      <c r="C3915" s="6" t="inlineStr">
        <is>
          <t>Kerala</t>
        </is>
      </c>
      <c r="D3915" s="7" t="inlineStr">
        <is>
          <t>KL39B0806</t>
        </is>
      </c>
      <c r="E3915" s="7" t="inlineStr">
        <is>
          <t>HYUNDAI</t>
        </is>
      </c>
      <c r="F3915" s="7" t="inlineStr">
        <is>
          <t>i10</t>
        </is>
      </c>
      <c r="G3915" s="7" t="inlineStr">
        <is>
          <t>LUXON TATA</t>
        </is>
      </c>
      <c r="H3915" s="7" t="inlineStr">
        <is>
          <t>Non-Captive</t>
        </is>
      </c>
      <c r="I3915" s="7" t="inlineStr">
        <is>
          <t>Dream Cars</t>
        </is>
      </c>
      <c r="J3915" s="8" t="n"/>
      <c r="K3915" s="9" t="n">
        <v>76692</v>
      </c>
      <c r="L3915" s="10" t="n">
        <v>120000</v>
      </c>
      <c r="M3915" s="10" t="n">
        <v>8474.58</v>
      </c>
      <c r="N3915" s="11">
        <f>IF(M3915="","",ROUND(M3915*1.18,2))</f>
        <v/>
      </c>
      <c r="O3915" s="12">
        <f>IF(M3915="","",ROUND(N3915-M3915,2))</f>
        <v/>
      </c>
      <c r="P3915" s="13">
        <f>IF(AND(A3915&lt;&gt;"",B3915&lt;&gt;""), A3915&amp;" · "&amp;B3915, "")</f>
        <v/>
      </c>
    </row>
    <row r="3916">
      <c r="A3916" s="6" t="inlineStr">
        <is>
          <t>FY27</t>
        </is>
      </c>
      <c r="B3916" s="6" t="inlineStr">
        <is>
          <t>Sep</t>
        </is>
      </c>
      <c r="C3916" s="6" t="inlineStr">
        <is>
          <t>Kerala</t>
        </is>
      </c>
      <c r="D3916" s="7" t="inlineStr">
        <is>
          <t>KL39L6939</t>
        </is>
      </c>
      <c r="E3916" s="7" t="inlineStr">
        <is>
          <t>RENAULT</t>
        </is>
      </c>
      <c r="F3916" s="7" t="inlineStr">
        <is>
          <t>Duster</t>
        </is>
      </c>
      <c r="G3916" s="7" t="inlineStr">
        <is>
          <t>LUXON TATA</t>
        </is>
      </c>
      <c r="H3916" s="7" t="inlineStr">
        <is>
          <t>Non-Captive</t>
        </is>
      </c>
      <c r="I3916" s="7" t="inlineStr">
        <is>
          <t>ABDUL SALAM K K</t>
        </is>
      </c>
      <c r="J3916" s="8" t="n"/>
      <c r="K3916" s="9" t="n">
        <v>155619</v>
      </c>
      <c r="L3916" s="10" t="n">
        <v>310000</v>
      </c>
      <c r="M3916" s="10" t="n">
        <v>8474.58</v>
      </c>
      <c r="N3916" s="11">
        <f>IF(M3916="","",ROUND(M3916*1.18,2))</f>
        <v/>
      </c>
      <c r="O3916" s="12">
        <f>IF(M3916="","",ROUND(N3916-M3916,2))</f>
        <v/>
      </c>
      <c r="P3916" s="13">
        <f>IF(AND(A3916&lt;&gt;"",B3916&lt;&gt;""), A3916&amp;" · "&amp;B3916, "")</f>
        <v/>
      </c>
    </row>
    <row r="3917">
      <c r="A3917" s="6" t="inlineStr">
        <is>
          <t>FY27</t>
        </is>
      </c>
      <c r="B3917" s="6" t="inlineStr">
        <is>
          <t>Sep</t>
        </is>
      </c>
      <c r="C3917" s="6" t="inlineStr">
        <is>
          <t>Kerala</t>
        </is>
      </c>
      <c r="D3917" s="7" t="inlineStr">
        <is>
          <t>KL39S2208</t>
        </is>
      </c>
      <c r="E3917" s="7" t="inlineStr">
        <is>
          <t>RENAULT</t>
        </is>
      </c>
      <c r="F3917" s="7" t="inlineStr">
        <is>
          <t>Kwid</t>
        </is>
      </c>
      <c r="G3917" s="7" t="inlineStr">
        <is>
          <t>OLX</t>
        </is>
      </c>
      <c r="H3917" s="7" t="inlineStr">
        <is>
          <t>Non-Captive</t>
        </is>
      </c>
      <c r="I3917" s="7" t="inlineStr">
        <is>
          <t>HAVEN MOTORS</t>
        </is>
      </c>
      <c r="J3917" s="8" t="n"/>
      <c r="K3917" s="9" t="n">
        <v>25960</v>
      </c>
      <c r="L3917" s="10" t="n">
        <v>315000</v>
      </c>
      <c r="M3917" s="10" t="n">
        <v>12711.86</v>
      </c>
      <c r="N3917" s="11">
        <f>IF(M3917="","",ROUND(M3917*1.18,2))</f>
        <v/>
      </c>
      <c r="O3917" s="12">
        <f>IF(M3917="","",ROUND(N3917-M3917,2))</f>
        <v/>
      </c>
      <c r="P3917" s="13">
        <f>IF(AND(A3917&lt;&gt;"",B3917&lt;&gt;""), A3917&amp;" · "&amp;B3917, "")</f>
        <v/>
      </c>
    </row>
    <row r="3918">
      <c r="A3918" s="6" t="inlineStr">
        <is>
          <t>FY27</t>
        </is>
      </c>
      <c r="B3918" s="6" t="inlineStr">
        <is>
          <t>Sep</t>
        </is>
      </c>
      <c r="C3918" s="6" t="inlineStr">
        <is>
          <t>Kerala</t>
        </is>
      </c>
      <c r="D3918" s="7" t="inlineStr">
        <is>
          <t>KL400426</t>
        </is>
      </c>
      <c r="E3918" s="7" t="inlineStr">
        <is>
          <t>MARUTI SUZUKI</t>
        </is>
      </c>
      <c r="F3918" s="7" t="inlineStr">
        <is>
          <t>Omni</t>
        </is>
      </c>
      <c r="G3918" s="7" t="inlineStr">
        <is>
          <t>POPULAR MARUTI</t>
        </is>
      </c>
      <c r="H3918" s="7" t="inlineStr">
        <is>
          <t>Non-Captive</t>
        </is>
      </c>
      <c r="I3918" s="7" t="inlineStr">
        <is>
          <t>Afsal</t>
        </is>
      </c>
      <c r="J3918" s="8" t="n"/>
      <c r="K3918" s="9" t="n">
        <v>155057</v>
      </c>
      <c r="L3918" s="10" t="n">
        <v>30000</v>
      </c>
      <c r="M3918" s="10" t="n">
        <v>4237.29</v>
      </c>
      <c r="N3918" s="11">
        <f>IF(M3918="","",ROUND(M3918*1.18,2))</f>
        <v/>
      </c>
      <c r="O3918" s="12">
        <f>IF(M3918="","",ROUND(N3918-M3918,2))</f>
        <v/>
      </c>
      <c r="P3918" s="13">
        <f>IF(AND(A3918&lt;&gt;"",B3918&lt;&gt;""), A3918&amp;" · "&amp;B3918, "")</f>
        <v/>
      </c>
    </row>
    <row r="3919">
      <c r="A3919" s="6" t="inlineStr">
        <is>
          <t>FY27</t>
        </is>
      </c>
      <c r="B3919" s="6" t="inlineStr">
        <is>
          <t>Sep</t>
        </is>
      </c>
      <c r="C3919" s="6" t="inlineStr">
        <is>
          <t>Kerala</t>
        </is>
      </c>
      <c r="D3919" s="7" t="inlineStr">
        <is>
          <t>KL40E9122</t>
        </is>
      </c>
      <c r="E3919" s="7" t="inlineStr">
        <is>
          <t>MARUTI SUZUKI</t>
        </is>
      </c>
      <c r="F3919" s="7" t="inlineStr">
        <is>
          <t>A-Star</t>
        </is>
      </c>
      <c r="G3919" s="7" t="inlineStr">
        <is>
          <t>INDUS MARUTI</t>
        </is>
      </c>
      <c r="H3919" s="7" t="inlineStr">
        <is>
          <t>Non-Captive</t>
        </is>
      </c>
      <c r="I3919" s="7" t="inlineStr">
        <is>
          <t>HUSSAIN O E</t>
        </is>
      </c>
      <c r="J3919" s="8" t="n"/>
      <c r="K3919" s="9" t="n">
        <v>58881</v>
      </c>
      <c r="L3919" s="10" t="n">
        <v>80000</v>
      </c>
      <c r="M3919" s="10" t="n">
        <v>8474.58</v>
      </c>
      <c r="N3919" s="11">
        <f>IF(M3919="","",ROUND(M3919*1.18,2))</f>
        <v/>
      </c>
      <c r="O3919" s="12">
        <f>IF(M3919="","",ROUND(N3919-M3919,2))</f>
        <v/>
      </c>
      <c r="P3919" s="13">
        <f>IF(AND(A3919&lt;&gt;"",B3919&lt;&gt;""), A3919&amp;" · "&amp;B3919, "")</f>
        <v/>
      </c>
    </row>
    <row r="3920">
      <c r="A3920" s="6" t="inlineStr">
        <is>
          <t>FY27</t>
        </is>
      </c>
      <c r="B3920" s="6" t="inlineStr">
        <is>
          <t>Sep</t>
        </is>
      </c>
      <c r="C3920" s="6" t="inlineStr">
        <is>
          <t>Kerala</t>
        </is>
      </c>
      <c r="D3920" s="7" t="inlineStr">
        <is>
          <t>KL40H1667</t>
        </is>
      </c>
      <c r="E3920" s="7" t="inlineStr">
        <is>
          <t>MARUTI SUZUKI</t>
        </is>
      </c>
      <c r="F3920" s="7" t="inlineStr">
        <is>
          <t>Dzire</t>
        </is>
      </c>
      <c r="G3920" s="7" t="inlineStr">
        <is>
          <t>ERAM MOTORS</t>
        </is>
      </c>
      <c r="H3920" s="7" t="inlineStr">
        <is>
          <t>Non-Captive</t>
        </is>
      </c>
      <c r="I3920" s="7" t="inlineStr">
        <is>
          <t>Aitos Cars</t>
        </is>
      </c>
      <c r="J3920" s="8" t="n"/>
      <c r="K3920" s="9" t="n">
        <v>87835</v>
      </c>
      <c r="L3920" s="10" t="n">
        <v>265000</v>
      </c>
      <c r="M3920" s="10" t="n">
        <v>8474.58</v>
      </c>
      <c r="N3920" s="11">
        <f>IF(M3920="","",ROUND(M3920*1.18,2))</f>
        <v/>
      </c>
      <c r="O3920" s="12">
        <f>IF(M3920="","",ROUND(N3920-M3920,2))</f>
        <v/>
      </c>
      <c r="P3920" s="13">
        <f>IF(AND(A3920&lt;&gt;"",B3920&lt;&gt;""), A3920&amp;" · "&amp;B3920, "")</f>
        <v/>
      </c>
    </row>
    <row r="3921">
      <c r="A3921" s="6" t="inlineStr">
        <is>
          <t>FY27</t>
        </is>
      </c>
      <c r="B3921" s="6" t="inlineStr">
        <is>
          <t>Sep</t>
        </is>
      </c>
      <c r="C3921" s="6" t="inlineStr">
        <is>
          <t>Kerala</t>
        </is>
      </c>
      <c r="D3921" s="7" t="inlineStr">
        <is>
          <t>KL41R2564</t>
        </is>
      </c>
      <c r="E3921" s="7" t="inlineStr">
        <is>
          <t>MARUTI SUZUKI</t>
        </is>
      </c>
      <c r="F3921" s="7" t="inlineStr">
        <is>
          <t>Alto 800</t>
        </is>
      </c>
      <c r="G3921" s="7" t="inlineStr">
        <is>
          <t>POPULAR MARUTI</t>
        </is>
      </c>
      <c r="H3921" s="7" t="inlineStr">
        <is>
          <t>Non-Captive</t>
        </is>
      </c>
      <c r="I3921" s="7" t="inlineStr">
        <is>
          <t>Mark4</t>
        </is>
      </c>
      <c r="J3921" s="8" t="n"/>
      <c r="K3921" s="9" t="n">
        <v>145000</v>
      </c>
      <c r="L3921" s="10" t="n">
        <v>220000</v>
      </c>
      <c r="M3921" s="10" t="n">
        <v>8474.58</v>
      </c>
      <c r="N3921" s="11">
        <f>IF(M3921="","",ROUND(M3921*1.18,2))</f>
        <v/>
      </c>
      <c r="O3921" s="12">
        <f>IF(M3921="","",ROUND(N3921-M3921,2))</f>
        <v/>
      </c>
      <c r="P3921" s="13">
        <f>IF(AND(A3921&lt;&gt;"",B3921&lt;&gt;""), A3921&amp;" · "&amp;B3921, "")</f>
        <v/>
      </c>
    </row>
    <row r="3922">
      <c r="A3922" s="6" t="inlineStr">
        <is>
          <t>FY27</t>
        </is>
      </c>
      <c r="B3922" s="6" t="inlineStr">
        <is>
          <t>Sep</t>
        </is>
      </c>
      <c r="C3922" s="6" t="inlineStr">
        <is>
          <t>Kerala</t>
        </is>
      </c>
      <c r="D3922" s="7" t="inlineStr">
        <is>
          <t>KL43D8176</t>
        </is>
      </c>
      <c r="E3922" s="7" t="inlineStr">
        <is>
          <t>MARUTI SUZUKI</t>
        </is>
      </c>
      <c r="F3922" s="7" t="inlineStr">
        <is>
          <t>Ertiga</t>
        </is>
      </c>
      <c r="G3922" s="7" t="inlineStr">
        <is>
          <t>POPULAR HYUNDAI</t>
        </is>
      </c>
      <c r="H3922" s="7" t="inlineStr">
        <is>
          <t>Non-Captive</t>
        </is>
      </c>
      <c r="I3922" s="7" t="inlineStr">
        <is>
          <t>RAFEEK T A</t>
        </is>
      </c>
      <c r="J3922" s="8" t="n"/>
      <c r="K3922" s="9" t="n">
        <v>108357</v>
      </c>
      <c r="L3922" s="10" t="n">
        <v>180000</v>
      </c>
      <c r="M3922" s="10" t="n">
        <v>8474.58</v>
      </c>
      <c r="N3922" s="11">
        <f>IF(M3922="","",ROUND(M3922*1.18,2))</f>
        <v/>
      </c>
      <c r="O3922" s="12">
        <f>IF(M3922="","",ROUND(N3922-M3922,2))</f>
        <v/>
      </c>
      <c r="P3922" s="13">
        <f>IF(AND(A3922&lt;&gt;"",B3922&lt;&gt;""), A3922&amp;" · "&amp;B3922, "")</f>
        <v/>
      </c>
    </row>
    <row r="3923">
      <c r="A3923" s="6" t="inlineStr">
        <is>
          <t>FY27</t>
        </is>
      </c>
      <c r="B3923" s="6" t="inlineStr">
        <is>
          <t>Sep</t>
        </is>
      </c>
      <c r="C3923" s="6" t="inlineStr">
        <is>
          <t>Kerala</t>
        </is>
      </c>
      <c r="D3923" s="7" t="inlineStr">
        <is>
          <t>KL43G4092</t>
        </is>
      </c>
      <c r="E3923" s="7" t="inlineStr">
        <is>
          <t>NISSAN</t>
        </is>
      </c>
      <c r="F3923" s="7" t="inlineStr">
        <is>
          <t>Micra</t>
        </is>
      </c>
      <c r="G3923" s="7" t="inlineStr">
        <is>
          <t>POPULAR MARUTI</t>
        </is>
      </c>
      <c r="H3923" s="7" t="inlineStr">
        <is>
          <t>Non-Captive</t>
        </is>
      </c>
      <c r="I3923" s="7" t="inlineStr">
        <is>
          <t>Noushad K K</t>
        </is>
      </c>
      <c r="J3923" s="8" t="n"/>
      <c r="K3923" s="9" t="n">
        <v>139612</v>
      </c>
      <c r="L3923" s="10" t="n">
        <v>140000</v>
      </c>
      <c r="M3923" s="10" t="n">
        <v>8474.58</v>
      </c>
      <c r="N3923" s="11">
        <f>IF(M3923="","",ROUND(M3923*1.18,2))</f>
        <v/>
      </c>
      <c r="O3923" s="12">
        <f>IF(M3923="","",ROUND(N3923-M3923,2))</f>
        <v/>
      </c>
      <c r="P3923" s="13">
        <f>IF(AND(A3923&lt;&gt;"",B3923&lt;&gt;""), A3923&amp;" · "&amp;B3923, "")</f>
        <v/>
      </c>
    </row>
    <row r="3924">
      <c r="A3924" s="6" t="inlineStr">
        <is>
          <t>FY27</t>
        </is>
      </c>
      <c r="B3924" s="6" t="inlineStr">
        <is>
          <t>Sep</t>
        </is>
      </c>
      <c r="C3924" s="6" t="inlineStr">
        <is>
          <t>Kerala</t>
        </is>
      </c>
      <c r="D3924" s="7" t="inlineStr">
        <is>
          <t>KL44G1050</t>
        </is>
      </c>
      <c r="E3924" s="7" t="inlineStr">
        <is>
          <t>RENAULT</t>
        </is>
      </c>
      <c r="F3924" s="7" t="inlineStr">
        <is>
          <t>Kwid</t>
        </is>
      </c>
      <c r="G3924" s="7" t="inlineStr">
        <is>
          <t>OLX</t>
        </is>
      </c>
      <c r="H3924" s="7" t="inlineStr">
        <is>
          <t>Non-Captive</t>
        </is>
      </c>
      <c r="I3924" s="7" t="inlineStr">
        <is>
          <t>HUSSAIN O E</t>
        </is>
      </c>
      <c r="J3924" s="8" t="n"/>
      <c r="K3924" s="9" t="n">
        <v>40142</v>
      </c>
      <c r="L3924" s="10" t="n">
        <v>220000</v>
      </c>
      <c r="M3924" s="10" t="n">
        <v>8474.58</v>
      </c>
      <c r="N3924" s="11">
        <f>IF(M3924="","",ROUND(M3924*1.18,2))</f>
        <v/>
      </c>
      <c r="O3924" s="12">
        <f>IF(M3924="","",ROUND(N3924-M3924,2))</f>
        <v/>
      </c>
      <c r="P3924" s="13">
        <f>IF(AND(A3924&lt;&gt;"",B3924&lt;&gt;""), A3924&amp;" · "&amp;B3924, "")</f>
        <v/>
      </c>
    </row>
    <row r="3925">
      <c r="A3925" s="6" t="inlineStr">
        <is>
          <t>FY27</t>
        </is>
      </c>
      <c r="B3925" s="6" t="inlineStr">
        <is>
          <t>Sep</t>
        </is>
      </c>
      <c r="C3925" s="6" t="inlineStr">
        <is>
          <t>Kerala</t>
        </is>
      </c>
      <c r="D3925" s="7" t="inlineStr">
        <is>
          <t>KL45L2364</t>
        </is>
      </c>
      <c r="E3925" s="7" t="inlineStr">
        <is>
          <t>SKODA</t>
        </is>
      </c>
      <c r="F3925" s="7" t="inlineStr">
        <is>
          <t>Rapid</t>
        </is>
      </c>
      <c r="G3925" s="7" t="inlineStr">
        <is>
          <t>MUHAMMED SHAJI</t>
        </is>
      </c>
      <c r="H3925" s="7" t="inlineStr">
        <is>
          <t>Non-Captive</t>
        </is>
      </c>
      <c r="I3925" s="7" t="inlineStr">
        <is>
          <t>Anas Hameed</t>
        </is>
      </c>
      <c r="J3925" s="8" t="n"/>
      <c r="K3925" s="9" t="n">
        <v>102736</v>
      </c>
      <c r="L3925" s="10" t="n">
        <v>2900000</v>
      </c>
      <c r="M3925" s="10" t="n">
        <v>8474.58</v>
      </c>
      <c r="N3925" s="11">
        <f>IF(M3925="","",ROUND(M3925*1.18,2))</f>
        <v/>
      </c>
      <c r="O3925" s="12">
        <f>IF(M3925="","",ROUND(N3925-M3925,2))</f>
        <v/>
      </c>
      <c r="P3925" s="13">
        <f>IF(AND(A3925&lt;&gt;"",B3925&lt;&gt;""), A3925&amp;" · "&amp;B3925, "")</f>
        <v/>
      </c>
    </row>
    <row r="3926">
      <c r="A3926" s="6" t="inlineStr">
        <is>
          <t>FY27</t>
        </is>
      </c>
      <c r="B3926" s="6" t="inlineStr">
        <is>
          <t>Sep</t>
        </is>
      </c>
      <c r="C3926" s="6" t="inlineStr">
        <is>
          <t>Kerala</t>
        </is>
      </c>
      <c r="D3926" s="7" t="inlineStr">
        <is>
          <t>KL45U2958</t>
        </is>
      </c>
      <c r="E3926" s="7" t="inlineStr">
        <is>
          <t>HONDA</t>
        </is>
      </c>
      <c r="F3926" s="7" t="inlineStr">
        <is>
          <t>Amaze</t>
        </is>
      </c>
      <c r="G3926" s="7" t="inlineStr">
        <is>
          <t>INCHEON KIA</t>
        </is>
      </c>
      <c r="H3926" s="7" t="inlineStr">
        <is>
          <t>Non-Captive</t>
        </is>
      </c>
      <c r="I3926" s="7" t="inlineStr">
        <is>
          <t>HAVEN MOTORS</t>
        </is>
      </c>
      <c r="J3926" s="8" t="n"/>
      <c r="K3926" s="9" t="n">
        <v>94000</v>
      </c>
      <c r="L3926" s="10" t="n">
        <v>450000</v>
      </c>
      <c r="M3926" s="10" t="n">
        <v>8474.58</v>
      </c>
      <c r="N3926" s="11">
        <f>IF(M3926="","",ROUND(M3926*1.18,2))</f>
        <v/>
      </c>
      <c r="O3926" s="12">
        <f>IF(M3926="","",ROUND(N3926-M3926,2))</f>
        <v/>
      </c>
      <c r="P3926" s="13">
        <f>IF(AND(A3926&lt;&gt;"",B3926&lt;&gt;""), A3926&amp;" · "&amp;B3926, "")</f>
        <v/>
      </c>
    </row>
    <row r="3927">
      <c r="A3927" s="6" t="inlineStr">
        <is>
          <t>FY27</t>
        </is>
      </c>
      <c r="B3927" s="6" t="inlineStr">
        <is>
          <t>Sep</t>
        </is>
      </c>
      <c r="C3927" s="6" t="inlineStr">
        <is>
          <t>Kerala</t>
        </is>
      </c>
      <c r="D3927" s="7" t="inlineStr">
        <is>
          <t>KL46W3022</t>
        </is>
      </c>
      <c r="E3927" s="7" t="inlineStr">
        <is>
          <t>MG MOTORS</t>
        </is>
      </c>
      <c r="F3927" s="7" t="inlineStr">
        <is>
          <t>Zs Ev</t>
        </is>
      </c>
      <c r="G3927" s="7" t="inlineStr">
        <is>
          <t>KANNUR PLATINUM</t>
        </is>
      </c>
      <c r="H3927" s="7" t="inlineStr">
        <is>
          <t>Non-Captive</t>
        </is>
      </c>
      <c r="I3927" s="7" t="inlineStr">
        <is>
          <t>SARITH R</t>
        </is>
      </c>
      <c r="J3927" s="8" t="n"/>
      <c r="K3927" s="9" t="n">
        <v>83000</v>
      </c>
      <c r="L3927" s="10" t="n">
        <v>656000</v>
      </c>
      <c r="M3927" s="10" t="n">
        <v>5084.75</v>
      </c>
      <c r="N3927" s="11">
        <f>IF(M3927="","",ROUND(M3927*1.18,2))</f>
        <v/>
      </c>
      <c r="O3927" s="12">
        <f>IF(M3927="","",ROUND(N3927-M3927,2))</f>
        <v/>
      </c>
      <c r="P3927" s="13">
        <f>IF(AND(A3927&lt;&gt;"",B3927&lt;&gt;""), A3927&amp;" · "&amp;B3927, "")</f>
        <v/>
      </c>
    </row>
    <row r="3928">
      <c r="A3928" s="6" t="inlineStr">
        <is>
          <t>FY27</t>
        </is>
      </c>
      <c r="B3928" s="6" t="inlineStr">
        <is>
          <t>Sep</t>
        </is>
      </c>
      <c r="C3928" s="6" t="inlineStr">
        <is>
          <t>Kerala</t>
        </is>
      </c>
      <c r="D3928" s="7" t="inlineStr">
        <is>
          <t>KL47K5634</t>
        </is>
      </c>
      <c r="E3928" s="7" t="inlineStr">
        <is>
          <t>DATSUN</t>
        </is>
      </c>
      <c r="F3928" s="7" t="inlineStr">
        <is>
          <t>Redi-GO</t>
        </is>
      </c>
      <c r="G3928" s="7" t="inlineStr">
        <is>
          <t>PINNACLE NISSAN</t>
        </is>
      </c>
      <c r="H3928" s="7" t="inlineStr">
        <is>
          <t>Non-Captive</t>
        </is>
      </c>
      <c r="I3928" s="7" t="inlineStr">
        <is>
          <t>Autobot</t>
        </is>
      </c>
      <c r="J3928" s="8" t="n"/>
      <c r="K3928" s="9" t="n">
        <v>47592</v>
      </c>
      <c r="L3928" s="10" t="n">
        <v>210000</v>
      </c>
      <c r="M3928" s="10" t="n">
        <v>8474.58</v>
      </c>
      <c r="N3928" s="11">
        <f>IF(M3928="","",ROUND(M3928*1.18,2))</f>
        <v/>
      </c>
      <c r="O3928" s="12">
        <f>IF(M3928="","",ROUND(N3928-M3928,2))</f>
        <v/>
      </c>
      <c r="P3928" s="13">
        <f>IF(AND(A3928&lt;&gt;"",B3928&lt;&gt;""), A3928&amp;" · "&amp;B3928, "")</f>
        <v/>
      </c>
    </row>
    <row r="3929">
      <c r="A3929" s="6" t="inlineStr">
        <is>
          <t>FY27</t>
        </is>
      </c>
      <c r="B3929" s="6" t="inlineStr">
        <is>
          <t>Sep</t>
        </is>
      </c>
      <c r="C3929" s="6" t="inlineStr">
        <is>
          <t>Kerala</t>
        </is>
      </c>
      <c r="D3929" s="7" t="inlineStr">
        <is>
          <t>KL48P8213</t>
        </is>
      </c>
      <c r="E3929" s="7" t="inlineStr">
        <is>
          <t>MAHINDRA</t>
        </is>
      </c>
      <c r="F3929" s="7" t="inlineStr">
        <is>
          <t>Bolero</t>
        </is>
      </c>
      <c r="G3929" s="7" t="inlineStr">
        <is>
          <t>RADHAKRISHNAN</t>
        </is>
      </c>
      <c r="H3929" s="7" t="inlineStr">
        <is>
          <t>Non-Captive</t>
        </is>
      </c>
      <c r="I3929" s="7" t="inlineStr">
        <is>
          <t>Sajith,Leaps Trucks</t>
        </is>
      </c>
      <c r="J3929" s="8" t="n"/>
      <c r="K3929" s="9" t="n">
        <v>210000</v>
      </c>
      <c r="L3929" s="10" t="n">
        <v>286000</v>
      </c>
      <c r="M3929" s="10" t="n">
        <v>5084.75</v>
      </c>
      <c r="N3929" s="11">
        <f>IF(M3929="","",ROUND(M3929*1.18,2))</f>
        <v/>
      </c>
      <c r="O3929" s="12">
        <f>IF(M3929="","",ROUND(N3929-M3929,2))</f>
        <v/>
      </c>
      <c r="P3929" s="13">
        <f>IF(AND(A3929&lt;&gt;"",B3929&lt;&gt;""), A3929&amp;" · "&amp;B3929, "")</f>
        <v/>
      </c>
    </row>
    <row r="3930">
      <c r="A3930" s="6" t="inlineStr">
        <is>
          <t>FY27</t>
        </is>
      </c>
      <c r="B3930" s="6" t="inlineStr">
        <is>
          <t>Sep</t>
        </is>
      </c>
      <c r="C3930" s="6" t="inlineStr">
        <is>
          <t>Kerala</t>
        </is>
      </c>
      <c r="D3930" s="7" t="inlineStr">
        <is>
          <t>KL52N6554</t>
        </is>
      </c>
      <c r="E3930" s="7" t="inlineStr">
        <is>
          <t>MARUTI SUZUKI</t>
        </is>
      </c>
      <c r="F3930" s="7" t="inlineStr">
        <is>
          <t>Dzire</t>
        </is>
      </c>
      <c r="G3930" s="7" t="inlineStr">
        <is>
          <t>POPULAR HYUNDAI</t>
        </is>
      </c>
      <c r="H3930" s="7" t="inlineStr">
        <is>
          <t>Non-Captive</t>
        </is>
      </c>
      <c r="I3930" s="7" t="inlineStr">
        <is>
          <t>Asharaf T A</t>
        </is>
      </c>
      <c r="J3930" s="8" t="n"/>
      <c r="K3930" s="9" t="n">
        <v>70341</v>
      </c>
      <c r="L3930" s="10" t="n">
        <v>490000</v>
      </c>
      <c r="M3930" s="10" t="n">
        <v>8474.58</v>
      </c>
      <c r="N3930" s="11">
        <f>IF(M3930="","",ROUND(M3930*1.18,2))</f>
        <v/>
      </c>
      <c r="O3930" s="12">
        <f>IF(M3930="","",ROUND(N3930-M3930,2))</f>
        <v/>
      </c>
      <c r="P3930" s="13">
        <f>IF(AND(A3930&lt;&gt;"",B3930&lt;&gt;""), A3930&amp;" · "&amp;B3930, "")</f>
        <v/>
      </c>
    </row>
    <row r="3931">
      <c r="A3931" s="6" t="inlineStr">
        <is>
          <t>FY27</t>
        </is>
      </c>
      <c r="B3931" s="6" t="inlineStr">
        <is>
          <t>Sep</t>
        </is>
      </c>
      <c r="C3931" s="6" t="inlineStr">
        <is>
          <t>Kerala</t>
        </is>
      </c>
      <c r="D3931" s="7" t="inlineStr">
        <is>
          <t>KL55M5013</t>
        </is>
      </c>
      <c r="E3931" s="7" t="inlineStr">
        <is>
          <t>FORD</t>
        </is>
      </c>
      <c r="F3931" s="7" t="inlineStr">
        <is>
          <t>Figo</t>
        </is>
      </c>
      <c r="G3931" s="7" t="inlineStr">
        <is>
          <t>KVR TATA</t>
        </is>
      </c>
      <c r="H3931" s="7" t="inlineStr">
        <is>
          <t>Non-Captive</t>
        </is>
      </c>
      <c r="I3931" s="7" t="inlineStr">
        <is>
          <t>Hiba Nasrin</t>
        </is>
      </c>
      <c r="J3931" s="8" t="n"/>
      <c r="K3931" s="9" t="n">
        <v>132000</v>
      </c>
      <c r="L3931" s="10" t="n">
        <v>55000</v>
      </c>
      <c r="M3931" s="10" t="n">
        <v>4237.29</v>
      </c>
      <c r="N3931" s="11">
        <f>IF(M3931="","",ROUND(M3931*1.18,2))</f>
        <v/>
      </c>
      <c r="O3931" s="12">
        <f>IF(M3931="","",ROUND(N3931-M3931,2))</f>
        <v/>
      </c>
      <c r="P3931" s="13">
        <f>IF(AND(A3931&lt;&gt;"",B3931&lt;&gt;""), A3931&amp;" · "&amp;B3931, "")</f>
        <v/>
      </c>
    </row>
    <row r="3932">
      <c r="A3932" s="6" t="inlineStr">
        <is>
          <t>FY27</t>
        </is>
      </c>
      <c r="B3932" s="6" t="inlineStr">
        <is>
          <t>Sep</t>
        </is>
      </c>
      <c r="C3932" s="6" t="inlineStr">
        <is>
          <t>Kerala</t>
        </is>
      </c>
      <c r="D3932" s="7" t="inlineStr">
        <is>
          <t>KL56Q7346</t>
        </is>
      </c>
      <c r="E3932" s="7" t="inlineStr">
        <is>
          <t>HYUNDAI</t>
        </is>
      </c>
      <c r="F3932" s="7" t="inlineStr">
        <is>
          <t>Grand i10</t>
        </is>
      </c>
      <c r="G3932" s="7" t="inlineStr">
        <is>
          <t>EVM SKODA</t>
        </is>
      </c>
      <c r="H3932" s="7" t="inlineStr">
        <is>
          <t>Non-Captive</t>
        </is>
      </c>
      <c r="I3932" s="7" t="inlineStr">
        <is>
          <t>Nisha Mary Mathew</t>
        </is>
      </c>
      <c r="J3932" s="8" t="n"/>
      <c r="K3932" s="9" t="n">
        <v>57000</v>
      </c>
      <c r="L3932" s="10" t="n">
        <v>260000</v>
      </c>
      <c r="M3932" s="10" t="n">
        <v>8474.58</v>
      </c>
      <c r="N3932" s="11">
        <f>IF(M3932="","",ROUND(M3932*1.18,2))</f>
        <v/>
      </c>
      <c r="O3932" s="12">
        <f>IF(M3932="","",ROUND(N3932-M3932,2))</f>
        <v/>
      </c>
      <c r="P3932" s="13">
        <f>IF(AND(A3932&lt;&gt;"",B3932&lt;&gt;""), A3932&amp;" · "&amp;B3932, "")</f>
        <v/>
      </c>
    </row>
    <row r="3933">
      <c r="A3933" s="6" t="inlineStr">
        <is>
          <t>FY27</t>
        </is>
      </c>
      <c r="B3933" s="6" t="inlineStr">
        <is>
          <t>Sep</t>
        </is>
      </c>
      <c r="C3933" s="6" t="inlineStr">
        <is>
          <t>Kerala</t>
        </is>
      </c>
      <c r="D3933" s="7" t="inlineStr">
        <is>
          <t>KL57C4041</t>
        </is>
      </c>
      <c r="E3933" s="7" t="inlineStr">
        <is>
          <t>MARUTI SUZUKI</t>
        </is>
      </c>
      <c r="F3933" s="7" t="inlineStr">
        <is>
          <t>Wagon R</t>
        </is>
      </c>
      <c r="G3933" s="7" t="inlineStr">
        <is>
          <t>AM MOTORS</t>
        </is>
      </c>
      <c r="H3933" s="7" t="inlineStr">
        <is>
          <t>Non-Captive</t>
        </is>
      </c>
      <c r="I3933" s="7" t="inlineStr">
        <is>
          <t>Dinesh V</t>
        </is>
      </c>
      <c r="J3933" s="8" t="n"/>
      <c r="K3933" s="9" t="n">
        <v>77000</v>
      </c>
      <c r="L3933" s="10" t="n">
        <v>110000</v>
      </c>
      <c r="M3933" s="10" t="n">
        <v>4237.29</v>
      </c>
      <c r="N3933" s="11">
        <f>IF(M3933="","",ROUND(M3933*1.18,2))</f>
        <v/>
      </c>
      <c r="O3933" s="12">
        <f>IF(M3933="","",ROUND(N3933-M3933,2))</f>
        <v/>
      </c>
      <c r="P3933" s="13">
        <f>IF(AND(A3933&lt;&gt;"",B3933&lt;&gt;""), A3933&amp;" · "&amp;B3933, "")</f>
        <v/>
      </c>
    </row>
    <row r="3934">
      <c r="A3934" s="6" t="inlineStr">
        <is>
          <t>FY27</t>
        </is>
      </c>
      <c r="B3934" s="6" t="inlineStr">
        <is>
          <t>Sep</t>
        </is>
      </c>
      <c r="C3934" s="6" t="inlineStr">
        <is>
          <t>Kerala</t>
        </is>
      </c>
      <c r="D3934" s="7" t="inlineStr">
        <is>
          <t>KL57L8089</t>
        </is>
      </c>
      <c r="E3934" s="7" t="inlineStr">
        <is>
          <t>HYUNDAI</t>
        </is>
      </c>
      <c r="F3934" s="7" t="inlineStr">
        <is>
          <t>Eon</t>
        </is>
      </c>
      <c r="G3934" s="7" t="inlineStr">
        <is>
          <t>POPULAR MARUTI</t>
        </is>
      </c>
      <c r="H3934" s="7" t="inlineStr">
        <is>
          <t>Non-Captive</t>
        </is>
      </c>
      <c r="I3934" s="7" t="inlineStr">
        <is>
          <t>MUHAMMED ANEES T C</t>
        </is>
      </c>
      <c r="J3934" s="8" t="n"/>
      <c r="K3934" s="9" t="n">
        <v>88000</v>
      </c>
      <c r="L3934" s="10" t="n">
        <v>76000</v>
      </c>
      <c r="M3934" s="10" t="n">
        <v>5084.75</v>
      </c>
      <c r="N3934" s="11">
        <f>IF(M3934="","",ROUND(M3934*1.18,2))</f>
        <v/>
      </c>
      <c r="O3934" s="12">
        <f>IF(M3934="","",ROUND(N3934-M3934,2))</f>
        <v/>
      </c>
      <c r="P3934" s="13">
        <f>IF(AND(A3934&lt;&gt;"",B3934&lt;&gt;""), A3934&amp;" · "&amp;B3934, "")</f>
        <v/>
      </c>
    </row>
    <row r="3935">
      <c r="A3935" s="6" t="inlineStr">
        <is>
          <t>FY27</t>
        </is>
      </c>
      <c r="B3935" s="6" t="inlineStr">
        <is>
          <t>Sep</t>
        </is>
      </c>
      <c r="C3935" s="6" t="inlineStr">
        <is>
          <t>Kerala</t>
        </is>
      </c>
      <c r="D3935" s="7" t="inlineStr">
        <is>
          <t>KL57X4096</t>
        </is>
      </c>
      <c r="E3935" s="7" t="inlineStr">
        <is>
          <t>DATSUN</t>
        </is>
      </c>
      <c r="F3935" s="7" t="inlineStr">
        <is>
          <t>Redi-GO</t>
        </is>
      </c>
      <c r="G3935" s="7" t="inlineStr">
        <is>
          <t>EVM NISSAN</t>
        </is>
      </c>
      <c r="H3935" s="7" t="inlineStr">
        <is>
          <t>Non-Captive</t>
        </is>
      </c>
      <c r="I3935" s="7" t="inlineStr">
        <is>
          <t>SANOOP K M</t>
        </is>
      </c>
      <c r="J3935" s="8" t="n"/>
      <c r="K3935" s="9" t="n">
        <v>75000</v>
      </c>
      <c r="L3935" s="10" t="n">
        <v>185000</v>
      </c>
      <c r="M3935" s="10" t="n">
        <v>4237.29</v>
      </c>
      <c r="N3935" s="11">
        <f>IF(M3935="","",ROUND(M3935*1.18,2))</f>
        <v/>
      </c>
      <c r="O3935" s="12">
        <f>IF(M3935="","",ROUND(N3935-M3935,2))</f>
        <v/>
      </c>
      <c r="P3935" s="13">
        <f>IF(AND(A3935&lt;&gt;"",B3935&lt;&gt;""), A3935&amp;" · "&amp;B3935, "")</f>
        <v/>
      </c>
    </row>
    <row r="3936">
      <c r="A3936" s="6" t="inlineStr">
        <is>
          <t>FY27</t>
        </is>
      </c>
      <c r="B3936" s="6" t="inlineStr">
        <is>
          <t>Sep</t>
        </is>
      </c>
      <c r="C3936" s="6" t="inlineStr">
        <is>
          <t>Kerala</t>
        </is>
      </c>
      <c r="D3936" s="7" t="inlineStr">
        <is>
          <t>KL58AC2063</t>
        </is>
      </c>
      <c r="E3936" s="7" t="inlineStr">
        <is>
          <t>RENAULT</t>
        </is>
      </c>
      <c r="F3936" s="7" t="inlineStr">
        <is>
          <t>Triber</t>
        </is>
      </c>
      <c r="G3936" s="7" t="inlineStr">
        <is>
          <t>KVR TATA</t>
        </is>
      </c>
      <c r="H3936" s="7" t="inlineStr">
        <is>
          <t>Non-Captive</t>
        </is>
      </c>
      <c r="I3936" s="7" t="inlineStr">
        <is>
          <t>Prajosh A M</t>
        </is>
      </c>
      <c r="J3936" s="8" t="n"/>
      <c r="K3936" s="9" t="n">
        <v>64000</v>
      </c>
      <c r="L3936" s="10" t="n">
        <v>306000</v>
      </c>
      <c r="M3936" s="10" t="n">
        <v>5084.75</v>
      </c>
      <c r="N3936" s="11">
        <f>IF(M3936="","",ROUND(M3936*1.18,2))</f>
        <v/>
      </c>
      <c r="O3936" s="12">
        <f>IF(M3936="","",ROUND(N3936-M3936,2))</f>
        <v/>
      </c>
      <c r="P3936" s="13">
        <f>IF(AND(A3936&lt;&gt;"",B3936&lt;&gt;""), A3936&amp;" · "&amp;B3936, "")</f>
        <v/>
      </c>
    </row>
    <row r="3937">
      <c r="A3937" s="6" t="inlineStr">
        <is>
          <t>FY27</t>
        </is>
      </c>
      <c r="B3937" s="6" t="inlineStr">
        <is>
          <t>Sep</t>
        </is>
      </c>
      <c r="C3937" s="6" t="inlineStr">
        <is>
          <t>Kerala</t>
        </is>
      </c>
      <c r="D3937" s="7" t="inlineStr">
        <is>
          <t>KL58AD0952</t>
        </is>
      </c>
      <c r="E3937" s="7" t="inlineStr">
        <is>
          <t>TATA</t>
        </is>
      </c>
      <c r="F3937" s="7" t="inlineStr">
        <is>
          <t>Tigor</t>
        </is>
      </c>
      <c r="G3937" s="7" t="inlineStr">
        <is>
          <t>KVR TATA</t>
        </is>
      </c>
      <c r="H3937" s="7" t="inlineStr">
        <is>
          <t>Non-Captive</t>
        </is>
      </c>
      <c r="I3937" s="7" t="inlineStr">
        <is>
          <t>Prajosh A M</t>
        </is>
      </c>
      <c r="J3937" s="8" t="n"/>
      <c r="K3937" s="9" t="n">
        <v>64000</v>
      </c>
      <c r="L3937" s="10" t="n">
        <v>427000</v>
      </c>
      <c r="M3937" s="10" t="n">
        <v>5932.2</v>
      </c>
      <c r="N3937" s="11">
        <f>IF(M3937="","",ROUND(M3937*1.18,2))</f>
        <v/>
      </c>
      <c r="O3937" s="12">
        <f>IF(M3937="","",ROUND(N3937-M3937,2))</f>
        <v/>
      </c>
      <c r="P3937" s="13">
        <f>IF(AND(A3937&lt;&gt;"",B3937&lt;&gt;""), A3937&amp;" · "&amp;B3937, "")</f>
        <v/>
      </c>
    </row>
    <row r="3938">
      <c r="A3938" s="6" t="inlineStr">
        <is>
          <t>FY27</t>
        </is>
      </c>
      <c r="B3938" s="6" t="inlineStr">
        <is>
          <t>Sep</t>
        </is>
      </c>
      <c r="C3938" s="6" t="inlineStr">
        <is>
          <t>Kerala</t>
        </is>
      </c>
      <c r="D3938" s="7" t="inlineStr">
        <is>
          <t>KL58AJ7878</t>
        </is>
      </c>
      <c r="E3938" s="7" t="inlineStr">
        <is>
          <t>CITROEN</t>
        </is>
      </c>
      <c r="F3938" s="7" t="inlineStr">
        <is>
          <t>C3</t>
        </is>
      </c>
      <c r="G3938" s="7" t="inlineStr">
        <is>
          <t>EVM NISSAN</t>
        </is>
      </c>
      <c r="H3938" s="7" t="inlineStr">
        <is>
          <t>Non-Captive</t>
        </is>
      </c>
      <c r="I3938" s="7" t="inlineStr">
        <is>
          <t>Varun Prakash</t>
        </is>
      </c>
      <c r="J3938" s="8" t="n"/>
      <c r="K3938" s="9" t="n">
        <v>17000</v>
      </c>
      <c r="L3938" s="10" t="n">
        <v>405000</v>
      </c>
      <c r="M3938" s="10" t="n">
        <v>8474.58</v>
      </c>
      <c r="N3938" s="11">
        <f>IF(M3938="","",ROUND(M3938*1.18,2))</f>
        <v/>
      </c>
      <c r="O3938" s="12">
        <f>IF(M3938="","",ROUND(N3938-M3938,2))</f>
        <v/>
      </c>
      <c r="P3938" s="13">
        <f>IF(AND(A3938&lt;&gt;"",B3938&lt;&gt;""), A3938&amp;" · "&amp;B3938, "")</f>
        <v/>
      </c>
    </row>
    <row r="3939">
      <c r="A3939" s="6" t="inlineStr">
        <is>
          <t>FY27</t>
        </is>
      </c>
      <c r="B3939" s="6" t="inlineStr">
        <is>
          <t>Sep</t>
        </is>
      </c>
      <c r="C3939" s="6" t="inlineStr">
        <is>
          <t>Kerala</t>
        </is>
      </c>
      <c r="D3939" s="7" t="inlineStr">
        <is>
          <t>KL58G3740</t>
        </is>
      </c>
      <c r="E3939" s="7" t="inlineStr">
        <is>
          <t>MARUTI SUZUKI</t>
        </is>
      </c>
      <c r="F3939" s="7" t="inlineStr">
        <is>
          <t>Swift</t>
        </is>
      </c>
      <c r="G3939" s="7" t="inlineStr">
        <is>
          <t>INDUS MARUTI</t>
        </is>
      </c>
      <c r="H3939" s="7" t="inlineStr">
        <is>
          <t>Non-Captive</t>
        </is>
      </c>
      <c r="I3939" s="7" t="inlineStr">
        <is>
          <t>Varun Prakash</t>
        </is>
      </c>
      <c r="J3939" s="8" t="n"/>
      <c r="K3939" s="9" t="n">
        <v>156000</v>
      </c>
      <c r="L3939" s="10" t="n">
        <v>116000</v>
      </c>
      <c r="M3939" s="10" t="n">
        <v>5084.75</v>
      </c>
      <c r="N3939" s="11">
        <f>IF(M3939="","",ROUND(M3939*1.18,2))</f>
        <v/>
      </c>
      <c r="O3939" s="12">
        <f>IF(M3939="","",ROUND(N3939-M3939,2))</f>
        <v/>
      </c>
      <c r="P3939" s="13">
        <f>IF(AND(A3939&lt;&gt;"",B3939&lt;&gt;""), A3939&amp;" · "&amp;B3939, "")</f>
        <v/>
      </c>
    </row>
    <row r="3940">
      <c r="A3940" s="6" t="inlineStr">
        <is>
          <t>FY27</t>
        </is>
      </c>
      <c r="B3940" s="6" t="inlineStr">
        <is>
          <t>Sep</t>
        </is>
      </c>
      <c r="C3940" s="6" t="inlineStr">
        <is>
          <t>Kerala</t>
        </is>
      </c>
      <c r="D3940" s="7" t="inlineStr">
        <is>
          <t>KL58G8210</t>
        </is>
      </c>
      <c r="E3940" s="7" t="inlineStr">
        <is>
          <t>MARUTI SUZUKI</t>
        </is>
      </c>
      <c r="F3940" s="7" t="inlineStr">
        <is>
          <t>Wagon R</t>
        </is>
      </c>
      <c r="G3940" s="7" t="inlineStr">
        <is>
          <t>POPULAR MARUTI</t>
        </is>
      </c>
      <c r="H3940" s="7" t="inlineStr">
        <is>
          <t>Non-Captive</t>
        </is>
      </c>
      <c r="I3940" s="7" t="inlineStr">
        <is>
          <t>Varun Prakash</t>
        </is>
      </c>
      <c r="J3940" s="8" t="n"/>
      <c r="K3940" s="9" t="n">
        <v>115000</v>
      </c>
      <c r="L3940" s="10" t="n">
        <v>97000</v>
      </c>
      <c r="M3940" s="10" t="n">
        <v>5932.2</v>
      </c>
      <c r="N3940" s="11">
        <f>IF(M3940="","",ROUND(M3940*1.18,2))</f>
        <v/>
      </c>
      <c r="O3940" s="12">
        <f>IF(M3940="","",ROUND(N3940-M3940,2))</f>
        <v/>
      </c>
      <c r="P3940" s="13">
        <f>IF(AND(A3940&lt;&gt;"",B3940&lt;&gt;""), A3940&amp;" · "&amp;B3940, "")</f>
        <v/>
      </c>
    </row>
    <row r="3941">
      <c r="A3941" s="6" t="inlineStr">
        <is>
          <t>FY27</t>
        </is>
      </c>
      <c r="B3941" s="6" t="inlineStr">
        <is>
          <t>Sep</t>
        </is>
      </c>
      <c r="C3941" s="6" t="inlineStr">
        <is>
          <t>Kerala</t>
        </is>
      </c>
      <c r="D3941" s="7" t="inlineStr">
        <is>
          <t>KL58T9526</t>
        </is>
      </c>
      <c r="E3941" s="7" t="inlineStr">
        <is>
          <t>MARUTI SUZUKI</t>
        </is>
      </c>
      <c r="F3941" s="7" t="inlineStr">
        <is>
          <t>Swift</t>
        </is>
      </c>
      <c r="G3941" s="7" t="inlineStr">
        <is>
          <t>BIMAL MARUTI</t>
        </is>
      </c>
      <c r="H3941" s="7" t="inlineStr">
        <is>
          <t>Non-Captive</t>
        </is>
      </c>
      <c r="I3941" s="7" t="inlineStr">
        <is>
          <t>Nisha Mary Mathew</t>
        </is>
      </c>
      <c r="J3941" s="8" t="n"/>
      <c r="K3941" s="9" t="n">
        <v>86000</v>
      </c>
      <c r="L3941" s="10" t="n">
        <v>310000</v>
      </c>
      <c r="M3941" s="10" t="n">
        <v>8474.58</v>
      </c>
      <c r="N3941" s="11">
        <f>IF(M3941="","",ROUND(M3941*1.18,2))</f>
        <v/>
      </c>
      <c r="O3941" s="12">
        <f>IF(M3941="","",ROUND(N3941-M3941,2))</f>
        <v/>
      </c>
      <c r="P3941" s="13">
        <f>IF(AND(A3941&lt;&gt;"",B3941&lt;&gt;""), A3941&amp;" · "&amp;B3941, "")</f>
        <v/>
      </c>
    </row>
    <row r="3942">
      <c r="A3942" s="6" t="inlineStr">
        <is>
          <t>FY27</t>
        </is>
      </c>
      <c r="B3942" s="6" t="inlineStr">
        <is>
          <t>Sep</t>
        </is>
      </c>
      <c r="C3942" s="6" t="inlineStr">
        <is>
          <t>Kerala</t>
        </is>
      </c>
      <c r="D3942" s="7" t="inlineStr">
        <is>
          <t>KL59E6540</t>
        </is>
      </c>
      <c r="E3942" s="7" t="inlineStr">
        <is>
          <t>MARUTI SUZUKI</t>
        </is>
      </c>
      <c r="F3942" s="7" t="inlineStr">
        <is>
          <t>Swift</t>
        </is>
      </c>
      <c r="G3942" s="7" t="inlineStr">
        <is>
          <t>KVR TATA</t>
        </is>
      </c>
      <c r="H3942" s="7" t="inlineStr">
        <is>
          <t>Non-Captive</t>
        </is>
      </c>
      <c r="I3942" s="7" t="inlineStr">
        <is>
          <t>AKHIL K</t>
        </is>
      </c>
      <c r="J3942" s="8" t="n"/>
      <c r="K3942" s="9" t="n">
        <v>67000</v>
      </c>
      <c r="L3942" s="10" t="n">
        <v>220000</v>
      </c>
      <c r="M3942" s="10" t="n">
        <v>8474.58</v>
      </c>
      <c r="N3942" s="11">
        <f>IF(M3942="","",ROUND(M3942*1.18,2))</f>
        <v/>
      </c>
      <c r="O3942" s="12">
        <f>IF(M3942="","",ROUND(N3942-M3942,2))</f>
        <v/>
      </c>
      <c r="P3942" s="13">
        <f>IF(AND(A3942&lt;&gt;"",B3942&lt;&gt;""), A3942&amp;" · "&amp;B3942, "")</f>
        <v/>
      </c>
    </row>
    <row r="3943">
      <c r="A3943" s="6" t="inlineStr">
        <is>
          <t>FY27</t>
        </is>
      </c>
      <c r="B3943" s="6" t="inlineStr">
        <is>
          <t>Sep</t>
        </is>
      </c>
      <c r="C3943" s="6" t="inlineStr">
        <is>
          <t>Kerala</t>
        </is>
      </c>
      <c r="D3943" s="7" t="inlineStr">
        <is>
          <t>KL59R1348</t>
        </is>
      </c>
      <c r="E3943" s="7" t="inlineStr">
        <is>
          <t>MARUTI SUZUKI</t>
        </is>
      </c>
      <c r="F3943" s="7" t="inlineStr">
        <is>
          <t>Swift</t>
        </is>
      </c>
      <c r="G3943" s="7" t="inlineStr">
        <is>
          <t>MARVEL MOTORS</t>
        </is>
      </c>
      <c r="H3943" s="7" t="inlineStr">
        <is>
          <t>Non-Captive</t>
        </is>
      </c>
      <c r="I3943" s="7" t="inlineStr">
        <is>
          <t>Muhammed Ashique K</t>
        </is>
      </c>
      <c r="J3943" s="8" t="n"/>
      <c r="K3943" s="9" t="n">
        <v>53000</v>
      </c>
      <c r="L3943" s="10" t="n">
        <v>355000</v>
      </c>
      <c r="M3943" s="10" t="n">
        <v>4237.29</v>
      </c>
      <c r="N3943" s="11">
        <f>IF(M3943="","",ROUND(M3943*1.18,2))</f>
        <v/>
      </c>
      <c r="O3943" s="12">
        <f>IF(M3943="","",ROUND(N3943-M3943,2))</f>
        <v/>
      </c>
      <c r="P3943" s="13">
        <f>IF(AND(A3943&lt;&gt;"",B3943&lt;&gt;""), A3943&amp;" · "&amp;B3943, "")</f>
        <v/>
      </c>
    </row>
    <row r="3944">
      <c r="A3944" s="6" t="inlineStr">
        <is>
          <t>FY27</t>
        </is>
      </c>
      <c r="B3944" s="6" t="inlineStr">
        <is>
          <t>Sep</t>
        </is>
      </c>
      <c r="C3944" s="6" t="inlineStr">
        <is>
          <t>Kerala</t>
        </is>
      </c>
      <c r="D3944" s="7" t="inlineStr">
        <is>
          <t>KL59X1084</t>
        </is>
      </c>
      <c r="E3944" s="7" t="inlineStr">
        <is>
          <t>TATA</t>
        </is>
      </c>
      <c r="F3944" s="7" t="inlineStr">
        <is>
          <t>Altroz</t>
        </is>
      </c>
      <c r="G3944" s="7" t="inlineStr">
        <is>
          <t>KVR TATA</t>
        </is>
      </c>
      <c r="H3944" s="7" t="inlineStr">
        <is>
          <t>Non-Captive</t>
        </is>
      </c>
      <c r="I3944" s="7" t="inlineStr">
        <is>
          <t>SABITH</t>
        </is>
      </c>
      <c r="J3944" s="8" t="n"/>
      <c r="K3944" s="9" t="n">
        <v>153000</v>
      </c>
      <c r="L3944" s="10" t="n">
        <v>340000</v>
      </c>
      <c r="M3944" s="10" t="n">
        <v>4237.29</v>
      </c>
      <c r="N3944" s="11">
        <f>IF(M3944="","",ROUND(M3944*1.18,2))</f>
        <v/>
      </c>
      <c r="O3944" s="12">
        <f>IF(M3944="","",ROUND(N3944-M3944,2))</f>
        <v/>
      </c>
      <c r="P3944" s="13">
        <f>IF(AND(A3944&lt;&gt;"",B3944&lt;&gt;""), A3944&amp;" · "&amp;B3944, "")</f>
        <v/>
      </c>
    </row>
    <row r="3945">
      <c r="A3945" s="6" t="inlineStr">
        <is>
          <t>FY27</t>
        </is>
      </c>
      <c r="B3945" s="6" t="inlineStr">
        <is>
          <t>Sep</t>
        </is>
      </c>
      <c r="C3945" s="6" t="inlineStr">
        <is>
          <t>Kerala</t>
        </is>
      </c>
      <c r="D3945" s="7" t="inlineStr">
        <is>
          <t>KL59X1991</t>
        </is>
      </c>
      <c r="E3945" s="7" t="inlineStr">
        <is>
          <t>MARUTI SUZUKI</t>
        </is>
      </c>
      <c r="F3945" s="7" t="inlineStr">
        <is>
          <t>Baleno</t>
        </is>
      </c>
      <c r="G3945" s="7" t="inlineStr">
        <is>
          <t>AMANA TOYOTA</t>
        </is>
      </c>
      <c r="H3945" s="7" t="inlineStr">
        <is>
          <t>Non-Captive</t>
        </is>
      </c>
      <c r="I3945" s="7" t="inlineStr">
        <is>
          <t>KANNUR PLATINUM DRIVE</t>
        </is>
      </c>
      <c r="J3945" s="8" t="n"/>
      <c r="K3945" s="9" t="n">
        <v>110000</v>
      </c>
      <c r="L3945" s="10" t="n">
        <v>497000</v>
      </c>
      <c r="M3945" s="10" t="n">
        <v>5932.2</v>
      </c>
      <c r="N3945" s="11">
        <f>IF(M3945="","",ROUND(M3945*1.18,2))</f>
        <v/>
      </c>
      <c r="O3945" s="12">
        <f>IF(M3945="","",ROUND(N3945-M3945,2))</f>
        <v/>
      </c>
      <c r="P3945" s="13">
        <f>IF(AND(A3945&lt;&gt;"",B3945&lt;&gt;""), A3945&amp;" · "&amp;B3945, "")</f>
        <v/>
      </c>
    </row>
    <row r="3946">
      <c r="A3946" s="6" t="inlineStr">
        <is>
          <t>FY27</t>
        </is>
      </c>
      <c r="B3946" s="6" t="inlineStr">
        <is>
          <t>Sep</t>
        </is>
      </c>
      <c r="C3946" s="6" t="inlineStr">
        <is>
          <t>Kerala</t>
        </is>
      </c>
      <c r="D3946" s="7" t="inlineStr">
        <is>
          <t>KL60A9029</t>
        </is>
      </c>
      <c r="E3946" s="7" t="inlineStr">
        <is>
          <t>MARUTI SUZUKI</t>
        </is>
      </c>
      <c r="F3946" s="7" t="inlineStr">
        <is>
          <t>Alto</t>
        </is>
      </c>
      <c r="G3946" s="7" t="inlineStr">
        <is>
          <t>POPULAR MARUTI</t>
        </is>
      </c>
      <c r="H3946" s="7" t="inlineStr">
        <is>
          <t>Non-Captive</t>
        </is>
      </c>
      <c r="I3946" s="7" t="inlineStr">
        <is>
          <t>BASHEER</t>
        </is>
      </c>
      <c r="J3946" s="8" t="n"/>
      <c r="K3946" s="9" t="n">
        <v>123000</v>
      </c>
      <c r="L3946" s="10" t="n">
        <v>63000</v>
      </c>
      <c r="M3946" s="10" t="n">
        <v>6779.66</v>
      </c>
      <c r="N3946" s="11">
        <f>IF(M3946="","",ROUND(M3946*1.18,2))</f>
        <v/>
      </c>
      <c r="O3946" s="12">
        <f>IF(M3946="","",ROUND(N3946-M3946,2))</f>
        <v/>
      </c>
      <c r="P3946" s="13">
        <f>IF(AND(A3946&lt;&gt;"",B3946&lt;&gt;""), A3946&amp;" · "&amp;B3946, "")</f>
        <v/>
      </c>
    </row>
    <row r="3947">
      <c r="A3947" s="6" t="inlineStr">
        <is>
          <t>FY27</t>
        </is>
      </c>
      <c r="B3947" s="6" t="inlineStr">
        <is>
          <t>Sep</t>
        </is>
      </c>
      <c r="C3947" s="6" t="inlineStr">
        <is>
          <t>Kerala</t>
        </is>
      </c>
      <c r="D3947" s="7" t="inlineStr">
        <is>
          <t>KL60B7660</t>
        </is>
      </c>
      <c r="E3947" s="7" t="inlineStr">
        <is>
          <t>MARUTI SUZUKI</t>
        </is>
      </c>
      <c r="F3947" s="7" t="inlineStr">
        <is>
          <t>Alto</t>
        </is>
      </c>
      <c r="G3947" s="7" t="inlineStr">
        <is>
          <t>POPULAR MARUTI</t>
        </is>
      </c>
      <c r="H3947" s="7" t="inlineStr">
        <is>
          <t>Non-Captive</t>
        </is>
      </c>
      <c r="I3947" s="7" t="inlineStr">
        <is>
          <t>Hiba Nasarin</t>
        </is>
      </c>
      <c r="J3947" s="8" t="n"/>
      <c r="K3947" s="9" t="n">
        <v>225000</v>
      </c>
      <c r="L3947" s="10" t="n">
        <v>45000</v>
      </c>
      <c r="M3947" s="10" t="n">
        <v>8474.58</v>
      </c>
      <c r="N3947" s="11">
        <f>IF(M3947="","",ROUND(M3947*1.18,2))</f>
        <v/>
      </c>
      <c r="O3947" s="12">
        <f>IF(M3947="","",ROUND(N3947-M3947,2))</f>
        <v/>
      </c>
      <c r="P3947" s="13">
        <f>IF(AND(A3947&lt;&gt;"",B3947&lt;&gt;""), A3947&amp;" · "&amp;B3947, "")</f>
        <v/>
      </c>
    </row>
    <row r="3948">
      <c r="A3948" s="6" t="inlineStr">
        <is>
          <t>FY27</t>
        </is>
      </c>
      <c r="B3948" s="6" t="inlineStr">
        <is>
          <t>Sep</t>
        </is>
      </c>
      <c r="C3948" s="6" t="inlineStr">
        <is>
          <t>Kerala</t>
        </is>
      </c>
      <c r="D3948" s="7" t="inlineStr">
        <is>
          <t>KL60E2969</t>
        </is>
      </c>
      <c r="E3948" s="7" t="inlineStr">
        <is>
          <t>HYUNDAI</t>
        </is>
      </c>
      <c r="F3948" s="7" t="inlineStr">
        <is>
          <t>Eon</t>
        </is>
      </c>
      <c r="G3948" s="7" t="inlineStr">
        <is>
          <t>UCD FARIS</t>
        </is>
      </c>
      <c r="H3948" s="7" t="inlineStr">
        <is>
          <t>Non-Captive</t>
        </is>
      </c>
      <c r="I3948" s="7" t="inlineStr">
        <is>
          <t>Varun Prakash</t>
        </is>
      </c>
      <c r="J3948" s="8" t="n"/>
      <c r="K3948" s="9" t="n">
        <v>135000</v>
      </c>
      <c r="L3948" s="10" t="n">
        <v>71000</v>
      </c>
      <c r="M3948" s="10" t="n">
        <v>5084.75</v>
      </c>
      <c r="N3948" s="11">
        <f>IF(M3948="","",ROUND(M3948*1.18,2))</f>
        <v/>
      </c>
      <c r="O3948" s="12">
        <f>IF(M3948="","",ROUND(N3948-M3948,2))</f>
        <v/>
      </c>
      <c r="P3948" s="13">
        <f>IF(AND(A3948&lt;&gt;"",B3948&lt;&gt;""), A3948&amp;" · "&amp;B3948, "")</f>
        <v/>
      </c>
    </row>
    <row r="3949">
      <c r="A3949" s="6" t="inlineStr">
        <is>
          <t>FY27</t>
        </is>
      </c>
      <c r="B3949" s="6" t="inlineStr">
        <is>
          <t>Sep</t>
        </is>
      </c>
      <c r="C3949" s="6" t="inlineStr">
        <is>
          <t>Kerala</t>
        </is>
      </c>
      <c r="D3949" s="7" t="inlineStr">
        <is>
          <t>KL60H4040</t>
        </is>
      </c>
      <c r="E3949" s="7" t="inlineStr">
        <is>
          <t>HYUNDAI</t>
        </is>
      </c>
      <c r="F3949" s="7" t="inlineStr">
        <is>
          <t>i20</t>
        </is>
      </c>
      <c r="G3949" s="7" t="inlineStr">
        <is>
          <t>INDUS MARUTI</t>
        </is>
      </c>
      <c r="H3949" s="7" t="inlineStr">
        <is>
          <t>Non-Captive</t>
        </is>
      </c>
      <c r="I3949" s="7" t="inlineStr">
        <is>
          <t>Mohammed Danish K</t>
        </is>
      </c>
      <c r="J3949" s="8" t="n"/>
      <c r="K3949" s="9" t="n">
        <v>120000</v>
      </c>
      <c r="L3949" s="10" t="n">
        <v>296000</v>
      </c>
      <c r="M3949" s="10" t="n">
        <v>5084.75</v>
      </c>
      <c r="N3949" s="11">
        <f>IF(M3949="","",ROUND(M3949*1.18,2))</f>
        <v/>
      </c>
      <c r="O3949" s="12">
        <f>IF(M3949="","",ROUND(N3949-M3949,2))</f>
        <v/>
      </c>
      <c r="P3949" s="13">
        <f>IF(AND(A3949&lt;&gt;"",B3949&lt;&gt;""), A3949&amp;" · "&amp;B3949, "")</f>
        <v/>
      </c>
    </row>
    <row r="3950">
      <c r="A3950" s="6" t="inlineStr">
        <is>
          <t>FY27</t>
        </is>
      </c>
      <c r="B3950" s="6" t="inlineStr">
        <is>
          <t>Sep</t>
        </is>
      </c>
      <c r="C3950" s="6" t="inlineStr">
        <is>
          <t>Kerala</t>
        </is>
      </c>
      <c r="D3950" s="7" t="inlineStr">
        <is>
          <t>KL60R1485</t>
        </is>
      </c>
      <c r="E3950" s="7" t="inlineStr">
        <is>
          <t>HYUNDAI</t>
        </is>
      </c>
      <c r="F3950" s="7" t="inlineStr">
        <is>
          <t>Santro</t>
        </is>
      </c>
      <c r="G3950" s="7" t="inlineStr">
        <is>
          <t>APCO HYUNDAI</t>
        </is>
      </c>
      <c r="H3950" s="7" t="inlineStr">
        <is>
          <t>Non-Captive</t>
        </is>
      </c>
      <c r="I3950" s="7" t="inlineStr">
        <is>
          <t>SURAJ PK</t>
        </is>
      </c>
      <c r="J3950" s="8" t="n"/>
      <c r="K3950" s="9" t="n">
        <v>54000</v>
      </c>
      <c r="L3950" s="10" t="n">
        <v>277000</v>
      </c>
      <c r="M3950" s="10" t="n">
        <v>4237.29</v>
      </c>
      <c r="N3950" s="11">
        <f>IF(M3950="","",ROUND(M3950*1.18,2))</f>
        <v/>
      </c>
      <c r="O3950" s="12">
        <f>IF(M3950="","",ROUND(N3950-M3950,2))</f>
        <v/>
      </c>
      <c r="P3950" s="13">
        <f>IF(AND(A3950&lt;&gt;"",B3950&lt;&gt;""), A3950&amp;" · "&amp;B3950, "")</f>
        <v/>
      </c>
    </row>
    <row r="3951">
      <c r="A3951" s="6" t="inlineStr">
        <is>
          <t>FY27</t>
        </is>
      </c>
      <c r="B3951" s="6" t="inlineStr">
        <is>
          <t>Sep</t>
        </is>
      </c>
      <c r="C3951" s="6" t="inlineStr">
        <is>
          <t>Kerala</t>
        </is>
      </c>
      <c r="D3951" s="7" t="inlineStr">
        <is>
          <t>KL60R4829</t>
        </is>
      </c>
      <c r="E3951" s="7" t="inlineStr">
        <is>
          <t>FORD</t>
        </is>
      </c>
      <c r="F3951" s="7" t="inlineStr">
        <is>
          <t>EcoSport</t>
        </is>
      </c>
      <c r="G3951" s="7" t="inlineStr">
        <is>
          <t>UCD FARIS</t>
        </is>
      </c>
      <c r="H3951" s="7" t="inlineStr">
        <is>
          <t>Non-Captive</t>
        </is>
      </c>
      <c r="I3951" s="7" t="inlineStr">
        <is>
          <t>Muhammed Vasil Mk</t>
        </is>
      </c>
      <c r="J3951" s="8" t="n"/>
      <c r="K3951" s="9" t="n">
        <v>103000</v>
      </c>
      <c r="L3951" s="10" t="n">
        <v>460000</v>
      </c>
      <c r="M3951" s="10" t="n">
        <v>8474.58</v>
      </c>
      <c r="N3951" s="11">
        <f>IF(M3951="","",ROUND(M3951*1.18,2))</f>
        <v/>
      </c>
      <c r="O3951" s="12">
        <f>IF(M3951="","",ROUND(N3951-M3951,2))</f>
        <v/>
      </c>
      <c r="P3951" s="13">
        <f>IF(AND(A3951&lt;&gt;"",B3951&lt;&gt;""), A3951&amp;" · "&amp;B3951, "")</f>
        <v/>
      </c>
    </row>
    <row r="3952">
      <c r="A3952" s="6" t="inlineStr">
        <is>
          <t>FY27</t>
        </is>
      </c>
      <c r="B3952" s="6" t="inlineStr">
        <is>
          <t>Sep</t>
        </is>
      </c>
      <c r="C3952" s="6" t="inlineStr">
        <is>
          <t>Kerala</t>
        </is>
      </c>
      <c r="D3952" s="7" t="inlineStr">
        <is>
          <t>KL63J5713</t>
        </is>
      </c>
      <c r="E3952" s="7" t="inlineStr">
        <is>
          <t>MARUTI SUZUKI</t>
        </is>
      </c>
      <c r="F3952" s="7" t="inlineStr">
        <is>
          <t>Fronx</t>
        </is>
      </c>
      <c r="G3952" s="7" t="inlineStr">
        <is>
          <t>POPULAR MARUTI</t>
        </is>
      </c>
      <c r="H3952" s="7" t="inlineStr">
        <is>
          <t>Non-Captive</t>
        </is>
      </c>
      <c r="I3952" s="7" t="inlineStr">
        <is>
          <t>Abin Jose</t>
        </is>
      </c>
      <c r="J3952" s="8" t="n"/>
      <c r="K3952" s="9" t="n">
        <v>24874</v>
      </c>
      <c r="L3952" s="10" t="n">
        <v>575000</v>
      </c>
      <c r="M3952" s="10" t="n">
        <v>12711.86</v>
      </c>
      <c r="N3952" s="11">
        <f>IF(M3952="","",ROUND(M3952*1.18,2))</f>
        <v/>
      </c>
      <c r="O3952" s="12">
        <f>IF(M3952="","",ROUND(N3952-M3952,2))</f>
        <v/>
      </c>
      <c r="P3952" s="13">
        <f>IF(AND(A3952&lt;&gt;"",B3952&lt;&gt;""), A3952&amp;" · "&amp;B3952, "")</f>
        <v/>
      </c>
    </row>
    <row r="3953">
      <c r="A3953" s="6" t="inlineStr">
        <is>
          <t>FY27</t>
        </is>
      </c>
      <c r="B3953" s="6" t="inlineStr">
        <is>
          <t>Sep</t>
        </is>
      </c>
      <c r="C3953" s="6" t="inlineStr">
        <is>
          <t>Kerala</t>
        </is>
      </c>
      <c r="D3953" s="7" t="inlineStr">
        <is>
          <t>KL64J3017</t>
        </is>
      </c>
      <c r="E3953" s="7" t="inlineStr">
        <is>
          <t>DATSUN</t>
        </is>
      </c>
      <c r="F3953" s="7" t="inlineStr">
        <is>
          <t>Redi-GO</t>
        </is>
      </c>
      <c r="G3953" s="7" t="inlineStr">
        <is>
          <t>PINNACLE NISSAN</t>
        </is>
      </c>
      <c r="H3953" s="7" t="inlineStr">
        <is>
          <t>Non-Captive</t>
        </is>
      </c>
      <c r="I3953" s="7" t="inlineStr">
        <is>
          <t>Aitos Cars</t>
        </is>
      </c>
      <c r="J3953" s="8" t="n"/>
      <c r="K3953" s="9" t="n">
        <v>20022</v>
      </c>
      <c r="L3953" s="10" t="n">
        <v>210000</v>
      </c>
      <c r="M3953" s="10" t="n">
        <v>8474.58</v>
      </c>
      <c r="N3953" s="11">
        <f>IF(M3953="","",ROUND(M3953*1.18,2))</f>
        <v/>
      </c>
      <c r="O3953" s="12">
        <f>IF(M3953="","",ROUND(N3953-M3953,2))</f>
        <v/>
      </c>
      <c r="P3953" s="13">
        <f>IF(AND(A3953&lt;&gt;"",B3953&lt;&gt;""), A3953&amp;" · "&amp;B3953, "")</f>
        <v/>
      </c>
    </row>
    <row r="3954">
      <c r="A3954" s="6" t="inlineStr">
        <is>
          <t>FY27</t>
        </is>
      </c>
      <c r="B3954" s="6" t="inlineStr">
        <is>
          <t>Sep</t>
        </is>
      </c>
      <c r="C3954" s="6" t="inlineStr">
        <is>
          <t>Kerala</t>
        </is>
      </c>
      <c r="D3954" s="7" t="inlineStr">
        <is>
          <t>KL65H1444</t>
        </is>
      </c>
      <c r="E3954" s="7" t="inlineStr">
        <is>
          <t>MARUTI SUZUKI</t>
        </is>
      </c>
      <c r="F3954" s="7" t="inlineStr">
        <is>
          <t>Swift</t>
        </is>
      </c>
      <c r="G3954" s="7" t="inlineStr">
        <is>
          <t>BIMAL MARUTI</t>
        </is>
      </c>
      <c r="H3954" s="7" t="inlineStr">
        <is>
          <t>Non-Captive</t>
        </is>
      </c>
      <c r="I3954" s="7" t="inlineStr">
        <is>
          <t>Fasalurahman A C</t>
        </is>
      </c>
      <c r="J3954" s="8" t="n"/>
      <c r="K3954" s="9" t="n">
        <v>89000</v>
      </c>
      <c r="L3954" s="10" t="n">
        <v>460000</v>
      </c>
      <c r="M3954" s="10" t="n">
        <v>8474.58</v>
      </c>
      <c r="N3954" s="11">
        <f>IF(M3954="","",ROUND(M3954*1.18,2))</f>
        <v/>
      </c>
      <c r="O3954" s="12">
        <f>IF(M3954="","",ROUND(N3954-M3954,2))</f>
        <v/>
      </c>
      <c r="P3954" s="13">
        <f>IF(AND(A3954&lt;&gt;"",B3954&lt;&gt;""), A3954&amp;" · "&amp;B3954, "")</f>
        <v/>
      </c>
    </row>
    <row r="3955">
      <c r="A3955" s="6" t="inlineStr">
        <is>
          <t>FY27</t>
        </is>
      </c>
      <c r="B3955" s="6" t="inlineStr">
        <is>
          <t>Sep</t>
        </is>
      </c>
      <c r="C3955" s="6" t="inlineStr">
        <is>
          <t>Kerala</t>
        </is>
      </c>
      <c r="D3955" s="7" t="inlineStr">
        <is>
          <t>KL65L7004</t>
        </is>
      </c>
      <c r="E3955" s="7" t="inlineStr">
        <is>
          <t>HYUNDAI</t>
        </is>
      </c>
      <c r="F3955" s="7" t="inlineStr">
        <is>
          <t>i20</t>
        </is>
      </c>
      <c r="G3955" s="7" t="inlineStr">
        <is>
          <t>KVR TATA</t>
        </is>
      </c>
      <c r="H3955" s="7" t="inlineStr">
        <is>
          <t>Non-Captive</t>
        </is>
      </c>
      <c r="I3955" s="7" t="inlineStr">
        <is>
          <t>SANOOP K M</t>
        </is>
      </c>
      <c r="J3955" s="8" t="n"/>
      <c r="K3955" s="9" t="n">
        <v>35000</v>
      </c>
      <c r="L3955" s="10" t="n">
        <v>410000</v>
      </c>
      <c r="M3955" s="10" t="n">
        <v>8474.58</v>
      </c>
      <c r="N3955" s="11">
        <f>IF(M3955="","",ROUND(M3955*1.18,2))</f>
        <v/>
      </c>
      <c r="O3955" s="12">
        <f>IF(M3955="","",ROUND(N3955-M3955,2))</f>
        <v/>
      </c>
      <c r="P3955" s="13">
        <f>IF(AND(A3955&lt;&gt;"",B3955&lt;&gt;""), A3955&amp;" · "&amp;B3955, "")</f>
        <v/>
      </c>
    </row>
    <row r="3956">
      <c r="A3956" s="6" t="inlineStr">
        <is>
          <t>FY27</t>
        </is>
      </c>
      <c r="B3956" s="6" t="inlineStr">
        <is>
          <t>Sep</t>
        </is>
      </c>
      <c r="C3956" s="6" t="inlineStr">
        <is>
          <t>Kerala</t>
        </is>
      </c>
      <c r="D3956" s="7" t="inlineStr">
        <is>
          <t>KL753962</t>
        </is>
      </c>
      <c r="E3956" s="7" t="inlineStr">
        <is>
          <t>HYUNDAI</t>
        </is>
      </c>
      <c r="F3956" s="7" t="inlineStr">
        <is>
          <t>Creta</t>
        </is>
      </c>
      <c r="G3956" s="7" t="inlineStr">
        <is>
          <t>EVM CITROEN</t>
        </is>
      </c>
      <c r="H3956" s="7" t="inlineStr">
        <is>
          <t>Non-Captive</t>
        </is>
      </c>
      <c r="I3956" s="7" t="inlineStr">
        <is>
          <t>Tg7(Reswin</t>
        </is>
      </c>
      <c r="J3956" s="8" t="n"/>
      <c r="K3956" s="9" t="n">
        <v>51494</v>
      </c>
      <c r="L3956" s="10" t="n">
        <v>835000</v>
      </c>
      <c r="M3956" s="10" t="n">
        <v>8474.58</v>
      </c>
      <c r="N3956" s="11">
        <f>IF(M3956="","",ROUND(M3956*1.18,2))</f>
        <v/>
      </c>
      <c r="O3956" s="12">
        <f>IF(M3956="","",ROUND(N3956-M3956,2))</f>
        <v/>
      </c>
      <c r="P3956" s="13">
        <f>IF(AND(A3956&lt;&gt;"",B3956&lt;&gt;""), A3956&amp;" · "&amp;B3956, "")</f>
        <v/>
      </c>
    </row>
    <row r="3957">
      <c r="A3957" s="6" t="inlineStr">
        <is>
          <t>FY27</t>
        </is>
      </c>
      <c r="B3957" s="6" t="inlineStr">
        <is>
          <t>Sep</t>
        </is>
      </c>
      <c r="C3957" s="6" t="inlineStr">
        <is>
          <t>Kerala</t>
        </is>
      </c>
      <c r="D3957" s="7" t="inlineStr">
        <is>
          <t>KL781864</t>
        </is>
      </c>
      <c r="E3957" s="7" t="inlineStr">
        <is>
          <t>MAHINDRA</t>
        </is>
      </c>
      <c r="F3957" s="7" t="inlineStr">
        <is>
          <t>Marazzo</t>
        </is>
      </c>
      <c r="G3957" s="7" t="inlineStr">
        <is>
          <t>SAP MAHINDRA</t>
        </is>
      </c>
      <c r="H3957" s="7" t="inlineStr">
        <is>
          <t>Non-Captive</t>
        </is>
      </c>
      <c r="I3957" s="7" t="inlineStr">
        <is>
          <t>Autobot</t>
        </is>
      </c>
      <c r="J3957" s="8" t="n"/>
      <c r="K3957" s="9" t="n">
        <v>61000</v>
      </c>
      <c r="L3957" s="10" t="n">
        <v>500000</v>
      </c>
      <c r="M3957" s="10" t="n">
        <v>8474.58</v>
      </c>
      <c r="N3957" s="11">
        <f>IF(M3957="","",ROUND(M3957*1.18,2))</f>
        <v/>
      </c>
      <c r="O3957" s="12">
        <f>IF(M3957="","",ROUND(N3957-M3957,2))</f>
        <v/>
      </c>
      <c r="P3957" s="13">
        <f>IF(AND(A3957&lt;&gt;"",B3957&lt;&gt;""), A3957&amp;" · "&amp;B3957, "")</f>
        <v/>
      </c>
    </row>
    <row r="3958">
      <c r="A3958" s="6" t="inlineStr">
        <is>
          <t>FY27</t>
        </is>
      </c>
      <c r="B3958" s="6" t="inlineStr">
        <is>
          <t>Sep</t>
        </is>
      </c>
      <c r="C3958" s="6" t="inlineStr">
        <is>
          <t>Kerala</t>
        </is>
      </c>
      <c r="D3958" s="7" t="inlineStr">
        <is>
          <t>KL78A7234</t>
        </is>
      </c>
      <c r="E3958" s="7" t="inlineStr">
        <is>
          <t>TATA</t>
        </is>
      </c>
      <c r="F3958" s="7" t="inlineStr">
        <is>
          <t>Altroz</t>
        </is>
      </c>
      <c r="G3958" s="7" t="inlineStr">
        <is>
          <t>POPULAR MARUTI</t>
        </is>
      </c>
      <c r="H3958" s="7" t="inlineStr">
        <is>
          <t>Non-Captive</t>
        </is>
      </c>
      <c r="I3958" s="7" t="inlineStr">
        <is>
          <t>P Muhammed Fayis</t>
        </is>
      </c>
      <c r="J3958" s="8" t="n"/>
      <c r="K3958" s="9" t="n">
        <v>68000</v>
      </c>
      <c r="L3958" s="10" t="n">
        <v>290000</v>
      </c>
      <c r="M3958" s="10" t="n">
        <v>8474.58</v>
      </c>
      <c r="N3958" s="11">
        <f>IF(M3958="","",ROUND(M3958*1.18,2))</f>
        <v/>
      </c>
      <c r="O3958" s="12">
        <f>IF(M3958="","",ROUND(N3958-M3958,2))</f>
        <v/>
      </c>
      <c r="P3958" s="13">
        <f>IF(AND(A3958&lt;&gt;"",B3958&lt;&gt;""), A3958&amp;" · "&amp;B3958, "")</f>
        <v/>
      </c>
    </row>
    <row r="3959">
      <c r="A3959" s="6" t="inlineStr">
        <is>
          <t>FY27</t>
        </is>
      </c>
      <c r="B3959" s="6" t="inlineStr">
        <is>
          <t>Sep</t>
        </is>
      </c>
      <c r="C3959" s="6" t="inlineStr">
        <is>
          <t>Kerala</t>
        </is>
      </c>
      <c r="D3959" s="7" t="inlineStr">
        <is>
          <t>KL78B8091</t>
        </is>
      </c>
      <c r="E3959" s="7" t="inlineStr">
        <is>
          <t>HYUNDAI</t>
        </is>
      </c>
      <c r="F3959" s="7" t="inlineStr">
        <is>
          <t>Venue</t>
        </is>
      </c>
      <c r="G3959" s="7" t="inlineStr">
        <is>
          <t>AMANA TOYOTA</t>
        </is>
      </c>
      <c r="H3959" s="7" t="inlineStr">
        <is>
          <t>Non-Captive</t>
        </is>
      </c>
      <c r="I3959" s="7" t="inlineStr">
        <is>
          <t>Prajosh A M</t>
        </is>
      </c>
      <c r="J3959" s="8" t="n"/>
      <c r="K3959" s="9" t="n">
        <v>57000</v>
      </c>
      <c r="L3959" s="10" t="n">
        <v>656000</v>
      </c>
      <c r="M3959" s="10" t="n">
        <v>5084.75</v>
      </c>
      <c r="N3959" s="11">
        <f>IF(M3959="","",ROUND(M3959*1.18,2))</f>
        <v/>
      </c>
      <c r="O3959" s="12">
        <f>IF(M3959="","",ROUND(N3959-M3959,2))</f>
        <v/>
      </c>
      <c r="P3959" s="13">
        <f>IF(AND(A3959&lt;&gt;"",B3959&lt;&gt;""), A3959&amp;" · "&amp;B3959, "")</f>
        <v/>
      </c>
    </row>
    <row r="3960">
      <c r="A3960" s="6" t="inlineStr">
        <is>
          <t>FY27</t>
        </is>
      </c>
      <c r="B3960" s="6" t="inlineStr">
        <is>
          <t>Sep</t>
        </is>
      </c>
      <c r="C3960" s="6" t="inlineStr">
        <is>
          <t>Kerala</t>
        </is>
      </c>
      <c r="D3960" s="7" t="inlineStr">
        <is>
          <t>KL794554</t>
        </is>
      </c>
      <c r="E3960" s="7" t="inlineStr">
        <is>
          <t>MARUTI SUZUKI</t>
        </is>
      </c>
      <c r="F3960" s="7" t="inlineStr">
        <is>
          <t>S-Cross</t>
        </is>
      </c>
      <c r="G3960" s="7" t="inlineStr">
        <is>
          <t>KVR TATA</t>
        </is>
      </c>
      <c r="H3960" s="7" t="inlineStr">
        <is>
          <t>Non-Captive</t>
        </is>
      </c>
      <c r="I3960" s="7" t="inlineStr">
        <is>
          <t>Shafras K</t>
        </is>
      </c>
      <c r="J3960" s="8" t="n"/>
      <c r="K3960" s="9" t="n">
        <v>123400</v>
      </c>
      <c r="L3960" s="10" t="n">
        <v>640000</v>
      </c>
      <c r="M3960" s="10" t="n">
        <v>4237.29</v>
      </c>
      <c r="N3960" s="11">
        <f>IF(M3960="","",ROUND(M3960*1.18,2))</f>
        <v/>
      </c>
      <c r="O3960" s="12">
        <f>IF(M3960="","",ROUND(N3960-M3960,2))</f>
        <v/>
      </c>
      <c r="P3960" s="13">
        <f>IF(AND(A3960&lt;&gt;"",B3960&lt;&gt;""), A3960&amp;" · "&amp;B3960, "")</f>
        <v/>
      </c>
    </row>
    <row r="3961">
      <c r="A3961" s="6" t="inlineStr">
        <is>
          <t>FY27</t>
        </is>
      </c>
      <c r="B3961" s="6" t="inlineStr">
        <is>
          <t>Sep</t>
        </is>
      </c>
      <c r="C3961" s="6" t="inlineStr">
        <is>
          <t>Kerala</t>
        </is>
      </c>
      <c r="D3961" s="7" t="inlineStr">
        <is>
          <t>KL797247</t>
        </is>
      </c>
      <c r="E3961" s="7" t="inlineStr">
        <is>
          <t>MARUTI SUZUKI</t>
        </is>
      </c>
      <c r="F3961" s="7" t="inlineStr">
        <is>
          <t>Alto</t>
        </is>
      </c>
      <c r="G3961" s="7" t="inlineStr">
        <is>
          <t>MAHINDRA FINANCE</t>
        </is>
      </c>
      <c r="H3961" s="7" t="inlineStr">
        <is>
          <t>Non-Captive</t>
        </is>
      </c>
      <c r="I3961" s="7" t="inlineStr">
        <is>
          <t>Varun Prakash</t>
        </is>
      </c>
      <c r="J3961" s="8" t="n"/>
      <c r="K3961" s="9" t="n">
        <v>54000</v>
      </c>
      <c r="L3961" s="10" t="n">
        <v>265000</v>
      </c>
      <c r="M3961" s="10" t="n">
        <v>4237.29</v>
      </c>
      <c r="N3961" s="11">
        <f>IF(M3961="","",ROUND(M3961*1.18,2))</f>
        <v/>
      </c>
      <c r="O3961" s="12">
        <f>IF(M3961="","",ROUND(N3961-M3961,2))</f>
        <v/>
      </c>
      <c r="P3961" s="13">
        <f>IF(AND(A3961&lt;&gt;"",B3961&lt;&gt;""), A3961&amp;" · "&amp;B3961, "")</f>
        <v/>
      </c>
    </row>
    <row r="3962">
      <c r="A3962" s="6" t="inlineStr">
        <is>
          <t>FY27</t>
        </is>
      </c>
      <c r="B3962" s="6" t="inlineStr">
        <is>
          <t>Sep</t>
        </is>
      </c>
      <c r="C3962" s="6" t="inlineStr">
        <is>
          <t>TN</t>
        </is>
      </c>
      <c r="D3962" s="7" t="inlineStr">
        <is>
          <t>KL01BM6644</t>
        </is>
      </c>
      <c r="E3962" s="7" t="inlineStr">
        <is>
          <t>HYUNDAI</t>
        </is>
      </c>
      <c r="F3962" s="7" t="inlineStr">
        <is>
          <t>Santro</t>
        </is>
      </c>
      <c r="G3962" s="7" t="inlineStr">
        <is>
          <t>POPULAR MOTORWORLD PVT LTD</t>
        </is>
      </c>
      <c r="H3962" s="7" t="inlineStr">
        <is>
          <t>Non-Captive</t>
        </is>
      </c>
      <c r="I3962" s="7" t="inlineStr">
        <is>
          <t>SHAMNAD AH</t>
        </is>
      </c>
      <c r="J3962" s="8" t="n">
        <v>2013</v>
      </c>
      <c r="K3962" s="9" t="n">
        <v>82694</v>
      </c>
      <c r="L3962" s="10" t="n">
        <v>70000</v>
      </c>
      <c r="M3962" s="10" t="n">
        <v>8474.58</v>
      </c>
      <c r="N3962" s="11">
        <f>IF(M3962="","",ROUND(M3962*1.18,2))</f>
        <v/>
      </c>
      <c r="O3962" s="12">
        <f>IF(M3962="","",ROUND(N3962-M3962,2))</f>
        <v/>
      </c>
      <c r="P3962" s="13">
        <f>IF(AND(A3962&lt;&gt;"",B3962&lt;&gt;""), A3962&amp;" · "&amp;B3962, "")</f>
        <v/>
      </c>
    </row>
    <row r="3963">
      <c r="A3963" s="6" t="inlineStr">
        <is>
          <t>FY27</t>
        </is>
      </c>
      <c r="B3963" s="6" t="inlineStr">
        <is>
          <t>Sep</t>
        </is>
      </c>
      <c r="C3963" s="6" t="inlineStr">
        <is>
          <t>TN</t>
        </is>
      </c>
      <c r="D3963" s="7" t="inlineStr">
        <is>
          <t>KL01BT4955</t>
        </is>
      </c>
      <c r="E3963" s="7" t="inlineStr">
        <is>
          <t>HONDA</t>
        </is>
      </c>
      <c r="F3963" s="7" t="inlineStr">
        <is>
          <t>City</t>
        </is>
      </c>
      <c r="G3963" s="7" t="inlineStr">
        <is>
          <t>DERIK MOTORS PRIVATE LIMITED</t>
        </is>
      </c>
      <c r="H3963" s="7" t="inlineStr">
        <is>
          <t>Non-Captive</t>
        </is>
      </c>
      <c r="I3963" s="7" t="inlineStr">
        <is>
          <t>True Choise</t>
        </is>
      </c>
      <c r="J3963" s="8" t="n">
        <v>2015</v>
      </c>
      <c r="K3963" s="9" t="n">
        <v>105723</v>
      </c>
      <c r="L3963" s="10" t="n">
        <v>380000</v>
      </c>
      <c r="M3963" s="10" t="n">
        <v>6016.95</v>
      </c>
      <c r="N3963" s="11">
        <f>IF(M3963="","",ROUND(M3963*1.18,2))</f>
        <v/>
      </c>
      <c r="O3963" s="12">
        <f>IF(M3963="","",ROUND(N3963-M3963,2))</f>
        <v/>
      </c>
      <c r="P3963" s="13">
        <f>IF(AND(A3963&lt;&gt;"",B3963&lt;&gt;""), A3963&amp;" · "&amp;B3963, "")</f>
        <v/>
      </c>
    </row>
    <row r="3964">
      <c r="A3964" s="6" t="inlineStr">
        <is>
          <t>FY27</t>
        </is>
      </c>
      <c r="B3964" s="6" t="inlineStr">
        <is>
          <t>Sep</t>
        </is>
      </c>
      <c r="C3964" s="6" t="inlineStr">
        <is>
          <t>TN</t>
        </is>
      </c>
      <c r="D3964" s="7" t="inlineStr">
        <is>
          <t>KL01BU9640</t>
        </is>
      </c>
      <c r="E3964" s="7" t="inlineStr">
        <is>
          <t>MARUTI SUZUKI</t>
        </is>
      </c>
      <c r="F3964" s="7" t="inlineStr">
        <is>
          <t>Ciaz</t>
        </is>
      </c>
      <c r="G3964" s="7" t="inlineStr">
        <is>
          <t>DERIK MOTORS PRIVATE LIMITED</t>
        </is>
      </c>
      <c r="H3964" s="7" t="inlineStr">
        <is>
          <t>Non-Captive</t>
        </is>
      </c>
      <c r="I3964" s="7" t="inlineStr">
        <is>
          <t>True Choise</t>
        </is>
      </c>
      <c r="J3964" s="8" t="n">
        <v>2015</v>
      </c>
      <c r="K3964" s="9" t="n"/>
      <c r="L3964" s="10" t="n">
        <v>360000</v>
      </c>
      <c r="M3964" s="10" t="n">
        <v>6016.95</v>
      </c>
      <c r="N3964" s="11">
        <f>IF(M3964="","",ROUND(M3964*1.18,2))</f>
        <v/>
      </c>
      <c r="O3964" s="12">
        <f>IF(M3964="","",ROUND(N3964-M3964,2))</f>
        <v/>
      </c>
      <c r="P3964" s="13">
        <f>IF(AND(A3964&lt;&gt;"",B3964&lt;&gt;""), A3964&amp;" · "&amp;B3964, "")</f>
        <v/>
      </c>
    </row>
    <row r="3965">
      <c r="A3965" s="6" t="inlineStr">
        <is>
          <t>FY27</t>
        </is>
      </c>
      <c r="B3965" s="6" t="inlineStr">
        <is>
          <t>Sep</t>
        </is>
      </c>
      <c r="C3965" s="6" t="inlineStr">
        <is>
          <t>TN</t>
        </is>
      </c>
      <c r="D3965" s="7" t="inlineStr">
        <is>
          <t>KL01CJ2721</t>
        </is>
      </c>
      <c r="E3965" s="7" t="inlineStr">
        <is>
          <t>TATA</t>
        </is>
      </c>
      <c r="F3965" s="7" t="inlineStr">
        <is>
          <t>Tiago</t>
        </is>
      </c>
      <c r="G3965" s="7" t="inlineStr">
        <is>
          <t>POPULAR MOTORWORLD PVT LTD</t>
        </is>
      </c>
      <c r="H3965" s="7" t="inlineStr">
        <is>
          <t>Non-Captive</t>
        </is>
      </c>
      <c r="I3965" s="7" t="inlineStr">
        <is>
          <t>Popular Vehicles And Services Limited</t>
        </is>
      </c>
      <c r="J3965" s="8" t="n">
        <v>2018</v>
      </c>
      <c r="K3965" s="9" t="n">
        <v>8000</v>
      </c>
      <c r="L3965" s="10" t="n">
        <v>369000</v>
      </c>
      <c r="M3965" s="10" t="n">
        <v>10084.75</v>
      </c>
      <c r="N3965" s="11">
        <f>IF(M3965="","",ROUND(M3965*1.18,2))</f>
        <v/>
      </c>
      <c r="O3965" s="12">
        <f>IF(M3965="","",ROUND(N3965-M3965,2))</f>
        <v/>
      </c>
      <c r="P3965" s="13">
        <f>IF(AND(A3965&lt;&gt;"",B3965&lt;&gt;""), A3965&amp;" · "&amp;B3965, "")</f>
        <v/>
      </c>
    </row>
    <row r="3966">
      <c r="A3966" s="6" t="inlineStr">
        <is>
          <t>FY27</t>
        </is>
      </c>
      <c r="B3966" s="6" t="inlineStr">
        <is>
          <t>Sep</t>
        </is>
      </c>
      <c r="C3966" s="6" t="inlineStr">
        <is>
          <t>TN</t>
        </is>
      </c>
      <c r="D3966" s="7" t="inlineStr">
        <is>
          <t>KL21L4141</t>
        </is>
      </c>
      <c r="E3966" s="7" t="inlineStr">
        <is>
          <t>MARUTI SUZUKI</t>
        </is>
      </c>
      <c r="F3966" s="7" t="inlineStr">
        <is>
          <t>Ciaz</t>
        </is>
      </c>
      <c r="G3966" s="7" t="inlineStr">
        <is>
          <t>NIPPON TOYOTA</t>
        </is>
      </c>
      <c r="H3966" s="7" t="inlineStr">
        <is>
          <t>Non-Captive</t>
        </is>
      </c>
      <c r="I3966" s="7" t="inlineStr">
        <is>
          <t>SHAMNAD AH</t>
        </is>
      </c>
      <c r="J3966" s="8" t="n">
        <v>2015</v>
      </c>
      <c r="K3966" s="9" t="n">
        <v>107137</v>
      </c>
      <c r="L3966" s="10" t="n">
        <v>180000</v>
      </c>
      <c r="M3966" s="10" t="n">
        <v>6016.95</v>
      </c>
      <c r="N3966" s="11">
        <f>IF(M3966="","",ROUND(M3966*1.18,2))</f>
        <v/>
      </c>
      <c r="O3966" s="12">
        <f>IF(M3966="","",ROUND(N3966-M3966,2))</f>
        <v/>
      </c>
      <c r="P3966" s="13">
        <f>IF(AND(A3966&lt;&gt;"",B3966&lt;&gt;""), A3966&amp;" · "&amp;B3966, "")</f>
        <v/>
      </c>
    </row>
    <row r="3967">
      <c r="A3967" s="6" t="inlineStr">
        <is>
          <t>FY27</t>
        </is>
      </c>
      <c r="B3967" s="6" t="inlineStr">
        <is>
          <t>Sep</t>
        </is>
      </c>
      <c r="C3967" s="6" t="inlineStr">
        <is>
          <t>TN</t>
        </is>
      </c>
      <c r="D3967" s="7" t="inlineStr">
        <is>
          <t>KL21S3470</t>
        </is>
      </c>
      <c r="E3967" s="7" t="inlineStr">
        <is>
          <t>HYUNDAI</t>
        </is>
      </c>
      <c r="F3967" s="7" t="inlineStr">
        <is>
          <t>Eon</t>
        </is>
      </c>
      <c r="G3967" s="7" t="inlineStr">
        <is>
          <t>KAIRALI TOYOTA</t>
        </is>
      </c>
      <c r="H3967" s="7" t="inlineStr">
        <is>
          <t>Non-Captive</t>
        </is>
      </c>
      <c r="I3967" s="7" t="inlineStr">
        <is>
          <t>Popular Thrissur</t>
        </is>
      </c>
      <c r="J3967" s="8" t="n">
        <v>2018</v>
      </c>
      <c r="K3967" s="9" t="n">
        <v>35706</v>
      </c>
      <c r="L3967" s="10" t="n">
        <v>175000</v>
      </c>
      <c r="M3967" s="10" t="n">
        <v>5000</v>
      </c>
      <c r="N3967" s="11">
        <f>IF(M3967="","",ROUND(M3967*1.18,2))</f>
        <v/>
      </c>
      <c r="O3967" s="12">
        <f>IF(M3967="","",ROUND(N3967-M3967,2))</f>
        <v/>
      </c>
      <c r="P3967" s="13">
        <f>IF(AND(A3967&lt;&gt;"",B3967&lt;&gt;""), A3967&amp;" · "&amp;B3967, "")</f>
        <v/>
      </c>
    </row>
    <row r="3968">
      <c r="A3968" s="6" t="inlineStr">
        <is>
          <t>FY27</t>
        </is>
      </c>
      <c r="B3968" s="6" t="inlineStr">
        <is>
          <t>Sep</t>
        </is>
      </c>
      <c r="C3968" s="6" t="inlineStr">
        <is>
          <t>TN</t>
        </is>
      </c>
      <c r="D3968" s="7" t="inlineStr">
        <is>
          <t>KL21S5933</t>
        </is>
      </c>
      <c r="E3968" s="7" t="inlineStr">
        <is>
          <t>HYUNDAI</t>
        </is>
      </c>
      <c r="F3968" s="7" t="inlineStr">
        <is>
          <t>i20</t>
        </is>
      </c>
      <c r="G3968" s="7" t="inlineStr">
        <is>
          <t>POPULAR MOTORWORLD PVT LTD</t>
        </is>
      </c>
      <c r="H3968" s="7" t="inlineStr">
        <is>
          <t>Non-Captive</t>
        </is>
      </c>
      <c r="I3968" s="7" t="inlineStr">
        <is>
          <t>Popular Alleppy</t>
        </is>
      </c>
      <c r="J3968" s="8" t="n">
        <v>2019</v>
      </c>
      <c r="K3968" s="9" t="n">
        <v>66215</v>
      </c>
      <c r="L3968" s="10" t="n">
        <v>175000</v>
      </c>
      <c r="M3968" s="10" t="n">
        <v>5000</v>
      </c>
      <c r="N3968" s="11">
        <f>IF(M3968="","",ROUND(M3968*1.18,2))</f>
        <v/>
      </c>
      <c r="O3968" s="12">
        <f>IF(M3968="","",ROUND(N3968-M3968,2))</f>
        <v/>
      </c>
      <c r="P3968" s="13">
        <f>IF(AND(A3968&lt;&gt;"",B3968&lt;&gt;""), A3968&amp;" · "&amp;B3968, "")</f>
        <v/>
      </c>
    </row>
    <row r="3969">
      <c r="A3969" s="6" t="inlineStr">
        <is>
          <t>FY27</t>
        </is>
      </c>
      <c r="B3969" s="6" t="inlineStr">
        <is>
          <t>Sep</t>
        </is>
      </c>
      <c r="C3969" s="6" t="inlineStr">
        <is>
          <t>TN</t>
        </is>
      </c>
      <c r="D3969" s="7" t="inlineStr">
        <is>
          <t>KL21U6393</t>
        </is>
      </c>
      <c r="E3969" s="7" t="inlineStr">
        <is>
          <t>MARUTI SUZUKI</t>
        </is>
      </c>
      <c r="F3969" s="7" t="inlineStr">
        <is>
          <t>Celerio</t>
        </is>
      </c>
      <c r="G3969" s="7" t="inlineStr">
        <is>
          <t>POPULAR MOTORWORLD PVT LTD</t>
        </is>
      </c>
      <c r="H3969" s="7" t="inlineStr">
        <is>
          <t>Non-Captive</t>
        </is>
      </c>
      <c r="I3969" s="7" t="inlineStr">
        <is>
          <t>Popular Vehicles And Services Limited</t>
        </is>
      </c>
      <c r="J3969" s="8" t="n">
        <v>2019</v>
      </c>
      <c r="K3969" s="9" t="n">
        <v>8000</v>
      </c>
      <c r="L3969" s="10" t="n">
        <v>369000</v>
      </c>
      <c r="M3969" s="10" t="n">
        <v>10084.75</v>
      </c>
      <c r="N3969" s="11">
        <f>IF(M3969="","",ROUND(M3969*1.18,2))</f>
        <v/>
      </c>
      <c r="O3969" s="12">
        <f>IF(M3969="","",ROUND(N3969-M3969,2))</f>
        <v/>
      </c>
      <c r="P3969" s="13">
        <f>IF(AND(A3969&lt;&gt;"",B3969&lt;&gt;""), A3969&amp;" · "&amp;B3969, "")</f>
        <v/>
      </c>
    </row>
    <row r="3970">
      <c r="A3970" s="6" t="inlineStr">
        <is>
          <t>FY27</t>
        </is>
      </c>
      <c r="B3970" s="6" t="inlineStr">
        <is>
          <t>Sep</t>
        </is>
      </c>
      <c r="C3970" s="6" t="inlineStr">
        <is>
          <t>TN</t>
        </is>
      </c>
      <c r="D3970" s="7" t="inlineStr">
        <is>
          <t>KL22N1267</t>
        </is>
      </c>
      <c r="E3970" s="7" t="inlineStr">
        <is>
          <t>MARUTI SUZUKI</t>
        </is>
      </c>
      <c r="F3970" s="7" t="inlineStr">
        <is>
          <t>Wagon R</t>
        </is>
      </c>
      <c r="G3970" s="7" t="inlineStr">
        <is>
          <t>NIPPON TOYOTA</t>
        </is>
      </c>
      <c r="H3970" s="7" t="inlineStr">
        <is>
          <t>Non-Captive</t>
        </is>
      </c>
      <c r="I3970" s="7" t="inlineStr">
        <is>
          <t>Popular Kottayam</t>
        </is>
      </c>
      <c r="J3970" s="8" t="n">
        <v>2019</v>
      </c>
      <c r="K3970" s="9" t="n">
        <v>30867</v>
      </c>
      <c r="L3970" s="10" t="n">
        <v>175000</v>
      </c>
      <c r="M3970" s="10" t="n">
        <v>5000</v>
      </c>
      <c r="N3970" s="11">
        <f>IF(M3970="","",ROUND(M3970*1.18,2))</f>
        <v/>
      </c>
      <c r="O3970" s="12">
        <f>IF(M3970="","",ROUND(N3970-M3970,2))</f>
        <v/>
      </c>
      <c r="P3970" s="13">
        <f>IF(AND(A3970&lt;&gt;"",B3970&lt;&gt;""), A3970&amp;" · "&amp;B3970, "")</f>
        <v/>
      </c>
    </row>
    <row r="3971">
      <c r="A3971" s="6" t="inlineStr">
        <is>
          <t>FY27</t>
        </is>
      </c>
      <c r="B3971" s="6" t="inlineStr">
        <is>
          <t>Sep</t>
        </is>
      </c>
      <c r="C3971" s="6" t="inlineStr">
        <is>
          <t>TN</t>
        </is>
      </c>
      <c r="D3971" s="7" t="inlineStr">
        <is>
          <t>KL22P1290</t>
        </is>
      </c>
      <c r="E3971" s="7" t="inlineStr">
        <is>
          <t>MARUTI SUZUKI</t>
        </is>
      </c>
      <c r="F3971" s="7" t="inlineStr">
        <is>
          <t>Vitara Brezza</t>
        </is>
      </c>
      <c r="G3971" s="7" t="inlineStr">
        <is>
          <t>NIPPON TOYOTA</t>
        </is>
      </c>
      <c r="H3971" s="7" t="inlineStr">
        <is>
          <t>Non-Captive</t>
        </is>
      </c>
      <c r="I3971" s="7" t="inlineStr">
        <is>
          <t>GENUINE CARS</t>
        </is>
      </c>
      <c r="J3971" s="8" t="n">
        <v>2020</v>
      </c>
      <c r="K3971" s="9" t="n">
        <v>84872</v>
      </c>
      <c r="L3971" s="10" t="n">
        <v>180000</v>
      </c>
      <c r="M3971" s="10" t="n">
        <v>8474.58</v>
      </c>
      <c r="N3971" s="11">
        <f>IF(M3971="","",ROUND(M3971*1.18,2))</f>
        <v/>
      </c>
      <c r="O3971" s="12">
        <f>IF(M3971="","",ROUND(N3971-M3971,2))</f>
        <v/>
      </c>
      <c r="P3971" s="13">
        <f>IF(AND(A3971&lt;&gt;"",B3971&lt;&gt;""), A3971&amp;" · "&amp;B3971, "")</f>
        <v/>
      </c>
    </row>
    <row r="3972">
      <c r="A3972" s="6" t="inlineStr">
        <is>
          <t>FY27</t>
        </is>
      </c>
      <c r="B3972" s="6" t="inlineStr">
        <is>
          <t>Sep</t>
        </is>
      </c>
      <c r="C3972" s="6" t="inlineStr">
        <is>
          <t>TN</t>
        </is>
      </c>
      <c r="D3972" s="7" t="inlineStr">
        <is>
          <t>KL22Q2843</t>
        </is>
      </c>
      <c r="E3972" s="7" t="inlineStr">
        <is>
          <t>MARUTI SUZUKI</t>
        </is>
      </c>
      <c r="F3972" s="7" t="inlineStr">
        <is>
          <t>Wagon R</t>
        </is>
      </c>
      <c r="G3972" s="7" t="inlineStr">
        <is>
          <t>TRUST N DRIVE</t>
        </is>
      </c>
      <c r="H3972" s="7" t="inlineStr">
        <is>
          <t>Non-Captive</t>
        </is>
      </c>
      <c r="I3972" s="7" t="inlineStr">
        <is>
          <t>Popular Alleppy</t>
        </is>
      </c>
      <c r="J3972" s="8" t="n">
        <v>2021</v>
      </c>
      <c r="K3972" s="9" t="n">
        <v>53444</v>
      </c>
      <c r="L3972" s="10" t="n">
        <v>180000</v>
      </c>
      <c r="M3972" s="10" t="n">
        <v>5000</v>
      </c>
      <c r="N3972" s="11">
        <f>IF(M3972="","",ROUND(M3972*1.18,2))</f>
        <v/>
      </c>
      <c r="O3972" s="12">
        <f>IF(M3972="","",ROUND(N3972-M3972,2))</f>
        <v/>
      </c>
      <c r="P3972" s="13">
        <f>IF(AND(A3972&lt;&gt;"",B3972&lt;&gt;""), A3972&amp;" · "&amp;B3972, "")</f>
        <v/>
      </c>
    </row>
    <row r="3973">
      <c r="A3973" s="6" t="inlineStr">
        <is>
          <t>FY27</t>
        </is>
      </c>
      <c r="B3973" s="6" t="inlineStr">
        <is>
          <t>Sep</t>
        </is>
      </c>
      <c r="C3973" s="6" t="inlineStr">
        <is>
          <t>TN</t>
        </is>
      </c>
      <c r="D3973" s="7" t="inlineStr">
        <is>
          <t>KL23W3850</t>
        </is>
      </c>
      <c r="E3973" s="7" t="inlineStr">
        <is>
          <t>NISSAN</t>
        </is>
      </c>
      <c r="F3973" s="7" t="inlineStr">
        <is>
          <t>Magnite</t>
        </is>
      </c>
      <c r="G3973" s="7" t="inlineStr">
        <is>
          <t>EVM NISSAN (EVM AUTOMOBILES PRIVATE LIMITED</t>
        </is>
      </c>
      <c r="H3973" s="7" t="inlineStr">
        <is>
          <t>Non-Captive</t>
        </is>
      </c>
      <c r="I3973" s="7" t="inlineStr">
        <is>
          <t>Popular Alleppy</t>
        </is>
      </c>
      <c r="J3973" s="8" t="n">
        <v>2023</v>
      </c>
      <c r="K3973" s="9" t="n">
        <v>41562</v>
      </c>
      <c r="L3973" s="10" t="n">
        <v>180000</v>
      </c>
      <c r="M3973" s="10" t="n">
        <v>5000</v>
      </c>
      <c r="N3973" s="11">
        <f>IF(M3973="","",ROUND(M3973*1.18,2))</f>
        <v/>
      </c>
      <c r="O3973" s="12">
        <f>IF(M3973="","",ROUND(N3973-M3973,2))</f>
        <v/>
      </c>
      <c r="P3973" s="13">
        <f>IF(AND(A3973&lt;&gt;"",B3973&lt;&gt;""), A3973&amp;" · "&amp;B3973, "")</f>
        <v/>
      </c>
    </row>
    <row r="3974">
      <c r="A3974" s="6" t="inlineStr">
        <is>
          <t>FY27</t>
        </is>
      </c>
      <c r="B3974" s="6" t="inlineStr">
        <is>
          <t>Sep</t>
        </is>
      </c>
      <c r="C3974" s="6" t="inlineStr">
        <is>
          <t>TN</t>
        </is>
      </c>
      <c r="D3974" s="7" t="inlineStr">
        <is>
          <t>KL26K5191</t>
        </is>
      </c>
      <c r="E3974" s="7" t="inlineStr">
        <is>
          <t>MARUTI SUZUKI</t>
        </is>
      </c>
      <c r="F3974" s="7" t="inlineStr">
        <is>
          <t>Wagon R</t>
        </is>
      </c>
      <c r="G3974" s="7" t="inlineStr">
        <is>
          <t>POPULAR MOTORWORLD PVT LTD</t>
        </is>
      </c>
      <c r="H3974" s="7" t="inlineStr">
        <is>
          <t>Non-Captive</t>
        </is>
      </c>
      <c r="I3974" s="7" t="inlineStr">
        <is>
          <t>Popular Kottayam</t>
        </is>
      </c>
      <c r="J3974" s="8" t="n">
        <v>2019</v>
      </c>
      <c r="K3974" s="9" t="n">
        <v>71639</v>
      </c>
      <c r="L3974" s="10" t="n">
        <v>180000</v>
      </c>
      <c r="M3974" s="10" t="n">
        <v>5000</v>
      </c>
      <c r="N3974" s="11">
        <f>IF(M3974="","",ROUND(M3974*1.18,2))</f>
        <v/>
      </c>
      <c r="O3974" s="12">
        <f>IF(M3974="","",ROUND(N3974-M3974,2))</f>
        <v/>
      </c>
      <c r="P3974" s="13">
        <f>IF(AND(A3974&lt;&gt;"",B3974&lt;&gt;""), A3974&amp;" · "&amp;B3974, "")</f>
        <v/>
      </c>
    </row>
    <row r="3975">
      <c r="A3975" s="6" t="inlineStr">
        <is>
          <t>FY27</t>
        </is>
      </c>
      <c r="B3975" s="6" t="inlineStr">
        <is>
          <t>Sep</t>
        </is>
      </c>
      <c r="C3975" s="6" t="inlineStr">
        <is>
          <t>TN</t>
        </is>
      </c>
      <c r="D3975" s="7" t="inlineStr">
        <is>
          <t>KL41N8552</t>
        </is>
      </c>
      <c r="E3975" s="7" t="inlineStr">
        <is>
          <t>HONDA</t>
        </is>
      </c>
      <c r="F3975" s="7" t="inlineStr">
        <is>
          <t>Amaze</t>
        </is>
      </c>
      <c r="G3975" s="7" t="inlineStr">
        <is>
          <t>EXCHANGE ROTN</t>
        </is>
      </c>
      <c r="H3975" s="7" t="inlineStr">
        <is>
          <t>Captive</t>
        </is>
      </c>
      <c r="I3975" s="7" t="inlineStr">
        <is>
          <t>&lt;NA&gt;</t>
        </is>
      </c>
      <c r="J3975" s="8" t="n">
        <v>2018</v>
      </c>
      <c r="K3975" s="9" t="n">
        <v>39877</v>
      </c>
      <c r="L3975" s="10" t="n">
        <v>475000</v>
      </c>
      <c r="M3975" s="10" t="n">
        <v>8474.58</v>
      </c>
      <c r="N3975" s="11">
        <f>IF(M3975="","",ROUND(M3975*1.18,2))</f>
        <v/>
      </c>
      <c r="O3975" s="12">
        <f>IF(M3975="","",ROUND(N3975-M3975,2))</f>
        <v/>
      </c>
      <c r="P3975" s="13">
        <f>IF(AND(A3975&lt;&gt;"",B3975&lt;&gt;""), A3975&amp;" · "&amp;B3975, "")</f>
        <v/>
      </c>
    </row>
    <row r="3976">
      <c r="A3976" s="6" t="inlineStr">
        <is>
          <t>FY27</t>
        </is>
      </c>
      <c r="B3976" s="6" t="inlineStr">
        <is>
          <t>Sep</t>
        </is>
      </c>
      <c r="C3976" s="6" t="inlineStr">
        <is>
          <t>TN</t>
        </is>
      </c>
      <c r="D3976" s="7" t="inlineStr">
        <is>
          <t>KL74C0543</t>
        </is>
      </c>
      <c r="E3976" s="7" t="inlineStr">
        <is>
          <t>HYUNDAI</t>
        </is>
      </c>
      <c r="F3976" s="7" t="inlineStr">
        <is>
          <t>Grand i10 Nios</t>
        </is>
      </c>
      <c r="G3976" s="7" t="inlineStr">
        <is>
          <t>DERIK MOTORS PRIVATE LIMITED</t>
        </is>
      </c>
      <c r="H3976" s="7" t="inlineStr">
        <is>
          <t>Non-Captive</t>
        </is>
      </c>
      <c r="I3976" s="7" t="inlineStr">
        <is>
          <t>Popular Vehicles And Services Limited</t>
        </is>
      </c>
      <c r="J3976" s="8" t="n">
        <v>2022</v>
      </c>
      <c r="K3976" s="9" t="n">
        <v>28319</v>
      </c>
      <c r="L3976" s="10" t="n">
        <v>410000</v>
      </c>
      <c r="M3976" s="10" t="n">
        <v>13474.58</v>
      </c>
      <c r="N3976" s="11">
        <f>IF(M3976="","",ROUND(M3976*1.18,2))</f>
        <v/>
      </c>
      <c r="O3976" s="12">
        <f>IF(M3976="","",ROUND(N3976-M3976,2))</f>
        <v/>
      </c>
      <c r="P3976" s="13">
        <f>IF(AND(A3976&lt;&gt;"",B3976&lt;&gt;""), A3976&amp;" · "&amp;B3976, "")</f>
        <v/>
      </c>
    </row>
    <row r="3977">
      <c r="A3977" s="6" t="inlineStr">
        <is>
          <t>FY27</t>
        </is>
      </c>
      <c r="B3977" s="6" t="inlineStr">
        <is>
          <t>Sep</t>
        </is>
      </c>
      <c r="C3977" s="6" t="inlineStr">
        <is>
          <t>TN</t>
        </is>
      </c>
      <c r="D3977" s="7" t="inlineStr">
        <is>
          <t>KL818959</t>
        </is>
      </c>
      <c r="E3977" s="7" t="inlineStr">
        <is>
          <t>TATA</t>
        </is>
      </c>
      <c r="F3977" s="7" t="inlineStr">
        <is>
          <t>Punch</t>
        </is>
      </c>
      <c r="G3977" s="7" t="inlineStr">
        <is>
          <t>DERIK MOTORS PRIVATE LIMITED</t>
        </is>
      </c>
      <c r="H3977" s="7" t="inlineStr">
        <is>
          <t>Non-Captive</t>
        </is>
      </c>
      <c r="I3977" s="7" t="inlineStr">
        <is>
          <t>Popular Vehicles And Services Limited</t>
        </is>
      </c>
      <c r="J3977" s="8" t="n">
        <v>2021</v>
      </c>
      <c r="K3977" s="9" t="n">
        <v>20122</v>
      </c>
      <c r="L3977" s="10" t="n">
        <v>480000</v>
      </c>
      <c r="M3977" s="10" t="n">
        <v>13474.58</v>
      </c>
      <c r="N3977" s="11">
        <f>IF(M3977="","",ROUND(M3977*1.18,2))</f>
        <v/>
      </c>
      <c r="O3977" s="12">
        <f>IF(M3977="","",ROUND(N3977-M3977,2))</f>
        <v/>
      </c>
      <c r="P3977" s="13">
        <f>IF(AND(A3977&lt;&gt;"",B3977&lt;&gt;""), A3977&amp;" · "&amp;B3977, "")</f>
        <v/>
      </c>
    </row>
    <row r="3978">
      <c r="A3978" s="6" t="inlineStr">
        <is>
          <t>FY27</t>
        </is>
      </c>
      <c r="B3978" s="6" t="inlineStr">
        <is>
          <t>Sep</t>
        </is>
      </c>
      <c r="C3978" s="6" t="inlineStr">
        <is>
          <t>TN</t>
        </is>
      </c>
      <c r="D3978" s="7" t="inlineStr">
        <is>
          <t>PY01BR2288</t>
        </is>
      </c>
      <c r="E3978" s="7" t="inlineStr">
        <is>
          <t>FIAT</t>
        </is>
      </c>
      <c r="F3978" s="7" t="inlineStr">
        <is>
          <t>Punto</t>
        </is>
      </c>
      <c r="G3978" s="7" t="inlineStr">
        <is>
          <t>EXCHANGE CHENNAI</t>
        </is>
      </c>
      <c r="H3978" s="7" t="inlineStr">
        <is>
          <t>Captive</t>
        </is>
      </c>
      <c r="I3978" s="7" t="inlineStr">
        <is>
          <t>Santhosh Cars</t>
        </is>
      </c>
      <c r="J3978" s="8" t="n">
        <v>2012</v>
      </c>
      <c r="K3978" s="9" t="n">
        <v>90000</v>
      </c>
      <c r="L3978" s="10" t="n">
        <v>100000</v>
      </c>
      <c r="M3978" s="10" t="n">
        <v>4237.29</v>
      </c>
      <c r="N3978" s="11">
        <f>IF(M3978="","",ROUND(M3978*1.18,2))</f>
        <v/>
      </c>
      <c r="O3978" s="12">
        <f>IF(M3978="","",ROUND(N3978-M3978,2))</f>
        <v/>
      </c>
      <c r="P3978" s="13">
        <f>IF(AND(A3978&lt;&gt;"",B3978&lt;&gt;""), A3978&amp;" · "&amp;B3978, "")</f>
        <v/>
      </c>
    </row>
    <row r="3979">
      <c r="A3979" s="6" t="inlineStr">
        <is>
          <t>FY27</t>
        </is>
      </c>
      <c r="B3979" s="6" t="inlineStr">
        <is>
          <t>Sep</t>
        </is>
      </c>
      <c r="C3979" s="6" t="inlineStr">
        <is>
          <t>TN</t>
        </is>
      </c>
      <c r="D3979" s="7" t="inlineStr">
        <is>
          <t>PY01BY8770</t>
        </is>
      </c>
      <c r="E3979" s="7" t="inlineStr">
        <is>
          <t>RENAULT</t>
        </is>
      </c>
      <c r="F3979" s="7" t="inlineStr">
        <is>
          <t>Scala</t>
        </is>
      </c>
      <c r="G3979" s="7" t="inlineStr">
        <is>
          <t>CASTLE TRADERS MARUTI</t>
        </is>
      </c>
      <c r="H3979" s="7" t="inlineStr">
        <is>
          <t>Non-Captive</t>
        </is>
      </c>
      <c r="I3979" s="7" t="inlineStr">
        <is>
          <t>Senthil Cars</t>
        </is>
      </c>
      <c r="J3979" s="8" t="n">
        <v>2013</v>
      </c>
      <c r="K3979" s="9" t="n">
        <v>101177</v>
      </c>
      <c r="L3979" s="10" t="n">
        <v>94000</v>
      </c>
      <c r="M3979" s="10" t="n">
        <v>3389.83</v>
      </c>
      <c r="N3979" s="11">
        <f>IF(M3979="","",ROUND(M3979*1.18,2))</f>
        <v/>
      </c>
      <c r="O3979" s="12">
        <f>IF(M3979="","",ROUND(N3979-M3979,2))</f>
        <v/>
      </c>
      <c r="P3979" s="13">
        <f>IF(AND(A3979&lt;&gt;"",B3979&lt;&gt;""), A3979&amp;" · "&amp;B3979, "")</f>
        <v/>
      </c>
    </row>
    <row r="3980">
      <c r="A3980" s="6" t="inlineStr">
        <is>
          <t>FY27</t>
        </is>
      </c>
      <c r="B3980" s="6" t="inlineStr">
        <is>
          <t>Sep</t>
        </is>
      </c>
      <c r="C3980" s="6" t="inlineStr">
        <is>
          <t>TN</t>
        </is>
      </c>
      <c r="D3980" s="7" t="inlineStr">
        <is>
          <t>PY01DD3612</t>
        </is>
      </c>
      <c r="E3980" s="7" t="inlineStr">
        <is>
          <t>HONDA</t>
        </is>
      </c>
      <c r="F3980" s="7" t="inlineStr">
        <is>
          <t>Amaze</t>
        </is>
      </c>
      <c r="G3980" s="7" t="inlineStr">
        <is>
          <t>EXCHANGE CHENNAI</t>
        </is>
      </c>
      <c r="H3980" s="7" t="inlineStr">
        <is>
          <t>Captive</t>
        </is>
      </c>
      <c r="I3980" s="7" t="inlineStr">
        <is>
          <t>&lt;NA&gt;</t>
        </is>
      </c>
      <c r="J3980" s="8" t="n"/>
      <c r="K3980" s="9" t="n"/>
      <c r="L3980" s="10" t="n">
        <v>710000</v>
      </c>
      <c r="M3980" s="10" t="n">
        <v>8474.58</v>
      </c>
      <c r="N3980" s="11">
        <f>IF(M3980="","",ROUND(M3980*1.18,2))</f>
        <v/>
      </c>
      <c r="O3980" s="12">
        <f>IF(M3980="","",ROUND(N3980-M3980,2))</f>
        <v/>
      </c>
      <c r="P3980" s="13">
        <f>IF(AND(A3980&lt;&gt;"",B3980&lt;&gt;""), A3980&amp;" · "&amp;B3980, "")</f>
        <v/>
      </c>
    </row>
    <row r="3981">
      <c r="A3981" s="6" t="inlineStr">
        <is>
          <t>FY27</t>
        </is>
      </c>
      <c r="B3981" s="6" t="inlineStr">
        <is>
          <t>Sep</t>
        </is>
      </c>
      <c r="C3981" s="6" t="inlineStr">
        <is>
          <t>TN</t>
        </is>
      </c>
      <c r="D3981" s="7" t="inlineStr">
        <is>
          <t>TN01AC3596</t>
        </is>
      </c>
      <c r="E3981" s="7" t="inlineStr">
        <is>
          <t>HONDA</t>
        </is>
      </c>
      <c r="F3981" s="7" t="inlineStr">
        <is>
          <t>City</t>
        </is>
      </c>
      <c r="G3981" s="7" t="inlineStr">
        <is>
          <t>VISHNU CARS PRIVATE LIMITED</t>
        </is>
      </c>
      <c r="H3981" s="7" t="inlineStr">
        <is>
          <t>Non-Captive</t>
        </is>
      </c>
      <c r="I3981" s="7" t="inlineStr">
        <is>
          <t>Santhosh Cars</t>
        </is>
      </c>
      <c r="J3981" s="8" t="n">
        <v>2006</v>
      </c>
      <c r="K3981" s="9" t="n">
        <v>68357</v>
      </c>
      <c r="L3981" s="10" t="n">
        <v>98000</v>
      </c>
      <c r="M3981" s="10" t="n">
        <v>4237.29</v>
      </c>
      <c r="N3981" s="11">
        <f>IF(M3981="","",ROUND(M3981*1.18,2))</f>
        <v/>
      </c>
      <c r="O3981" s="12">
        <f>IF(M3981="","",ROUND(N3981-M3981,2))</f>
        <v/>
      </c>
      <c r="P3981" s="13">
        <f>IF(AND(A3981&lt;&gt;"",B3981&lt;&gt;""), A3981&amp;" · "&amp;B3981, "")</f>
        <v/>
      </c>
    </row>
    <row r="3982">
      <c r="A3982" s="6" t="inlineStr">
        <is>
          <t>FY27</t>
        </is>
      </c>
      <c r="B3982" s="6" t="inlineStr">
        <is>
          <t>Sep</t>
        </is>
      </c>
      <c r="C3982" s="6" t="inlineStr">
        <is>
          <t>TN</t>
        </is>
      </c>
      <c r="D3982" s="7" t="inlineStr">
        <is>
          <t>TN01AH6305</t>
        </is>
      </c>
      <c r="E3982" s="7" t="inlineStr">
        <is>
          <t>HYUNDAI</t>
        </is>
      </c>
      <c r="F3982" s="7" t="inlineStr">
        <is>
          <t>i20</t>
        </is>
      </c>
      <c r="G3982" s="7" t="inlineStr">
        <is>
          <t>CASTLE TRADERS MARUTI</t>
        </is>
      </c>
      <c r="H3982" s="7" t="inlineStr">
        <is>
          <t>Non-Captive</t>
        </is>
      </c>
      <c r="I3982" s="7" t="inlineStr">
        <is>
          <t>AAA Cars</t>
        </is>
      </c>
      <c r="J3982" s="8" t="n">
        <v>2009</v>
      </c>
      <c r="K3982" s="9" t="n">
        <v>87107</v>
      </c>
      <c r="L3982" s="10" t="n">
        <v>152500</v>
      </c>
      <c r="M3982" s="10" t="n">
        <v>6355.93</v>
      </c>
      <c r="N3982" s="11">
        <f>IF(M3982="","",ROUND(M3982*1.18,2))</f>
        <v/>
      </c>
      <c r="O3982" s="12">
        <f>IF(M3982="","",ROUND(N3982-M3982,2))</f>
        <v/>
      </c>
      <c r="P3982" s="13">
        <f>IF(AND(A3982&lt;&gt;"",B3982&lt;&gt;""), A3982&amp;" · "&amp;B3982, "")</f>
        <v/>
      </c>
    </row>
    <row r="3983">
      <c r="A3983" s="6" t="inlineStr">
        <is>
          <t>FY27</t>
        </is>
      </c>
      <c r="B3983" s="6" t="inlineStr">
        <is>
          <t>Sep</t>
        </is>
      </c>
      <c r="C3983" s="6" t="inlineStr">
        <is>
          <t>TN</t>
        </is>
      </c>
      <c r="D3983" s="7" t="inlineStr">
        <is>
          <t>TN01AP5707</t>
        </is>
      </c>
      <c r="E3983" s="7" t="inlineStr">
        <is>
          <t>MARUTI SUZUKI</t>
        </is>
      </c>
      <c r="F3983" s="7" t="inlineStr">
        <is>
          <t>Dzire</t>
        </is>
      </c>
      <c r="G3983" s="7" t="inlineStr">
        <is>
          <t>NIRMAL CARS</t>
        </is>
      </c>
      <c r="H3983" s="7" t="inlineStr">
        <is>
          <t>Non-Captive</t>
        </is>
      </c>
      <c r="I3983" s="7" t="inlineStr">
        <is>
          <t>Srijja Travels</t>
        </is>
      </c>
      <c r="J3983" s="8" t="n">
        <v>2011</v>
      </c>
      <c r="K3983" s="9" t="n">
        <v>73945</v>
      </c>
      <c r="L3983" s="10" t="n">
        <v>89000</v>
      </c>
      <c r="M3983" s="10" t="n">
        <v>4237.29</v>
      </c>
      <c r="N3983" s="11">
        <f>IF(M3983="","",ROUND(M3983*1.18,2))</f>
        <v/>
      </c>
      <c r="O3983" s="12">
        <f>IF(M3983="","",ROUND(N3983-M3983,2))</f>
        <v/>
      </c>
      <c r="P3983" s="13">
        <f>IF(AND(A3983&lt;&gt;"",B3983&lt;&gt;""), A3983&amp;" · "&amp;B3983, "")</f>
        <v/>
      </c>
    </row>
    <row r="3984">
      <c r="A3984" s="6" t="inlineStr">
        <is>
          <t>FY27</t>
        </is>
      </c>
      <c r="B3984" s="6" t="inlineStr">
        <is>
          <t>Sep</t>
        </is>
      </c>
      <c r="C3984" s="6" t="inlineStr">
        <is>
          <t>TN</t>
        </is>
      </c>
      <c r="D3984" s="7" t="inlineStr">
        <is>
          <t>TN01AS8877</t>
        </is>
      </c>
      <c r="E3984" s="7" t="inlineStr">
        <is>
          <t>NISSAN</t>
        </is>
      </c>
      <c r="F3984" s="7" t="inlineStr">
        <is>
          <t>Sunny</t>
        </is>
      </c>
      <c r="G3984" s="7" t="inlineStr">
        <is>
          <t>CARS INDIA</t>
        </is>
      </c>
      <c r="H3984" s="7" t="inlineStr">
        <is>
          <t>Non-Captive</t>
        </is>
      </c>
      <c r="I3984" s="7" t="inlineStr">
        <is>
          <t>Grid 33</t>
        </is>
      </c>
      <c r="J3984" s="8" t="n">
        <v>2012</v>
      </c>
      <c r="K3984" s="9" t="n">
        <v>138371</v>
      </c>
      <c r="L3984" s="10" t="n">
        <v>93000</v>
      </c>
      <c r="M3984" s="10" t="n">
        <v>4237.29</v>
      </c>
      <c r="N3984" s="11">
        <f>IF(M3984="","",ROUND(M3984*1.18,2))</f>
        <v/>
      </c>
      <c r="O3984" s="12">
        <f>IF(M3984="","",ROUND(N3984-M3984,2))</f>
        <v/>
      </c>
      <c r="P3984" s="13">
        <f>IF(AND(A3984&lt;&gt;"",B3984&lt;&gt;""), A3984&amp;" · "&amp;B3984, "")</f>
        <v/>
      </c>
    </row>
    <row r="3985">
      <c r="A3985" s="6" t="inlineStr">
        <is>
          <t>FY27</t>
        </is>
      </c>
      <c r="B3985" s="6" t="inlineStr">
        <is>
          <t>Sep</t>
        </is>
      </c>
      <c r="C3985" s="6" t="inlineStr">
        <is>
          <t>TN</t>
        </is>
      </c>
      <c r="D3985" s="7" t="inlineStr">
        <is>
          <t>TN01AU2172</t>
        </is>
      </c>
      <c r="E3985" s="7" t="inlineStr">
        <is>
          <t>HONDA</t>
        </is>
      </c>
      <c r="F3985" s="7" t="inlineStr">
        <is>
          <t>Amaze</t>
        </is>
      </c>
      <c r="G3985" s="7" t="inlineStr">
        <is>
          <t>AIE CARS PRIVATE LIMITED</t>
        </is>
      </c>
      <c r="H3985" s="7" t="inlineStr">
        <is>
          <t>Non-Captive</t>
        </is>
      </c>
      <c r="I3985" s="7" t="inlineStr">
        <is>
          <t>AAA Cars</t>
        </is>
      </c>
      <c r="J3985" s="8" t="n">
        <v>2013</v>
      </c>
      <c r="K3985" s="9" t="n">
        <v>196109</v>
      </c>
      <c r="L3985" s="10" t="n">
        <v>99000</v>
      </c>
      <c r="M3985" s="10" t="n">
        <v>4237.29</v>
      </c>
      <c r="N3985" s="11">
        <f>IF(M3985="","",ROUND(M3985*1.18,2))</f>
        <v/>
      </c>
      <c r="O3985" s="12">
        <f>IF(M3985="","",ROUND(N3985-M3985,2))</f>
        <v/>
      </c>
      <c r="P3985" s="13">
        <f>IF(AND(A3985&lt;&gt;"",B3985&lt;&gt;""), A3985&amp;" · "&amp;B3985, "")</f>
        <v/>
      </c>
    </row>
    <row r="3986">
      <c r="A3986" s="6" t="inlineStr">
        <is>
          <t>FY27</t>
        </is>
      </c>
      <c r="B3986" s="6" t="inlineStr">
        <is>
          <t>Sep</t>
        </is>
      </c>
      <c r="C3986" s="6" t="inlineStr">
        <is>
          <t>TN</t>
        </is>
      </c>
      <c r="D3986" s="7" t="inlineStr">
        <is>
          <t>TN01AU2422</t>
        </is>
      </c>
      <c r="E3986" s="7" t="inlineStr">
        <is>
          <t>HONDA</t>
        </is>
      </c>
      <c r="F3986" s="7" t="inlineStr">
        <is>
          <t>Amaze</t>
        </is>
      </c>
      <c r="G3986" s="7" t="inlineStr">
        <is>
          <t>AIE CARS PRIVATE LIMITED</t>
        </is>
      </c>
      <c r="H3986" s="7" t="inlineStr">
        <is>
          <t>Non-Captive</t>
        </is>
      </c>
      <c r="I3986" s="7" t="inlineStr">
        <is>
          <t>Pine Autos</t>
        </is>
      </c>
      <c r="J3986" s="8" t="n">
        <v>2013</v>
      </c>
      <c r="K3986" s="9" t="n">
        <v>95582</v>
      </c>
      <c r="L3986" s="10" t="n">
        <v>97000</v>
      </c>
      <c r="M3986" s="10" t="n">
        <v>4237.29</v>
      </c>
      <c r="N3986" s="11">
        <f>IF(M3986="","",ROUND(M3986*1.18,2))</f>
        <v/>
      </c>
      <c r="O3986" s="12">
        <f>IF(M3986="","",ROUND(N3986-M3986,2))</f>
        <v/>
      </c>
      <c r="P3986" s="13">
        <f>IF(AND(A3986&lt;&gt;"",B3986&lt;&gt;""), A3986&amp;" · "&amp;B3986, "")</f>
        <v/>
      </c>
    </row>
    <row r="3987">
      <c r="A3987" s="6" t="inlineStr">
        <is>
          <t>FY27</t>
        </is>
      </c>
      <c r="B3987" s="6" t="inlineStr">
        <is>
          <t>Sep</t>
        </is>
      </c>
      <c r="C3987" s="6" t="inlineStr">
        <is>
          <t>TN</t>
        </is>
      </c>
      <c r="D3987" s="7" t="inlineStr">
        <is>
          <t>TN01AU7755</t>
        </is>
      </c>
      <c r="E3987" s="7" t="inlineStr">
        <is>
          <t>HONDA</t>
        </is>
      </c>
      <c r="F3987" s="7" t="inlineStr">
        <is>
          <t>Amaze</t>
        </is>
      </c>
      <c r="G3987" s="7" t="inlineStr">
        <is>
          <t>EXCHANGE CHENNAI</t>
        </is>
      </c>
      <c r="H3987" s="7" t="inlineStr">
        <is>
          <t>Captive</t>
        </is>
      </c>
      <c r="I3987" s="7" t="inlineStr">
        <is>
          <t>Santhosh Cars</t>
        </is>
      </c>
      <c r="J3987" s="8" t="n"/>
      <c r="K3987" s="9" t="n"/>
      <c r="L3987" s="10" t="n">
        <v>300000</v>
      </c>
      <c r="M3987" s="10" t="n">
        <v>8474.58</v>
      </c>
      <c r="N3987" s="11">
        <f>IF(M3987="","",ROUND(M3987*1.18,2))</f>
        <v/>
      </c>
      <c r="O3987" s="12">
        <f>IF(M3987="","",ROUND(N3987-M3987,2))</f>
        <v/>
      </c>
      <c r="P3987" s="13">
        <f>IF(AND(A3987&lt;&gt;"",B3987&lt;&gt;""), A3987&amp;" · "&amp;B3987, "")</f>
        <v/>
      </c>
    </row>
    <row r="3988">
      <c r="A3988" s="6" t="inlineStr">
        <is>
          <t>FY27</t>
        </is>
      </c>
      <c r="B3988" s="6" t="inlineStr">
        <is>
          <t>Sep</t>
        </is>
      </c>
      <c r="C3988" s="6" t="inlineStr">
        <is>
          <t>TN</t>
        </is>
      </c>
      <c r="D3988" s="7" t="inlineStr">
        <is>
          <t>TN01AV7410</t>
        </is>
      </c>
      <c r="E3988" s="7" t="inlineStr">
        <is>
          <t>HONDA</t>
        </is>
      </c>
      <c r="F3988" s="7" t="inlineStr">
        <is>
          <t>Amaze</t>
        </is>
      </c>
      <c r="G3988" s="7" t="inlineStr">
        <is>
          <t>EXCHANGE CHENNAI</t>
        </is>
      </c>
      <c r="H3988" s="7" t="inlineStr">
        <is>
          <t>Captive</t>
        </is>
      </c>
      <c r="I3988" s="7" t="inlineStr">
        <is>
          <t>Santhosh Cars</t>
        </is>
      </c>
      <c r="J3988" s="8" t="n"/>
      <c r="K3988" s="9" t="n"/>
      <c r="L3988" s="10" t="n">
        <v>230000</v>
      </c>
      <c r="M3988" s="10" t="n">
        <v>8474.58</v>
      </c>
      <c r="N3988" s="11">
        <f>IF(M3988="","",ROUND(M3988*1.18,2))</f>
        <v/>
      </c>
      <c r="O3988" s="12">
        <f>IF(M3988="","",ROUND(N3988-M3988,2))</f>
        <v/>
      </c>
      <c r="P3988" s="13">
        <f>IF(AND(A3988&lt;&gt;"",B3988&lt;&gt;""), A3988&amp;" · "&amp;B3988, "")</f>
        <v/>
      </c>
    </row>
    <row r="3989">
      <c r="A3989" s="6" t="inlineStr">
        <is>
          <t>FY27</t>
        </is>
      </c>
      <c r="B3989" s="6" t="inlineStr">
        <is>
          <t>Sep</t>
        </is>
      </c>
      <c r="C3989" s="6" t="inlineStr">
        <is>
          <t>TN</t>
        </is>
      </c>
      <c r="D3989" s="7" t="inlineStr">
        <is>
          <t>TN01BC5369</t>
        </is>
      </c>
      <c r="E3989" s="7" t="inlineStr">
        <is>
          <t>TATA</t>
        </is>
      </c>
      <c r="F3989" s="7" t="inlineStr">
        <is>
          <t>Tiago</t>
        </is>
      </c>
      <c r="G3989" s="7" t="inlineStr">
        <is>
          <t>EXCHANGE ROTN</t>
        </is>
      </c>
      <c r="H3989" s="7" t="inlineStr">
        <is>
          <t>Captive</t>
        </is>
      </c>
      <c r="I3989" s="7" t="inlineStr">
        <is>
          <t>&lt;NA&gt;</t>
        </is>
      </c>
      <c r="J3989" s="8" t="n">
        <v>2017</v>
      </c>
      <c r="K3989" s="9" t="n">
        <v>80258</v>
      </c>
      <c r="L3989" s="10" t="n">
        <v>250000</v>
      </c>
      <c r="M3989" s="10" t="n">
        <v>8474.58</v>
      </c>
      <c r="N3989" s="11">
        <f>IF(M3989="","",ROUND(M3989*1.18,2))</f>
        <v/>
      </c>
      <c r="O3989" s="12">
        <f>IF(M3989="","",ROUND(N3989-M3989,2))</f>
        <v/>
      </c>
      <c r="P3989" s="13">
        <f>IF(AND(A3989&lt;&gt;"",B3989&lt;&gt;""), A3989&amp;" · "&amp;B3989, "")</f>
        <v/>
      </c>
    </row>
    <row r="3990">
      <c r="A3990" s="6" t="inlineStr">
        <is>
          <t>FY27</t>
        </is>
      </c>
      <c r="B3990" s="6" t="inlineStr">
        <is>
          <t>Sep</t>
        </is>
      </c>
      <c r="C3990" s="6" t="inlineStr">
        <is>
          <t>TN</t>
        </is>
      </c>
      <c r="D3990" s="7" t="inlineStr">
        <is>
          <t>TN01BD0515</t>
        </is>
      </c>
      <c r="E3990" s="7" t="inlineStr">
        <is>
          <t>RENAULT</t>
        </is>
      </c>
      <c r="F3990" s="7" t="inlineStr">
        <is>
          <t>Kwid</t>
        </is>
      </c>
      <c r="G3990" s="7" t="inlineStr">
        <is>
          <t>CASTLE TRADERS MARUTI</t>
        </is>
      </c>
      <c r="H3990" s="7" t="inlineStr">
        <is>
          <t>Non-Captive</t>
        </is>
      </c>
      <c r="I3990" s="7" t="inlineStr">
        <is>
          <t>Senthil Cars</t>
        </is>
      </c>
      <c r="J3990" s="8" t="n">
        <v>2017</v>
      </c>
      <c r="K3990" s="9" t="n">
        <v>31961</v>
      </c>
      <c r="L3990" s="10" t="n">
        <v>140000</v>
      </c>
      <c r="M3990" s="10" t="n">
        <v>5084.75</v>
      </c>
      <c r="N3990" s="11">
        <f>IF(M3990="","",ROUND(M3990*1.18,2))</f>
        <v/>
      </c>
      <c r="O3990" s="12">
        <f>IF(M3990="","",ROUND(N3990-M3990,2))</f>
        <v/>
      </c>
      <c r="P3990" s="13">
        <f>IF(AND(A3990&lt;&gt;"",B3990&lt;&gt;""), A3990&amp;" · "&amp;B3990, "")</f>
        <v/>
      </c>
    </row>
    <row r="3991">
      <c r="A3991" s="6" t="inlineStr">
        <is>
          <t>FY27</t>
        </is>
      </c>
      <c r="B3991" s="6" t="inlineStr">
        <is>
          <t>Sep</t>
        </is>
      </c>
      <c r="C3991" s="6" t="inlineStr">
        <is>
          <t>TN</t>
        </is>
      </c>
      <c r="D3991" s="7" t="inlineStr">
        <is>
          <t>TN01BD4449</t>
        </is>
      </c>
      <c r="E3991" s="7" t="inlineStr">
        <is>
          <t>MAHINDRA</t>
        </is>
      </c>
      <c r="F3991" s="7" t="inlineStr">
        <is>
          <t>Bolero</t>
        </is>
      </c>
      <c r="G3991" s="7" t="inlineStr">
        <is>
          <t>TVS MOTOR LIMITED</t>
        </is>
      </c>
      <c r="H3991" s="7" t="inlineStr">
        <is>
          <t>Captive</t>
        </is>
      </c>
      <c r="I3991" s="7" t="inlineStr">
        <is>
          <t>Bhagavan Cars</t>
        </is>
      </c>
      <c r="J3991" s="8" t="n">
        <v>2017</v>
      </c>
      <c r="K3991" s="9" t="n">
        <v>160135</v>
      </c>
      <c r="L3991" s="10" t="n">
        <v>410000</v>
      </c>
      <c r="M3991" s="10" t="n">
        <v>8474.58</v>
      </c>
      <c r="N3991" s="11">
        <f>IF(M3991="","",ROUND(M3991*1.18,2))</f>
        <v/>
      </c>
      <c r="O3991" s="12">
        <f>IF(M3991="","",ROUND(N3991-M3991,2))</f>
        <v/>
      </c>
      <c r="P3991" s="13">
        <f>IF(AND(A3991&lt;&gt;"",B3991&lt;&gt;""), A3991&amp;" · "&amp;B3991, "")</f>
        <v/>
      </c>
    </row>
    <row r="3992">
      <c r="A3992" s="6" t="inlineStr">
        <is>
          <t>FY27</t>
        </is>
      </c>
      <c r="B3992" s="6" t="inlineStr">
        <is>
          <t>Sep</t>
        </is>
      </c>
      <c r="C3992" s="6" t="inlineStr">
        <is>
          <t>TN</t>
        </is>
      </c>
      <c r="D3992" s="7" t="inlineStr">
        <is>
          <t>TN01BF1113</t>
        </is>
      </c>
      <c r="E3992" s="7" t="inlineStr">
        <is>
          <t>HONDA</t>
        </is>
      </c>
      <c r="F3992" s="7" t="inlineStr">
        <is>
          <t>Amaze</t>
        </is>
      </c>
      <c r="G3992" s="7" t="inlineStr">
        <is>
          <t>CASTLE TRADERS HONDA</t>
        </is>
      </c>
      <c r="H3992" s="7" t="inlineStr">
        <is>
          <t>Non-Captive</t>
        </is>
      </c>
      <c r="I3992" s="7" t="inlineStr">
        <is>
          <t>Cars24</t>
        </is>
      </c>
      <c r="J3992" s="8" t="n">
        <v>2018</v>
      </c>
      <c r="K3992" s="9" t="n">
        <v>78534</v>
      </c>
      <c r="L3992" s="10" t="n">
        <v>392454</v>
      </c>
      <c r="M3992" s="10" t="n">
        <v>6355.93</v>
      </c>
      <c r="N3992" s="11">
        <f>IF(M3992="","",ROUND(M3992*1.18,2))</f>
        <v/>
      </c>
      <c r="O3992" s="12">
        <f>IF(M3992="","",ROUND(N3992-M3992,2))</f>
        <v/>
      </c>
      <c r="P3992" s="13">
        <f>IF(AND(A3992&lt;&gt;"",B3992&lt;&gt;""), A3992&amp;" · "&amp;B3992, "")</f>
        <v/>
      </c>
    </row>
    <row r="3993">
      <c r="A3993" s="6" t="inlineStr">
        <is>
          <t>FY27</t>
        </is>
      </c>
      <c r="B3993" s="6" t="inlineStr">
        <is>
          <t>Sep</t>
        </is>
      </c>
      <c r="C3993" s="6" t="inlineStr">
        <is>
          <t>TN</t>
        </is>
      </c>
      <c r="D3993" s="7" t="inlineStr">
        <is>
          <t>TN01BM3269</t>
        </is>
      </c>
      <c r="E3993" s="7" t="inlineStr">
        <is>
          <t>HONDA</t>
        </is>
      </c>
      <c r="F3993" s="7" t="inlineStr">
        <is>
          <t>City</t>
        </is>
      </c>
      <c r="G3993" s="7" t="inlineStr">
        <is>
          <t>EXCHANGE CHENNAI</t>
        </is>
      </c>
      <c r="H3993" s="7" t="inlineStr">
        <is>
          <t>Captive</t>
        </is>
      </c>
      <c r="I3993" s="7" t="inlineStr">
        <is>
          <t>Santhosh Cars</t>
        </is>
      </c>
      <c r="J3993" s="8" t="n">
        <v>2021</v>
      </c>
      <c r="K3993" s="9" t="n">
        <v>53899</v>
      </c>
      <c r="L3993" s="10" t="n">
        <v>850000</v>
      </c>
      <c r="M3993" s="10" t="n">
        <v>8474.58</v>
      </c>
      <c r="N3993" s="11">
        <f>IF(M3993="","",ROUND(M3993*1.18,2))</f>
        <v/>
      </c>
      <c r="O3993" s="12">
        <f>IF(M3993="","",ROUND(N3993-M3993,2))</f>
        <v/>
      </c>
      <c r="P3993" s="13">
        <f>IF(AND(A3993&lt;&gt;"",B3993&lt;&gt;""), A3993&amp;" · "&amp;B3993, "")</f>
        <v/>
      </c>
    </row>
    <row r="3994">
      <c r="A3994" s="6" t="inlineStr">
        <is>
          <t>FY27</t>
        </is>
      </c>
      <c r="B3994" s="6" t="inlineStr">
        <is>
          <t>Sep</t>
        </is>
      </c>
      <c r="C3994" s="6" t="inlineStr">
        <is>
          <t>TN</t>
        </is>
      </c>
      <c r="D3994" s="7" t="inlineStr">
        <is>
          <t>TN01W7331</t>
        </is>
      </c>
      <c r="E3994" s="7" t="inlineStr">
        <is>
          <t>HONDA</t>
        </is>
      </c>
      <c r="F3994" s="7" t="inlineStr">
        <is>
          <t>Accord</t>
        </is>
      </c>
      <c r="G3994" s="7" t="inlineStr">
        <is>
          <t>AIE CARS PRIVATE LIMITED</t>
        </is>
      </c>
      <c r="H3994" s="7" t="inlineStr">
        <is>
          <t>Non-Captive</t>
        </is>
      </c>
      <c r="I3994" s="7" t="inlineStr">
        <is>
          <t>VS Enterprises</t>
        </is>
      </c>
      <c r="J3994" s="8" t="n">
        <v>2003</v>
      </c>
      <c r="K3994" s="9" t="n">
        <v>48932</v>
      </c>
      <c r="L3994" s="10" t="n">
        <v>87000</v>
      </c>
      <c r="M3994" s="10" t="n">
        <v>4237.29</v>
      </c>
      <c r="N3994" s="11">
        <f>IF(M3994="","",ROUND(M3994*1.18,2))</f>
        <v/>
      </c>
      <c r="O3994" s="12">
        <f>IF(M3994="","",ROUND(N3994-M3994,2))</f>
        <v/>
      </c>
      <c r="P3994" s="13">
        <f>IF(AND(A3994&lt;&gt;"",B3994&lt;&gt;""), A3994&amp;" · "&amp;B3994, "")</f>
        <v/>
      </c>
    </row>
    <row r="3995">
      <c r="A3995" s="6" t="inlineStr">
        <is>
          <t>FY27</t>
        </is>
      </c>
      <c r="B3995" s="6" t="inlineStr">
        <is>
          <t>Sep</t>
        </is>
      </c>
      <c r="C3995" s="6" t="inlineStr">
        <is>
          <t>TN</t>
        </is>
      </c>
      <c r="D3995" s="7" t="inlineStr">
        <is>
          <t>TN01Z4579</t>
        </is>
      </c>
      <c r="E3995" s="7" t="inlineStr">
        <is>
          <t>MARUTI SUZUKI</t>
        </is>
      </c>
      <c r="F3995" s="7" t="inlineStr">
        <is>
          <t>Wagon R</t>
        </is>
      </c>
      <c r="G3995" s="7" t="inlineStr">
        <is>
          <t>CASTLE TRADERS MARUTI</t>
        </is>
      </c>
      <c r="H3995" s="7" t="inlineStr">
        <is>
          <t>Non-Captive</t>
        </is>
      </c>
      <c r="I3995" s="7" t="inlineStr">
        <is>
          <t>Grid 33</t>
        </is>
      </c>
      <c r="J3995" s="8" t="n">
        <v>2005</v>
      </c>
      <c r="K3995" s="9" t="n">
        <v>13393</v>
      </c>
      <c r="L3995" s="10" t="n">
        <v>10000</v>
      </c>
      <c r="M3995" s="10" t="n">
        <v>4237.4</v>
      </c>
      <c r="N3995" s="11">
        <f>IF(M3995="","",ROUND(M3995*1.18,2))</f>
        <v/>
      </c>
      <c r="O3995" s="12">
        <f>IF(M3995="","",ROUND(N3995-M3995,2))</f>
        <v/>
      </c>
      <c r="P3995" s="13">
        <f>IF(AND(A3995&lt;&gt;"",B3995&lt;&gt;""), A3995&amp;" · "&amp;B3995, "")</f>
        <v/>
      </c>
    </row>
    <row r="3996">
      <c r="A3996" s="6" t="inlineStr">
        <is>
          <t>FY27</t>
        </is>
      </c>
      <c r="B3996" s="6" t="inlineStr">
        <is>
          <t>Sep</t>
        </is>
      </c>
      <c r="C3996" s="6" t="inlineStr">
        <is>
          <t>TN</t>
        </is>
      </c>
      <c r="D3996" s="7" t="inlineStr">
        <is>
          <t>TN02AA3767</t>
        </is>
      </c>
      <c r="E3996" s="7" t="inlineStr">
        <is>
          <t>HONDA</t>
        </is>
      </c>
      <c r="F3996" s="7" t="inlineStr">
        <is>
          <t>Civic</t>
        </is>
      </c>
      <c r="G3996" s="7" t="inlineStr">
        <is>
          <t>CRESCO CARS</t>
        </is>
      </c>
      <c r="H3996" s="7" t="inlineStr">
        <is>
          <t>Non-Captive</t>
        </is>
      </c>
      <c r="I3996" s="7" t="inlineStr">
        <is>
          <t>S2 MOTORZ</t>
        </is>
      </c>
      <c r="J3996" s="8" t="n">
        <v>2007</v>
      </c>
      <c r="K3996" s="9" t="n">
        <v>149917</v>
      </c>
      <c r="L3996" s="10" t="n">
        <v>96000</v>
      </c>
      <c r="M3996" s="10" t="n">
        <v>4237.29</v>
      </c>
      <c r="N3996" s="11">
        <f>IF(M3996="","",ROUND(M3996*1.18,2))</f>
        <v/>
      </c>
      <c r="O3996" s="12">
        <f>IF(M3996="","",ROUND(N3996-M3996,2))</f>
        <v/>
      </c>
      <c r="P3996" s="13">
        <f>IF(AND(A3996&lt;&gt;"",B3996&lt;&gt;""), A3996&amp;" · "&amp;B3996, "")</f>
        <v/>
      </c>
    </row>
    <row r="3997">
      <c r="A3997" s="6" t="inlineStr">
        <is>
          <t>FY27</t>
        </is>
      </c>
      <c r="B3997" s="6" t="inlineStr">
        <is>
          <t>Sep</t>
        </is>
      </c>
      <c r="C3997" s="6" t="inlineStr">
        <is>
          <t>TN</t>
        </is>
      </c>
      <c r="D3997" s="7" t="inlineStr">
        <is>
          <t>TN02AC7401</t>
        </is>
      </c>
      <c r="E3997" s="7" t="inlineStr">
        <is>
          <t>MARUTI SUZUKI</t>
        </is>
      </c>
      <c r="F3997" s="7" t="inlineStr">
        <is>
          <t>SX4</t>
        </is>
      </c>
      <c r="G3997" s="7" t="inlineStr">
        <is>
          <t>FPL AUTOMOBILES PRIVATE LIMITED</t>
        </is>
      </c>
      <c r="H3997" s="7" t="inlineStr">
        <is>
          <t>Non-Captive</t>
        </is>
      </c>
      <c r="I3997" s="7" t="inlineStr">
        <is>
          <t>Emarald Cars</t>
        </is>
      </c>
      <c r="J3997" s="8" t="n">
        <v>2007</v>
      </c>
      <c r="K3997" s="9" t="n">
        <v>100776</v>
      </c>
      <c r="L3997" s="10" t="n">
        <v>99000</v>
      </c>
      <c r="M3997" s="10" t="n">
        <v>4237.29</v>
      </c>
      <c r="N3997" s="11">
        <f>IF(M3997="","",ROUND(M3997*1.18,2))</f>
        <v/>
      </c>
      <c r="O3997" s="12">
        <f>IF(M3997="","",ROUND(N3997-M3997,2))</f>
        <v/>
      </c>
      <c r="P3997" s="13">
        <f>IF(AND(A3997&lt;&gt;"",B3997&lt;&gt;""), A3997&amp;" · "&amp;B3997, "")</f>
        <v/>
      </c>
    </row>
    <row r="3998">
      <c r="A3998" s="6" t="inlineStr">
        <is>
          <t>FY27</t>
        </is>
      </c>
      <c r="B3998" s="6" t="inlineStr">
        <is>
          <t>Sep</t>
        </is>
      </c>
      <c r="C3998" s="6" t="inlineStr">
        <is>
          <t>TN</t>
        </is>
      </c>
      <c r="D3998" s="7" t="inlineStr">
        <is>
          <t>TN02AH2050</t>
        </is>
      </c>
      <c r="E3998" s="7" t="inlineStr">
        <is>
          <t>MAHINDRA</t>
        </is>
      </c>
      <c r="F3998" s="7" t="inlineStr">
        <is>
          <t>Scorpio</t>
        </is>
      </c>
      <c r="G3998" s="7" t="inlineStr">
        <is>
          <t>ABT LIMITED</t>
        </is>
      </c>
      <c r="H3998" s="7" t="inlineStr">
        <is>
          <t>Non-Captive</t>
        </is>
      </c>
      <c r="I3998" s="7" t="inlineStr">
        <is>
          <t>RAM Manohar</t>
        </is>
      </c>
      <c r="J3998" s="8" t="n">
        <v>2009</v>
      </c>
      <c r="K3998" s="9" t="n">
        <v>150143</v>
      </c>
      <c r="L3998" s="10" t="n">
        <v>175000</v>
      </c>
      <c r="M3998" s="10" t="n">
        <v>2542.37</v>
      </c>
      <c r="N3998" s="11">
        <f>IF(M3998="","",ROUND(M3998*1.18,2))</f>
        <v/>
      </c>
      <c r="O3998" s="12">
        <f>IF(M3998="","",ROUND(N3998-M3998,2))</f>
        <v/>
      </c>
      <c r="P3998" s="13">
        <f>IF(AND(A3998&lt;&gt;"",B3998&lt;&gt;""), A3998&amp;" · "&amp;B3998, "")</f>
        <v/>
      </c>
    </row>
    <row r="3999">
      <c r="A3999" s="6" t="inlineStr">
        <is>
          <t>FY27</t>
        </is>
      </c>
      <c r="B3999" s="6" t="inlineStr">
        <is>
          <t>Sep</t>
        </is>
      </c>
      <c r="C3999" s="6" t="inlineStr">
        <is>
          <t>TN</t>
        </is>
      </c>
      <c r="D3999" s="7" t="inlineStr">
        <is>
          <t>TN02AK5555</t>
        </is>
      </c>
      <c r="E3999" s="7" t="inlineStr">
        <is>
          <t>MARUTI SUZUKI</t>
        </is>
      </c>
      <c r="F3999" s="7" t="inlineStr">
        <is>
          <t>Zen</t>
        </is>
      </c>
      <c r="G3999" s="7" t="inlineStr">
        <is>
          <t>AIE CARS PRIVATE LIMITED</t>
        </is>
      </c>
      <c r="H3999" s="7" t="inlineStr">
        <is>
          <t>Non-Captive</t>
        </is>
      </c>
      <c r="I3999" s="7" t="inlineStr">
        <is>
          <t>VS Enterprises</t>
        </is>
      </c>
      <c r="J3999" s="8" t="n">
        <v>2007</v>
      </c>
      <c r="K3999" s="9" t="n">
        <v>242477</v>
      </c>
      <c r="L3999" s="10" t="n">
        <v>96000</v>
      </c>
      <c r="M3999" s="10" t="n">
        <v>4237.29</v>
      </c>
      <c r="N3999" s="11">
        <f>IF(M3999="","",ROUND(M3999*1.18,2))</f>
        <v/>
      </c>
      <c r="O3999" s="12">
        <f>IF(M3999="","",ROUND(N3999-M3999,2))</f>
        <v/>
      </c>
      <c r="P3999" s="13">
        <f>IF(AND(A3999&lt;&gt;"",B3999&lt;&gt;""), A3999&amp;" · "&amp;B3999, "")</f>
        <v/>
      </c>
    </row>
    <row r="4000">
      <c r="A4000" s="6" t="inlineStr">
        <is>
          <t>FY27</t>
        </is>
      </c>
      <c r="B4000" s="6" t="inlineStr">
        <is>
          <t>Sep</t>
        </is>
      </c>
      <c r="C4000" s="6" t="inlineStr">
        <is>
          <t>TN</t>
        </is>
      </c>
      <c r="D4000" s="7" t="inlineStr">
        <is>
          <t>TN02AT0621</t>
        </is>
      </c>
      <c r="E4000" s="7" t="inlineStr">
        <is>
          <t>FORD</t>
        </is>
      </c>
      <c r="F4000" s="7" t="inlineStr">
        <is>
          <t>Figo</t>
        </is>
      </c>
      <c r="G4000" s="7" t="inlineStr">
        <is>
          <t>VISHNU CARS PRIVATE LIMITED</t>
        </is>
      </c>
      <c r="H4000" s="7" t="inlineStr">
        <is>
          <t>Non-Captive</t>
        </is>
      </c>
      <c r="I4000" s="7" t="inlineStr">
        <is>
          <t>Santhosh Cars</t>
        </is>
      </c>
      <c r="J4000" s="8" t="n">
        <v>2011</v>
      </c>
      <c r="K4000" s="9" t="n">
        <v>42892</v>
      </c>
      <c r="L4000" s="10" t="n">
        <v>87000</v>
      </c>
      <c r="M4000" s="10" t="n">
        <v>4237.29</v>
      </c>
      <c r="N4000" s="11">
        <f>IF(M4000="","",ROUND(M4000*1.18,2))</f>
        <v/>
      </c>
      <c r="O4000" s="12">
        <f>IF(M4000="","",ROUND(N4000-M4000,2))</f>
        <v/>
      </c>
      <c r="P4000" s="13">
        <f>IF(AND(A4000&lt;&gt;"",B4000&lt;&gt;""), A4000&amp;" · "&amp;B4000, "")</f>
        <v/>
      </c>
    </row>
    <row r="4001">
      <c r="A4001" s="6" t="inlineStr">
        <is>
          <t>FY27</t>
        </is>
      </c>
      <c r="B4001" s="6" t="inlineStr">
        <is>
          <t>Sep</t>
        </is>
      </c>
      <c r="C4001" s="6" t="inlineStr">
        <is>
          <t>TN</t>
        </is>
      </c>
      <c r="D4001" s="7" t="inlineStr">
        <is>
          <t>TN02AT9357</t>
        </is>
      </c>
      <c r="E4001" s="7" t="inlineStr">
        <is>
          <t>HONDA</t>
        </is>
      </c>
      <c r="F4001" s="7" t="inlineStr">
        <is>
          <t>City</t>
        </is>
      </c>
      <c r="G4001" s="7" t="inlineStr">
        <is>
          <t>AIE CARS PRIVATE LIMITED</t>
        </is>
      </c>
      <c r="H4001" s="7" t="inlineStr">
        <is>
          <t>Non-Captive</t>
        </is>
      </c>
      <c r="I4001" s="7" t="inlineStr">
        <is>
          <t>AAA Cars</t>
        </is>
      </c>
      <c r="J4001" s="8" t="n">
        <v>2012</v>
      </c>
      <c r="K4001" s="9" t="n"/>
      <c r="L4001" s="10" t="n">
        <v>94000</v>
      </c>
      <c r="M4001" s="10" t="n">
        <v>4237.29</v>
      </c>
      <c r="N4001" s="11">
        <f>IF(M4001="","",ROUND(M4001*1.18,2))</f>
        <v/>
      </c>
      <c r="O4001" s="12">
        <f>IF(M4001="","",ROUND(N4001-M4001,2))</f>
        <v/>
      </c>
      <c r="P4001" s="13">
        <f>IF(AND(A4001&lt;&gt;"",B4001&lt;&gt;""), A4001&amp;" · "&amp;B4001, "")</f>
        <v/>
      </c>
    </row>
    <row r="4002">
      <c r="A4002" s="6" t="inlineStr">
        <is>
          <t>FY27</t>
        </is>
      </c>
      <c r="B4002" s="6" t="inlineStr">
        <is>
          <t>Sep</t>
        </is>
      </c>
      <c r="C4002" s="6" t="inlineStr">
        <is>
          <t>TN</t>
        </is>
      </c>
      <c r="D4002" s="7" t="inlineStr">
        <is>
          <t>TN02AW8995</t>
        </is>
      </c>
      <c r="E4002" s="7" t="inlineStr">
        <is>
          <t>NISSAN</t>
        </is>
      </c>
      <c r="F4002" s="7" t="inlineStr">
        <is>
          <t>Micra</t>
        </is>
      </c>
      <c r="G4002" s="7" t="inlineStr">
        <is>
          <t>STEER AUTO TECHNOLOGIES PRIVATE LIMITED</t>
        </is>
      </c>
      <c r="H4002" s="7" t="inlineStr">
        <is>
          <t>Non-Captive</t>
        </is>
      </c>
      <c r="I4002" s="7" t="inlineStr">
        <is>
          <t>Maruthi Industries</t>
        </is>
      </c>
      <c r="J4002" s="8" t="n">
        <v>2013</v>
      </c>
      <c r="K4002" s="9" t="n">
        <v>46988</v>
      </c>
      <c r="L4002" s="10" t="n">
        <v>99000</v>
      </c>
      <c r="M4002" s="10" t="n">
        <v>4237.29</v>
      </c>
      <c r="N4002" s="11">
        <f>IF(M4002="","",ROUND(M4002*1.18,2))</f>
        <v/>
      </c>
      <c r="O4002" s="12">
        <f>IF(M4002="","",ROUND(N4002-M4002,2))</f>
        <v/>
      </c>
      <c r="P4002" s="13">
        <f>IF(AND(A4002&lt;&gt;"",B4002&lt;&gt;""), A4002&amp;" · "&amp;B4002, "")</f>
        <v/>
      </c>
    </row>
    <row r="4003">
      <c r="A4003" s="6" t="inlineStr">
        <is>
          <t>FY27</t>
        </is>
      </c>
      <c r="B4003" s="6" t="inlineStr">
        <is>
          <t>Sep</t>
        </is>
      </c>
      <c r="C4003" s="6" t="inlineStr">
        <is>
          <t>TN</t>
        </is>
      </c>
      <c r="D4003" s="7" t="inlineStr">
        <is>
          <t>TN02AX9115</t>
        </is>
      </c>
      <c r="E4003" s="7" t="inlineStr">
        <is>
          <t>MARUTI SUZUKI</t>
        </is>
      </c>
      <c r="F4003" s="7" t="inlineStr">
        <is>
          <t>Eeco</t>
        </is>
      </c>
      <c r="G4003" s="7" t="inlineStr">
        <is>
          <t>CASTLE TRADERS MARUTI</t>
        </is>
      </c>
      <c r="H4003" s="7" t="inlineStr">
        <is>
          <t>Non-Captive</t>
        </is>
      </c>
      <c r="I4003" s="7" t="inlineStr">
        <is>
          <t>AAA Cars</t>
        </is>
      </c>
      <c r="J4003" s="8" t="n">
        <v>2013</v>
      </c>
      <c r="K4003" s="9" t="n">
        <v>83424</v>
      </c>
      <c r="L4003" s="10" t="n">
        <v>200000</v>
      </c>
      <c r="M4003" s="10" t="n">
        <v>5084.8</v>
      </c>
      <c r="N4003" s="11">
        <f>IF(M4003="","",ROUND(M4003*1.18,2))</f>
        <v/>
      </c>
      <c r="O4003" s="12">
        <f>IF(M4003="","",ROUND(N4003-M4003,2))</f>
        <v/>
      </c>
      <c r="P4003" s="13">
        <f>IF(AND(A4003&lt;&gt;"",B4003&lt;&gt;""), A4003&amp;" · "&amp;B4003, "")</f>
        <v/>
      </c>
    </row>
    <row r="4004">
      <c r="A4004" s="6" t="inlineStr">
        <is>
          <t>FY27</t>
        </is>
      </c>
      <c r="B4004" s="6" t="inlineStr">
        <is>
          <t>Sep</t>
        </is>
      </c>
      <c r="C4004" s="6" t="inlineStr">
        <is>
          <t>TN</t>
        </is>
      </c>
      <c r="D4004" s="7" t="inlineStr">
        <is>
          <t>TN02AX9378</t>
        </is>
      </c>
      <c r="E4004" s="7" t="inlineStr">
        <is>
          <t>MARUTI SUZUKI</t>
        </is>
      </c>
      <c r="F4004" s="7" t="inlineStr">
        <is>
          <t>Ertiga</t>
        </is>
      </c>
      <c r="G4004" s="7" t="inlineStr">
        <is>
          <t>CASTLE TRADERS MARUTI</t>
        </is>
      </c>
      <c r="H4004" s="7" t="inlineStr">
        <is>
          <t>Non-Captive</t>
        </is>
      </c>
      <c r="I4004" s="7" t="inlineStr">
        <is>
          <t>Kamal Cars</t>
        </is>
      </c>
      <c r="J4004" s="8" t="n">
        <v>2013</v>
      </c>
      <c r="K4004" s="9" t="n">
        <v>106247</v>
      </c>
      <c r="L4004" s="10" t="n">
        <v>454000</v>
      </c>
      <c r="M4004" s="10" t="n">
        <v>7627.2</v>
      </c>
      <c r="N4004" s="11">
        <f>IF(M4004="","",ROUND(M4004*1.18,2))</f>
        <v/>
      </c>
      <c r="O4004" s="12">
        <f>IF(M4004="","",ROUND(N4004-M4004,2))</f>
        <v/>
      </c>
      <c r="P4004" s="13">
        <f>IF(AND(A4004&lt;&gt;"",B4004&lt;&gt;""), A4004&amp;" · "&amp;B4004, "")</f>
        <v/>
      </c>
    </row>
    <row r="4005">
      <c r="A4005" s="6" t="inlineStr">
        <is>
          <t>FY27</t>
        </is>
      </c>
      <c r="B4005" s="6" t="inlineStr">
        <is>
          <t>Sep</t>
        </is>
      </c>
      <c r="C4005" s="6" t="inlineStr">
        <is>
          <t>TN</t>
        </is>
      </c>
      <c r="D4005" s="7" t="inlineStr">
        <is>
          <t>TN02AY8692</t>
        </is>
      </c>
      <c r="E4005" s="7" t="inlineStr">
        <is>
          <t>TOYOTA</t>
        </is>
      </c>
      <c r="F4005" s="7" t="inlineStr">
        <is>
          <t>Etios</t>
        </is>
      </c>
      <c r="G4005" s="7" t="inlineStr">
        <is>
          <t>VISHNU CARS PRIVATE LIMITED</t>
        </is>
      </c>
      <c r="H4005" s="7" t="inlineStr">
        <is>
          <t>Non-Captive</t>
        </is>
      </c>
      <c r="I4005" s="7" t="inlineStr">
        <is>
          <t>Santhosh Cars</t>
        </is>
      </c>
      <c r="J4005" s="8" t="n">
        <v>2014</v>
      </c>
      <c r="K4005" s="9" t="n">
        <v>144664</v>
      </c>
      <c r="L4005" s="10" t="n">
        <v>98000</v>
      </c>
      <c r="M4005" s="10" t="n">
        <v>4237.29</v>
      </c>
      <c r="N4005" s="11">
        <f>IF(M4005="","",ROUND(M4005*1.18,2))</f>
        <v/>
      </c>
      <c r="O4005" s="12">
        <f>IF(M4005="","",ROUND(N4005-M4005,2))</f>
        <v/>
      </c>
      <c r="P4005" s="13">
        <f>IF(AND(A4005&lt;&gt;"",B4005&lt;&gt;""), A4005&amp;" · "&amp;B4005, "")</f>
        <v/>
      </c>
    </row>
    <row r="4006">
      <c r="A4006" s="6" t="inlineStr">
        <is>
          <t>FY27</t>
        </is>
      </c>
      <c r="B4006" s="6" t="inlineStr">
        <is>
          <t>Sep</t>
        </is>
      </c>
      <c r="C4006" s="6" t="inlineStr">
        <is>
          <t>TN</t>
        </is>
      </c>
      <c r="D4006" s="7" t="inlineStr">
        <is>
          <t>TN02BA2180</t>
        </is>
      </c>
      <c r="E4006" s="7" t="inlineStr">
        <is>
          <t>MARUTI SUZUKI</t>
        </is>
      </c>
      <c r="F4006" s="7" t="inlineStr">
        <is>
          <t>Swift</t>
        </is>
      </c>
      <c r="G4006" s="7" t="inlineStr">
        <is>
          <t>EXCHANGE CHENNAI</t>
        </is>
      </c>
      <c r="H4006" s="7" t="inlineStr">
        <is>
          <t>Captive</t>
        </is>
      </c>
      <c r="I4006" s="7" t="inlineStr">
        <is>
          <t>Santhosh Cars</t>
        </is>
      </c>
      <c r="J4006" s="8" t="n">
        <v>2014</v>
      </c>
      <c r="K4006" s="9" t="n">
        <v>70842</v>
      </c>
      <c r="L4006" s="10" t="n">
        <v>290000</v>
      </c>
      <c r="M4006" s="10" t="n">
        <v>8474.58</v>
      </c>
      <c r="N4006" s="11">
        <f>IF(M4006="","",ROUND(M4006*1.18,2))</f>
        <v/>
      </c>
      <c r="O4006" s="12">
        <f>IF(M4006="","",ROUND(N4006-M4006,2))</f>
        <v/>
      </c>
      <c r="P4006" s="13">
        <f>IF(AND(A4006&lt;&gt;"",B4006&lt;&gt;""), A4006&amp;" · "&amp;B4006, "")</f>
        <v/>
      </c>
    </row>
    <row r="4007">
      <c r="A4007" s="6" t="inlineStr">
        <is>
          <t>FY27</t>
        </is>
      </c>
      <c r="B4007" s="6" t="inlineStr">
        <is>
          <t>Sep</t>
        </is>
      </c>
      <c r="C4007" s="6" t="inlineStr">
        <is>
          <t>TN</t>
        </is>
      </c>
      <c r="D4007" s="7" t="inlineStr">
        <is>
          <t>TN02BE3090</t>
        </is>
      </c>
      <c r="E4007" s="7" t="inlineStr">
        <is>
          <t>HYUNDAI</t>
        </is>
      </c>
      <c r="F4007" s="7" t="inlineStr">
        <is>
          <t>Grand i10</t>
        </is>
      </c>
      <c r="G4007" s="7" t="inlineStr">
        <is>
          <t>RAJALAKSHMI CARS</t>
        </is>
      </c>
      <c r="H4007" s="7" t="inlineStr">
        <is>
          <t>Non-Captive</t>
        </is>
      </c>
      <c r="I4007" s="7" t="inlineStr">
        <is>
          <t>Santhosh Cars</t>
        </is>
      </c>
      <c r="J4007" s="8" t="n">
        <v>2016</v>
      </c>
      <c r="K4007" s="9" t="n">
        <v>32600</v>
      </c>
      <c r="L4007" s="10" t="n">
        <v>96000</v>
      </c>
      <c r="M4007" s="10" t="n">
        <v>3813.56</v>
      </c>
      <c r="N4007" s="11">
        <f>IF(M4007="","",ROUND(M4007*1.18,2))</f>
        <v/>
      </c>
      <c r="O4007" s="12">
        <f>IF(M4007="","",ROUND(N4007-M4007,2))</f>
        <v/>
      </c>
      <c r="P4007" s="13">
        <f>IF(AND(A4007&lt;&gt;"",B4007&lt;&gt;""), A4007&amp;" · "&amp;B4007, "")</f>
        <v/>
      </c>
    </row>
    <row r="4008">
      <c r="A4008" s="6" t="inlineStr">
        <is>
          <t>FY27</t>
        </is>
      </c>
      <c r="B4008" s="6" t="inlineStr">
        <is>
          <t>Sep</t>
        </is>
      </c>
      <c r="C4008" s="6" t="inlineStr">
        <is>
          <t>TN</t>
        </is>
      </c>
      <c r="D4008" s="7" t="inlineStr">
        <is>
          <t>TN02W4711</t>
        </is>
      </c>
      <c r="E4008" s="7" t="inlineStr">
        <is>
          <t>HONDA</t>
        </is>
      </c>
      <c r="F4008" s="7" t="inlineStr">
        <is>
          <t>City</t>
        </is>
      </c>
      <c r="G4008" s="7" t="inlineStr">
        <is>
          <t>VISHNU CARS PRIVATE LIMITED</t>
        </is>
      </c>
      <c r="H4008" s="7" t="inlineStr">
        <is>
          <t>Non-Captive</t>
        </is>
      </c>
      <c r="I4008" s="7" t="inlineStr">
        <is>
          <t>Santhosh Cars</t>
        </is>
      </c>
      <c r="J4008" s="8" t="n">
        <v>2006</v>
      </c>
      <c r="K4008" s="9" t="n">
        <v>59938</v>
      </c>
      <c r="L4008" s="10" t="n">
        <v>94000</v>
      </c>
      <c r="M4008" s="10" t="n">
        <v>4237.29</v>
      </c>
      <c r="N4008" s="11">
        <f>IF(M4008="","",ROUND(M4008*1.18,2))</f>
        <v/>
      </c>
      <c r="O4008" s="12">
        <f>IF(M4008="","",ROUND(N4008-M4008,2))</f>
        <v/>
      </c>
      <c r="P4008" s="13">
        <f>IF(AND(A4008&lt;&gt;"",B4008&lt;&gt;""), A4008&amp;" · "&amp;B4008, "")</f>
        <v/>
      </c>
    </row>
    <row r="4009">
      <c r="A4009" s="6" t="inlineStr">
        <is>
          <t>FY27</t>
        </is>
      </c>
      <c r="B4009" s="6" t="inlineStr">
        <is>
          <t>Sep</t>
        </is>
      </c>
      <c r="C4009" s="6" t="inlineStr">
        <is>
          <t>TN</t>
        </is>
      </c>
      <c r="D4009" s="7" t="inlineStr">
        <is>
          <t>TN02Y8737</t>
        </is>
      </c>
      <c r="E4009" s="7" t="inlineStr">
        <is>
          <t>FORD</t>
        </is>
      </c>
      <c r="F4009" s="7" t="inlineStr">
        <is>
          <t>Fiesta</t>
        </is>
      </c>
      <c r="G4009" s="7" t="inlineStr">
        <is>
          <t>EXCHANGE ROTN</t>
        </is>
      </c>
      <c r="H4009" s="7" t="inlineStr">
        <is>
          <t>Captive</t>
        </is>
      </c>
      <c r="I4009" s="7" t="inlineStr">
        <is>
          <t>&lt;NA&gt;</t>
        </is>
      </c>
      <c r="J4009" s="8" t="n">
        <v>2006</v>
      </c>
      <c r="K4009" s="9" t="n">
        <v>146028</v>
      </c>
      <c r="L4009" s="10" t="n">
        <v>50000</v>
      </c>
      <c r="M4009" s="10" t="n">
        <v>4237.29</v>
      </c>
      <c r="N4009" s="11">
        <f>IF(M4009="","",ROUND(M4009*1.18,2))</f>
        <v/>
      </c>
      <c r="O4009" s="12">
        <f>IF(M4009="","",ROUND(N4009-M4009,2))</f>
        <v/>
      </c>
      <c r="P4009" s="13">
        <f>IF(AND(A4009&lt;&gt;"",B4009&lt;&gt;""), A4009&amp;" · "&amp;B4009, "")</f>
        <v/>
      </c>
    </row>
    <row r="4010">
      <c r="A4010" s="6" t="inlineStr">
        <is>
          <t>FY27</t>
        </is>
      </c>
      <c r="B4010" s="6" t="inlineStr">
        <is>
          <t>Sep</t>
        </is>
      </c>
      <c r="C4010" s="6" t="inlineStr">
        <is>
          <t>TN</t>
        </is>
      </c>
      <c r="D4010" s="7" t="inlineStr">
        <is>
          <t>TN03J2781</t>
        </is>
      </c>
      <c r="E4010" s="7" t="inlineStr">
        <is>
          <t>HYUNDAI</t>
        </is>
      </c>
      <c r="F4010" s="7" t="inlineStr">
        <is>
          <t>i10</t>
        </is>
      </c>
      <c r="G4010" s="7" t="inlineStr">
        <is>
          <t>THIYA CARS</t>
        </is>
      </c>
      <c r="H4010" s="7" t="inlineStr">
        <is>
          <t>Non-Captive</t>
        </is>
      </c>
      <c r="I4010" s="7" t="inlineStr">
        <is>
          <t>Srijja Travels</t>
        </is>
      </c>
      <c r="J4010" s="8" t="n">
        <v>2012</v>
      </c>
      <c r="K4010" s="9" t="n">
        <v>83335</v>
      </c>
      <c r="L4010" s="10" t="n">
        <v>98000</v>
      </c>
      <c r="M4010" s="10" t="n">
        <v>4237.29</v>
      </c>
      <c r="N4010" s="11">
        <f>IF(M4010="","",ROUND(M4010*1.18,2))</f>
        <v/>
      </c>
      <c r="O4010" s="12">
        <f>IF(M4010="","",ROUND(N4010-M4010,2))</f>
        <v/>
      </c>
      <c r="P4010" s="13">
        <f>IF(AND(A4010&lt;&gt;"",B4010&lt;&gt;""), A4010&amp;" · "&amp;B4010, "")</f>
        <v/>
      </c>
    </row>
    <row r="4011">
      <c r="A4011" s="6" t="inlineStr">
        <is>
          <t>FY27</t>
        </is>
      </c>
      <c r="B4011" s="6" t="inlineStr">
        <is>
          <t>Sep</t>
        </is>
      </c>
      <c r="C4011" s="6" t="inlineStr">
        <is>
          <t>TN</t>
        </is>
      </c>
      <c r="D4011" s="7" t="inlineStr">
        <is>
          <t>TN03P9326</t>
        </is>
      </c>
      <c r="E4011" s="7" t="inlineStr">
        <is>
          <t>MARUTI SUZUKI</t>
        </is>
      </c>
      <c r="F4011" s="7" t="inlineStr">
        <is>
          <t>Ritz</t>
        </is>
      </c>
      <c r="G4011" s="7" t="inlineStr">
        <is>
          <t>LAKSHMI NISSAN</t>
        </is>
      </c>
      <c r="H4011" s="7" t="inlineStr">
        <is>
          <t>Non-Captive</t>
        </is>
      </c>
      <c r="I4011" s="7" t="inlineStr">
        <is>
          <t>Srijja Travels</t>
        </is>
      </c>
      <c r="J4011" s="8" t="n">
        <v>2014</v>
      </c>
      <c r="K4011" s="9" t="n">
        <v>145668</v>
      </c>
      <c r="L4011" s="10" t="n">
        <v>93000</v>
      </c>
      <c r="M4011" s="10" t="n">
        <v>4237.29</v>
      </c>
      <c r="N4011" s="11">
        <f>IF(M4011="","",ROUND(M4011*1.18,2))</f>
        <v/>
      </c>
      <c r="O4011" s="12">
        <f>IF(M4011="","",ROUND(N4011-M4011,2))</f>
        <v/>
      </c>
      <c r="P4011" s="13">
        <f>IF(AND(A4011&lt;&gt;"",B4011&lt;&gt;""), A4011&amp;" · "&amp;B4011, "")</f>
        <v/>
      </c>
    </row>
    <row r="4012">
      <c r="A4012" s="6" t="inlineStr">
        <is>
          <t>FY27</t>
        </is>
      </c>
      <c r="B4012" s="6" t="inlineStr">
        <is>
          <t>Sep</t>
        </is>
      </c>
      <c r="C4012" s="6" t="inlineStr">
        <is>
          <t>TN</t>
        </is>
      </c>
      <c r="D4012" s="7" t="inlineStr">
        <is>
          <t>TN04AA9453</t>
        </is>
      </c>
      <c r="E4012" s="7" t="inlineStr">
        <is>
          <t>TATA</t>
        </is>
      </c>
      <c r="F4012" s="7" t="inlineStr">
        <is>
          <t>Indica</t>
        </is>
      </c>
      <c r="G4012" s="7" t="inlineStr">
        <is>
          <t>CASTLE TRADERS MARUTI</t>
        </is>
      </c>
      <c r="H4012" s="7" t="inlineStr">
        <is>
          <t>Non-Captive</t>
        </is>
      </c>
      <c r="I4012" s="7" t="inlineStr">
        <is>
          <t>car Hub</t>
        </is>
      </c>
      <c r="J4012" s="8" t="n">
        <v>2007</v>
      </c>
      <c r="K4012" s="9" t="n">
        <v>983000</v>
      </c>
      <c r="L4012" s="10" t="n">
        <v>98000</v>
      </c>
      <c r="M4012" s="10" t="n">
        <v>4237.29</v>
      </c>
      <c r="N4012" s="11">
        <f>IF(M4012="","",ROUND(M4012*1.18,2))</f>
        <v/>
      </c>
      <c r="O4012" s="12">
        <f>IF(M4012="","",ROUND(N4012-M4012,2))</f>
        <v/>
      </c>
      <c r="P4012" s="13">
        <f>IF(AND(A4012&lt;&gt;"",B4012&lt;&gt;""), A4012&amp;" · "&amp;B4012, "")</f>
        <v/>
      </c>
    </row>
    <row r="4013">
      <c r="A4013" s="6" t="inlineStr">
        <is>
          <t>FY27</t>
        </is>
      </c>
      <c r="B4013" s="6" t="inlineStr">
        <is>
          <t>Sep</t>
        </is>
      </c>
      <c r="C4013" s="6" t="inlineStr">
        <is>
          <t>TN</t>
        </is>
      </c>
      <c r="D4013" s="7" t="inlineStr">
        <is>
          <t>TN04AE4003</t>
        </is>
      </c>
      <c r="E4013" s="7" t="inlineStr">
        <is>
          <t>TOYOTA</t>
        </is>
      </c>
      <c r="F4013" s="7" t="inlineStr">
        <is>
          <t>Corolla Altis</t>
        </is>
      </c>
      <c r="G4013" s="7" t="inlineStr">
        <is>
          <t>CARS INDIA</t>
        </is>
      </c>
      <c r="H4013" s="7" t="inlineStr">
        <is>
          <t>Non-Captive</t>
        </is>
      </c>
      <c r="I4013" s="7" t="inlineStr">
        <is>
          <t>Pine Autos</t>
        </is>
      </c>
      <c r="J4013" s="8" t="n">
        <v>2010</v>
      </c>
      <c r="K4013" s="9" t="n">
        <v>248653</v>
      </c>
      <c r="L4013" s="10" t="n">
        <v>94000</v>
      </c>
      <c r="M4013" s="10" t="n">
        <v>4237.29</v>
      </c>
      <c r="N4013" s="11">
        <f>IF(M4013="","",ROUND(M4013*1.18,2))</f>
        <v/>
      </c>
      <c r="O4013" s="12">
        <f>IF(M4013="","",ROUND(N4013-M4013,2))</f>
        <v/>
      </c>
      <c r="P4013" s="13">
        <f>IF(AND(A4013&lt;&gt;"",B4013&lt;&gt;""), A4013&amp;" · "&amp;B4013, "")</f>
        <v/>
      </c>
    </row>
    <row r="4014">
      <c r="A4014" s="6" t="inlineStr">
        <is>
          <t>FY27</t>
        </is>
      </c>
      <c r="B4014" s="6" t="inlineStr">
        <is>
          <t>Sep</t>
        </is>
      </c>
      <c r="C4014" s="6" t="inlineStr">
        <is>
          <t>TN</t>
        </is>
      </c>
      <c r="D4014" s="7" t="inlineStr">
        <is>
          <t>TN04AE9007</t>
        </is>
      </c>
      <c r="E4014" s="7" t="inlineStr">
        <is>
          <t>HYUNDAI</t>
        </is>
      </c>
      <c r="F4014" s="7" t="inlineStr">
        <is>
          <t>Santro</t>
        </is>
      </c>
      <c r="G4014" s="7" t="inlineStr">
        <is>
          <t>AIE CARS PRIVATE LIMITED</t>
        </is>
      </c>
      <c r="H4014" s="7" t="inlineStr">
        <is>
          <t>Non-Captive</t>
        </is>
      </c>
      <c r="I4014" s="7" t="inlineStr">
        <is>
          <t>AAA Cars</t>
        </is>
      </c>
      <c r="J4014" s="8" t="n">
        <v>2010</v>
      </c>
      <c r="K4014" s="9" t="n">
        <v>89599</v>
      </c>
      <c r="L4014" s="10" t="n">
        <v>97000</v>
      </c>
      <c r="M4014" s="10" t="n">
        <v>4237.29</v>
      </c>
      <c r="N4014" s="11">
        <f>IF(M4014="","",ROUND(M4014*1.18,2))</f>
        <v/>
      </c>
      <c r="O4014" s="12">
        <f>IF(M4014="","",ROUND(N4014-M4014,2))</f>
        <v/>
      </c>
      <c r="P4014" s="13">
        <f>IF(AND(A4014&lt;&gt;"",B4014&lt;&gt;""), A4014&amp;" · "&amp;B4014, "")</f>
        <v/>
      </c>
    </row>
    <row r="4015">
      <c r="A4015" s="6" t="inlineStr">
        <is>
          <t>FY27</t>
        </is>
      </c>
      <c r="B4015" s="6" t="inlineStr">
        <is>
          <t>Sep</t>
        </is>
      </c>
      <c r="C4015" s="6" t="inlineStr">
        <is>
          <t>TN</t>
        </is>
      </c>
      <c r="D4015" s="7" t="inlineStr">
        <is>
          <t>TN04AH1593</t>
        </is>
      </c>
      <c r="E4015" s="7" t="inlineStr">
        <is>
          <t>MARUTI SUZUKI</t>
        </is>
      </c>
      <c r="F4015" s="7" t="inlineStr">
        <is>
          <t>Wagon R</t>
        </is>
      </c>
      <c r="G4015" s="7" t="inlineStr">
        <is>
          <t>CASTLE TRADERS MARUTI</t>
        </is>
      </c>
      <c r="H4015" s="7" t="inlineStr">
        <is>
          <t>Non-Captive</t>
        </is>
      </c>
      <c r="I4015" s="7" t="inlineStr">
        <is>
          <t>AS CARS</t>
        </is>
      </c>
      <c r="J4015" s="8" t="n">
        <v>2011</v>
      </c>
      <c r="K4015" s="9" t="n">
        <v>61065</v>
      </c>
      <c r="L4015" s="10" t="n">
        <v>117000</v>
      </c>
      <c r="M4015" s="10" t="n">
        <v>5084.75</v>
      </c>
      <c r="N4015" s="11">
        <f>IF(M4015="","",ROUND(M4015*1.18,2))</f>
        <v/>
      </c>
      <c r="O4015" s="12">
        <f>IF(M4015="","",ROUND(N4015-M4015,2))</f>
        <v/>
      </c>
      <c r="P4015" s="13">
        <f>IF(AND(A4015&lt;&gt;"",B4015&lt;&gt;""), A4015&amp;" · "&amp;B4015, "")</f>
        <v/>
      </c>
    </row>
    <row r="4016">
      <c r="A4016" s="6" t="inlineStr">
        <is>
          <t>FY27</t>
        </is>
      </c>
      <c r="B4016" s="6" t="inlineStr">
        <is>
          <t>Sep</t>
        </is>
      </c>
      <c r="C4016" s="6" t="inlineStr">
        <is>
          <t>TN</t>
        </is>
      </c>
      <c r="D4016" s="7" t="inlineStr">
        <is>
          <t>TN04AL9064</t>
        </is>
      </c>
      <c r="E4016" s="7" t="inlineStr">
        <is>
          <t>HONDA</t>
        </is>
      </c>
      <c r="F4016" s="7" t="inlineStr">
        <is>
          <t>Brio</t>
        </is>
      </c>
      <c r="G4016" s="7" t="inlineStr">
        <is>
          <t>AIE CARS PRIVATE LIMITED</t>
        </is>
      </c>
      <c r="H4016" s="7" t="inlineStr">
        <is>
          <t>Non-Captive</t>
        </is>
      </c>
      <c r="I4016" s="7" t="inlineStr">
        <is>
          <t>Pine Autos</t>
        </is>
      </c>
      <c r="J4016" s="8" t="n">
        <v>2013</v>
      </c>
      <c r="K4016" s="9" t="n">
        <v>84659</v>
      </c>
      <c r="L4016" s="10" t="n">
        <v>94000</v>
      </c>
      <c r="M4016" s="10" t="n">
        <v>4237.29</v>
      </c>
      <c r="N4016" s="11">
        <f>IF(M4016="","",ROUND(M4016*1.18,2))</f>
        <v/>
      </c>
      <c r="O4016" s="12">
        <f>IF(M4016="","",ROUND(N4016-M4016,2))</f>
        <v/>
      </c>
      <c r="P4016" s="13">
        <f>IF(AND(A4016&lt;&gt;"",B4016&lt;&gt;""), A4016&amp;" · "&amp;B4016, "")</f>
        <v/>
      </c>
    </row>
    <row r="4017">
      <c r="A4017" s="6" t="inlineStr">
        <is>
          <t>FY27</t>
        </is>
      </c>
      <c r="B4017" s="6" t="inlineStr">
        <is>
          <t>Sep</t>
        </is>
      </c>
      <c r="C4017" s="6" t="inlineStr">
        <is>
          <t>TN</t>
        </is>
      </c>
      <c r="D4017" s="7" t="inlineStr">
        <is>
          <t>TN04AP4305</t>
        </is>
      </c>
      <c r="E4017" s="7" t="inlineStr">
        <is>
          <t>MARUTI SUZUKI</t>
        </is>
      </c>
      <c r="F4017" s="7" t="inlineStr">
        <is>
          <t>Ertiga</t>
        </is>
      </c>
      <c r="G4017" s="7" t="inlineStr">
        <is>
          <t>EXCHANGE CHENNAI</t>
        </is>
      </c>
      <c r="H4017" s="7" t="inlineStr">
        <is>
          <t>Captive</t>
        </is>
      </c>
      <c r="I4017" s="7" t="inlineStr">
        <is>
          <t>Santhosh Cars</t>
        </is>
      </c>
      <c r="J4017" s="8" t="n">
        <v>2014</v>
      </c>
      <c r="K4017" s="9" t="n">
        <v>182422</v>
      </c>
      <c r="L4017" s="10" t="n">
        <v>430000</v>
      </c>
      <c r="M4017" s="10" t="n">
        <v>8474.58</v>
      </c>
      <c r="N4017" s="11">
        <f>IF(M4017="","",ROUND(M4017*1.18,2))</f>
        <v/>
      </c>
      <c r="O4017" s="12">
        <f>IF(M4017="","",ROUND(N4017-M4017,2))</f>
        <v/>
      </c>
      <c r="P4017" s="13">
        <f>IF(AND(A4017&lt;&gt;"",B4017&lt;&gt;""), A4017&amp;" · "&amp;B4017, "")</f>
        <v/>
      </c>
    </row>
    <row r="4018">
      <c r="A4018" s="6" t="inlineStr">
        <is>
          <t>FY27</t>
        </is>
      </c>
      <c r="B4018" s="6" t="inlineStr">
        <is>
          <t>Sep</t>
        </is>
      </c>
      <c r="C4018" s="6" t="inlineStr">
        <is>
          <t>TN</t>
        </is>
      </c>
      <c r="D4018" s="7" t="inlineStr">
        <is>
          <t>TN04AS7020</t>
        </is>
      </c>
      <c r="E4018" s="7" t="inlineStr">
        <is>
          <t>SKODA</t>
        </is>
      </c>
      <c r="F4018" s="7" t="inlineStr">
        <is>
          <t>Octavia</t>
        </is>
      </c>
      <c r="G4018" s="7" t="inlineStr">
        <is>
          <t>EXCHANGE ROTN</t>
        </is>
      </c>
      <c r="H4018" s="7" t="inlineStr">
        <is>
          <t>Captive</t>
        </is>
      </c>
      <c r="I4018" s="7" t="inlineStr">
        <is>
          <t>READY TO RIDE CARS</t>
        </is>
      </c>
      <c r="J4018" s="8" t="n">
        <v>2016</v>
      </c>
      <c r="K4018" s="9" t="n">
        <v>101280</v>
      </c>
      <c r="L4018" s="10" t="n">
        <v>483000</v>
      </c>
      <c r="M4018" s="10" t="n">
        <v>10169.49</v>
      </c>
      <c r="N4018" s="11">
        <f>IF(M4018="","",ROUND(M4018*1.18,2))</f>
        <v/>
      </c>
      <c r="O4018" s="12">
        <f>IF(M4018="","",ROUND(N4018-M4018,2))</f>
        <v/>
      </c>
      <c r="P4018" s="13">
        <f>IF(AND(A4018&lt;&gt;"",B4018&lt;&gt;""), A4018&amp;" · "&amp;B4018, "")</f>
        <v/>
      </c>
    </row>
    <row r="4019">
      <c r="A4019" s="6" t="inlineStr">
        <is>
          <t>FY27</t>
        </is>
      </c>
      <c r="B4019" s="6" t="inlineStr">
        <is>
          <t>Sep</t>
        </is>
      </c>
      <c r="C4019" s="6" t="inlineStr">
        <is>
          <t>TN</t>
        </is>
      </c>
      <c r="D4019" s="7" t="inlineStr">
        <is>
          <t>TN05AC1429</t>
        </is>
      </c>
      <c r="E4019" s="7" t="inlineStr">
        <is>
          <t>MARUTI SUZUKI</t>
        </is>
      </c>
      <c r="F4019" s="7" t="inlineStr">
        <is>
          <t>Wagon R</t>
        </is>
      </c>
      <c r="G4019" s="7" t="inlineStr">
        <is>
          <t>EXCHANGE ROTN</t>
        </is>
      </c>
      <c r="H4019" s="7" t="inlineStr">
        <is>
          <t>Captive</t>
        </is>
      </c>
      <c r="I4019" s="7" t="inlineStr">
        <is>
          <t>Sree Murugan Cars</t>
        </is>
      </c>
      <c r="J4019" s="8" t="n">
        <v>2009</v>
      </c>
      <c r="K4019" s="9" t="n">
        <v>83354</v>
      </c>
      <c r="L4019" s="10" t="n">
        <v>88000</v>
      </c>
      <c r="M4019" s="10" t="n">
        <v>4237.29</v>
      </c>
      <c r="N4019" s="11">
        <f>IF(M4019="","",ROUND(M4019*1.18,2))</f>
        <v/>
      </c>
      <c r="O4019" s="12">
        <f>IF(M4019="","",ROUND(N4019-M4019,2))</f>
        <v/>
      </c>
      <c r="P4019" s="13">
        <f>IF(AND(A4019&lt;&gt;"",B4019&lt;&gt;""), A4019&amp;" · "&amp;B4019, "")</f>
        <v/>
      </c>
    </row>
    <row r="4020">
      <c r="A4020" s="6" t="inlineStr">
        <is>
          <t>FY27</t>
        </is>
      </c>
      <c r="B4020" s="6" t="inlineStr">
        <is>
          <t>Sep</t>
        </is>
      </c>
      <c r="C4020" s="6" t="inlineStr">
        <is>
          <t>TN</t>
        </is>
      </c>
      <c r="D4020" s="7" t="inlineStr">
        <is>
          <t>TN05AK9969</t>
        </is>
      </c>
      <c r="E4020" s="7" t="inlineStr">
        <is>
          <t>MARUTI SUZUKI</t>
        </is>
      </c>
      <c r="F4020" s="7" t="inlineStr">
        <is>
          <t>Swift</t>
        </is>
      </c>
      <c r="G4020" s="7" t="inlineStr">
        <is>
          <t>STEER AUTO TECHNOLOGIES PRIVATE LIMITED</t>
        </is>
      </c>
      <c r="H4020" s="7" t="inlineStr">
        <is>
          <t>Non-Captive</t>
        </is>
      </c>
      <c r="I4020" s="7" t="inlineStr">
        <is>
          <t>Castel Traders Honada</t>
        </is>
      </c>
      <c r="J4020" s="8" t="n">
        <v>2011</v>
      </c>
      <c r="K4020" s="9" t="n">
        <v>114174</v>
      </c>
      <c r="L4020" s="10" t="n">
        <v>98000</v>
      </c>
      <c r="M4020" s="10" t="n">
        <v>4237.29</v>
      </c>
      <c r="N4020" s="11">
        <f>IF(M4020="","",ROUND(M4020*1.18,2))</f>
        <v/>
      </c>
      <c r="O4020" s="12">
        <f>IF(M4020="","",ROUND(N4020-M4020,2))</f>
        <v/>
      </c>
      <c r="P4020" s="13">
        <f>IF(AND(A4020&lt;&gt;"",B4020&lt;&gt;""), A4020&amp;" · "&amp;B4020, "")</f>
        <v/>
      </c>
    </row>
    <row r="4021">
      <c r="A4021" s="6" t="inlineStr">
        <is>
          <t>FY27</t>
        </is>
      </c>
      <c r="B4021" s="6" t="inlineStr">
        <is>
          <t>Sep</t>
        </is>
      </c>
      <c r="C4021" s="6" t="inlineStr">
        <is>
          <t>TN</t>
        </is>
      </c>
      <c r="D4021" s="7" t="inlineStr">
        <is>
          <t>TN05BC4885</t>
        </is>
      </c>
      <c r="E4021" s="7" t="inlineStr">
        <is>
          <t>MARUTI SUZUKI</t>
        </is>
      </c>
      <c r="F4021" s="7" t="inlineStr">
        <is>
          <t>Alto K10</t>
        </is>
      </c>
      <c r="G4021" s="7" t="inlineStr">
        <is>
          <t>CASTLE TRADERS MARUTI</t>
        </is>
      </c>
      <c r="H4021" s="7" t="inlineStr">
        <is>
          <t>Non-Captive</t>
        </is>
      </c>
      <c r="I4021" s="7" t="inlineStr">
        <is>
          <t>Kamal Cars</t>
        </is>
      </c>
      <c r="J4021" s="8" t="n">
        <v>2015</v>
      </c>
      <c r="K4021" s="9" t="n">
        <v>57919</v>
      </c>
      <c r="L4021" s="10" t="n">
        <v>233000</v>
      </c>
      <c r="M4021" s="10" t="n">
        <v>6356.24</v>
      </c>
      <c r="N4021" s="11">
        <f>IF(M4021="","",ROUND(M4021*1.18,2))</f>
        <v/>
      </c>
      <c r="O4021" s="12">
        <f>IF(M4021="","",ROUND(N4021-M4021,2))</f>
        <v/>
      </c>
      <c r="P4021" s="13">
        <f>IF(AND(A4021&lt;&gt;"",B4021&lt;&gt;""), A4021&amp;" · "&amp;B4021, "")</f>
        <v/>
      </c>
    </row>
    <row r="4022">
      <c r="A4022" s="6" t="inlineStr">
        <is>
          <t>FY27</t>
        </is>
      </c>
      <c r="B4022" s="6" t="inlineStr">
        <is>
          <t>Sep</t>
        </is>
      </c>
      <c r="C4022" s="6" t="inlineStr">
        <is>
          <t>TN</t>
        </is>
      </c>
      <c r="D4022" s="7" t="inlineStr">
        <is>
          <t>TN05BC9699</t>
        </is>
      </c>
      <c r="E4022" s="7" t="inlineStr">
        <is>
          <t>MARUTI SUZUKI</t>
        </is>
      </c>
      <c r="F4022" s="7" t="inlineStr">
        <is>
          <t>Alto 800</t>
        </is>
      </c>
      <c r="G4022" s="7" t="inlineStr">
        <is>
          <t>PRODUCTIVITY ELEMENTS PRIVATE LIMITED</t>
        </is>
      </c>
      <c r="H4022" s="7" t="inlineStr">
        <is>
          <t>Non-Captive</t>
        </is>
      </c>
      <c r="I4022" s="7" t="inlineStr">
        <is>
          <t>Castel Traders Honada</t>
        </is>
      </c>
      <c r="J4022" s="8" t="n">
        <v>2015</v>
      </c>
      <c r="K4022" s="9" t="n">
        <v>45061</v>
      </c>
      <c r="L4022" s="10" t="n">
        <v>89000</v>
      </c>
      <c r="M4022" s="10" t="n">
        <v>4237.29</v>
      </c>
      <c r="N4022" s="11">
        <f>IF(M4022="","",ROUND(M4022*1.18,2))</f>
        <v/>
      </c>
      <c r="O4022" s="12">
        <f>IF(M4022="","",ROUND(N4022-M4022,2))</f>
        <v/>
      </c>
      <c r="P4022" s="13">
        <f>IF(AND(A4022&lt;&gt;"",B4022&lt;&gt;""), A4022&amp;" · "&amp;B4022, "")</f>
        <v/>
      </c>
    </row>
    <row r="4023">
      <c r="A4023" s="6" t="inlineStr">
        <is>
          <t>FY27</t>
        </is>
      </c>
      <c r="B4023" s="6" t="inlineStr">
        <is>
          <t>Sep</t>
        </is>
      </c>
      <c r="C4023" s="6" t="inlineStr">
        <is>
          <t>TN</t>
        </is>
      </c>
      <c r="D4023" s="7" t="inlineStr">
        <is>
          <t>TN05BE6135</t>
        </is>
      </c>
      <c r="E4023" s="7" t="inlineStr">
        <is>
          <t>MARUTI SUZUKI</t>
        </is>
      </c>
      <c r="F4023" s="7" t="inlineStr">
        <is>
          <t>Ritz</t>
        </is>
      </c>
      <c r="G4023" s="7" t="inlineStr">
        <is>
          <t>EXCHANGE ROTN</t>
        </is>
      </c>
      <c r="H4023" s="7" t="inlineStr">
        <is>
          <t>Captive</t>
        </is>
      </c>
      <c r="I4023" s="7" t="inlineStr">
        <is>
          <t>Sai Cars</t>
        </is>
      </c>
      <c r="J4023" s="8" t="n">
        <v>2016</v>
      </c>
      <c r="K4023" s="9" t="n">
        <v>130173</v>
      </c>
      <c r="L4023" s="10" t="n">
        <v>80000</v>
      </c>
      <c r="M4023" s="10" t="n">
        <v>4237.29</v>
      </c>
      <c r="N4023" s="11">
        <f>IF(M4023="","",ROUND(M4023*1.18,2))</f>
        <v/>
      </c>
      <c r="O4023" s="12">
        <f>IF(M4023="","",ROUND(N4023-M4023,2))</f>
        <v/>
      </c>
      <c r="P4023" s="13">
        <f>IF(AND(A4023&lt;&gt;"",B4023&lt;&gt;""), A4023&amp;" · "&amp;B4023, "")</f>
        <v/>
      </c>
    </row>
    <row r="4024">
      <c r="A4024" s="6" t="inlineStr">
        <is>
          <t>FY27</t>
        </is>
      </c>
      <c r="B4024" s="6" t="inlineStr">
        <is>
          <t>Sep</t>
        </is>
      </c>
      <c r="C4024" s="6" t="inlineStr">
        <is>
          <t>TN</t>
        </is>
      </c>
      <c r="D4024" s="7" t="inlineStr">
        <is>
          <t>TN05BU4577</t>
        </is>
      </c>
      <c r="E4024" s="7" t="inlineStr">
        <is>
          <t>HONDA</t>
        </is>
      </c>
      <c r="F4024" s="7" t="inlineStr">
        <is>
          <t>Amaze</t>
        </is>
      </c>
      <c r="G4024" s="7" t="inlineStr">
        <is>
          <t>CASTLE TRADERS HONDA</t>
        </is>
      </c>
      <c r="H4024" s="7" t="inlineStr">
        <is>
          <t>Non-Captive</t>
        </is>
      </c>
      <c r="I4024" s="7" t="inlineStr">
        <is>
          <t>Maruthi Industries</t>
        </is>
      </c>
      <c r="J4024" s="8" t="n">
        <v>2018</v>
      </c>
      <c r="K4024" s="9" t="n">
        <v>54201</v>
      </c>
      <c r="L4024" s="10" t="n">
        <v>197000</v>
      </c>
      <c r="M4024" s="10" t="n">
        <v>5084.75</v>
      </c>
      <c r="N4024" s="11">
        <f>IF(M4024="","",ROUND(M4024*1.18,2))</f>
        <v/>
      </c>
      <c r="O4024" s="12">
        <f>IF(M4024="","",ROUND(N4024-M4024,2))</f>
        <v/>
      </c>
      <c r="P4024" s="13">
        <f>IF(AND(A4024&lt;&gt;"",B4024&lt;&gt;""), A4024&amp;" · "&amp;B4024, "")</f>
        <v/>
      </c>
    </row>
    <row r="4025">
      <c r="A4025" s="6" t="inlineStr">
        <is>
          <t>FY27</t>
        </is>
      </c>
      <c r="B4025" s="6" t="inlineStr">
        <is>
          <t>Sep</t>
        </is>
      </c>
      <c r="C4025" s="6" t="inlineStr">
        <is>
          <t>TN</t>
        </is>
      </c>
      <c r="D4025" s="7" t="inlineStr">
        <is>
          <t>TN05CB8118</t>
        </is>
      </c>
      <c r="E4025" s="7" t="inlineStr">
        <is>
          <t>HYUNDAI</t>
        </is>
      </c>
      <c r="F4025" s="7" t="inlineStr">
        <is>
          <t>Grand i10</t>
        </is>
      </c>
      <c r="G4025" s="7" t="inlineStr">
        <is>
          <t>PEEYESYEM HK MOTORS LLP</t>
        </is>
      </c>
      <c r="H4025" s="7" t="inlineStr">
        <is>
          <t>Non-Captive</t>
        </is>
      </c>
      <c r="I4025" s="7" t="inlineStr">
        <is>
          <t>Anishcars</t>
        </is>
      </c>
      <c r="J4025" s="8" t="n">
        <v>2016</v>
      </c>
      <c r="K4025" s="9" t="n">
        <v>98431</v>
      </c>
      <c r="L4025" s="10" t="n">
        <v>97000</v>
      </c>
      <c r="M4025" s="10" t="n">
        <v>4237.29</v>
      </c>
      <c r="N4025" s="11">
        <f>IF(M4025="","",ROUND(M4025*1.18,2))</f>
        <v/>
      </c>
      <c r="O4025" s="12">
        <f>IF(M4025="","",ROUND(N4025-M4025,2))</f>
        <v/>
      </c>
      <c r="P4025" s="13">
        <f>IF(AND(A4025&lt;&gt;"",B4025&lt;&gt;""), A4025&amp;" · "&amp;B4025, "")</f>
        <v/>
      </c>
    </row>
    <row r="4026">
      <c r="A4026" s="6" t="inlineStr">
        <is>
          <t>FY27</t>
        </is>
      </c>
      <c r="B4026" s="6" t="inlineStr">
        <is>
          <t>Sep</t>
        </is>
      </c>
      <c r="C4026" s="6" t="inlineStr">
        <is>
          <t>TN</t>
        </is>
      </c>
      <c r="D4026" s="7" t="inlineStr">
        <is>
          <t>TN05CE2961</t>
        </is>
      </c>
      <c r="E4026" s="7" t="inlineStr">
        <is>
          <t>MARUTI SUZUKI</t>
        </is>
      </c>
      <c r="F4026" s="7" t="inlineStr">
        <is>
          <t>Eeco</t>
        </is>
      </c>
      <c r="G4026" s="7" t="inlineStr">
        <is>
          <t>CASTLE TRADERS MARUTI</t>
        </is>
      </c>
      <c r="H4026" s="7" t="inlineStr">
        <is>
          <t>Non-Captive</t>
        </is>
      </c>
      <c r="I4026" s="7" t="inlineStr">
        <is>
          <t>Emerald Cars</t>
        </is>
      </c>
      <c r="J4026" s="8" t="n">
        <v>2021</v>
      </c>
      <c r="K4026" s="9" t="n">
        <v>62025</v>
      </c>
      <c r="L4026" s="10" t="n">
        <v>364500</v>
      </c>
      <c r="M4026" s="10" t="n">
        <v>6355.93</v>
      </c>
      <c r="N4026" s="11">
        <f>IF(M4026="","",ROUND(M4026*1.18,2))</f>
        <v/>
      </c>
      <c r="O4026" s="12">
        <f>IF(M4026="","",ROUND(N4026-M4026,2))</f>
        <v/>
      </c>
      <c r="P4026" s="13">
        <f>IF(AND(A4026&lt;&gt;"",B4026&lt;&gt;""), A4026&amp;" · "&amp;B4026, "")</f>
        <v/>
      </c>
    </row>
    <row r="4027">
      <c r="A4027" s="6" t="inlineStr">
        <is>
          <t>FY27</t>
        </is>
      </c>
      <c r="B4027" s="6" t="inlineStr">
        <is>
          <t>Sep</t>
        </is>
      </c>
      <c r="C4027" s="6" t="inlineStr">
        <is>
          <t>TN</t>
        </is>
      </c>
      <c r="D4027" s="7" t="inlineStr">
        <is>
          <t>TN05F3945</t>
        </is>
      </c>
      <c r="E4027" s="7" t="inlineStr">
        <is>
          <t>MARUTI SUZUKI</t>
        </is>
      </c>
      <c r="F4027" s="7" t="inlineStr">
        <is>
          <t>800</t>
        </is>
      </c>
      <c r="G4027" s="7" t="inlineStr">
        <is>
          <t>EXCHANGE ROTN</t>
        </is>
      </c>
      <c r="H4027" s="7" t="inlineStr">
        <is>
          <t>Captive</t>
        </is>
      </c>
      <c r="I4027" s="7" t="inlineStr">
        <is>
          <t>DEERAA CARS</t>
        </is>
      </c>
      <c r="J4027" s="8" t="n">
        <v>2002</v>
      </c>
      <c r="K4027" s="9" t="n">
        <v>7554</v>
      </c>
      <c r="L4027" s="10" t="n">
        <v>41000</v>
      </c>
      <c r="M4027" s="10" t="n">
        <v>4237.29</v>
      </c>
      <c r="N4027" s="11">
        <f>IF(M4027="","",ROUND(M4027*1.18,2))</f>
        <v/>
      </c>
      <c r="O4027" s="12">
        <f>IF(M4027="","",ROUND(N4027-M4027,2))</f>
        <v/>
      </c>
      <c r="P4027" s="13">
        <f>IF(AND(A4027&lt;&gt;"",B4027&lt;&gt;""), A4027&amp;" · "&amp;B4027, "")</f>
        <v/>
      </c>
    </row>
    <row r="4028">
      <c r="A4028" s="6" t="inlineStr">
        <is>
          <t>FY27</t>
        </is>
      </c>
      <c r="B4028" s="6" t="inlineStr">
        <is>
          <t>Sep</t>
        </is>
      </c>
      <c r="C4028" s="6" t="inlineStr">
        <is>
          <t>TN</t>
        </is>
      </c>
      <c r="D4028" s="7" t="inlineStr">
        <is>
          <t>TN05M4734</t>
        </is>
      </c>
      <c r="E4028" s="7" t="inlineStr">
        <is>
          <t>MARUTI SUZUKI</t>
        </is>
      </c>
      <c r="F4028" s="7" t="inlineStr">
        <is>
          <t>Zen</t>
        </is>
      </c>
      <c r="G4028" s="7" t="inlineStr">
        <is>
          <t>CRESCO CARS</t>
        </is>
      </c>
      <c r="H4028" s="7" t="inlineStr">
        <is>
          <t>Non-Captive</t>
        </is>
      </c>
      <c r="I4028" s="7" t="inlineStr">
        <is>
          <t>Value Drive Tech</t>
        </is>
      </c>
      <c r="J4028" s="8" t="n">
        <v>2004</v>
      </c>
      <c r="K4028" s="9" t="n">
        <v>155869</v>
      </c>
      <c r="L4028" s="10" t="n">
        <v>99000</v>
      </c>
      <c r="M4028" s="10" t="n">
        <v>4237.29</v>
      </c>
      <c r="N4028" s="11">
        <f>IF(M4028="","",ROUND(M4028*1.18,2))</f>
        <v/>
      </c>
      <c r="O4028" s="12">
        <f>IF(M4028="","",ROUND(N4028-M4028,2))</f>
        <v/>
      </c>
      <c r="P4028" s="13">
        <f>IF(AND(A4028&lt;&gt;"",B4028&lt;&gt;""), A4028&amp;" · "&amp;B4028, "")</f>
        <v/>
      </c>
    </row>
    <row r="4029">
      <c r="A4029" s="6" t="inlineStr">
        <is>
          <t>FY27</t>
        </is>
      </c>
      <c r="B4029" s="6" t="inlineStr">
        <is>
          <t>Sep</t>
        </is>
      </c>
      <c r="C4029" s="6" t="inlineStr">
        <is>
          <t>TN</t>
        </is>
      </c>
      <c r="D4029" s="7" t="inlineStr">
        <is>
          <t>TN05P5657</t>
        </is>
      </c>
      <c r="E4029" s="7" t="inlineStr">
        <is>
          <t>HONDA</t>
        </is>
      </c>
      <c r="F4029" s="7" t="inlineStr">
        <is>
          <t>City</t>
        </is>
      </c>
      <c r="G4029" s="7" t="inlineStr">
        <is>
          <t>AIE CARS PRIVATE LIMITED</t>
        </is>
      </c>
      <c r="H4029" s="7" t="inlineStr">
        <is>
          <t>Non-Captive</t>
        </is>
      </c>
      <c r="I4029" s="7" t="inlineStr">
        <is>
          <t>Santhosh Cars</t>
        </is>
      </c>
      <c r="J4029" s="8" t="n">
        <v>2005</v>
      </c>
      <c r="K4029" s="9" t="n">
        <v>147545</v>
      </c>
      <c r="L4029" s="10" t="n">
        <v>98000</v>
      </c>
      <c r="M4029" s="10" t="n">
        <v>4237.29</v>
      </c>
      <c r="N4029" s="11">
        <f>IF(M4029="","",ROUND(M4029*1.18,2))</f>
        <v/>
      </c>
      <c r="O4029" s="12">
        <f>IF(M4029="","",ROUND(N4029-M4029,2))</f>
        <v/>
      </c>
      <c r="P4029" s="13">
        <f>IF(AND(A4029&lt;&gt;"",B4029&lt;&gt;""), A4029&amp;" · "&amp;B4029, "")</f>
        <v/>
      </c>
    </row>
    <row r="4030">
      <c r="A4030" s="6" t="inlineStr">
        <is>
          <t>FY27</t>
        </is>
      </c>
      <c r="B4030" s="6" t="inlineStr">
        <is>
          <t>Sep</t>
        </is>
      </c>
      <c r="C4030" s="6" t="inlineStr">
        <is>
          <t>TN</t>
        </is>
      </c>
      <c r="D4030" s="7" t="inlineStr">
        <is>
          <t>TN05Z1661</t>
        </is>
      </c>
      <c r="E4030" s="7" t="inlineStr">
        <is>
          <t>HONDA</t>
        </is>
      </c>
      <c r="F4030" s="7" t="inlineStr">
        <is>
          <t>City</t>
        </is>
      </c>
      <c r="G4030" s="7" t="inlineStr">
        <is>
          <t>EXCHANGE ROTN</t>
        </is>
      </c>
      <c r="H4030" s="7" t="inlineStr">
        <is>
          <t>Captive</t>
        </is>
      </c>
      <c r="I4030" s="7" t="inlineStr">
        <is>
          <t>Gokul Cars</t>
        </is>
      </c>
      <c r="J4030" s="8" t="n">
        <v>2008</v>
      </c>
      <c r="K4030" s="9" t="n">
        <v>98749</v>
      </c>
      <c r="L4030" s="10" t="n">
        <v>90000</v>
      </c>
      <c r="M4030" s="10" t="n">
        <v>4237.29</v>
      </c>
      <c r="N4030" s="11">
        <f>IF(M4030="","",ROUND(M4030*1.18,2))</f>
        <v/>
      </c>
      <c r="O4030" s="12">
        <f>IF(M4030="","",ROUND(N4030-M4030,2))</f>
        <v/>
      </c>
      <c r="P4030" s="13">
        <f>IF(AND(A4030&lt;&gt;"",B4030&lt;&gt;""), A4030&amp;" · "&amp;B4030, "")</f>
        <v/>
      </c>
    </row>
    <row r="4031">
      <c r="A4031" s="6" t="inlineStr">
        <is>
          <t>FY27</t>
        </is>
      </c>
      <c r="B4031" s="6" t="inlineStr">
        <is>
          <t>Sep</t>
        </is>
      </c>
      <c r="C4031" s="6" t="inlineStr">
        <is>
          <t>TN</t>
        </is>
      </c>
      <c r="D4031" s="7" t="inlineStr">
        <is>
          <t>TN06B7152</t>
        </is>
      </c>
      <c r="E4031" s="7" t="inlineStr">
        <is>
          <t>VOLKSWAGEN</t>
        </is>
      </c>
      <c r="F4031" s="7" t="inlineStr">
        <is>
          <t>Polo</t>
        </is>
      </c>
      <c r="G4031" s="7" t="inlineStr">
        <is>
          <t>EXCHANGE ROTN</t>
        </is>
      </c>
      <c r="H4031" s="7" t="inlineStr">
        <is>
          <t>Captive</t>
        </is>
      </c>
      <c r="I4031" s="7" t="inlineStr">
        <is>
          <t>SRI RAJA KANAPATHY CARS</t>
        </is>
      </c>
      <c r="J4031" s="8" t="n">
        <v>2010</v>
      </c>
      <c r="K4031" s="9" t="n">
        <v>87977</v>
      </c>
      <c r="L4031" s="10" t="n">
        <v>50000</v>
      </c>
      <c r="M4031" s="10" t="n">
        <v>4237.29</v>
      </c>
      <c r="N4031" s="11">
        <f>IF(M4031="","",ROUND(M4031*1.18,2))</f>
        <v/>
      </c>
      <c r="O4031" s="12">
        <f>IF(M4031="","",ROUND(N4031-M4031,2))</f>
        <v/>
      </c>
      <c r="P4031" s="13">
        <f>IF(AND(A4031&lt;&gt;"",B4031&lt;&gt;""), A4031&amp;" · "&amp;B4031, "")</f>
        <v/>
      </c>
    </row>
    <row r="4032">
      <c r="A4032" s="6" t="inlineStr">
        <is>
          <t>FY27</t>
        </is>
      </c>
      <c r="B4032" s="6" t="inlineStr">
        <is>
          <t>Sep</t>
        </is>
      </c>
      <c r="C4032" s="6" t="inlineStr">
        <is>
          <t>TN</t>
        </is>
      </c>
      <c r="D4032" s="7" t="inlineStr">
        <is>
          <t>TN06D9887</t>
        </is>
      </c>
      <c r="E4032" s="7" t="inlineStr">
        <is>
          <t>CHEVROLET</t>
        </is>
      </c>
      <c r="F4032" s="7" t="inlineStr">
        <is>
          <t>Spark</t>
        </is>
      </c>
      <c r="G4032" s="7" t="inlineStr">
        <is>
          <t>STEER AUTO TECHNOLOGIES PRIVATE LIMITED</t>
        </is>
      </c>
      <c r="H4032" s="7" t="inlineStr">
        <is>
          <t>Non-Captive</t>
        </is>
      </c>
      <c r="I4032" s="7" t="inlineStr">
        <is>
          <t>Srijja Travels</t>
        </is>
      </c>
      <c r="J4032" s="8" t="n">
        <v>2011</v>
      </c>
      <c r="K4032" s="9" t="n">
        <v>69451</v>
      </c>
      <c r="L4032" s="10" t="n">
        <v>87000</v>
      </c>
      <c r="M4032" s="10" t="n">
        <v>4237.29</v>
      </c>
      <c r="N4032" s="11">
        <f>IF(M4032="","",ROUND(M4032*1.18,2))</f>
        <v/>
      </c>
      <c r="O4032" s="12">
        <f>IF(M4032="","",ROUND(N4032-M4032,2))</f>
        <v/>
      </c>
      <c r="P4032" s="13">
        <f>IF(AND(A4032&lt;&gt;"",B4032&lt;&gt;""), A4032&amp;" · "&amp;B4032, "")</f>
        <v/>
      </c>
    </row>
    <row r="4033">
      <c r="A4033" s="6" t="inlineStr">
        <is>
          <t>FY27</t>
        </is>
      </c>
      <c r="B4033" s="6" t="inlineStr">
        <is>
          <t>Sep</t>
        </is>
      </c>
      <c r="C4033" s="6" t="inlineStr">
        <is>
          <t>TN</t>
        </is>
      </c>
      <c r="D4033" s="7" t="inlineStr">
        <is>
          <t>TN06E6715</t>
        </is>
      </c>
      <c r="E4033" s="7" t="inlineStr">
        <is>
          <t>HYUNDAI</t>
        </is>
      </c>
      <c r="F4033" s="7" t="inlineStr">
        <is>
          <t>i10</t>
        </is>
      </c>
      <c r="G4033" s="7" t="inlineStr">
        <is>
          <t>PEEYESYEM HK MOTORS LLP</t>
        </is>
      </c>
      <c r="H4033" s="7" t="inlineStr">
        <is>
          <t>Non-Captive</t>
        </is>
      </c>
      <c r="I4033" s="7" t="inlineStr">
        <is>
          <t>Cars24</t>
        </is>
      </c>
      <c r="J4033" s="8" t="n">
        <v>2011</v>
      </c>
      <c r="K4033" s="9" t="n">
        <v>65747</v>
      </c>
      <c r="L4033" s="10" t="n">
        <v>95000</v>
      </c>
      <c r="M4033" s="10" t="n">
        <v>4237.29</v>
      </c>
      <c r="N4033" s="11">
        <f>IF(M4033="","",ROUND(M4033*1.18,2))</f>
        <v/>
      </c>
      <c r="O4033" s="12">
        <f>IF(M4033="","",ROUND(N4033-M4033,2))</f>
        <v/>
      </c>
      <c r="P4033" s="13">
        <f>IF(AND(A4033&lt;&gt;"",B4033&lt;&gt;""), A4033&amp;" · "&amp;B4033, "")</f>
        <v/>
      </c>
    </row>
    <row r="4034">
      <c r="A4034" s="6" t="inlineStr">
        <is>
          <t>FY27</t>
        </is>
      </c>
      <c r="B4034" s="6" t="inlineStr">
        <is>
          <t>Sep</t>
        </is>
      </c>
      <c r="C4034" s="6" t="inlineStr">
        <is>
          <t>TN</t>
        </is>
      </c>
      <c r="D4034" s="7" t="inlineStr">
        <is>
          <t>TN06F2400</t>
        </is>
      </c>
      <c r="E4034" s="7" t="inlineStr">
        <is>
          <t>CHEVROLET</t>
        </is>
      </c>
      <c r="F4034" s="7" t="inlineStr">
        <is>
          <t>Beat</t>
        </is>
      </c>
      <c r="G4034" s="7" t="inlineStr">
        <is>
          <t>PRODUCTIVITY ELEMENTS PRIVATE LIMITED</t>
        </is>
      </c>
      <c r="H4034" s="7" t="inlineStr">
        <is>
          <t>Non-Captive</t>
        </is>
      </c>
      <c r="I4034" s="7" t="inlineStr">
        <is>
          <t>Cars24</t>
        </is>
      </c>
      <c r="J4034" s="8" t="n">
        <v>2012</v>
      </c>
      <c r="K4034" s="9" t="n">
        <v>77169</v>
      </c>
      <c r="L4034" s="10" t="n">
        <v>89000</v>
      </c>
      <c r="M4034" s="10" t="n">
        <v>4237.29</v>
      </c>
      <c r="N4034" s="11">
        <f>IF(M4034="","",ROUND(M4034*1.18,2))</f>
        <v/>
      </c>
      <c r="O4034" s="12">
        <f>IF(M4034="","",ROUND(N4034-M4034,2))</f>
        <v/>
      </c>
      <c r="P4034" s="13">
        <f>IF(AND(A4034&lt;&gt;"",B4034&lt;&gt;""), A4034&amp;" · "&amp;B4034, "")</f>
        <v/>
      </c>
    </row>
    <row r="4035">
      <c r="A4035" s="6" t="inlineStr">
        <is>
          <t>FY27</t>
        </is>
      </c>
      <c r="B4035" s="6" t="inlineStr">
        <is>
          <t>Sep</t>
        </is>
      </c>
      <c r="C4035" s="6" t="inlineStr">
        <is>
          <t>TN</t>
        </is>
      </c>
      <c r="D4035" s="7" t="inlineStr">
        <is>
          <t>TN06J0438</t>
        </is>
      </c>
      <c r="E4035" s="7" t="inlineStr">
        <is>
          <t>MARUTI SUZUKI</t>
        </is>
      </c>
      <c r="F4035" s="7" t="inlineStr">
        <is>
          <t>Eeco</t>
        </is>
      </c>
      <c r="G4035" s="7" t="inlineStr">
        <is>
          <t>LANSON QCARS PRIVATE LIMITED</t>
        </is>
      </c>
      <c r="H4035" s="7" t="inlineStr">
        <is>
          <t>Non-Captive</t>
        </is>
      </c>
      <c r="I4035" s="7" t="inlineStr">
        <is>
          <t>Balaji Cars</t>
        </is>
      </c>
      <c r="J4035" s="8" t="n">
        <v>2012</v>
      </c>
      <c r="K4035" s="9" t="n">
        <v>202876</v>
      </c>
      <c r="L4035" s="10" t="n">
        <v>89000</v>
      </c>
      <c r="M4035" s="10" t="n">
        <v>4237.29</v>
      </c>
      <c r="N4035" s="11">
        <f>IF(M4035="","",ROUND(M4035*1.18,2))</f>
        <v/>
      </c>
      <c r="O4035" s="12">
        <f>IF(M4035="","",ROUND(N4035-M4035,2))</f>
        <v/>
      </c>
      <c r="P4035" s="13">
        <f>IF(AND(A4035&lt;&gt;"",B4035&lt;&gt;""), A4035&amp;" · "&amp;B4035, "")</f>
        <v/>
      </c>
    </row>
    <row r="4036">
      <c r="A4036" s="6" t="inlineStr">
        <is>
          <t>FY27</t>
        </is>
      </c>
      <c r="B4036" s="6" t="inlineStr">
        <is>
          <t>Sep</t>
        </is>
      </c>
      <c r="C4036" s="6" t="inlineStr">
        <is>
          <t>TN</t>
        </is>
      </c>
      <c r="D4036" s="7" t="inlineStr">
        <is>
          <t>TN06J4883</t>
        </is>
      </c>
      <c r="E4036" s="7" t="inlineStr">
        <is>
          <t>TOYOTA</t>
        </is>
      </c>
      <c r="F4036" s="7" t="inlineStr">
        <is>
          <t>Etios Liva</t>
        </is>
      </c>
      <c r="G4036" s="7" t="inlineStr">
        <is>
          <t>CASTLE TRADERS MARUTI</t>
        </is>
      </c>
      <c r="H4036" s="7" t="inlineStr">
        <is>
          <t>Non-Captive</t>
        </is>
      </c>
      <c r="I4036" s="7" t="inlineStr">
        <is>
          <t>AAA Cars</t>
        </is>
      </c>
      <c r="J4036" s="8" t="n">
        <v>2013</v>
      </c>
      <c r="K4036" s="9" t="n">
        <v>50661</v>
      </c>
      <c r="L4036" s="10" t="n">
        <v>282500</v>
      </c>
      <c r="M4036" s="10" t="n">
        <v>6355.93</v>
      </c>
      <c r="N4036" s="11">
        <f>IF(M4036="","",ROUND(M4036*1.18,2))</f>
        <v/>
      </c>
      <c r="O4036" s="12">
        <f>IF(M4036="","",ROUND(N4036-M4036,2))</f>
        <v/>
      </c>
      <c r="P4036" s="13">
        <f>IF(AND(A4036&lt;&gt;"",B4036&lt;&gt;""), A4036&amp;" · "&amp;B4036, "")</f>
        <v/>
      </c>
    </row>
    <row r="4037">
      <c r="A4037" s="6" t="inlineStr">
        <is>
          <t>FY27</t>
        </is>
      </c>
      <c r="B4037" s="6" t="inlineStr">
        <is>
          <t>Sep</t>
        </is>
      </c>
      <c r="C4037" s="6" t="inlineStr">
        <is>
          <t>TN</t>
        </is>
      </c>
      <c r="D4037" s="7" t="inlineStr">
        <is>
          <t>TN06L0261</t>
        </is>
      </c>
      <c r="E4037" s="7" t="inlineStr">
        <is>
          <t>HONDA</t>
        </is>
      </c>
      <c r="F4037" s="7" t="inlineStr">
        <is>
          <t>Amaze</t>
        </is>
      </c>
      <c r="G4037" s="7" t="inlineStr">
        <is>
          <t>VISHNU CARS PRIVATE LIMITED</t>
        </is>
      </c>
      <c r="H4037" s="7" t="inlineStr">
        <is>
          <t>Non-Captive</t>
        </is>
      </c>
      <c r="I4037" s="7" t="inlineStr">
        <is>
          <t>Emarald Cars</t>
        </is>
      </c>
      <c r="J4037" s="8" t="n">
        <v>2014</v>
      </c>
      <c r="K4037" s="9" t="n">
        <v>71770</v>
      </c>
      <c r="L4037" s="10" t="n">
        <v>100000</v>
      </c>
      <c r="M4037" s="10" t="n">
        <v>2542.37</v>
      </c>
      <c r="N4037" s="11">
        <f>IF(M4037="","",ROUND(M4037*1.18,2))</f>
        <v/>
      </c>
      <c r="O4037" s="12">
        <f>IF(M4037="","",ROUND(N4037-M4037,2))</f>
        <v/>
      </c>
      <c r="P4037" s="13">
        <f>IF(AND(A4037&lt;&gt;"",B4037&lt;&gt;""), A4037&amp;" · "&amp;B4037, "")</f>
        <v/>
      </c>
    </row>
    <row r="4038">
      <c r="A4038" s="6" t="inlineStr">
        <is>
          <t>FY27</t>
        </is>
      </c>
      <c r="B4038" s="6" t="inlineStr">
        <is>
          <t>Sep</t>
        </is>
      </c>
      <c r="C4038" s="6" t="inlineStr">
        <is>
          <t>TN</t>
        </is>
      </c>
      <c r="D4038" s="7" t="inlineStr">
        <is>
          <t>TN06L4188</t>
        </is>
      </c>
      <c r="E4038" s="7" t="inlineStr">
        <is>
          <t>HONDA</t>
        </is>
      </c>
      <c r="F4038" s="7" t="inlineStr">
        <is>
          <t>Amaze</t>
        </is>
      </c>
      <c r="G4038" s="7" t="inlineStr">
        <is>
          <t>AIE CARS PRIVATE LIMITED</t>
        </is>
      </c>
      <c r="H4038" s="7" t="inlineStr">
        <is>
          <t>Non-Captive</t>
        </is>
      </c>
      <c r="I4038" s="7" t="inlineStr">
        <is>
          <t>Pine Autos</t>
        </is>
      </c>
      <c r="J4038" s="8" t="n">
        <v>2014</v>
      </c>
      <c r="K4038" s="9" t="n">
        <v>103950</v>
      </c>
      <c r="L4038" s="10" t="n">
        <v>93000</v>
      </c>
      <c r="M4038" s="10" t="n">
        <v>4237.29</v>
      </c>
      <c r="N4038" s="11">
        <f>IF(M4038="","",ROUND(M4038*1.18,2))</f>
        <v/>
      </c>
      <c r="O4038" s="12">
        <f>IF(M4038="","",ROUND(N4038-M4038,2))</f>
        <v/>
      </c>
      <c r="P4038" s="13">
        <f>IF(AND(A4038&lt;&gt;"",B4038&lt;&gt;""), A4038&amp;" · "&amp;B4038, "")</f>
        <v/>
      </c>
    </row>
    <row r="4039">
      <c r="A4039" s="6" t="inlineStr">
        <is>
          <t>FY27</t>
        </is>
      </c>
      <c r="B4039" s="6" t="inlineStr">
        <is>
          <t>Sep</t>
        </is>
      </c>
      <c r="C4039" s="6" t="inlineStr">
        <is>
          <t>TN</t>
        </is>
      </c>
      <c r="D4039" s="7" t="inlineStr">
        <is>
          <t>TN06R7641</t>
        </is>
      </c>
      <c r="E4039" s="7" t="inlineStr">
        <is>
          <t>MARUTI SUZUKI</t>
        </is>
      </c>
      <c r="F4039" s="7" t="inlineStr">
        <is>
          <t>Alto</t>
        </is>
      </c>
      <c r="G4039" s="7" t="inlineStr">
        <is>
          <t>EXCHANGE CHENNAI</t>
        </is>
      </c>
      <c r="H4039" s="7" t="inlineStr">
        <is>
          <t>Captive</t>
        </is>
      </c>
      <c r="I4039" s="7" t="inlineStr">
        <is>
          <t>Santhosh Cars</t>
        </is>
      </c>
      <c r="J4039" s="8" t="n"/>
      <c r="K4039" s="9" t="n"/>
      <c r="L4039" s="10" t="n">
        <v>165000</v>
      </c>
      <c r="M4039" s="10" t="n">
        <v>4237.29</v>
      </c>
      <c r="N4039" s="11">
        <f>IF(M4039="","",ROUND(M4039*1.18,2))</f>
        <v/>
      </c>
      <c r="O4039" s="12">
        <f>IF(M4039="","",ROUND(N4039-M4039,2))</f>
        <v/>
      </c>
      <c r="P4039" s="13">
        <f>IF(AND(A4039&lt;&gt;"",B4039&lt;&gt;""), A4039&amp;" · "&amp;B4039, "")</f>
        <v/>
      </c>
    </row>
    <row r="4040">
      <c r="A4040" s="6" t="inlineStr">
        <is>
          <t>FY27</t>
        </is>
      </c>
      <c r="B4040" s="6" t="inlineStr">
        <is>
          <t>Sep</t>
        </is>
      </c>
      <c r="C4040" s="6" t="inlineStr">
        <is>
          <t>TN</t>
        </is>
      </c>
      <c r="D4040" s="7" t="inlineStr">
        <is>
          <t>TN06S5376</t>
        </is>
      </c>
      <c r="E4040" s="7" t="inlineStr">
        <is>
          <t>HYUNDAI</t>
        </is>
      </c>
      <c r="F4040" s="7" t="inlineStr">
        <is>
          <t>i10</t>
        </is>
      </c>
      <c r="G4040" s="7" t="inlineStr">
        <is>
          <t>EXCHANGE ROTN</t>
        </is>
      </c>
      <c r="H4040" s="7" t="inlineStr">
        <is>
          <t>Captive</t>
        </is>
      </c>
      <c r="I4040" s="7" t="inlineStr">
        <is>
          <t>READY TO RIDE CARS</t>
        </is>
      </c>
      <c r="J4040" s="8" t="n">
        <v>2016</v>
      </c>
      <c r="K4040" s="9" t="n">
        <v>54063</v>
      </c>
      <c r="L4040" s="10" t="n">
        <v>93000</v>
      </c>
      <c r="M4040" s="10" t="n">
        <v>4237.29</v>
      </c>
      <c r="N4040" s="11">
        <f>IF(M4040="","",ROUND(M4040*1.18,2))</f>
        <v/>
      </c>
      <c r="O4040" s="12">
        <f>IF(M4040="","",ROUND(N4040-M4040,2))</f>
        <v/>
      </c>
      <c r="P4040" s="13">
        <f>IF(AND(A4040&lt;&gt;"",B4040&lt;&gt;""), A4040&amp;" · "&amp;B4040, "")</f>
        <v/>
      </c>
    </row>
    <row r="4041">
      <c r="A4041" s="6" t="inlineStr">
        <is>
          <t>FY27</t>
        </is>
      </c>
      <c r="B4041" s="6" t="inlineStr">
        <is>
          <t>Sep</t>
        </is>
      </c>
      <c r="C4041" s="6" t="inlineStr">
        <is>
          <t>TN</t>
        </is>
      </c>
      <c r="D4041" s="7" t="inlineStr">
        <is>
          <t>TN06T8011</t>
        </is>
      </c>
      <c r="E4041" s="7" t="inlineStr">
        <is>
          <t>HONDA</t>
        </is>
      </c>
      <c r="F4041" s="7" t="inlineStr">
        <is>
          <t>WR-V</t>
        </is>
      </c>
      <c r="G4041" s="7" t="inlineStr">
        <is>
          <t>EXCHANGE CHENNAI</t>
        </is>
      </c>
      <c r="H4041" s="7" t="inlineStr">
        <is>
          <t>Captive</t>
        </is>
      </c>
      <c r="I4041" s="7" t="inlineStr">
        <is>
          <t>Santhosh Cars</t>
        </is>
      </c>
      <c r="J4041" s="8" t="n"/>
      <c r="K4041" s="9" t="n"/>
      <c r="L4041" s="10" t="n">
        <v>405000</v>
      </c>
      <c r="M4041" s="10" t="n">
        <v>8474.58</v>
      </c>
      <c r="N4041" s="11">
        <f>IF(M4041="","",ROUND(M4041*1.18,2))</f>
        <v/>
      </c>
      <c r="O4041" s="12">
        <f>IF(M4041="","",ROUND(N4041-M4041,2))</f>
        <v/>
      </c>
      <c r="P4041" s="13">
        <f>IF(AND(A4041&lt;&gt;"",B4041&lt;&gt;""), A4041&amp;" · "&amp;B4041, "")</f>
        <v/>
      </c>
    </row>
    <row r="4042">
      <c r="A4042" s="6" t="inlineStr">
        <is>
          <t>FY27</t>
        </is>
      </c>
      <c r="B4042" s="6" t="inlineStr">
        <is>
          <t>Sep</t>
        </is>
      </c>
      <c r="C4042" s="6" t="inlineStr">
        <is>
          <t>TN</t>
        </is>
      </c>
      <c r="D4042" s="7" t="inlineStr">
        <is>
          <t>TN06U5595</t>
        </is>
      </c>
      <c r="E4042" s="7" t="inlineStr">
        <is>
          <t>HYUNDAI</t>
        </is>
      </c>
      <c r="F4042" s="7" t="inlineStr">
        <is>
          <t>Eon</t>
        </is>
      </c>
      <c r="G4042" s="7" t="inlineStr">
        <is>
          <t>LANSON QCARS PRIVATE LIMITED</t>
        </is>
      </c>
      <c r="H4042" s="7" t="inlineStr">
        <is>
          <t>Non-Captive</t>
        </is>
      </c>
      <c r="I4042" s="7" t="inlineStr">
        <is>
          <t>Value Drive Tech</t>
        </is>
      </c>
      <c r="J4042" s="8" t="n">
        <v>2017</v>
      </c>
      <c r="K4042" s="9" t="n">
        <v>38883</v>
      </c>
      <c r="L4042" s="10" t="n">
        <v>99000</v>
      </c>
      <c r="M4042" s="10" t="n">
        <v>4237.29</v>
      </c>
      <c r="N4042" s="11">
        <f>IF(M4042="","",ROUND(M4042*1.18,2))</f>
        <v/>
      </c>
      <c r="O4042" s="12">
        <f>IF(M4042="","",ROUND(N4042-M4042,2))</f>
        <v/>
      </c>
      <c r="P4042" s="13">
        <f>IF(AND(A4042&lt;&gt;"",B4042&lt;&gt;""), A4042&amp;" · "&amp;B4042, "")</f>
        <v/>
      </c>
    </row>
    <row r="4043">
      <c r="A4043" s="6" t="inlineStr">
        <is>
          <t>FY27</t>
        </is>
      </c>
      <c r="B4043" s="6" t="inlineStr">
        <is>
          <t>Sep</t>
        </is>
      </c>
      <c r="C4043" s="6" t="inlineStr">
        <is>
          <t>TN</t>
        </is>
      </c>
      <c r="D4043" s="7" t="inlineStr">
        <is>
          <t>TN06V6409</t>
        </is>
      </c>
      <c r="E4043" s="7" t="inlineStr">
        <is>
          <t>MARUTI SUZUKI</t>
        </is>
      </c>
      <c r="F4043" s="7" t="inlineStr">
        <is>
          <t>Baleno</t>
        </is>
      </c>
      <c r="G4043" s="7" t="inlineStr">
        <is>
          <t>CASTLE TRADERS MARUTI</t>
        </is>
      </c>
      <c r="H4043" s="7" t="inlineStr">
        <is>
          <t>Non-Captive</t>
        </is>
      </c>
      <c r="I4043" s="7" t="inlineStr">
        <is>
          <t>AAA Cars</t>
        </is>
      </c>
      <c r="J4043" s="8" t="n">
        <v>2018</v>
      </c>
      <c r="K4043" s="9" t="n">
        <v>63164</v>
      </c>
      <c r="L4043" s="10" t="n">
        <v>415000</v>
      </c>
      <c r="M4043" s="10" t="n">
        <v>7627.12</v>
      </c>
      <c r="N4043" s="11">
        <f>IF(M4043="","",ROUND(M4043*1.18,2))</f>
        <v/>
      </c>
      <c r="O4043" s="12">
        <f>IF(M4043="","",ROUND(N4043-M4043,2))</f>
        <v/>
      </c>
      <c r="P4043" s="13">
        <f>IF(AND(A4043&lt;&gt;"",B4043&lt;&gt;""), A4043&amp;" · "&amp;B4043, "")</f>
        <v/>
      </c>
    </row>
    <row r="4044">
      <c r="A4044" s="6" t="inlineStr">
        <is>
          <t>FY27</t>
        </is>
      </c>
      <c r="B4044" s="6" t="inlineStr">
        <is>
          <t>Sep</t>
        </is>
      </c>
      <c r="C4044" s="6" t="inlineStr">
        <is>
          <t>TN</t>
        </is>
      </c>
      <c r="D4044" s="7" t="inlineStr">
        <is>
          <t>TN06X7762</t>
        </is>
      </c>
      <c r="E4044" s="7" t="inlineStr">
        <is>
          <t>HONDA</t>
        </is>
      </c>
      <c r="F4044" s="7" t="inlineStr">
        <is>
          <t>Civic</t>
        </is>
      </c>
      <c r="G4044" s="7" t="inlineStr">
        <is>
          <t>EXCHANGE CHENNAI</t>
        </is>
      </c>
      <c r="H4044" s="7" t="inlineStr">
        <is>
          <t>Captive</t>
        </is>
      </c>
      <c r="I4044" s="7" t="inlineStr">
        <is>
          <t>&lt;NA&gt;</t>
        </is>
      </c>
      <c r="J4044" s="8" t="n">
        <v>2019</v>
      </c>
      <c r="K4044" s="9" t="n">
        <v>86543</v>
      </c>
      <c r="L4044" s="10" t="n">
        <v>700000</v>
      </c>
      <c r="M4044" s="10" t="n">
        <v>8474.58</v>
      </c>
      <c r="N4044" s="11">
        <f>IF(M4044="","",ROUND(M4044*1.18,2))</f>
        <v/>
      </c>
      <c r="O4044" s="12">
        <f>IF(M4044="","",ROUND(N4044-M4044,2))</f>
        <v/>
      </c>
      <c r="P4044" s="13">
        <f>IF(AND(A4044&lt;&gt;"",B4044&lt;&gt;""), A4044&amp;" · "&amp;B4044, "")</f>
        <v/>
      </c>
    </row>
    <row r="4045">
      <c r="A4045" s="6" t="inlineStr">
        <is>
          <t>FY27</t>
        </is>
      </c>
      <c r="B4045" s="6" t="inlineStr">
        <is>
          <t>Sep</t>
        </is>
      </c>
      <c r="C4045" s="6" t="inlineStr">
        <is>
          <t>TN</t>
        </is>
      </c>
      <c r="D4045" s="7" t="inlineStr">
        <is>
          <t>TN07AM9961</t>
        </is>
      </c>
      <c r="E4045" s="7" t="inlineStr">
        <is>
          <t>HONDA</t>
        </is>
      </c>
      <c r="F4045" s="7" t="inlineStr">
        <is>
          <t>City</t>
        </is>
      </c>
      <c r="G4045" s="7" t="inlineStr">
        <is>
          <t>EXCHANGE ROTN</t>
        </is>
      </c>
      <c r="H4045" s="7" t="inlineStr">
        <is>
          <t>Captive</t>
        </is>
      </c>
      <c r="I4045" s="7" t="inlineStr">
        <is>
          <t>Sivashankar Cars</t>
        </is>
      </c>
      <c r="J4045" s="8" t="n">
        <v>2007</v>
      </c>
      <c r="K4045" s="9" t="n">
        <v>127173</v>
      </c>
      <c r="L4045" s="10" t="n">
        <v>60000</v>
      </c>
      <c r="M4045" s="10" t="n">
        <v>4237.29</v>
      </c>
      <c r="N4045" s="11">
        <f>IF(M4045="","",ROUND(M4045*1.18,2))</f>
        <v/>
      </c>
      <c r="O4045" s="12">
        <f>IF(M4045="","",ROUND(N4045-M4045,2))</f>
        <v/>
      </c>
      <c r="P4045" s="13">
        <f>IF(AND(A4045&lt;&gt;"",B4045&lt;&gt;""), A4045&amp;" · "&amp;B4045, "")</f>
        <v/>
      </c>
    </row>
    <row r="4046">
      <c r="A4046" s="6" t="inlineStr">
        <is>
          <t>FY27</t>
        </is>
      </c>
      <c r="B4046" s="6" t="inlineStr">
        <is>
          <t>Sep</t>
        </is>
      </c>
      <c r="C4046" s="6" t="inlineStr">
        <is>
          <t>TN</t>
        </is>
      </c>
      <c r="D4046" s="7" t="inlineStr">
        <is>
          <t>TN07AQ2973</t>
        </is>
      </c>
      <c r="E4046" s="7" t="inlineStr">
        <is>
          <t>FIAT</t>
        </is>
      </c>
      <c r="F4046" s="7" t="inlineStr">
        <is>
          <t>Palio Stile</t>
        </is>
      </c>
      <c r="G4046" s="7" t="inlineStr">
        <is>
          <t>EXCHANGE ROTN</t>
        </is>
      </c>
      <c r="H4046" s="7" t="inlineStr">
        <is>
          <t>Captive</t>
        </is>
      </c>
      <c r="I4046" s="7" t="inlineStr">
        <is>
          <t>Mr.Cars</t>
        </is>
      </c>
      <c r="J4046" s="8" t="n">
        <v>2007</v>
      </c>
      <c r="K4046" s="9" t="n">
        <v>72793</v>
      </c>
      <c r="L4046" s="10" t="n">
        <v>30000</v>
      </c>
      <c r="M4046" s="10" t="n">
        <v>4237.29</v>
      </c>
      <c r="N4046" s="11">
        <f>IF(M4046="","",ROUND(M4046*1.18,2))</f>
        <v/>
      </c>
      <c r="O4046" s="12">
        <f>IF(M4046="","",ROUND(N4046-M4046,2))</f>
        <v/>
      </c>
      <c r="P4046" s="13">
        <f>IF(AND(A4046&lt;&gt;"",B4046&lt;&gt;""), A4046&amp;" · "&amp;B4046, "")</f>
        <v/>
      </c>
    </row>
    <row r="4047">
      <c r="A4047" s="6" t="inlineStr">
        <is>
          <t>FY27</t>
        </is>
      </c>
      <c r="B4047" s="6" t="inlineStr">
        <is>
          <t>Sep</t>
        </is>
      </c>
      <c r="C4047" s="6" t="inlineStr">
        <is>
          <t>TN</t>
        </is>
      </c>
      <c r="D4047" s="7" t="inlineStr">
        <is>
          <t>TN07BB3720</t>
        </is>
      </c>
      <c r="E4047" s="7" t="inlineStr">
        <is>
          <t>FORD</t>
        </is>
      </c>
      <c r="F4047" s="7" t="inlineStr">
        <is>
          <t>Fiesta</t>
        </is>
      </c>
      <c r="G4047" s="7" t="inlineStr">
        <is>
          <t>AIE CARS PRIVATE LIMITED</t>
        </is>
      </c>
      <c r="H4047" s="7" t="inlineStr">
        <is>
          <t>Non-Captive</t>
        </is>
      </c>
      <c r="I4047" s="7" t="inlineStr">
        <is>
          <t>Pine Autos</t>
        </is>
      </c>
      <c r="J4047" s="8" t="n">
        <v>2008</v>
      </c>
      <c r="K4047" s="9" t="n">
        <v>82509</v>
      </c>
      <c r="L4047" s="10" t="n">
        <v>98000</v>
      </c>
      <c r="M4047" s="10" t="n">
        <v>4237.29</v>
      </c>
      <c r="N4047" s="11">
        <f>IF(M4047="","",ROUND(M4047*1.18,2))</f>
        <v/>
      </c>
      <c r="O4047" s="12">
        <f>IF(M4047="","",ROUND(N4047-M4047,2))</f>
        <v/>
      </c>
      <c r="P4047" s="13">
        <f>IF(AND(A4047&lt;&gt;"",B4047&lt;&gt;""), A4047&amp;" · "&amp;B4047, "")</f>
        <v/>
      </c>
    </row>
    <row r="4048">
      <c r="A4048" s="6" t="inlineStr">
        <is>
          <t>FY27</t>
        </is>
      </c>
      <c r="B4048" s="6" t="inlineStr">
        <is>
          <t>Sep</t>
        </is>
      </c>
      <c r="C4048" s="6" t="inlineStr">
        <is>
          <t>TN</t>
        </is>
      </c>
      <c r="D4048" s="7" t="inlineStr">
        <is>
          <t>TN07BB8262</t>
        </is>
      </c>
      <c r="E4048" s="7" t="inlineStr">
        <is>
          <t>HONDA</t>
        </is>
      </c>
      <c r="F4048" s="7" t="inlineStr">
        <is>
          <t>City</t>
        </is>
      </c>
      <c r="G4048" s="7" t="inlineStr">
        <is>
          <t>AIE CARS PRIVATE LIMITED</t>
        </is>
      </c>
      <c r="H4048" s="7" t="inlineStr">
        <is>
          <t>Non-Captive</t>
        </is>
      </c>
      <c r="I4048" s="7" t="inlineStr">
        <is>
          <t>Santhosh Cars</t>
        </is>
      </c>
      <c r="J4048" s="8" t="n">
        <v>2008</v>
      </c>
      <c r="K4048" s="9" t="n">
        <v>54319</v>
      </c>
      <c r="L4048" s="10" t="n">
        <v>89000</v>
      </c>
      <c r="M4048" s="10" t="n">
        <v>4237.29</v>
      </c>
      <c r="N4048" s="11">
        <f>IF(M4048="","",ROUND(M4048*1.18,2))</f>
        <v/>
      </c>
      <c r="O4048" s="12">
        <f>IF(M4048="","",ROUND(N4048-M4048,2))</f>
        <v/>
      </c>
      <c r="P4048" s="13">
        <f>IF(AND(A4048&lt;&gt;"",B4048&lt;&gt;""), A4048&amp;" · "&amp;B4048, "")</f>
        <v/>
      </c>
    </row>
    <row r="4049">
      <c r="A4049" s="6" t="inlineStr">
        <is>
          <t>FY27</t>
        </is>
      </c>
      <c r="B4049" s="6" t="inlineStr">
        <is>
          <t>Sep</t>
        </is>
      </c>
      <c r="C4049" s="6" t="inlineStr">
        <is>
          <t>TN</t>
        </is>
      </c>
      <c r="D4049" s="7" t="inlineStr">
        <is>
          <t>TN07BC5094</t>
        </is>
      </c>
      <c r="E4049" s="7" t="inlineStr">
        <is>
          <t>TATA</t>
        </is>
      </c>
      <c r="F4049" s="7" t="inlineStr">
        <is>
          <t>Indica</t>
        </is>
      </c>
      <c r="G4049" s="7" t="inlineStr">
        <is>
          <t>EXCHANGE ROTN</t>
        </is>
      </c>
      <c r="H4049" s="7" t="inlineStr">
        <is>
          <t>Captive</t>
        </is>
      </c>
      <c r="I4049" s="7" t="inlineStr">
        <is>
          <t>Sree Murugan Cars</t>
        </is>
      </c>
      <c r="J4049" s="8" t="n">
        <v>2009</v>
      </c>
      <c r="K4049" s="9" t="n">
        <v>72096</v>
      </c>
      <c r="L4049" s="10" t="n">
        <v>65000</v>
      </c>
      <c r="M4049" s="10" t="n">
        <v>4237.29</v>
      </c>
      <c r="N4049" s="11">
        <f>IF(M4049="","",ROUND(M4049*1.18,2))</f>
        <v/>
      </c>
      <c r="O4049" s="12">
        <f>IF(M4049="","",ROUND(N4049-M4049,2))</f>
        <v/>
      </c>
      <c r="P4049" s="13">
        <f>IF(AND(A4049&lt;&gt;"",B4049&lt;&gt;""), A4049&amp;" · "&amp;B4049, "")</f>
        <v/>
      </c>
    </row>
    <row r="4050">
      <c r="A4050" s="6" t="inlineStr">
        <is>
          <t>FY27</t>
        </is>
      </c>
      <c r="B4050" s="6" t="inlineStr">
        <is>
          <t>Sep</t>
        </is>
      </c>
      <c r="C4050" s="6" t="inlineStr">
        <is>
          <t>TN</t>
        </is>
      </c>
      <c r="D4050" s="7" t="inlineStr">
        <is>
          <t>TN07BC6283</t>
        </is>
      </c>
      <c r="E4050" s="7" t="inlineStr">
        <is>
          <t>MARUTI SUZUKI</t>
        </is>
      </c>
      <c r="F4050" s="7" t="inlineStr">
        <is>
          <t>Swift</t>
        </is>
      </c>
      <c r="G4050" s="7" t="inlineStr">
        <is>
          <t>LAKSHMI TATA</t>
        </is>
      </c>
      <c r="H4050" s="7" t="inlineStr">
        <is>
          <t>Non-Captive</t>
        </is>
      </c>
      <c r="I4050" s="7" t="inlineStr">
        <is>
          <t>Maruthi Industries</t>
        </is>
      </c>
      <c r="J4050" s="8" t="n">
        <v>2009</v>
      </c>
      <c r="K4050" s="9" t="n">
        <v>42437</v>
      </c>
      <c r="L4050" s="10" t="n">
        <v>198000</v>
      </c>
      <c r="M4050" s="10" t="n">
        <v>5084.75</v>
      </c>
      <c r="N4050" s="11">
        <f>IF(M4050="","",ROUND(M4050*1.18,2))</f>
        <v/>
      </c>
      <c r="O4050" s="12">
        <f>IF(M4050="","",ROUND(N4050-M4050,2))</f>
        <v/>
      </c>
      <c r="P4050" s="13">
        <f>IF(AND(A4050&lt;&gt;"",B4050&lt;&gt;""), A4050&amp;" · "&amp;B4050, "")</f>
        <v/>
      </c>
    </row>
    <row r="4051">
      <c r="A4051" s="6" t="inlineStr">
        <is>
          <t>FY27</t>
        </is>
      </c>
      <c r="B4051" s="6" t="inlineStr">
        <is>
          <t>Sep</t>
        </is>
      </c>
      <c r="C4051" s="6" t="inlineStr">
        <is>
          <t>TN</t>
        </is>
      </c>
      <c r="D4051" s="7" t="inlineStr">
        <is>
          <t>TN07BE7693</t>
        </is>
      </c>
      <c r="E4051" s="7" t="inlineStr">
        <is>
          <t>SKODA</t>
        </is>
      </c>
      <c r="F4051" s="7" t="inlineStr">
        <is>
          <t>Fabia</t>
        </is>
      </c>
      <c r="G4051" s="7" t="inlineStr">
        <is>
          <t>EXCHANGE CHENNAI</t>
        </is>
      </c>
      <c r="H4051" s="7" t="inlineStr">
        <is>
          <t>Captive</t>
        </is>
      </c>
      <c r="I4051" s="7" t="inlineStr">
        <is>
          <t>Santhosh Cars</t>
        </is>
      </c>
      <c r="J4051" s="8" t="n">
        <v>2009</v>
      </c>
      <c r="K4051" s="9" t="n">
        <v>7318</v>
      </c>
      <c r="L4051" s="10" t="n">
        <v>150000</v>
      </c>
      <c r="M4051" s="10" t="n">
        <v>4237.29</v>
      </c>
      <c r="N4051" s="11">
        <f>IF(M4051="","",ROUND(M4051*1.18,2))</f>
        <v/>
      </c>
      <c r="O4051" s="12">
        <f>IF(M4051="","",ROUND(N4051-M4051,2))</f>
        <v/>
      </c>
      <c r="P4051" s="13">
        <f>IF(AND(A4051&lt;&gt;"",B4051&lt;&gt;""), A4051&amp;" · "&amp;B4051, "")</f>
        <v/>
      </c>
    </row>
    <row r="4052">
      <c r="A4052" s="6" t="inlineStr">
        <is>
          <t>FY27</t>
        </is>
      </c>
      <c r="B4052" s="6" t="inlineStr">
        <is>
          <t>Sep</t>
        </is>
      </c>
      <c r="C4052" s="6" t="inlineStr">
        <is>
          <t>TN</t>
        </is>
      </c>
      <c r="D4052" s="7" t="inlineStr">
        <is>
          <t>TN07BF2414</t>
        </is>
      </c>
      <c r="E4052" s="7" t="inlineStr">
        <is>
          <t>HONDA</t>
        </is>
      </c>
      <c r="F4052" s="7" t="inlineStr">
        <is>
          <t>City</t>
        </is>
      </c>
      <c r="G4052" s="7" t="inlineStr">
        <is>
          <t>AIE CARS PRIVATE LIMITED</t>
        </is>
      </c>
      <c r="H4052" s="7" t="inlineStr">
        <is>
          <t>Non-Captive</t>
        </is>
      </c>
      <c r="I4052" s="7" t="inlineStr">
        <is>
          <t>Pine Autos</t>
        </is>
      </c>
      <c r="J4052" s="8" t="n">
        <v>2010</v>
      </c>
      <c r="K4052" s="9" t="n">
        <v>117730</v>
      </c>
      <c r="L4052" s="10" t="n">
        <v>95000</v>
      </c>
      <c r="M4052" s="10" t="n">
        <v>4237.29</v>
      </c>
      <c r="N4052" s="11">
        <f>IF(M4052="","",ROUND(M4052*1.18,2))</f>
        <v/>
      </c>
      <c r="O4052" s="12">
        <f>IF(M4052="","",ROUND(N4052-M4052,2))</f>
        <v/>
      </c>
      <c r="P4052" s="13">
        <f>IF(AND(A4052&lt;&gt;"",B4052&lt;&gt;""), A4052&amp;" · "&amp;B4052, "")</f>
        <v/>
      </c>
    </row>
    <row r="4053">
      <c r="A4053" s="6" t="inlineStr">
        <is>
          <t>FY27</t>
        </is>
      </c>
      <c r="B4053" s="6" t="inlineStr">
        <is>
          <t>Sep</t>
        </is>
      </c>
      <c r="C4053" s="6" t="inlineStr">
        <is>
          <t>TN</t>
        </is>
      </c>
      <c r="D4053" s="7" t="inlineStr">
        <is>
          <t>TN07BF4064</t>
        </is>
      </c>
      <c r="E4053" s="7" t="inlineStr">
        <is>
          <t>MARUTI SUZUKI</t>
        </is>
      </c>
      <c r="F4053" s="7" t="inlineStr">
        <is>
          <t>Ritz</t>
        </is>
      </c>
      <c r="G4053" s="7" t="inlineStr">
        <is>
          <t>AIE CARS PRIVATE LIMITED</t>
        </is>
      </c>
      <c r="H4053" s="7" t="inlineStr">
        <is>
          <t>Non-Captive</t>
        </is>
      </c>
      <c r="I4053" s="7" t="inlineStr">
        <is>
          <t>VS Enterprises</t>
        </is>
      </c>
      <c r="J4053" s="8" t="n">
        <v>2010</v>
      </c>
      <c r="K4053" s="9" t="n">
        <v>8152</v>
      </c>
      <c r="L4053" s="10" t="n">
        <v>97000</v>
      </c>
      <c r="M4053" s="10" t="n">
        <v>4237.29</v>
      </c>
      <c r="N4053" s="11">
        <f>IF(M4053="","",ROUND(M4053*1.18,2))</f>
        <v/>
      </c>
      <c r="O4053" s="12">
        <f>IF(M4053="","",ROUND(N4053-M4053,2))</f>
        <v/>
      </c>
      <c r="P4053" s="13">
        <f>IF(AND(A4053&lt;&gt;"",B4053&lt;&gt;""), A4053&amp;" · "&amp;B4053, "")</f>
        <v/>
      </c>
    </row>
    <row r="4054">
      <c r="A4054" s="6" t="inlineStr">
        <is>
          <t>FY27</t>
        </is>
      </c>
      <c r="B4054" s="6" t="inlineStr">
        <is>
          <t>Sep</t>
        </is>
      </c>
      <c r="C4054" s="6" t="inlineStr">
        <is>
          <t>TN</t>
        </is>
      </c>
      <c r="D4054" s="7" t="inlineStr">
        <is>
          <t>TN07BV8741</t>
        </is>
      </c>
      <c r="E4054" s="7" t="inlineStr">
        <is>
          <t>MARUTI SUZUKI</t>
        </is>
      </c>
      <c r="F4054" s="7" t="inlineStr">
        <is>
          <t>Alto 800</t>
        </is>
      </c>
      <c r="G4054" s="7" t="inlineStr">
        <is>
          <t>CASTLE TRADERS MARUTI</t>
        </is>
      </c>
      <c r="H4054" s="7" t="inlineStr">
        <is>
          <t>Non-Captive</t>
        </is>
      </c>
      <c r="I4054" s="7" t="inlineStr">
        <is>
          <t>Hasini Cars</t>
        </is>
      </c>
      <c r="J4054" s="8" t="n">
        <v>2013</v>
      </c>
      <c r="K4054" s="9" t="n">
        <v>149941</v>
      </c>
      <c r="L4054" s="10" t="n">
        <v>145000</v>
      </c>
      <c r="M4054" s="10" t="n">
        <v>5084.75</v>
      </c>
      <c r="N4054" s="11">
        <f>IF(M4054="","",ROUND(M4054*1.18,2))</f>
        <v/>
      </c>
      <c r="O4054" s="12">
        <f>IF(M4054="","",ROUND(N4054-M4054,2))</f>
        <v/>
      </c>
      <c r="P4054" s="13">
        <f>IF(AND(A4054&lt;&gt;"",B4054&lt;&gt;""), A4054&amp;" · "&amp;B4054, "")</f>
        <v/>
      </c>
    </row>
    <row r="4055">
      <c r="A4055" s="6" t="inlineStr">
        <is>
          <t>FY27</t>
        </is>
      </c>
      <c r="B4055" s="6" t="inlineStr">
        <is>
          <t>Sep</t>
        </is>
      </c>
      <c r="C4055" s="6" t="inlineStr">
        <is>
          <t>TN</t>
        </is>
      </c>
      <c r="D4055" s="7" t="inlineStr">
        <is>
          <t>TN07BX4001</t>
        </is>
      </c>
      <c r="E4055" s="7" t="inlineStr">
        <is>
          <t>FORD</t>
        </is>
      </c>
      <c r="F4055" s="7" t="inlineStr">
        <is>
          <t>EcoSport</t>
        </is>
      </c>
      <c r="G4055" s="7" t="inlineStr">
        <is>
          <t>EXCHANGE CHENNAI</t>
        </is>
      </c>
      <c r="H4055" s="7" t="inlineStr">
        <is>
          <t>Captive</t>
        </is>
      </c>
      <c r="I4055" s="7" t="inlineStr">
        <is>
          <t>&lt;NA&gt;</t>
        </is>
      </c>
      <c r="J4055" s="8" t="n">
        <v>2014</v>
      </c>
      <c r="K4055" s="9" t="n">
        <v>43582</v>
      </c>
      <c r="L4055" s="10" t="n">
        <v>400000</v>
      </c>
      <c r="M4055" s="10" t="n">
        <v>8474.58</v>
      </c>
      <c r="N4055" s="11">
        <f>IF(M4055="","",ROUND(M4055*1.18,2))</f>
        <v/>
      </c>
      <c r="O4055" s="12">
        <f>IF(M4055="","",ROUND(N4055-M4055,2))</f>
        <v/>
      </c>
      <c r="P4055" s="13">
        <f>IF(AND(A4055&lt;&gt;"",B4055&lt;&gt;""), A4055&amp;" · "&amp;B4055, "")</f>
        <v/>
      </c>
    </row>
    <row r="4056">
      <c r="A4056" s="6" t="inlineStr">
        <is>
          <t>FY27</t>
        </is>
      </c>
      <c r="B4056" s="6" t="inlineStr">
        <is>
          <t>Sep</t>
        </is>
      </c>
      <c r="C4056" s="6" t="inlineStr">
        <is>
          <t>TN</t>
        </is>
      </c>
      <c r="D4056" s="7" t="inlineStr">
        <is>
          <t>TN07CA6516</t>
        </is>
      </c>
      <c r="E4056" s="7" t="inlineStr">
        <is>
          <t>HONDA</t>
        </is>
      </c>
      <c r="F4056" s="7" t="inlineStr">
        <is>
          <t>Amaze</t>
        </is>
      </c>
      <c r="G4056" s="7" t="inlineStr">
        <is>
          <t>VISHNU CARS PRIVATE LIMITED</t>
        </is>
      </c>
      <c r="H4056" s="7" t="inlineStr">
        <is>
          <t>Non-Captive</t>
        </is>
      </c>
      <c r="I4056" s="7" t="inlineStr">
        <is>
          <t>Thiya Cars</t>
        </is>
      </c>
      <c r="J4056" s="8" t="n">
        <v>2014</v>
      </c>
      <c r="K4056" s="9" t="n">
        <v>217622</v>
      </c>
      <c r="L4056" s="10" t="n">
        <v>98000</v>
      </c>
      <c r="M4056" s="10" t="n">
        <v>4237.29</v>
      </c>
      <c r="N4056" s="11">
        <f>IF(M4056="","",ROUND(M4056*1.18,2))</f>
        <v/>
      </c>
      <c r="O4056" s="12">
        <f>IF(M4056="","",ROUND(N4056-M4056,2))</f>
        <v/>
      </c>
      <c r="P4056" s="13">
        <f>IF(AND(A4056&lt;&gt;"",B4056&lt;&gt;""), A4056&amp;" · "&amp;B4056, "")</f>
        <v/>
      </c>
    </row>
    <row r="4057">
      <c r="A4057" s="6" t="inlineStr">
        <is>
          <t>FY27</t>
        </is>
      </c>
      <c r="B4057" s="6" t="inlineStr">
        <is>
          <t>Sep</t>
        </is>
      </c>
      <c r="C4057" s="6" t="inlineStr">
        <is>
          <t>TN</t>
        </is>
      </c>
      <c r="D4057" s="7" t="inlineStr">
        <is>
          <t>TN07CA9453</t>
        </is>
      </c>
      <c r="E4057" s="7" t="inlineStr">
        <is>
          <t>HYUNDAI</t>
        </is>
      </c>
      <c r="F4057" s="7" t="inlineStr">
        <is>
          <t>i10</t>
        </is>
      </c>
      <c r="G4057" s="7" t="inlineStr">
        <is>
          <t>EXCHANGE ROTN</t>
        </is>
      </c>
      <c r="H4057" s="7" t="inlineStr">
        <is>
          <t>Captive</t>
        </is>
      </c>
      <c r="I4057" s="7" t="inlineStr">
        <is>
          <t>SELVA MOTORS</t>
        </is>
      </c>
      <c r="J4057" s="8" t="n">
        <v>2014</v>
      </c>
      <c r="K4057" s="9" t="n">
        <v>61212</v>
      </c>
      <c r="L4057" s="10" t="n">
        <v>150000</v>
      </c>
      <c r="M4057" s="10" t="n">
        <v>8474.58</v>
      </c>
      <c r="N4057" s="11">
        <f>IF(M4057="","",ROUND(M4057*1.18,2))</f>
        <v/>
      </c>
      <c r="O4057" s="12">
        <f>IF(M4057="","",ROUND(N4057-M4057,2))</f>
        <v/>
      </c>
      <c r="P4057" s="13">
        <f>IF(AND(A4057&lt;&gt;"",B4057&lt;&gt;""), A4057&amp;" · "&amp;B4057, "")</f>
        <v/>
      </c>
    </row>
    <row r="4058">
      <c r="A4058" s="6" t="inlineStr">
        <is>
          <t>FY27</t>
        </is>
      </c>
      <c r="B4058" s="6" t="inlineStr">
        <is>
          <t>Sep</t>
        </is>
      </c>
      <c r="C4058" s="6" t="inlineStr">
        <is>
          <t>TN</t>
        </is>
      </c>
      <c r="D4058" s="7" t="inlineStr">
        <is>
          <t>TN07CC2648</t>
        </is>
      </c>
      <c r="E4058" s="7" t="inlineStr">
        <is>
          <t>HYUNDAI</t>
        </is>
      </c>
      <c r="F4058" s="7" t="inlineStr">
        <is>
          <t>Grand i10</t>
        </is>
      </c>
      <c r="G4058" s="7" t="inlineStr">
        <is>
          <t>KUN CAR ENTERPRISES</t>
        </is>
      </c>
      <c r="H4058" s="7" t="inlineStr">
        <is>
          <t>Non-Captive</t>
        </is>
      </c>
      <c r="I4058" s="7" t="inlineStr">
        <is>
          <t>Cars24</t>
        </is>
      </c>
      <c r="J4058" s="8" t="n">
        <v>2015</v>
      </c>
      <c r="K4058" s="9" t="n">
        <v>64890</v>
      </c>
      <c r="L4058" s="10" t="n">
        <v>92000</v>
      </c>
      <c r="M4058" s="10" t="n">
        <v>4237.29</v>
      </c>
      <c r="N4058" s="11">
        <f>IF(M4058="","",ROUND(M4058*1.18,2))</f>
        <v/>
      </c>
      <c r="O4058" s="12">
        <f>IF(M4058="","",ROUND(N4058-M4058,2))</f>
        <v/>
      </c>
      <c r="P4058" s="13">
        <f>IF(AND(A4058&lt;&gt;"",B4058&lt;&gt;""), A4058&amp;" · "&amp;B4058, "")</f>
        <v/>
      </c>
    </row>
    <row r="4059">
      <c r="A4059" s="6" t="inlineStr">
        <is>
          <t>FY27</t>
        </is>
      </c>
      <c r="B4059" s="6" t="inlineStr">
        <is>
          <t>Sep</t>
        </is>
      </c>
      <c r="C4059" s="6" t="inlineStr">
        <is>
          <t>TN</t>
        </is>
      </c>
      <c r="D4059" s="7" t="inlineStr">
        <is>
          <t>TN07CC9777</t>
        </is>
      </c>
      <c r="E4059" s="7" t="inlineStr">
        <is>
          <t>CHEVROLET</t>
        </is>
      </c>
      <c r="F4059" s="7" t="inlineStr">
        <is>
          <t>Cruze</t>
        </is>
      </c>
      <c r="G4059" s="7" t="inlineStr">
        <is>
          <t>AIE CARS PRIVATE LIMITED</t>
        </is>
      </c>
      <c r="H4059" s="7" t="inlineStr">
        <is>
          <t>Non-Captive</t>
        </is>
      </c>
      <c r="I4059" s="7" t="inlineStr">
        <is>
          <t>Pine Autos</t>
        </is>
      </c>
      <c r="J4059" s="8" t="n">
        <v>2015</v>
      </c>
      <c r="K4059" s="9" t="n">
        <v>113891</v>
      </c>
      <c r="L4059" s="10" t="n">
        <v>92000</v>
      </c>
      <c r="M4059" s="10" t="n">
        <v>4237.29</v>
      </c>
      <c r="N4059" s="11">
        <f>IF(M4059="","",ROUND(M4059*1.18,2))</f>
        <v/>
      </c>
      <c r="O4059" s="12">
        <f>IF(M4059="","",ROUND(N4059-M4059,2))</f>
        <v/>
      </c>
      <c r="P4059" s="13">
        <f>IF(AND(A4059&lt;&gt;"",B4059&lt;&gt;""), A4059&amp;" · "&amp;B4059, "")</f>
        <v/>
      </c>
    </row>
    <row r="4060">
      <c r="A4060" s="6" t="inlineStr">
        <is>
          <t>FY27</t>
        </is>
      </c>
      <c r="B4060" s="6" t="inlineStr">
        <is>
          <t>Sep</t>
        </is>
      </c>
      <c r="C4060" s="6" t="inlineStr">
        <is>
          <t>TN</t>
        </is>
      </c>
      <c r="D4060" s="7" t="inlineStr">
        <is>
          <t>TN07CD3459</t>
        </is>
      </c>
      <c r="E4060" s="7" t="inlineStr">
        <is>
          <t>HONDA</t>
        </is>
      </c>
      <c r="F4060" s="7" t="inlineStr">
        <is>
          <t>Amaze</t>
        </is>
      </c>
      <c r="G4060" s="7" t="inlineStr">
        <is>
          <t>VISHNU CARS PRIVATE LIMITED</t>
        </is>
      </c>
      <c r="H4060" s="7" t="inlineStr">
        <is>
          <t>Non-Captive</t>
        </is>
      </c>
      <c r="I4060" s="7" t="inlineStr">
        <is>
          <t>Santhosh Cars</t>
        </is>
      </c>
      <c r="J4060" s="8" t="n">
        <v>2015</v>
      </c>
      <c r="K4060" s="9" t="n">
        <v>75986</v>
      </c>
      <c r="L4060" s="10" t="n">
        <v>96000</v>
      </c>
      <c r="M4060" s="10" t="n">
        <v>3389.83</v>
      </c>
      <c r="N4060" s="11">
        <f>IF(M4060="","",ROUND(M4060*1.18,2))</f>
        <v/>
      </c>
      <c r="O4060" s="12">
        <f>IF(M4060="","",ROUND(N4060-M4060,2))</f>
        <v/>
      </c>
      <c r="P4060" s="13">
        <f>IF(AND(A4060&lt;&gt;"",B4060&lt;&gt;""), A4060&amp;" · "&amp;B4060, "")</f>
        <v/>
      </c>
    </row>
    <row r="4061">
      <c r="A4061" s="6" t="inlineStr">
        <is>
          <t>FY27</t>
        </is>
      </c>
      <c r="B4061" s="6" t="inlineStr">
        <is>
          <t>Sep</t>
        </is>
      </c>
      <c r="C4061" s="6" t="inlineStr">
        <is>
          <t>TN</t>
        </is>
      </c>
      <c r="D4061" s="7" t="inlineStr">
        <is>
          <t>TN07CJ6730</t>
        </is>
      </c>
      <c r="E4061" s="7" t="inlineStr">
        <is>
          <t>HONDA</t>
        </is>
      </c>
      <c r="F4061" s="7" t="inlineStr">
        <is>
          <t>City</t>
        </is>
      </c>
      <c r="G4061" s="7" t="inlineStr">
        <is>
          <t>EXCHANGE CHENNAI</t>
        </is>
      </c>
      <c r="H4061" s="7" t="inlineStr">
        <is>
          <t>Captive</t>
        </is>
      </c>
      <c r="I4061" s="7" t="inlineStr">
        <is>
          <t>&lt;NA&gt;</t>
        </is>
      </c>
      <c r="J4061" s="8" t="n">
        <v>2017</v>
      </c>
      <c r="K4061" s="9" t="n">
        <v>35784</v>
      </c>
      <c r="L4061" s="10" t="n">
        <v>625000</v>
      </c>
      <c r="M4061" s="10" t="n">
        <v>8474.58</v>
      </c>
      <c r="N4061" s="11">
        <f>IF(M4061="","",ROUND(M4061*1.18,2))</f>
        <v/>
      </c>
      <c r="O4061" s="12">
        <f>IF(M4061="","",ROUND(N4061-M4061,2))</f>
        <v/>
      </c>
      <c r="P4061" s="13">
        <f>IF(AND(A4061&lt;&gt;"",B4061&lt;&gt;""), A4061&amp;" · "&amp;B4061, "")</f>
        <v/>
      </c>
    </row>
    <row r="4062">
      <c r="A4062" s="6" t="inlineStr">
        <is>
          <t>FY27</t>
        </is>
      </c>
      <c r="B4062" s="6" t="inlineStr">
        <is>
          <t>Sep</t>
        </is>
      </c>
      <c r="C4062" s="6" t="inlineStr">
        <is>
          <t>TN</t>
        </is>
      </c>
      <c r="D4062" s="7" t="inlineStr">
        <is>
          <t>TN07CS4855</t>
        </is>
      </c>
      <c r="E4062" s="7" t="inlineStr">
        <is>
          <t>HYUNDAI</t>
        </is>
      </c>
      <c r="F4062" s="7" t="inlineStr">
        <is>
          <t>Santro</t>
        </is>
      </c>
      <c r="G4062" s="7" t="inlineStr">
        <is>
          <t>CASTLE TRADERS MARUTI</t>
        </is>
      </c>
      <c r="H4062" s="7" t="inlineStr">
        <is>
          <t>Non-Captive</t>
        </is>
      </c>
      <c r="I4062" s="7" t="inlineStr">
        <is>
          <t>Value Drive Tech</t>
        </is>
      </c>
      <c r="J4062" s="8" t="n">
        <v>2019</v>
      </c>
      <c r="K4062" s="9" t="n">
        <v>50327</v>
      </c>
      <c r="L4062" s="10" t="n">
        <v>322500</v>
      </c>
      <c r="M4062" s="10" t="n">
        <v>6355.93</v>
      </c>
      <c r="N4062" s="11">
        <f>IF(M4062="","",ROUND(M4062*1.18,2))</f>
        <v/>
      </c>
      <c r="O4062" s="12">
        <f>IF(M4062="","",ROUND(N4062-M4062,2))</f>
        <v/>
      </c>
      <c r="P4062" s="13">
        <f>IF(AND(A4062&lt;&gt;"",B4062&lt;&gt;""), A4062&amp;" · "&amp;B4062, "")</f>
        <v/>
      </c>
    </row>
    <row r="4063">
      <c r="A4063" s="6" t="inlineStr">
        <is>
          <t>FY27</t>
        </is>
      </c>
      <c r="B4063" s="6" t="inlineStr">
        <is>
          <t>Sep</t>
        </is>
      </c>
      <c r="C4063" s="6" t="inlineStr">
        <is>
          <t>TN</t>
        </is>
      </c>
      <c r="D4063" s="7" t="inlineStr">
        <is>
          <t>TN07CY8670</t>
        </is>
      </c>
      <c r="E4063" s="7" t="inlineStr">
        <is>
          <t>CHEVROLET</t>
        </is>
      </c>
      <c r="F4063" s="7" t="inlineStr">
        <is>
          <t>Aveo</t>
        </is>
      </c>
      <c r="G4063" s="7" t="inlineStr">
        <is>
          <t>VISHNU CARS PRIVATE LIMITED</t>
        </is>
      </c>
      <c r="H4063" s="7" t="inlineStr">
        <is>
          <t>Non-Captive</t>
        </is>
      </c>
      <c r="I4063" s="7" t="inlineStr">
        <is>
          <t>Santhosh Cars</t>
        </is>
      </c>
      <c r="J4063" s="8" t="n">
        <v>2006</v>
      </c>
      <c r="K4063" s="9" t="n">
        <v>62998</v>
      </c>
      <c r="L4063" s="10" t="n">
        <v>89000</v>
      </c>
      <c r="M4063" s="10" t="n">
        <v>4237.29</v>
      </c>
      <c r="N4063" s="11">
        <f>IF(M4063="","",ROUND(M4063*1.18,2))</f>
        <v/>
      </c>
      <c r="O4063" s="12">
        <f>IF(M4063="","",ROUND(N4063-M4063,2))</f>
        <v/>
      </c>
      <c r="P4063" s="13">
        <f>IF(AND(A4063&lt;&gt;"",B4063&lt;&gt;""), A4063&amp;" · "&amp;B4063, "")</f>
        <v/>
      </c>
    </row>
    <row r="4064">
      <c r="A4064" s="6" t="inlineStr">
        <is>
          <t>FY27</t>
        </is>
      </c>
      <c r="B4064" s="6" t="inlineStr">
        <is>
          <t>Sep</t>
        </is>
      </c>
      <c r="C4064" s="6" t="inlineStr">
        <is>
          <t>TN</t>
        </is>
      </c>
      <c r="D4064" s="7" t="inlineStr">
        <is>
          <t>TN07U2650</t>
        </is>
      </c>
      <c r="E4064" s="7" t="inlineStr">
        <is>
          <t>MARUTI SUZUKI</t>
        </is>
      </c>
      <c r="F4064" s="7" t="inlineStr">
        <is>
          <t>800</t>
        </is>
      </c>
      <c r="G4064" s="7" t="inlineStr">
        <is>
          <t>EXCHANGE ROTN</t>
        </is>
      </c>
      <c r="H4064" s="7" t="inlineStr">
        <is>
          <t>Captive</t>
        </is>
      </c>
      <c r="I4064" s="7" t="inlineStr">
        <is>
          <t>Sivashankar Cars</t>
        </is>
      </c>
      <c r="J4064" s="8" t="n">
        <v>2001</v>
      </c>
      <c r="K4064" s="9" t="n">
        <v>68838</v>
      </c>
      <c r="L4064" s="10" t="n">
        <v>40000</v>
      </c>
      <c r="M4064" s="10" t="n">
        <v>4237.29</v>
      </c>
      <c r="N4064" s="11">
        <f>IF(M4064="","",ROUND(M4064*1.18,2))</f>
        <v/>
      </c>
      <c r="O4064" s="12">
        <f>IF(M4064="","",ROUND(N4064-M4064,2))</f>
        <v/>
      </c>
      <c r="P4064" s="13">
        <f>IF(AND(A4064&lt;&gt;"",B4064&lt;&gt;""), A4064&amp;" · "&amp;B4064, "")</f>
        <v/>
      </c>
    </row>
    <row r="4065">
      <c r="A4065" s="6" t="inlineStr">
        <is>
          <t>FY27</t>
        </is>
      </c>
      <c r="B4065" s="6" t="inlineStr">
        <is>
          <t>Sep</t>
        </is>
      </c>
      <c r="C4065" s="6" t="inlineStr">
        <is>
          <t>TN</t>
        </is>
      </c>
      <c r="D4065" s="7" t="inlineStr">
        <is>
          <t>TN09AE7000</t>
        </is>
      </c>
      <c r="E4065" s="7" t="inlineStr">
        <is>
          <t>HONDA</t>
        </is>
      </c>
      <c r="F4065" s="7" t="inlineStr">
        <is>
          <t>City</t>
        </is>
      </c>
      <c r="G4065" s="7" t="inlineStr">
        <is>
          <t>AIE CARS PRIVATE LIMITED</t>
        </is>
      </c>
      <c r="H4065" s="7" t="inlineStr">
        <is>
          <t>Non-Captive</t>
        </is>
      </c>
      <c r="I4065" s="7" t="inlineStr">
        <is>
          <t>Santhosh Cars</t>
        </is>
      </c>
      <c r="J4065" s="8" t="n">
        <v>2003</v>
      </c>
      <c r="K4065" s="9" t="n">
        <v>29904</v>
      </c>
      <c r="L4065" s="10" t="n">
        <v>96000</v>
      </c>
      <c r="M4065" s="10" t="n">
        <v>4237.29</v>
      </c>
      <c r="N4065" s="11">
        <f>IF(M4065="","",ROUND(M4065*1.18,2))</f>
        <v/>
      </c>
      <c r="O4065" s="12">
        <f>IF(M4065="","",ROUND(N4065-M4065,2))</f>
        <v/>
      </c>
      <c r="P4065" s="13">
        <f>IF(AND(A4065&lt;&gt;"",B4065&lt;&gt;""), A4065&amp;" · "&amp;B4065, "")</f>
        <v/>
      </c>
    </row>
    <row r="4066">
      <c r="A4066" s="6" t="inlineStr">
        <is>
          <t>FY27</t>
        </is>
      </c>
      <c r="B4066" s="6" t="inlineStr">
        <is>
          <t>Sep</t>
        </is>
      </c>
      <c r="C4066" s="6" t="inlineStr">
        <is>
          <t>TN</t>
        </is>
      </c>
      <c r="D4066" s="7" t="inlineStr">
        <is>
          <t>TN09AF1306</t>
        </is>
      </c>
      <c r="E4066" s="7" t="inlineStr">
        <is>
          <t>MARUTI SUZUKI</t>
        </is>
      </c>
      <c r="F4066" s="7" t="inlineStr">
        <is>
          <t>Alto</t>
        </is>
      </c>
      <c r="G4066" s="7" t="inlineStr">
        <is>
          <t>EXCHANGE ROTN</t>
        </is>
      </c>
      <c r="H4066" s="7" t="inlineStr">
        <is>
          <t>Captive</t>
        </is>
      </c>
      <c r="I4066" s="7" t="inlineStr">
        <is>
          <t>Sree Murugan Cars</t>
        </is>
      </c>
      <c r="J4066" s="8" t="n">
        <v>2004</v>
      </c>
      <c r="K4066" s="9" t="n">
        <v>111092</v>
      </c>
      <c r="L4066" s="10" t="n">
        <v>52000</v>
      </c>
      <c r="M4066" s="10" t="n">
        <v>4237.29</v>
      </c>
      <c r="N4066" s="11">
        <f>IF(M4066="","",ROUND(M4066*1.18,2))</f>
        <v/>
      </c>
      <c r="O4066" s="12">
        <f>IF(M4066="","",ROUND(N4066-M4066,2))</f>
        <v/>
      </c>
      <c r="P4066" s="13">
        <f>IF(AND(A4066&lt;&gt;"",B4066&lt;&gt;""), A4066&amp;" · "&amp;B4066, "")</f>
        <v/>
      </c>
    </row>
    <row r="4067">
      <c r="A4067" s="6" t="inlineStr">
        <is>
          <t>FY27</t>
        </is>
      </c>
      <c r="B4067" s="6" t="inlineStr">
        <is>
          <t>Sep</t>
        </is>
      </c>
      <c r="C4067" s="6" t="inlineStr">
        <is>
          <t>TN</t>
        </is>
      </c>
      <c r="D4067" s="7" t="inlineStr">
        <is>
          <t>TN09AF8371</t>
        </is>
      </c>
      <c r="E4067" s="7" t="inlineStr">
        <is>
          <t>MARUTI SUZUKI</t>
        </is>
      </c>
      <c r="F4067" s="7" t="inlineStr">
        <is>
          <t>800</t>
        </is>
      </c>
      <c r="G4067" s="7" t="inlineStr">
        <is>
          <t>EXCHANGE ROTN</t>
        </is>
      </c>
      <c r="H4067" s="7" t="inlineStr">
        <is>
          <t>Captive</t>
        </is>
      </c>
      <c r="I4067" s="7" t="inlineStr">
        <is>
          <t>Sivashankar Cars</t>
        </is>
      </c>
      <c r="J4067" s="8" t="n">
        <v>2004</v>
      </c>
      <c r="K4067" s="9" t="n">
        <v>123654</v>
      </c>
      <c r="L4067" s="10" t="n">
        <v>35000</v>
      </c>
      <c r="M4067" s="10" t="n">
        <v>4237.29</v>
      </c>
      <c r="N4067" s="11">
        <f>IF(M4067="","",ROUND(M4067*1.18,2))</f>
        <v/>
      </c>
      <c r="O4067" s="12">
        <f>IF(M4067="","",ROUND(N4067-M4067,2))</f>
        <v/>
      </c>
      <c r="P4067" s="13">
        <f>IF(AND(A4067&lt;&gt;"",B4067&lt;&gt;""), A4067&amp;" · "&amp;B4067, "")</f>
        <v/>
      </c>
    </row>
    <row r="4068">
      <c r="A4068" s="6" t="inlineStr">
        <is>
          <t>FY27</t>
        </is>
      </c>
      <c r="B4068" s="6" t="inlineStr">
        <is>
          <t>Sep</t>
        </is>
      </c>
      <c r="C4068" s="6" t="inlineStr">
        <is>
          <t>TN</t>
        </is>
      </c>
      <c r="D4068" s="7" t="inlineStr">
        <is>
          <t>TN09AU1776</t>
        </is>
      </c>
      <c r="E4068" s="7" t="inlineStr">
        <is>
          <t>MARUTI SUZUKI</t>
        </is>
      </c>
      <c r="F4068" s="7" t="inlineStr">
        <is>
          <t>Zen Estilo</t>
        </is>
      </c>
      <c r="G4068" s="7" t="inlineStr">
        <is>
          <t>EXCHANGE ROTN</t>
        </is>
      </c>
      <c r="H4068" s="7" t="inlineStr">
        <is>
          <t>Captive</t>
        </is>
      </c>
      <c r="I4068" s="7" t="inlineStr">
        <is>
          <t>Sai Cars</t>
        </is>
      </c>
      <c r="J4068" s="8" t="n">
        <v>2007</v>
      </c>
      <c r="K4068" s="9" t="n">
        <v>124374</v>
      </c>
      <c r="L4068" s="10" t="n">
        <v>70000</v>
      </c>
      <c r="M4068" s="10" t="n">
        <v>4237.29</v>
      </c>
      <c r="N4068" s="11">
        <f>IF(M4068="","",ROUND(M4068*1.18,2))</f>
        <v/>
      </c>
      <c r="O4068" s="12">
        <f>IF(M4068="","",ROUND(N4068-M4068,2))</f>
        <v/>
      </c>
      <c r="P4068" s="13">
        <f>IF(AND(A4068&lt;&gt;"",B4068&lt;&gt;""), A4068&amp;" · "&amp;B4068, "")</f>
        <v/>
      </c>
    </row>
    <row r="4069">
      <c r="A4069" s="6" t="inlineStr">
        <is>
          <t>FY27</t>
        </is>
      </c>
      <c r="B4069" s="6" t="inlineStr">
        <is>
          <t>Sep</t>
        </is>
      </c>
      <c r="C4069" s="6" t="inlineStr">
        <is>
          <t>TN</t>
        </is>
      </c>
      <c r="D4069" s="7" t="inlineStr">
        <is>
          <t>TN09AZ8901</t>
        </is>
      </c>
      <c r="E4069" s="7" t="inlineStr">
        <is>
          <t>HONDA</t>
        </is>
      </c>
      <c r="F4069" s="7" t="inlineStr">
        <is>
          <t>City</t>
        </is>
      </c>
      <c r="G4069" s="7" t="inlineStr">
        <is>
          <t>AIE CARS PRIVATE LIMITED</t>
        </is>
      </c>
      <c r="H4069" s="7" t="inlineStr">
        <is>
          <t>Non-Captive</t>
        </is>
      </c>
      <c r="I4069" s="7" t="inlineStr">
        <is>
          <t>Santhosh Cars</t>
        </is>
      </c>
      <c r="J4069" s="8" t="n">
        <v>2009</v>
      </c>
      <c r="K4069" s="9" t="n">
        <v>122069</v>
      </c>
      <c r="L4069" s="10" t="n">
        <v>97000</v>
      </c>
      <c r="M4069" s="10" t="n">
        <v>4237.29</v>
      </c>
      <c r="N4069" s="11">
        <f>IF(M4069="","",ROUND(M4069*1.18,2))</f>
        <v/>
      </c>
      <c r="O4069" s="12">
        <f>IF(M4069="","",ROUND(N4069-M4069,2))</f>
        <v/>
      </c>
      <c r="P4069" s="13">
        <f>IF(AND(A4069&lt;&gt;"",B4069&lt;&gt;""), A4069&amp;" · "&amp;B4069, "")</f>
        <v/>
      </c>
    </row>
    <row r="4070">
      <c r="A4070" s="6" t="inlineStr">
        <is>
          <t>FY27</t>
        </is>
      </c>
      <c r="B4070" s="6" t="inlineStr">
        <is>
          <t>Sep</t>
        </is>
      </c>
      <c r="C4070" s="6" t="inlineStr">
        <is>
          <t>TN</t>
        </is>
      </c>
      <c r="D4070" s="7" t="inlineStr">
        <is>
          <t>TN09AZ9826</t>
        </is>
      </c>
      <c r="E4070" s="7" t="inlineStr">
        <is>
          <t>HONDA</t>
        </is>
      </c>
      <c r="F4070" s="7" t="inlineStr">
        <is>
          <t>City</t>
        </is>
      </c>
      <c r="G4070" s="7" t="inlineStr">
        <is>
          <t>VISHNU CARS PRIVATE LIMITED</t>
        </is>
      </c>
      <c r="H4070" s="7" t="inlineStr">
        <is>
          <t>Non-Captive</t>
        </is>
      </c>
      <c r="I4070" s="7" t="inlineStr">
        <is>
          <t>AAA Cars</t>
        </is>
      </c>
      <c r="J4070" s="8" t="n">
        <v>2009</v>
      </c>
      <c r="K4070" s="9" t="n">
        <v>67552</v>
      </c>
      <c r="L4070" s="10" t="n">
        <v>97000</v>
      </c>
      <c r="M4070" s="10" t="n">
        <v>4237.29</v>
      </c>
      <c r="N4070" s="11">
        <f>IF(M4070="","",ROUND(M4070*1.18,2))</f>
        <v/>
      </c>
      <c r="O4070" s="12">
        <f>IF(M4070="","",ROUND(N4070-M4070,2))</f>
        <v/>
      </c>
      <c r="P4070" s="13">
        <f>IF(AND(A4070&lt;&gt;"",B4070&lt;&gt;""), A4070&amp;" · "&amp;B4070, "")</f>
        <v/>
      </c>
    </row>
    <row r="4071">
      <c r="A4071" s="6" t="inlineStr">
        <is>
          <t>FY27</t>
        </is>
      </c>
      <c r="B4071" s="6" t="inlineStr">
        <is>
          <t>Sep</t>
        </is>
      </c>
      <c r="C4071" s="6" t="inlineStr">
        <is>
          <t>TN</t>
        </is>
      </c>
      <c r="D4071" s="7" t="inlineStr">
        <is>
          <t>TN09BD1807</t>
        </is>
      </c>
      <c r="E4071" s="7" t="inlineStr">
        <is>
          <t>HONDA</t>
        </is>
      </c>
      <c r="F4071" s="7" t="inlineStr">
        <is>
          <t>City</t>
        </is>
      </c>
      <c r="G4071" s="7" t="inlineStr">
        <is>
          <t>AIE CARS PRIVATE LIMITED</t>
        </is>
      </c>
      <c r="H4071" s="7" t="inlineStr">
        <is>
          <t>Non-Captive</t>
        </is>
      </c>
      <c r="I4071" s="7" t="inlineStr">
        <is>
          <t>Pine Autos</t>
        </is>
      </c>
      <c r="J4071" s="8" t="n">
        <v>2010</v>
      </c>
      <c r="K4071" s="9" t="n">
        <v>105601</v>
      </c>
      <c r="L4071" s="10" t="n">
        <v>98000</v>
      </c>
      <c r="M4071" s="10" t="n">
        <v>4237.29</v>
      </c>
      <c r="N4071" s="11">
        <f>IF(M4071="","",ROUND(M4071*1.18,2))</f>
        <v/>
      </c>
      <c r="O4071" s="12">
        <f>IF(M4071="","",ROUND(N4071-M4071,2))</f>
        <v/>
      </c>
      <c r="P4071" s="13">
        <f>IF(AND(A4071&lt;&gt;"",B4071&lt;&gt;""), A4071&amp;" · "&amp;B4071, "")</f>
        <v/>
      </c>
    </row>
    <row r="4072">
      <c r="A4072" s="6" t="inlineStr">
        <is>
          <t>FY27</t>
        </is>
      </c>
      <c r="B4072" s="6" t="inlineStr">
        <is>
          <t>Sep</t>
        </is>
      </c>
      <c r="C4072" s="6" t="inlineStr">
        <is>
          <t>TN</t>
        </is>
      </c>
      <c r="D4072" s="7" t="inlineStr">
        <is>
          <t>TN09BF7322</t>
        </is>
      </c>
      <c r="E4072" s="7" t="inlineStr">
        <is>
          <t>HONDA</t>
        </is>
      </c>
      <c r="F4072" s="7" t="inlineStr">
        <is>
          <t>City</t>
        </is>
      </c>
      <c r="G4072" s="7" t="inlineStr">
        <is>
          <t>VISHNU CARS PRIVATE LIMITED</t>
        </is>
      </c>
      <c r="H4072" s="7" t="inlineStr">
        <is>
          <t>Non-Captive</t>
        </is>
      </c>
      <c r="I4072" s="7" t="inlineStr">
        <is>
          <t>Pine Autos</t>
        </is>
      </c>
      <c r="J4072" s="8" t="n">
        <v>2010</v>
      </c>
      <c r="K4072" s="9" t="n">
        <v>135101</v>
      </c>
      <c r="L4072" s="10" t="n">
        <v>94000</v>
      </c>
      <c r="M4072" s="10" t="n">
        <v>4237.29</v>
      </c>
      <c r="N4072" s="11">
        <f>IF(M4072="","",ROUND(M4072*1.18,2))</f>
        <v/>
      </c>
      <c r="O4072" s="12">
        <f>IF(M4072="","",ROUND(N4072-M4072,2))</f>
        <v/>
      </c>
      <c r="P4072" s="13">
        <f>IF(AND(A4072&lt;&gt;"",B4072&lt;&gt;""), A4072&amp;" · "&amp;B4072, "")</f>
        <v/>
      </c>
    </row>
    <row r="4073">
      <c r="A4073" s="6" t="inlineStr">
        <is>
          <t>FY27</t>
        </is>
      </c>
      <c r="B4073" s="6" t="inlineStr">
        <is>
          <t>Sep</t>
        </is>
      </c>
      <c r="C4073" s="6" t="inlineStr">
        <is>
          <t>TN</t>
        </is>
      </c>
      <c r="D4073" s="7" t="inlineStr">
        <is>
          <t>TN09BJ4417</t>
        </is>
      </c>
      <c r="E4073" s="7" t="inlineStr">
        <is>
          <t>MARUTI SUZUKI</t>
        </is>
      </c>
      <c r="F4073" s="7" t="inlineStr">
        <is>
          <t>Dzire</t>
        </is>
      </c>
      <c r="G4073" s="7" t="inlineStr">
        <is>
          <t>VISHNU CARS PRIVATE LIMITED</t>
        </is>
      </c>
      <c r="H4073" s="7" t="inlineStr">
        <is>
          <t>Non-Captive</t>
        </is>
      </c>
      <c r="I4073" s="7" t="inlineStr">
        <is>
          <t>AAA Cars</t>
        </is>
      </c>
      <c r="J4073" s="8" t="n">
        <v>2011</v>
      </c>
      <c r="K4073" s="9" t="n">
        <v>93080</v>
      </c>
      <c r="L4073" s="10" t="n">
        <v>86000</v>
      </c>
      <c r="M4073" s="10" t="n">
        <v>4237.29</v>
      </c>
      <c r="N4073" s="11">
        <f>IF(M4073="","",ROUND(M4073*1.18,2))</f>
        <v/>
      </c>
      <c r="O4073" s="12">
        <f>IF(M4073="","",ROUND(N4073-M4073,2))</f>
        <v/>
      </c>
      <c r="P4073" s="13">
        <f>IF(AND(A4073&lt;&gt;"",B4073&lt;&gt;""), A4073&amp;" · "&amp;B4073, "")</f>
        <v/>
      </c>
    </row>
    <row r="4074">
      <c r="A4074" s="6" t="inlineStr">
        <is>
          <t>FY27</t>
        </is>
      </c>
      <c r="B4074" s="6" t="inlineStr">
        <is>
          <t>Sep</t>
        </is>
      </c>
      <c r="C4074" s="6" t="inlineStr">
        <is>
          <t>TN</t>
        </is>
      </c>
      <c r="D4074" s="7" t="inlineStr">
        <is>
          <t>TN09BL6283</t>
        </is>
      </c>
      <c r="E4074" s="7" t="inlineStr">
        <is>
          <t>HYUNDAI</t>
        </is>
      </c>
      <c r="F4074" s="7" t="inlineStr">
        <is>
          <t>Verna</t>
        </is>
      </c>
      <c r="G4074" s="7" t="inlineStr">
        <is>
          <t>KRISH TOYOTA</t>
        </is>
      </c>
      <c r="H4074" s="7" t="inlineStr">
        <is>
          <t>Non-Captive</t>
        </is>
      </c>
      <c r="I4074" s="7" t="inlineStr">
        <is>
          <t>Value Drive Tech</t>
        </is>
      </c>
      <c r="J4074" s="8" t="n">
        <v>2011</v>
      </c>
      <c r="K4074" s="9" t="n">
        <v>39550</v>
      </c>
      <c r="L4074" s="10" t="n">
        <v>89000</v>
      </c>
      <c r="M4074" s="10" t="n">
        <v>4237.29</v>
      </c>
      <c r="N4074" s="11">
        <f>IF(M4074="","",ROUND(M4074*1.18,2))</f>
        <v/>
      </c>
      <c r="O4074" s="12">
        <f>IF(M4074="","",ROUND(N4074-M4074,2))</f>
        <v/>
      </c>
      <c r="P4074" s="13">
        <f>IF(AND(A4074&lt;&gt;"",B4074&lt;&gt;""), A4074&amp;" · "&amp;B4074, "")</f>
        <v/>
      </c>
    </row>
    <row r="4075">
      <c r="A4075" s="6" t="inlineStr">
        <is>
          <t>FY27</t>
        </is>
      </c>
      <c r="B4075" s="6" t="inlineStr">
        <is>
          <t>Sep</t>
        </is>
      </c>
      <c r="C4075" s="6" t="inlineStr">
        <is>
          <t>TN</t>
        </is>
      </c>
      <c r="D4075" s="7" t="inlineStr">
        <is>
          <t>TN09BM7422</t>
        </is>
      </c>
      <c r="E4075" s="7" t="inlineStr">
        <is>
          <t>FORD</t>
        </is>
      </c>
      <c r="F4075" s="7" t="inlineStr">
        <is>
          <t>Fiesta Classic</t>
        </is>
      </c>
      <c r="G4075" s="7" t="inlineStr">
        <is>
          <t>AIE CARS PRIVATE LIMITED</t>
        </is>
      </c>
      <c r="H4075" s="7" t="inlineStr">
        <is>
          <t>Non-Captive</t>
        </is>
      </c>
      <c r="I4075" s="7" t="inlineStr">
        <is>
          <t>Thiyagarajan Raja Cars</t>
        </is>
      </c>
      <c r="J4075" s="8" t="n">
        <v>2012</v>
      </c>
      <c r="K4075" s="9" t="n">
        <v>121973</v>
      </c>
      <c r="L4075" s="10" t="n">
        <v>200000</v>
      </c>
      <c r="M4075" s="10" t="n">
        <v>7288.14</v>
      </c>
      <c r="N4075" s="11">
        <f>IF(M4075="","",ROUND(M4075*1.18,2))</f>
        <v/>
      </c>
      <c r="O4075" s="12">
        <f>IF(M4075="","",ROUND(N4075-M4075,2))</f>
        <v/>
      </c>
      <c r="P4075" s="13">
        <f>IF(AND(A4075&lt;&gt;"",B4075&lt;&gt;""), A4075&amp;" · "&amp;B4075, "")</f>
        <v/>
      </c>
    </row>
    <row r="4076">
      <c r="A4076" s="6" t="inlineStr">
        <is>
          <t>FY27</t>
        </is>
      </c>
      <c r="B4076" s="6" t="inlineStr">
        <is>
          <t>Sep</t>
        </is>
      </c>
      <c r="C4076" s="6" t="inlineStr">
        <is>
          <t>TN</t>
        </is>
      </c>
      <c r="D4076" s="7" t="inlineStr">
        <is>
          <t>TN09BW5029</t>
        </is>
      </c>
      <c r="E4076" s="7" t="inlineStr">
        <is>
          <t>HYUNDAI</t>
        </is>
      </c>
      <c r="F4076" s="7" t="inlineStr">
        <is>
          <t>Grand i10</t>
        </is>
      </c>
      <c r="G4076" s="7" t="inlineStr">
        <is>
          <t>PEEYESYEM HK MOTORS LLP</t>
        </is>
      </c>
      <c r="H4076" s="7" t="inlineStr">
        <is>
          <t>Non-Captive</t>
        </is>
      </c>
      <c r="I4076" s="7" t="inlineStr">
        <is>
          <t>Aneesa Pravin Cars</t>
        </is>
      </c>
      <c r="J4076" s="8" t="n">
        <v>2014</v>
      </c>
      <c r="K4076" s="9" t="n">
        <v>44921</v>
      </c>
      <c r="L4076" s="10" t="n">
        <v>96000</v>
      </c>
      <c r="M4076" s="10" t="n">
        <v>4237.29</v>
      </c>
      <c r="N4076" s="11">
        <f>IF(M4076="","",ROUND(M4076*1.18,2))</f>
        <v/>
      </c>
      <c r="O4076" s="12">
        <f>IF(M4076="","",ROUND(N4076-M4076,2))</f>
        <v/>
      </c>
      <c r="P4076" s="13">
        <f>IF(AND(A4076&lt;&gt;"",B4076&lt;&gt;""), A4076&amp;" · "&amp;B4076, "")</f>
        <v/>
      </c>
    </row>
    <row r="4077">
      <c r="A4077" s="6" t="inlineStr">
        <is>
          <t>FY27</t>
        </is>
      </c>
      <c r="B4077" s="6" t="inlineStr">
        <is>
          <t>Sep</t>
        </is>
      </c>
      <c r="C4077" s="6" t="inlineStr">
        <is>
          <t>TN</t>
        </is>
      </c>
      <c r="D4077" s="7" t="inlineStr">
        <is>
          <t>TN09BX1660</t>
        </is>
      </c>
      <c r="E4077" s="7" t="inlineStr">
        <is>
          <t>HONDA</t>
        </is>
      </c>
      <c r="F4077" s="7" t="inlineStr">
        <is>
          <t>Amaze</t>
        </is>
      </c>
      <c r="G4077" s="7" t="inlineStr">
        <is>
          <t>CASTLE TRADERS MARUTI</t>
        </is>
      </c>
      <c r="H4077" s="7" t="inlineStr">
        <is>
          <t>Non-Captive</t>
        </is>
      </c>
      <c r="I4077" s="7" t="inlineStr">
        <is>
          <t>Grid 33</t>
        </is>
      </c>
      <c r="J4077" s="8" t="n">
        <v>2014</v>
      </c>
      <c r="K4077" s="9" t="n">
        <v>94448</v>
      </c>
      <c r="L4077" s="10" t="n">
        <v>256000</v>
      </c>
      <c r="M4077" s="10" t="n">
        <v>5932.29</v>
      </c>
      <c r="N4077" s="11">
        <f>IF(M4077="","",ROUND(M4077*1.18,2))</f>
        <v/>
      </c>
      <c r="O4077" s="12">
        <f>IF(M4077="","",ROUND(N4077-M4077,2))</f>
        <v/>
      </c>
      <c r="P4077" s="13">
        <f>IF(AND(A4077&lt;&gt;"",B4077&lt;&gt;""), A4077&amp;" · "&amp;B4077, "")</f>
        <v/>
      </c>
    </row>
    <row r="4078">
      <c r="A4078" s="6" t="inlineStr">
        <is>
          <t>FY27</t>
        </is>
      </c>
      <c r="B4078" s="6" t="inlineStr">
        <is>
          <t>Sep</t>
        </is>
      </c>
      <c r="C4078" s="6" t="inlineStr">
        <is>
          <t>TN</t>
        </is>
      </c>
      <c r="D4078" s="7" t="inlineStr">
        <is>
          <t>TN09CA3150</t>
        </is>
      </c>
      <c r="E4078" s="7" t="inlineStr">
        <is>
          <t>MARUTI SUZUKI</t>
        </is>
      </c>
      <c r="F4078" s="7" t="inlineStr">
        <is>
          <t>Ciaz</t>
        </is>
      </c>
      <c r="G4078" s="7" t="inlineStr">
        <is>
          <t>CASTLE TRADERS MARUTI</t>
        </is>
      </c>
      <c r="H4078" s="7" t="inlineStr">
        <is>
          <t>Non-Captive</t>
        </is>
      </c>
      <c r="I4078" s="7" t="inlineStr">
        <is>
          <t>Rithika cars</t>
        </is>
      </c>
      <c r="J4078" s="8" t="n">
        <v>2015</v>
      </c>
      <c r="K4078" s="9" t="n">
        <v>183756</v>
      </c>
      <c r="L4078" s="10" t="n">
        <v>380000</v>
      </c>
      <c r="M4078" s="10" t="n">
        <v>6355.93</v>
      </c>
      <c r="N4078" s="11">
        <f>IF(M4078="","",ROUND(M4078*1.18,2))</f>
        <v/>
      </c>
      <c r="O4078" s="12">
        <f>IF(M4078="","",ROUND(N4078-M4078,2))</f>
        <v/>
      </c>
      <c r="P4078" s="13">
        <f>IF(AND(A4078&lt;&gt;"",B4078&lt;&gt;""), A4078&amp;" · "&amp;B4078, "")</f>
        <v/>
      </c>
    </row>
    <row r="4079">
      <c r="A4079" s="6" t="inlineStr">
        <is>
          <t>FY27</t>
        </is>
      </c>
      <c r="B4079" s="6" t="inlineStr">
        <is>
          <t>Sep</t>
        </is>
      </c>
      <c r="C4079" s="6" t="inlineStr">
        <is>
          <t>TN</t>
        </is>
      </c>
      <c r="D4079" s="7" t="inlineStr">
        <is>
          <t>TN09CB9633</t>
        </is>
      </c>
      <c r="E4079" s="7" t="inlineStr">
        <is>
          <t>HYUNDAI</t>
        </is>
      </c>
      <c r="F4079" s="7" t="inlineStr">
        <is>
          <t>Grand i10</t>
        </is>
      </c>
      <c r="G4079" s="7" t="inlineStr">
        <is>
          <t>CASTLE TRADERS MARUTI</t>
        </is>
      </c>
      <c r="H4079" s="7" t="inlineStr">
        <is>
          <t>Non-Captive</t>
        </is>
      </c>
      <c r="I4079" s="7" t="inlineStr">
        <is>
          <t>AS CARS</t>
        </is>
      </c>
      <c r="J4079" s="8" t="n"/>
      <c r="K4079" s="9" t="n"/>
      <c r="L4079" s="10" t="n">
        <v>210000</v>
      </c>
      <c r="M4079" s="10" t="n">
        <v>5084.75</v>
      </c>
      <c r="N4079" s="11">
        <f>IF(M4079="","",ROUND(M4079*1.18,2))</f>
        <v/>
      </c>
      <c r="O4079" s="12">
        <f>IF(M4079="","",ROUND(N4079-M4079,2))</f>
        <v/>
      </c>
      <c r="P4079" s="13">
        <f>IF(AND(A4079&lt;&gt;"",B4079&lt;&gt;""), A4079&amp;" · "&amp;B4079, "")</f>
        <v/>
      </c>
    </row>
    <row r="4080">
      <c r="A4080" s="6" t="inlineStr">
        <is>
          <t>FY27</t>
        </is>
      </c>
      <c r="B4080" s="6" t="inlineStr">
        <is>
          <t>Sep</t>
        </is>
      </c>
      <c r="C4080" s="6" t="inlineStr">
        <is>
          <t>TN</t>
        </is>
      </c>
      <c r="D4080" s="7" t="inlineStr">
        <is>
          <t>TN09CJ0778</t>
        </is>
      </c>
      <c r="E4080" s="7" t="inlineStr">
        <is>
          <t>HONDA</t>
        </is>
      </c>
      <c r="F4080" s="7" t="inlineStr">
        <is>
          <t>City</t>
        </is>
      </c>
      <c r="G4080" s="7" t="inlineStr">
        <is>
          <t>EXCHANGE CHENNAI</t>
        </is>
      </c>
      <c r="H4080" s="7" t="inlineStr">
        <is>
          <t>Captive</t>
        </is>
      </c>
      <c r="I4080" s="7" t="inlineStr">
        <is>
          <t>VS Enterprises</t>
        </is>
      </c>
      <c r="J4080" s="8" t="n">
        <v>2017</v>
      </c>
      <c r="K4080" s="9" t="n">
        <v>22727</v>
      </c>
      <c r="L4080" s="10" t="n">
        <v>580000</v>
      </c>
      <c r="M4080" s="10" t="n">
        <v>8474.58</v>
      </c>
      <c r="N4080" s="11">
        <f>IF(M4080="","",ROUND(M4080*1.18,2))</f>
        <v/>
      </c>
      <c r="O4080" s="12">
        <f>IF(M4080="","",ROUND(N4080-M4080,2))</f>
        <v/>
      </c>
      <c r="P4080" s="13">
        <f>IF(AND(A4080&lt;&gt;"",B4080&lt;&gt;""), A4080&amp;" · "&amp;B4080, "")</f>
        <v/>
      </c>
    </row>
    <row r="4081">
      <c r="A4081" s="6" t="inlineStr">
        <is>
          <t>FY27</t>
        </is>
      </c>
      <c r="B4081" s="6" t="inlineStr">
        <is>
          <t>Sep</t>
        </is>
      </c>
      <c r="C4081" s="6" t="inlineStr">
        <is>
          <t>TN</t>
        </is>
      </c>
      <c r="D4081" s="7" t="inlineStr">
        <is>
          <t>TN09CV6693</t>
        </is>
      </c>
      <c r="E4081" s="7" t="inlineStr">
        <is>
          <t>MAHINDRA</t>
        </is>
      </c>
      <c r="F4081" s="7" t="inlineStr">
        <is>
          <t>XUV300</t>
        </is>
      </c>
      <c r="G4081" s="7" t="inlineStr">
        <is>
          <t>EXCHANGE CHENNAI</t>
        </is>
      </c>
      <c r="H4081" s="7" t="inlineStr">
        <is>
          <t>Captive</t>
        </is>
      </c>
      <c r="I4081" s="7" t="inlineStr">
        <is>
          <t>Pine Autos</t>
        </is>
      </c>
      <c r="J4081" s="8" t="n">
        <v>2020</v>
      </c>
      <c r="K4081" s="9" t="n">
        <v>60656</v>
      </c>
      <c r="L4081" s="10" t="n">
        <v>530000</v>
      </c>
      <c r="M4081" s="10" t="n">
        <v>8474.58</v>
      </c>
      <c r="N4081" s="11">
        <f>IF(M4081="","",ROUND(M4081*1.18,2))</f>
        <v/>
      </c>
      <c r="O4081" s="12">
        <f>IF(M4081="","",ROUND(N4081-M4081,2))</f>
        <v/>
      </c>
      <c r="P4081" s="13">
        <f>IF(AND(A4081&lt;&gt;"",B4081&lt;&gt;""), A4081&amp;" · "&amp;B4081, "")</f>
        <v/>
      </c>
    </row>
    <row r="4082">
      <c r="A4082" s="6" t="inlineStr">
        <is>
          <t>FY27</t>
        </is>
      </c>
      <c r="B4082" s="6" t="inlineStr">
        <is>
          <t>Sep</t>
        </is>
      </c>
      <c r="C4082" s="6" t="inlineStr">
        <is>
          <t>TN</t>
        </is>
      </c>
      <c r="D4082" s="7" t="inlineStr">
        <is>
          <t>TN09CW8236</t>
        </is>
      </c>
      <c r="E4082" s="7" t="inlineStr">
        <is>
          <t>HYUNDAI</t>
        </is>
      </c>
      <c r="F4082" s="7" t="inlineStr">
        <is>
          <t>Venue</t>
        </is>
      </c>
      <c r="G4082" s="7" t="inlineStr">
        <is>
          <t>CASTLE TRADERS HONDA</t>
        </is>
      </c>
      <c r="H4082" s="7" t="inlineStr">
        <is>
          <t>Non-Captive</t>
        </is>
      </c>
      <c r="I4082" s="7" t="inlineStr">
        <is>
          <t>Cars24</t>
        </is>
      </c>
      <c r="J4082" s="8" t="n">
        <v>2021</v>
      </c>
      <c r="K4082" s="9" t="n">
        <v>35113</v>
      </c>
      <c r="L4082" s="10" t="n">
        <v>589000</v>
      </c>
      <c r="M4082" s="10" t="n">
        <v>7627.12</v>
      </c>
      <c r="N4082" s="11">
        <f>IF(M4082="","",ROUND(M4082*1.18,2))</f>
        <v/>
      </c>
      <c r="O4082" s="12">
        <f>IF(M4082="","",ROUND(N4082-M4082,2))</f>
        <v/>
      </c>
      <c r="P4082" s="13">
        <f>IF(AND(A4082&lt;&gt;"",B4082&lt;&gt;""), A4082&amp;" · "&amp;B4082, "")</f>
        <v/>
      </c>
    </row>
    <row r="4083">
      <c r="A4083" s="6" t="inlineStr">
        <is>
          <t>FY27</t>
        </is>
      </c>
      <c r="B4083" s="6" t="inlineStr">
        <is>
          <t>Sep</t>
        </is>
      </c>
      <c r="C4083" s="6" t="inlineStr">
        <is>
          <t>TN</t>
        </is>
      </c>
      <c r="D4083" s="7" t="inlineStr">
        <is>
          <t>TN09DF8292</t>
        </is>
      </c>
      <c r="E4083" s="7" t="inlineStr">
        <is>
          <t>TATA</t>
        </is>
      </c>
      <c r="F4083" s="7" t="inlineStr">
        <is>
          <t>Safari</t>
        </is>
      </c>
      <c r="G4083" s="7" t="inlineStr">
        <is>
          <t>CARS INDIA</t>
        </is>
      </c>
      <c r="H4083" s="7" t="inlineStr">
        <is>
          <t>Non-Captive</t>
        </is>
      </c>
      <c r="I4083" s="7" t="inlineStr">
        <is>
          <t>Aneesa Pravin Cars</t>
        </is>
      </c>
      <c r="J4083" s="8" t="n">
        <v>2024</v>
      </c>
      <c r="K4083" s="9" t="n">
        <v>36200</v>
      </c>
      <c r="L4083" s="10" t="n">
        <v>198000</v>
      </c>
      <c r="M4083" s="10" t="n">
        <v>5423.73</v>
      </c>
      <c r="N4083" s="11">
        <f>IF(M4083="","",ROUND(M4083*1.18,2))</f>
        <v/>
      </c>
      <c r="O4083" s="12">
        <f>IF(M4083="","",ROUND(N4083-M4083,2))</f>
        <v/>
      </c>
      <c r="P4083" s="13">
        <f>IF(AND(A4083&lt;&gt;"",B4083&lt;&gt;""), A4083&amp;" · "&amp;B4083, "")</f>
        <v/>
      </c>
    </row>
    <row r="4084">
      <c r="A4084" s="6" t="inlineStr">
        <is>
          <t>FY27</t>
        </is>
      </c>
      <c r="B4084" s="6" t="inlineStr">
        <is>
          <t>Sep</t>
        </is>
      </c>
      <c r="C4084" s="6" t="inlineStr">
        <is>
          <t>TN</t>
        </is>
      </c>
      <c r="D4084" s="7" t="inlineStr">
        <is>
          <t>TN10AH3235</t>
        </is>
      </c>
      <c r="E4084" s="7" t="inlineStr">
        <is>
          <t>HYUNDAI</t>
        </is>
      </c>
      <c r="F4084" s="7" t="inlineStr">
        <is>
          <t>i10</t>
        </is>
      </c>
      <c r="G4084" s="7" t="inlineStr">
        <is>
          <t>PEEYESYEM HK MOTORS LLP</t>
        </is>
      </c>
      <c r="H4084" s="7" t="inlineStr">
        <is>
          <t>Non-Captive</t>
        </is>
      </c>
      <c r="I4084" s="7" t="inlineStr">
        <is>
          <t>Cars24</t>
        </is>
      </c>
      <c r="J4084" s="8" t="n">
        <v>2012</v>
      </c>
      <c r="K4084" s="9" t="n">
        <v>93772</v>
      </c>
      <c r="L4084" s="10" t="n">
        <v>98000</v>
      </c>
      <c r="M4084" s="10" t="n">
        <v>4237.29</v>
      </c>
      <c r="N4084" s="11">
        <f>IF(M4084="","",ROUND(M4084*1.18,2))</f>
        <v/>
      </c>
      <c r="O4084" s="12">
        <f>IF(M4084="","",ROUND(N4084-M4084,2))</f>
        <v/>
      </c>
      <c r="P4084" s="13">
        <f>IF(AND(A4084&lt;&gt;"",B4084&lt;&gt;""), A4084&amp;" · "&amp;B4084, "")</f>
        <v/>
      </c>
    </row>
    <row r="4085">
      <c r="A4085" s="6" t="inlineStr">
        <is>
          <t>FY27</t>
        </is>
      </c>
      <c r="B4085" s="6" t="inlineStr">
        <is>
          <t>Sep</t>
        </is>
      </c>
      <c r="C4085" s="6" t="inlineStr">
        <is>
          <t>TN</t>
        </is>
      </c>
      <c r="D4085" s="7" t="inlineStr">
        <is>
          <t>TN10AJ9390</t>
        </is>
      </c>
      <c r="E4085" s="7" t="inlineStr">
        <is>
          <t>CHEVROLET</t>
        </is>
      </c>
      <c r="F4085" s="7" t="inlineStr">
        <is>
          <t>Beat</t>
        </is>
      </c>
      <c r="G4085" s="7" t="inlineStr">
        <is>
          <t>CARS INDIA</t>
        </is>
      </c>
      <c r="H4085" s="7" t="inlineStr">
        <is>
          <t>Non-Captive</t>
        </is>
      </c>
      <c r="I4085" s="7" t="inlineStr">
        <is>
          <t>Senthil Cars</t>
        </is>
      </c>
      <c r="J4085" s="8" t="n">
        <v>2012</v>
      </c>
      <c r="K4085" s="9" t="n">
        <v>99862</v>
      </c>
      <c r="L4085" s="10" t="n">
        <v>96000</v>
      </c>
      <c r="M4085" s="10" t="n">
        <v>4237.29</v>
      </c>
      <c r="N4085" s="11">
        <f>IF(M4085="","",ROUND(M4085*1.18,2))</f>
        <v/>
      </c>
      <c r="O4085" s="12">
        <f>IF(M4085="","",ROUND(N4085-M4085,2))</f>
        <v/>
      </c>
      <c r="P4085" s="13">
        <f>IF(AND(A4085&lt;&gt;"",B4085&lt;&gt;""), A4085&amp;" · "&amp;B4085, "")</f>
        <v/>
      </c>
    </row>
    <row r="4086">
      <c r="A4086" s="6" t="inlineStr">
        <is>
          <t>FY27</t>
        </is>
      </c>
      <c r="B4086" s="6" t="inlineStr">
        <is>
          <t>Sep</t>
        </is>
      </c>
      <c r="C4086" s="6" t="inlineStr">
        <is>
          <t>TN</t>
        </is>
      </c>
      <c r="D4086" s="7" t="inlineStr">
        <is>
          <t>TN10AK9619</t>
        </is>
      </c>
      <c r="E4086" s="7" t="inlineStr">
        <is>
          <t>MARUTI SUZUKI</t>
        </is>
      </c>
      <c r="F4086" s="7" t="inlineStr">
        <is>
          <t>Eeco</t>
        </is>
      </c>
      <c r="G4086" s="7" t="inlineStr">
        <is>
          <t>LANSON QCARS PRIVATE LIMITED</t>
        </is>
      </c>
      <c r="H4086" s="7" t="inlineStr">
        <is>
          <t>Non-Captive</t>
        </is>
      </c>
      <c r="I4086" s="7" t="inlineStr">
        <is>
          <t>Value Drive Tech</t>
        </is>
      </c>
      <c r="J4086" s="8" t="n">
        <v>2013</v>
      </c>
      <c r="K4086" s="9" t="n">
        <v>202876</v>
      </c>
      <c r="L4086" s="10" t="n">
        <v>99000</v>
      </c>
      <c r="M4086" s="10" t="n">
        <v>4237.29</v>
      </c>
      <c r="N4086" s="11">
        <f>IF(M4086="","",ROUND(M4086*1.18,2))</f>
        <v/>
      </c>
      <c r="O4086" s="12">
        <f>IF(M4086="","",ROUND(N4086-M4086,2))</f>
        <v/>
      </c>
      <c r="P4086" s="13">
        <f>IF(AND(A4086&lt;&gt;"",B4086&lt;&gt;""), A4086&amp;" · "&amp;B4086, "")</f>
        <v/>
      </c>
    </row>
    <row r="4087">
      <c r="A4087" s="6" t="inlineStr">
        <is>
          <t>FY27</t>
        </is>
      </c>
      <c r="B4087" s="6" t="inlineStr">
        <is>
          <t>Sep</t>
        </is>
      </c>
      <c r="C4087" s="6" t="inlineStr">
        <is>
          <t>TN</t>
        </is>
      </c>
      <c r="D4087" s="7" t="inlineStr">
        <is>
          <t>TN10AL4258</t>
        </is>
      </c>
      <c r="E4087" s="7" t="inlineStr">
        <is>
          <t>MARUTI SUZUKI</t>
        </is>
      </c>
      <c r="F4087" s="7" t="inlineStr">
        <is>
          <t>Swift</t>
        </is>
      </c>
      <c r="G4087" s="7" t="inlineStr">
        <is>
          <t>EXCHANGE CHENNAI</t>
        </is>
      </c>
      <c r="H4087" s="7" t="inlineStr">
        <is>
          <t>Captive</t>
        </is>
      </c>
      <c r="I4087" s="7" t="inlineStr">
        <is>
          <t>&lt;NA&gt;</t>
        </is>
      </c>
      <c r="J4087" s="8" t="n">
        <v>2013</v>
      </c>
      <c r="K4087" s="9" t="n">
        <v>61978</v>
      </c>
      <c r="L4087" s="10" t="n">
        <v>280000</v>
      </c>
      <c r="M4087" s="10" t="n">
        <v>8474.58</v>
      </c>
      <c r="N4087" s="11">
        <f>IF(M4087="","",ROUND(M4087*1.18,2))</f>
        <v/>
      </c>
      <c r="O4087" s="12">
        <f>IF(M4087="","",ROUND(N4087-M4087,2))</f>
        <v/>
      </c>
      <c r="P4087" s="13">
        <f>IF(AND(A4087&lt;&gt;"",B4087&lt;&gt;""), A4087&amp;" · "&amp;B4087, "")</f>
        <v/>
      </c>
    </row>
    <row r="4088">
      <c r="A4088" s="6" t="inlineStr">
        <is>
          <t>FY27</t>
        </is>
      </c>
      <c r="B4088" s="6" t="inlineStr">
        <is>
          <t>Sep</t>
        </is>
      </c>
      <c r="C4088" s="6" t="inlineStr">
        <is>
          <t>TN</t>
        </is>
      </c>
      <c r="D4088" s="7" t="inlineStr">
        <is>
          <t>TN10AM6809</t>
        </is>
      </c>
      <c r="E4088" s="7" t="inlineStr">
        <is>
          <t>HYUNDAI</t>
        </is>
      </c>
      <c r="F4088" s="7" t="inlineStr">
        <is>
          <t>i10</t>
        </is>
      </c>
      <c r="G4088" s="7" t="inlineStr">
        <is>
          <t>EXCHANGE ROTN</t>
        </is>
      </c>
      <c r="H4088" s="7" t="inlineStr">
        <is>
          <t>Captive</t>
        </is>
      </c>
      <c r="I4088" s="7" t="inlineStr">
        <is>
          <t>Vasundhara Cars</t>
        </is>
      </c>
      <c r="J4088" s="8" t="n">
        <v>2013</v>
      </c>
      <c r="K4088" s="9" t="n">
        <v>56101</v>
      </c>
      <c r="L4088" s="10" t="n">
        <v>195000</v>
      </c>
      <c r="M4088" s="10" t="n">
        <v>8474.58</v>
      </c>
      <c r="N4088" s="11">
        <f>IF(M4088="","",ROUND(M4088*1.18,2))</f>
        <v/>
      </c>
      <c r="O4088" s="12">
        <f>IF(M4088="","",ROUND(N4088-M4088,2))</f>
        <v/>
      </c>
      <c r="P4088" s="13">
        <f>IF(AND(A4088&lt;&gt;"",B4088&lt;&gt;""), A4088&amp;" · "&amp;B4088, "")</f>
        <v/>
      </c>
    </row>
    <row r="4089">
      <c r="A4089" s="6" t="inlineStr">
        <is>
          <t>FY27</t>
        </is>
      </c>
      <c r="B4089" s="6" t="inlineStr">
        <is>
          <t>Sep</t>
        </is>
      </c>
      <c r="C4089" s="6" t="inlineStr">
        <is>
          <t>TN</t>
        </is>
      </c>
      <c r="D4089" s="7" t="inlineStr">
        <is>
          <t>TN10AW6042</t>
        </is>
      </c>
      <c r="E4089" s="7" t="inlineStr">
        <is>
          <t>CHEVROLET</t>
        </is>
      </c>
      <c r="F4089" s="7" t="inlineStr">
        <is>
          <t>Beat</t>
        </is>
      </c>
      <c r="G4089" s="7" t="inlineStr">
        <is>
          <t>POPULAR VEHICLES</t>
        </is>
      </c>
      <c r="H4089" s="7" t="inlineStr">
        <is>
          <t>Non-Captive</t>
        </is>
      </c>
      <c r="I4089" s="7" t="inlineStr">
        <is>
          <t>Srijja Travels</t>
        </is>
      </c>
      <c r="J4089" s="8" t="n">
        <v>2016</v>
      </c>
      <c r="K4089" s="9" t="n">
        <v>76256</v>
      </c>
      <c r="L4089" s="10" t="n">
        <v>94000</v>
      </c>
      <c r="M4089" s="10" t="n">
        <v>4237.29</v>
      </c>
      <c r="N4089" s="11">
        <f>IF(M4089="","",ROUND(M4089*1.18,2))</f>
        <v/>
      </c>
      <c r="O4089" s="12">
        <f>IF(M4089="","",ROUND(N4089-M4089,2))</f>
        <v/>
      </c>
      <c r="P4089" s="13">
        <f>IF(AND(A4089&lt;&gt;"",B4089&lt;&gt;""), A4089&amp;" · "&amp;B4089, "")</f>
        <v/>
      </c>
    </row>
    <row r="4090">
      <c r="A4090" s="6" t="inlineStr">
        <is>
          <t>FY27</t>
        </is>
      </c>
      <c r="B4090" s="6" t="inlineStr">
        <is>
          <t>Sep</t>
        </is>
      </c>
      <c r="C4090" s="6" t="inlineStr">
        <is>
          <t>TN</t>
        </is>
      </c>
      <c r="D4090" s="7" t="inlineStr">
        <is>
          <t>TN10AX7084</t>
        </is>
      </c>
      <c r="E4090" s="7" t="inlineStr">
        <is>
          <t>MARUTI SUZUKI</t>
        </is>
      </c>
      <c r="F4090" s="7" t="inlineStr">
        <is>
          <t>Baleno</t>
        </is>
      </c>
      <c r="G4090" s="7" t="inlineStr">
        <is>
          <t>EXCHANGE CHENNAI</t>
        </is>
      </c>
      <c r="H4090" s="7" t="inlineStr">
        <is>
          <t>Captive</t>
        </is>
      </c>
      <c r="I4090" s="7" t="inlineStr">
        <is>
          <t>&lt;NA&gt;</t>
        </is>
      </c>
      <c r="J4090" s="8" t="n">
        <v>2016</v>
      </c>
      <c r="K4090" s="9" t="n">
        <v>56941</v>
      </c>
      <c r="L4090" s="10" t="n">
        <v>300000</v>
      </c>
      <c r="M4090" s="10" t="n">
        <v>8474.58</v>
      </c>
      <c r="N4090" s="11">
        <f>IF(M4090="","",ROUND(M4090*1.18,2))</f>
        <v/>
      </c>
      <c r="O4090" s="12">
        <f>IF(M4090="","",ROUND(N4090-M4090,2))</f>
        <v/>
      </c>
      <c r="P4090" s="13">
        <f>IF(AND(A4090&lt;&gt;"",B4090&lt;&gt;""), A4090&amp;" · "&amp;B4090, "")</f>
        <v/>
      </c>
    </row>
    <row r="4091">
      <c r="A4091" s="6" t="inlineStr">
        <is>
          <t>FY27</t>
        </is>
      </c>
      <c r="B4091" s="6" t="inlineStr">
        <is>
          <t>Sep</t>
        </is>
      </c>
      <c r="C4091" s="6" t="inlineStr">
        <is>
          <t>TN</t>
        </is>
      </c>
      <c r="D4091" s="7" t="inlineStr">
        <is>
          <t>TN10AZ0912</t>
        </is>
      </c>
      <c r="E4091" s="7" t="inlineStr">
        <is>
          <t>RENAULT</t>
        </is>
      </c>
      <c r="F4091" s="7" t="inlineStr">
        <is>
          <t>Kwid</t>
        </is>
      </c>
      <c r="G4091" s="7" t="inlineStr">
        <is>
          <t>POPULAR VEHICLES</t>
        </is>
      </c>
      <c r="H4091" s="7" t="inlineStr">
        <is>
          <t>Non-Captive</t>
        </is>
      </c>
      <c r="I4091" s="7" t="inlineStr">
        <is>
          <t>Value Drive Tech</t>
        </is>
      </c>
      <c r="J4091" s="8" t="n">
        <v>2017</v>
      </c>
      <c r="K4091" s="9" t="n">
        <v>59293</v>
      </c>
      <c r="L4091" s="10" t="n">
        <v>86000</v>
      </c>
      <c r="M4091" s="10" t="n">
        <v>4237.29</v>
      </c>
      <c r="N4091" s="11">
        <f>IF(M4091="","",ROUND(M4091*1.18,2))</f>
        <v/>
      </c>
      <c r="O4091" s="12">
        <f>IF(M4091="","",ROUND(N4091-M4091,2))</f>
        <v/>
      </c>
      <c r="P4091" s="13">
        <f>IF(AND(A4091&lt;&gt;"",B4091&lt;&gt;""), A4091&amp;" · "&amp;B4091, "")</f>
        <v/>
      </c>
    </row>
    <row r="4092">
      <c r="A4092" s="6" t="inlineStr">
        <is>
          <t>FY27</t>
        </is>
      </c>
      <c r="B4092" s="6" t="inlineStr">
        <is>
          <t>Sep</t>
        </is>
      </c>
      <c r="C4092" s="6" t="inlineStr">
        <is>
          <t>TN</t>
        </is>
      </c>
      <c r="D4092" s="7" t="inlineStr">
        <is>
          <t>TN10BA7749</t>
        </is>
      </c>
      <c r="E4092" s="7" t="inlineStr">
        <is>
          <t>MARUTI SUZUKI</t>
        </is>
      </c>
      <c r="F4092" s="7" t="inlineStr">
        <is>
          <t>Ignis</t>
        </is>
      </c>
      <c r="G4092" s="7" t="inlineStr">
        <is>
          <t>POPULAR VEHICLES</t>
        </is>
      </c>
      <c r="H4092" s="7" t="inlineStr">
        <is>
          <t>Non-Captive</t>
        </is>
      </c>
      <c r="I4092" s="7" t="inlineStr">
        <is>
          <t>TSM</t>
        </is>
      </c>
      <c r="J4092" s="8" t="n">
        <v>2017</v>
      </c>
      <c r="K4092" s="9" t="n">
        <v>99999</v>
      </c>
      <c r="L4092" s="10" t="n">
        <v>368000</v>
      </c>
      <c r="M4092" s="10" t="n">
        <v>7627.17</v>
      </c>
      <c r="N4092" s="11">
        <f>IF(M4092="","",ROUND(M4092*1.18,2))</f>
        <v/>
      </c>
      <c r="O4092" s="12">
        <f>IF(M4092="","",ROUND(N4092-M4092,2))</f>
        <v/>
      </c>
      <c r="P4092" s="13">
        <f>IF(AND(A4092&lt;&gt;"",B4092&lt;&gt;""), A4092&amp;" · "&amp;B4092, "")</f>
        <v/>
      </c>
    </row>
    <row r="4093">
      <c r="A4093" s="6" t="inlineStr">
        <is>
          <t>FY27</t>
        </is>
      </c>
      <c r="B4093" s="6" t="inlineStr">
        <is>
          <t>Sep</t>
        </is>
      </c>
      <c r="C4093" s="6" t="inlineStr">
        <is>
          <t>TN</t>
        </is>
      </c>
      <c r="D4093" s="7" t="inlineStr">
        <is>
          <t>TN10BB0343</t>
        </is>
      </c>
      <c r="E4093" s="7" t="inlineStr">
        <is>
          <t>MARUTI SUZUKI</t>
        </is>
      </c>
      <c r="F4093" s="7" t="inlineStr">
        <is>
          <t>Celerio</t>
        </is>
      </c>
      <c r="G4093" s="7" t="inlineStr">
        <is>
          <t>CASTLE TRADERS MARUTI</t>
        </is>
      </c>
      <c r="H4093" s="7" t="inlineStr">
        <is>
          <t>Non-Captive</t>
        </is>
      </c>
      <c r="I4093" s="7" t="inlineStr">
        <is>
          <t>Cars24</t>
        </is>
      </c>
      <c r="J4093" s="8" t="n"/>
      <c r="K4093" s="9" t="n"/>
      <c r="L4093" s="10" t="n">
        <v>275000</v>
      </c>
      <c r="M4093" s="10" t="n">
        <v>5084.75</v>
      </c>
      <c r="N4093" s="11">
        <f>IF(M4093="","",ROUND(M4093*1.18,2))</f>
        <v/>
      </c>
      <c r="O4093" s="12">
        <f>IF(M4093="","",ROUND(N4093-M4093,2))</f>
        <v/>
      </c>
      <c r="P4093" s="13">
        <f>IF(AND(A4093&lt;&gt;"",B4093&lt;&gt;""), A4093&amp;" · "&amp;B4093, "")</f>
        <v/>
      </c>
    </row>
    <row r="4094">
      <c r="A4094" s="6" t="inlineStr">
        <is>
          <t>FY27</t>
        </is>
      </c>
      <c r="B4094" s="6" t="inlineStr">
        <is>
          <t>Sep</t>
        </is>
      </c>
      <c r="C4094" s="6" t="inlineStr">
        <is>
          <t>TN</t>
        </is>
      </c>
      <c r="D4094" s="7" t="inlineStr">
        <is>
          <t>TN10BB9110</t>
        </is>
      </c>
      <c r="E4094" s="7" t="inlineStr">
        <is>
          <t>MARUTI SUZUKI</t>
        </is>
      </c>
      <c r="F4094" s="7" t="inlineStr">
        <is>
          <t>Alto K10</t>
        </is>
      </c>
      <c r="G4094" s="7" t="inlineStr">
        <is>
          <t>EXCHANGE CHENNAI</t>
        </is>
      </c>
      <c r="H4094" s="7" t="inlineStr">
        <is>
          <t>Captive</t>
        </is>
      </c>
      <c r="I4094" s="7" t="inlineStr">
        <is>
          <t>&lt;NA&gt;</t>
        </is>
      </c>
      <c r="J4094" s="8" t="n">
        <v>2018</v>
      </c>
      <c r="K4094" s="9" t="n">
        <v>67485</v>
      </c>
      <c r="L4094" s="10" t="n">
        <v>250000</v>
      </c>
      <c r="M4094" s="10" t="n">
        <v>8474.58</v>
      </c>
      <c r="N4094" s="11">
        <f>IF(M4094="","",ROUND(M4094*1.18,2))</f>
        <v/>
      </c>
      <c r="O4094" s="12">
        <f>IF(M4094="","",ROUND(N4094-M4094,2))</f>
        <v/>
      </c>
      <c r="P4094" s="13">
        <f>IF(AND(A4094&lt;&gt;"",B4094&lt;&gt;""), A4094&amp;" · "&amp;B4094, "")</f>
        <v/>
      </c>
    </row>
    <row r="4095">
      <c r="A4095" s="6" t="inlineStr">
        <is>
          <t>FY27</t>
        </is>
      </c>
      <c r="B4095" s="6" t="inlineStr">
        <is>
          <t>Sep</t>
        </is>
      </c>
      <c r="C4095" s="6" t="inlineStr">
        <is>
          <t>TN</t>
        </is>
      </c>
      <c r="D4095" s="7" t="inlineStr">
        <is>
          <t>TN10BE6310</t>
        </is>
      </c>
      <c r="E4095" s="7" t="inlineStr">
        <is>
          <t>RENAULT</t>
        </is>
      </c>
      <c r="F4095" s="7" t="inlineStr">
        <is>
          <t>Kwid</t>
        </is>
      </c>
      <c r="G4095" s="7" t="inlineStr">
        <is>
          <t>EXCHANGE CHENNAI</t>
        </is>
      </c>
      <c r="H4095" s="7" t="inlineStr">
        <is>
          <t>Captive</t>
        </is>
      </c>
      <c r="I4095" s="7" t="inlineStr">
        <is>
          <t>Santhosh Cars</t>
        </is>
      </c>
      <c r="J4095" s="8" t="n">
        <v>2018</v>
      </c>
      <c r="K4095" s="9" t="n">
        <v>15993</v>
      </c>
      <c r="L4095" s="10" t="n">
        <v>300000</v>
      </c>
      <c r="M4095" s="10" t="n">
        <v>8474.58</v>
      </c>
      <c r="N4095" s="11">
        <f>IF(M4095="","",ROUND(M4095*1.18,2))</f>
        <v/>
      </c>
      <c r="O4095" s="12">
        <f>IF(M4095="","",ROUND(N4095-M4095,2))</f>
        <v/>
      </c>
      <c r="P4095" s="13">
        <f>IF(AND(A4095&lt;&gt;"",B4095&lt;&gt;""), A4095&amp;" · "&amp;B4095, "")</f>
        <v/>
      </c>
    </row>
    <row r="4096">
      <c r="A4096" s="6" t="inlineStr">
        <is>
          <t>FY27</t>
        </is>
      </c>
      <c r="B4096" s="6" t="inlineStr">
        <is>
          <t>Sep</t>
        </is>
      </c>
      <c r="C4096" s="6" t="inlineStr">
        <is>
          <t>TN</t>
        </is>
      </c>
      <c r="D4096" s="7" t="inlineStr">
        <is>
          <t>TN10T4505</t>
        </is>
      </c>
      <c r="E4096" s="7" t="inlineStr">
        <is>
          <t>FORD</t>
        </is>
      </c>
      <c r="F4096" s="7" t="inlineStr">
        <is>
          <t>Fiesta</t>
        </is>
      </c>
      <c r="G4096" s="7" t="inlineStr">
        <is>
          <t>VISHNU CARS PRIVATE LIMITED</t>
        </is>
      </c>
      <c r="H4096" s="7" t="inlineStr">
        <is>
          <t>Non-Captive</t>
        </is>
      </c>
      <c r="I4096" s="7" t="inlineStr">
        <is>
          <t>Santhosh Cars</t>
        </is>
      </c>
      <c r="J4096" s="8" t="n">
        <v>2007</v>
      </c>
      <c r="K4096" s="9" t="n">
        <v>150000</v>
      </c>
      <c r="L4096" s="10" t="n">
        <v>97000</v>
      </c>
      <c r="M4096" s="10" t="n">
        <v>4237.29</v>
      </c>
      <c r="N4096" s="11">
        <f>IF(M4096="","",ROUND(M4096*1.18,2))</f>
        <v/>
      </c>
      <c r="O4096" s="12">
        <f>IF(M4096="","",ROUND(N4096-M4096,2))</f>
        <v/>
      </c>
      <c r="P4096" s="13">
        <f>IF(AND(A4096&lt;&gt;"",B4096&lt;&gt;""), A4096&amp;" · "&amp;B4096, "")</f>
        <v/>
      </c>
    </row>
    <row r="4097">
      <c r="A4097" s="6" t="inlineStr">
        <is>
          <t>FY27</t>
        </is>
      </c>
      <c r="B4097" s="6" t="inlineStr">
        <is>
          <t>Sep</t>
        </is>
      </c>
      <c r="C4097" s="6" t="inlineStr">
        <is>
          <t>TN</t>
        </is>
      </c>
      <c r="D4097" s="7" t="inlineStr">
        <is>
          <t>TN10Z2221</t>
        </is>
      </c>
      <c r="E4097" s="7" t="inlineStr">
        <is>
          <t>MARUTI SUZUKI</t>
        </is>
      </c>
      <c r="F4097" s="7" t="inlineStr">
        <is>
          <t>Swift</t>
        </is>
      </c>
      <c r="G4097" s="7" t="inlineStr">
        <is>
          <t>EXCHANGE ROTN</t>
        </is>
      </c>
      <c r="H4097" s="7" t="inlineStr">
        <is>
          <t>Captive</t>
        </is>
      </c>
      <c r="I4097" s="7" t="inlineStr">
        <is>
          <t>Sai Cars</t>
        </is>
      </c>
      <c r="J4097" s="8" t="n">
        <v>2010</v>
      </c>
      <c r="K4097" s="9" t="n">
        <v>143870</v>
      </c>
      <c r="L4097" s="10" t="n">
        <v>88000</v>
      </c>
      <c r="M4097" s="10" t="n">
        <v>4237.29</v>
      </c>
      <c r="N4097" s="11">
        <f>IF(M4097="","",ROUND(M4097*1.18,2))</f>
        <v/>
      </c>
      <c r="O4097" s="12">
        <f>IF(M4097="","",ROUND(N4097-M4097,2))</f>
        <v/>
      </c>
      <c r="P4097" s="13">
        <f>IF(AND(A4097&lt;&gt;"",B4097&lt;&gt;""), A4097&amp;" · "&amp;B4097, "")</f>
        <v/>
      </c>
    </row>
    <row r="4098">
      <c r="A4098" s="6" t="inlineStr">
        <is>
          <t>FY27</t>
        </is>
      </c>
      <c r="B4098" s="6" t="inlineStr">
        <is>
          <t>Sep</t>
        </is>
      </c>
      <c r="C4098" s="6" t="inlineStr">
        <is>
          <t>TN</t>
        </is>
      </c>
      <c r="D4098" s="7" t="inlineStr">
        <is>
          <t>TN10Z9995</t>
        </is>
      </c>
      <c r="E4098" s="7" t="inlineStr">
        <is>
          <t>HYUNDAI</t>
        </is>
      </c>
      <c r="F4098" s="7" t="inlineStr">
        <is>
          <t>i20</t>
        </is>
      </c>
      <c r="G4098" s="7" t="inlineStr">
        <is>
          <t>PRODUCTIVITY ELEMENTS PRIVATE LIMITED</t>
        </is>
      </c>
      <c r="H4098" s="7" t="inlineStr">
        <is>
          <t>Non-Captive</t>
        </is>
      </c>
      <c r="I4098" s="7" t="inlineStr">
        <is>
          <t>Pine Autos</t>
        </is>
      </c>
      <c r="J4098" s="8" t="n">
        <v>2010</v>
      </c>
      <c r="K4098" s="9" t="n">
        <v>93840</v>
      </c>
      <c r="L4098" s="10" t="n">
        <v>94000</v>
      </c>
      <c r="M4098" s="10" t="n">
        <v>4237.29</v>
      </c>
      <c r="N4098" s="11">
        <f>IF(M4098="","",ROUND(M4098*1.18,2))</f>
        <v/>
      </c>
      <c r="O4098" s="12">
        <f>IF(M4098="","",ROUND(N4098-M4098,2))</f>
        <v/>
      </c>
      <c r="P4098" s="13">
        <f>IF(AND(A4098&lt;&gt;"",B4098&lt;&gt;""), A4098&amp;" · "&amp;B4098, "")</f>
        <v/>
      </c>
    </row>
    <row r="4099">
      <c r="A4099" s="6" t="inlineStr">
        <is>
          <t>FY27</t>
        </is>
      </c>
      <c r="B4099" s="6" t="inlineStr">
        <is>
          <t>Sep</t>
        </is>
      </c>
      <c r="C4099" s="6" t="inlineStr">
        <is>
          <t>TN</t>
        </is>
      </c>
      <c r="D4099" s="7" t="inlineStr">
        <is>
          <t>TN112014</t>
        </is>
      </c>
      <c r="E4099" s="7" t="inlineStr">
        <is>
          <t>MAHINDRA</t>
        </is>
      </c>
      <c r="F4099" s="7" t="inlineStr">
        <is>
          <t>Verito</t>
        </is>
      </c>
      <c r="G4099" s="7" t="inlineStr">
        <is>
          <t>AIE CARS PRIVATE LIMITED</t>
        </is>
      </c>
      <c r="H4099" s="7" t="inlineStr">
        <is>
          <t>Non-Captive</t>
        </is>
      </c>
      <c r="I4099" s="7" t="inlineStr">
        <is>
          <t>VS Enterprises</t>
        </is>
      </c>
      <c r="J4099" s="8" t="n">
        <v>2012</v>
      </c>
      <c r="K4099" s="9" t="n">
        <v>76149</v>
      </c>
      <c r="L4099" s="10" t="n">
        <v>89000</v>
      </c>
      <c r="M4099" s="10" t="n">
        <v>4237.29</v>
      </c>
      <c r="N4099" s="11">
        <f>IF(M4099="","",ROUND(M4099*1.18,2))</f>
        <v/>
      </c>
      <c r="O4099" s="12">
        <f>IF(M4099="","",ROUND(N4099-M4099,2))</f>
        <v/>
      </c>
      <c r="P4099" s="13">
        <f>IF(AND(A4099&lt;&gt;"",B4099&lt;&gt;""), A4099&amp;" · "&amp;B4099, "")</f>
        <v/>
      </c>
    </row>
    <row r="4100">
      <c r="A4100" s="6" t="inlineStr">
        <is>
          <t>FY27</t>
        </is>
      </c>
      <c r="B4100" s="6" t="inlineStr">
        <is>
          <t>Sep</t>
        </is>
      </c>
      <c r="C4100" s="6" t="inlineStr">
        <is>
          <t>TN</t>
        </is>
      </c>
      <c r="D4100" s="7" t="inlineStr">
        <is>
          <t>TN11AH2644</t>
        </is>
      </c>
      <c r="E4100" s="7" t="inlineStr">
        <is>
          <t>TATA</t>
        </is>
      </c>
      <c r="F4100" s="7" t="inlineStr">
        <is>
          <t>Zest</t>
        </is>
      </c>
      <c r="G4100" s="7" t="inlineStr">
        <is>
          <t>EXCHANGE ROTN</t>
        </is>
      </c>
      <c r="H4100" s="7" t="inlineStr">
        <is>
          <t>Captive</t>
        </is>
      </c>
      <c r="I4100" s="7" t="inlineStr">
        <is>
          <t>Sai Cars</t>
        </is>
      </c>
      <c r="J4100" s="8" t="n">
        <v>2018</v>
      </c>
      <c r="K4100" s="9" t="n">
        <v>148876</v>
      </c>
      <c r="L4100" s="10" t="n">
        <v>95000</v>
      </c>
      <c r="M4100" s="10" t="n">
        <v>4237.29</v>
      </c>
      <c r="N4100" s="11">
        <f>IF(M4100="","",ROUND(M4100*1.18,2))</f>
        <v/>
      </c>
      <c r="O4100" s="12">
        <f>IF(M4100="","",ROUND(N4100-M4100,2))</f>
        <v/>
      </c>
      <c r="P4100" s="13">
        <f>IF(AND(A4100&lt;&gt;"",B4100&lt;&gt;""), A4100&amp;" · "&amp;B4100, "")</f>
        <v/>
      </c>
    </row>
    <row r="4101">
      <c r="A4101" s="6" t="inlineStr">
        <is>
          <t>FY27</t>
        </is>
      </c>
      <c r="B4101" s="6" t="inlineStr">
        <is>
          <t>Sep</t>
        </is>
      </c>
      <c r="C4101" s="6" t="inlineStr">
        <is>
          <t>TN</t>
        </is>
      </c>
      <c r="D4101" s="7" t="inlineStr">
        <is>
          <t>TN11AL1255</t>
        </is>
      </c>
      <c r="E4101" s="7" t="inlineStr">
        <is>
          <t>MARUTI SUZUKI</t>
        </is>
      </c>
      <c r="F4101" s="7" t="inlineStr">
        <is>
          <t>Swift</t>
        </is>
      </c>
      <c r="G4101" s="7" t="inlineStr">
        <is>
          <t>VISHNU CARS PRIVATE LIMITED</t>
        </is>
      </c>
      <c r="H4101" s="7" t="inlineStr">
        <is>
          <t>Non-Captive</t>
        </is>
      </c>
      <c r="I4101" s="7" t="inlineStr">
        <is>
          <t>Pine Autos</t>
        </is>
      </c>
      <c r="J4101" s="8" t="n">
        <v>2019</v>
      </c>
      <c r="K4101" s="9" t="n">
        <v>146750</v>
      </c>
      <c r="L4101" s="10" t="n">
        <v>97000</v>
      </c>
      <c r="M4101" s="10" t="n">
        <v>4237.29</v>
      </c>
      <c r="N4101" s="11">
        <f>IF(M4101="","",ROUND(M4101*1.18,2))</f>
        <v/>
      </c>
      <c r="O4101" s="12">
        <f>IF(M4101="","",ROUND(N4101-M4101,2))</f>
        <v/>
      </c>
      <c r="P4101" s="13">
        <f>IF(AND(A4101&lt;&gt;"",B4101&lt;&gt;""), A4101&amp;" · "&amp;B4101, "")</f>
        <v/>
      </c>
    </row>
    <row r="4102">
      <c r="A4102" s="6" t="inlineStr">
        <is>
          <t>FY27</t>
        </is>
      </c>
      <c r="B4102" s="6" t="inlineStr">
        <is>
          <t>Sep</t>
        </is>
      </c>
      <c r="C4102" s="6" t="inlineStr">
        <is>
          <t>TN</t>
        </is>
      </c>
      <c r="D4102" s="7" t="inlineStr">
        <is>
          <t>TN11AV8028</t>
        </is>
      </c>
      <c r="E4102" s="7" t="inlineStr">
        <is>
          <t>HYUNDAI</t>
        </is>
      </c>
      <c r="F4102" s="7" t="inlineStr">
        <is>
          <t>Venue</t>
        </is>
      </c>
      <c r="G4102" s="7" t="inlineStr">
        <is>
          <t>EXCHANGE CHENNAI</t>
        </is>
      </c>
      <c r="H4102" s="7" t="inlineStr">
        <is>
          <t>Captive</t>
        </is>
      </c>
      <c r="I4102" s="7" t="inlineStr">
        <is>
          <t>&lt;NA&gt;</t>
        </is>
      </c>
      <c r="J4102" s="8" t="n">
        <v>2021</v>
      </c>
      <c r="K4102" s="9" t="n">
        <v>86675</v>
      </c>
      <c r="L4102" s="10" t="n">
        <v>600000</v>
      </c>
      <c r="M4102" s="10" t="n">
        <v>8474.58</v>
      </c>
      <c r="N4102" s="11">
        <f>IF(M4102="","",ROUND(M4102*1.18,2))</f>
        <v/>
      </c>
      <c r="O4102" s="12">
        <f>IF(M4102="","",ROUND(N4102-M4102,2))</f>
        <v/>
      </c>
      <c r="P4102" s="13">
        <f>IF(AND(A4102&lt;&gt;"",B4102&lt;&gt;""), A4102&amp;" · "&amp;B4102, "")</f>
        <v/>
      </c>
    </row>
    <row r="4103">
      <c r="A4103" s="6" t="inlineStr">
        <is>
          <t>FY27</t>
        </is>
      </c>
      <c r="B4103" s="6" t="inlineStr">
        <is>
          <t>Sep</t>
        </is>
      </c>
      <c r="C4103" s="6" t="inlineStr">
        <is>
          <t>TN</t>
        </is>
      </c>
      <c r="D4103" s="7" t="inlineStr">
        <is>
          <t>TN11J2794</t>
        </is>
      </c>
      <c r="E4103" s="7" t="inlineStr">
        <is>
          <t>MARUTI SUZUKI</t>
        </is>
      </c>
      <c r="F4103" s="7" t="inlineStr">
        <is>
          <t>Dzire</t>
        </is>
      </c>
      <c r="G4103" s="7" t="inlineStr">
        <is>
          <t>RAJALAKSHMI CARS</t>
        </is>
      </c>
      <c r="H4103" s="7" t="inlineStr">
        <is>
          <t>Non-Captive</t>
        </is>
      </c>
      <c r="I4103" s="7" t="inlineStr">
        <is>
          <t>RAM Manohar</t>
        </is>
      </c>
      <c r="J4103" s="8" t="n">
        <v>2014</v>
      </c>
      <c r="K4103" s="9" t="n"/>
      <c r="L4103" s="10" t="n">
        <v>186000</v>
      </c>
      <c r="M4103" s="10" t="n">
        <v>2542.37</v>
      </c>
      <c r="N4103" s="11">
        <f>IF(M4103="","",ROUND(M4103*1.18,2))</f>
        <v/>
      </c>
      <c r="O4103" s="12">
        <f>IF(M4103="","",ROUND(N4103-M4103,2))</f>
        <v/>
      </c>
      <c r="P4103" s="13">
        <f>IF(AND(A4103&lt;&gt;"",B4103&lt;&gt;""), A4103&amp;" · "&amp;B4103, "")</f>
        <v/>
      </c>
    </row>
    <row r="4104">
      <c r="A4104" s="6" t="inlineStr">
        <is>
          <t>FY27</t>
        </is>
      </c>
      <c r="B4104" s="6" t="inlineStr">
        <is>
          <t>Sep</t>
        </is>
      </c>
      <c r="C4104" s="6" t="inlineStr">
        <is>
          <t>TN</t>
        </is>
      </c>
      <c r="D4104" s="7" t="inlineStr">
        <is>
          <t>TN11X7918</t>
        </is>
      </c>
      <c r="E4104" s="7" t="inlineStr">
        <is>
          <t>MARUTI SUZUKI</t>
        </is>
      </c>
      <c r="F4104" s="7" t="inlineStr">
        <is>
          <t>Alto 800</t>
        </is>
      </c>
      <c r="G4104" s="7" t="inlineStr">
        <is>
          <t>CASTLE TRADERS MARUTI</t>
        </is>
      </c>
      <c r="H4104" s="7" t="inlineStr">
        <is>
          <t>Non-Captive</t>
        </is>
      </c>
      <c r="I4104" s="7" t="inlineStr">
        <is>
          <t>Trust On wheels</t>
        </is>
      </c>
      <c r="J4104" s="8" t="n">
        <v>2013</v>
      </c>
      <c r="K4104" s="9" t="n">
        <v>71492</v>
      </c>
      <c r="L4104" s="10" t="n">
        <v>150000</v>
      </c>
      <c r="M4104" s="10" t="n">
        <v>5084.75</v>
      </c>
      <c r="N4104" s="11">
        <f>IF(M4104="","",ROUND(M4104*1.18,2))</f>
        <v/>
      </c>
      <c r="O4104" s="12">
        <f>IF(M4104="","",ROUND(N4104-M4104,2))</f>
        <v/>
      </c>
      <c r="P4104" s="13">
        <f>IF(AND(A4104&lt;&gt;"",B4104&lt;&gt;""), A4104&amp;" · "&amp;B4104, "")</f>
        <v/>
      </c>
    </row>
    <row r="4105">
      <c r="A4105" s="6" t="inlineStr">
        <is>
          <t>FY27</t>
        </is>
      </c>
      <c r="B4105" s="6" t="inlineStr">
        <is>
          <t>Sep</t>
        </is>
      </c>
      <c r="C4105" s="6" t="inlineStr">
        <is>
          <t>TN</t>
        </is>
      </c>
      <c r="D4105" s="7" t="inlineStr">
        <is>
          <t>TN12AF4001</t>
        </is>
      </c>
      <c r="E4105" s="7" t="inlineStr">
        <is>
          <t>MARUTI SUZUKI</t>
        </is>
      </c>
      <c r="F4105" s="7" t="inlineStr">
        <is>
          <t>Celerio</t>
        </is>
      </c>
      <c r="G4105" s="7" t="inlineStr">
        <is>
          <t>CASTLE TRADERS MARUTI</t>
        </is>
      </c>
      <c r="H4105" s="7" t="inlineStr">
        <is>
          <t>Non-Captive</t>
        </is>
      </c>
      <c r="I4105" s="7" t="inlineStr">
        <is>
          <t>Cars24</t>
        </is>
      </c>
      <c r="J4105" s="8" t="n">
        <v>2019</v>
      </c>
      <c r="K4105" s="9" t="n">
        <v>38226</v>
      </c>
      <c r="L4105" s="10" t="n">
        <v>304500</v>
      </c>
      <c r="M4105" s="10" t="n">
        <v>6355.93</v>
      </c>
      <c r="N4105" s="11">
        <f>IF(M4105="","",ROUND(M4105*1.18,2))</f>
        <v/>
      </c>
      <c r="O4105" s="12">
        <f>IF(M4105="","",ROUND(N4105-M4105,2))</f>
        <v/>
      </c>
      <c r="P4105" s="13">
        <f>IF(AND(A4105&lt;&gt;"",B4105&lt;&gt;""), A4105&amp;" · "&amp;B4105, "")</f>
        <v/>
      </c>
    </row>
    <row r="4106">
      <c r="A4106" s="6" t="inlineStr">
        <is>
          <t>FY27</t>
        </is>
      </c>
      <c r="B4106" s="6" t="inlineStr">
        <is>
          <t>Sep</t>
        </is>
      </c>
      <c r="C4106" s="6" t="inlineStr">
        <is>
          <t>TN</t>
        </is>
      </c>
      <c r="D4106" s="7" t="inlineStr">
        <is>
          <t>TN12AQ2584</t>
        </is>
      </c>
      <c r="E4106" s="7" t="inlineStr">
        <is>
          <t>MARUTI SUZUKI</t>
        </is>
      </c>
      <c r="F4106" s="7" t="inlineStr">
        <is>
          <t>Wagon R</t>
        </is>
      </c>
      <c r="G4106" s="7" t="inlineStr">
        <is>
          <t>CASTLE TRADERS MARUTI</t>
        </is>
      </c>
      <c r="H4106" s="7" t="inlineStr">
        <is>
          <t>Non-Captive</t>
        </is>
      </c>
      <c r="I4106" s="7" t="inlineStr">
        <is>
          <t>LANSON QCARS PRIVATE LIMITED</t>
        </is>
      </c>
      <c r="J4106" s="8" t="n">
        <v>2021</v>
      </c>
      <c r="K4106" s="9" t="n">
        <v>73905</v>
      </c>
      <c r="L4106" s="10" t="n">
        <v>406000</v>
      </c>
      <c r="M4106" s="10" t="n">
        <v>7627.12</v>
      </c>
      <c r="N4106" s="11">
        <f>IF(M4106="","",ROUND(M4106*1.18,2))</f>
        <v/>
      </c>
      <c r="O4106" s="12">
        <f>IF(M4106="","",ROUND(N4106-M4106,2))</f>
        <v/>
      </c>
      <c r="P4106" s="13">
        <f>IF(AND(A4106&lt;&gt;"",B4106&lt;&gt;""), A4106&amp;" · "&amp;B4106, "")</f>
        <v/>
      </c>
    </row>
    <row r="4107">
      <c r="A4107" s="6" t="inlineStr">
        <is>
          <t>FY27</t>
        </is>
      </c>
      <c r="B4107" s="6" t="inlineStr">
        <is>
          <t>Sep</t>
        </is>
      </c>
      <c r="C4107" s="6" t="inlineStr">
        <is>
          <t>TN</t>
        </is>
      </c>
      <c r="D4107" s="7" t="inlineStr">
        <is>
          <t>TN12BC7311</t>
        </is>
      </c>
      <c r="E4107" s="7" t="inlineStr">
        <is>
          <t>MARUTI SUZUKI</t>
        </is>
      </c>
      <c r="F4107" s="7" t="inlineStr">
        <is>
          <t>Grand Vitara</t>
        </is>
      </c>
      <c r="G4107" s="7" t="inlineStr">
        <is>
          <t>CASTLE TRADERS MARUTI</t>
        </is>
      </c>
      <c r="H4107" s="7" t="inlineStr">
        <is>
          <t>Non-Captive</t>
        </is>
      </c>
      <c r="I4107" s="7" t="inlineStr">
        <is>
          <t>Best Cars</t>
        </is>
      </c>
      <c r="J4107" s="8" t="n"/>
      <c r="K4107" s="9" t="n"/>
      <c r="L4107" s="10" t="n">
        <v>870000</v>
      </c>
      <c r="M4107" s="10" t="n">
        <v>8474.58</v>
      </c>
      <c r="N4107" s="11">
        <f>IF(M4107="","",ROUND(M4107*1.18,2))</f>
        <v/>
      </c>
      <c r="O4107" s="12">
        <f>IF(M4107="","",ROUND(N4107-M4107,2))</f>
        <v/>
      </c>
      <c r="P4107" s="13">
        <f>IF(AND(A4107&lt;&gt;"",B4107&lt;&gt;""), A4107&amp;" · "&amp;B4107, "")</f>
        <v/>
      </c>
    </row>
    <row r="4108">
      <c r="A4108" s="6" t="inlineStr">
        <is>
          <t>FY27</t>
        </is>
      </c>
      <c r="B4108" s="6" t="inlineStr">
        <is>
          <t>Sep</t>
        </is>
      </c>
      <c r="C4108" s="6" t="inlineStr">
        <is>
          <t>TN</t>
        </is>
      </c>
      <c r="D4108" s="7" t="inlineStr">
        <is>
          <t>TN12BH8022</t>
        </is>
      </c>
      <c r="E4108" s="7" t="inlineStr">
        <is>
          <t>MARUTI SUZUKI</t>
        </is>
      </c>
      <c r="F4108" s="7" t="inlineStr">
        <is>
          <t>Eeco</t>
        </is>
      </c>
      <c r="G4108" s="7" t="inlineStr">
        <is>
          <t>CASTLE TRADERS MARUTI</t>
        </is>
      </c>
      <c r="H4108" s="7" t="inlineStr">
        <is>
          <t>Non-Captive</t>
        </is>
      </c>
      <c r="I4108" s="7" t="inlineStr">
        <is>
          <t>Kamal Cars</t>
        </is>
      </c>
      <c r="J4108" s="8" t="n">
        <v>2024</v>
      </c>
      <c r="K4108" s="9" t="n">
        <v>9475</v>
      </c>
      <c r="L4108" s="10" t="n">
        <v>476000</v>
      </c>
      <c r="M4108" s="10" t="n">
        <v>7627.42</v>
      </c>
      <c r="N4108" s="11">
        <f>IF(M4108="","",ROUND(M4108*1.18,2))</f>
        <v/>
      </c>
      <c r="O4108" s="12">
        <f>IF(M4108="","",ROUND(N4108-M4108,2))</f>
        <v/>
      </c>
      <c r="P4108" s="13">
        <f>IF(AND(A4108&lt;&gt;"",B4108&lt;&gt;""), A4108&amp;" · "&amp;B4108, "")</f>
        <v/>
      </c>
    </row>
    <row r="4109">
      <c r="A4109" s="6" t="inlineStr">
        <is>
          <t>FY27</t>
        </is>
      </c>
      <c r="B4109" s="6" t="inlineStr">
        <is>
          <t>Sep</t>
        </is>
      </c>
      <c r="C4109" s="6" t="inlineStr">
        <is>
          <t>TN</t>
        </is>
      </c>
      <c r="D4109" s="7" t="inlineStr">
        <is>
          <t>TN12D3215</t>
        </is>
      </c>
      <c r="E4109" s="7" t="inlineStr">
        <is>
          <t>MARUTI SUZUKI</t>
        </is>
      </c>
      <c r="F4109" s="7" t="inlineStr">
        <is>
          <t>Wagon R</t>
        </is>
      </c>
      <c r="G4109" s="7" t="inlineStr">
        <is>
          <t>CASTLE TRADERS MARUTI</t>
        </is>
      </c>
      <c r="H4109" s="7" t="inlineStr">
        <is>
          <t>Non-Captive</t>
        </is>
      </c>
      <c r="I4109" s="7" t="inlineStr">
        <is>
          <t>Aasim Motors</t>
        </is>
      </c>
      <c r="J4109" s="8" t="n">
        <v>2014</v>
      </c>
      <c r="K4109" s="9" t="n">
        <v>125324</v>
      </c>
      <c r="L4109" s="10" t="n">
        <v>169000</v>
      </c>
      <c r="M4109" s="10" t="n">
        <v>5084.75</v>
      </c>
      <c r="N4109" s="11">
        <f>IF(M4109="","",ROUND(M4109*1.18,2))</f>
        <v/>
      </c>
      <c r="O4109" s="12">
        <f>IF(M4109="","",ROUND(N4109-M4109,2))</f>
        <v/>
      </c>
      <c r="P4109" s="13">
        <f>IF(AND(A4109&lt;&gt;"",B4109&lt;&gt;""), A4109&amp;" · "&amp;B4109, "")</f>
        <v/>
      </c>
    </row>
    <row r="4110">
      <c r="A4110" s="6" t="inlineStr">
        <is>
          <t>FY27</t>
        </is>
      </c>
      <c r="B4110" s="6" t="inlineStr">
        <is>
          <t>Sep</t>
        </is>
      </c>
      <c r="C4110" s="6" t="inlineStr">
        <is>
          <t>TN</t>
        </is>
      </c>
      <c r="D4110" s="7" t="inlineStr">
        <is>
          <t>TN12H1875</t>
        </is>
      </c>
      <c r="E4110" s="7" t="inlineStr">
        <is>
          <t>MARUTI SUZUKI</t>
        </is>
      </c>
      <c r="F4110" s="7" t="inlineStr">
        <is>
          <t>Alto 800</t>
        </is>
      </c>
      <c r="G4110" s="7" t="inlineStr">
        <is>
          <t>RAJALAKSHMI CARS</t>
        </is>
      </c>
      <c r="H4110" s="7" t="inlineStr">
        <is>
          <t>Non-Captive</t>
        </is>
      </c>
      <c r="I4110" s="7" t="inlineStr">
        <is>
          <t>Pine Autos</t>
        </is>
      </c>
      <c r="J4110" s="8" t="n">
        <v>2014</v>
      </c>
      <c r="K4110" s="9" t="n">
        <v>48684</v>
      </c>
      <c r="L4110" s="10" t="n">
        <v>95000</v>
      </c>
      <c r="M4110" s="10" t="n">
        <v>4237.29</v>
      </c>
      <c r="N4110" s="11">
        <f>IF(M4110="","",ROUND(M4110*1.18,2))</f>
        <v/>
      </c>
      <c r="O4110" s="12">
        <f>IF(M4110="","",ROUND(N4110-M4110,2))</f>
        <v/>
      </c>
      <c r="P4110" s="13">
        <f>IF(AND(A4110&lt;&gt;"",B4110&lt;&gt;""), A4110&amp;" · "&amp;B4110, "")</f>
        <v/>
      </c>
    </row>
    <row r="4111">
      <c r="A4111" s="6" t="inlineStr">
        <is>
          <t>FY27</t>
        </is>
      </c>
      <c r="B4111" s="6" t="inlineStr">
        <is>
          <t>Sep</t>
        </is>
      </c>
      <c r="C4111" s="6" t="inlineStr">
        <is>
          <t>TN</t>
        </is>
      </c>
      <c r="D4111" s="7" t="inlineStr">
        <is>
          <t>TN12U3291</t>
        </is>
      </c>
      <c r="E4111" s="7" t="inlineStr">
        <is>
          <t>MARUTI SUZUKI</t>
        </is>
      </c>
      <c r="F4111" s="7" t="inlineStr">
        <is>
          <t>Baleno</t>
        </is>
      </c>
      <c r="G4111" s="7" t="inlineStr">
        <is>
          <t>CASTLE TRADERS MARUTI</t>
        </is>
      </c>
      <c r="H4111" s="7" t="inlineStr">
        <is>
          <t>Non-Captive</t>
        </is>
      </c>
      <c r="I4111" s="7" t="inlineStr">
        <is>
          <t>Cars24</t>
        </is>
      </c>
      <c r="J4111" s="8" t="n">
        <v>2017</v>
      </c>
      <c r="K4111" s="9" t="n">
        <v>38784</v>
      </c>
      <c r="L4111" s="10" t="n">
        <v>451000</v>
      </c>
      <c r="M4111" s="10" t="n">
        <v>7627.12</v>
      </c>
      <c r="N4111" s="11">
        <f>IF(M4111="","",ROUND(M4111*1.18,2))</f>
        <v/>
      </c>
      <c r="O4111" s="12">
        <f>IF(M4111="","",ROUND(N4111-M4111,2))</f>
        <v/>
      </c>
      <c r="P4111" s="13">
        <f>IF(AND(A4111&lt;&gt;"",B4111&lt;&gt;""), A4111&amp;" · "&amp;B4111, "")</f>
        <v/>
      </c>
    </row>
    <row r="4112">
      <c r="A4112" s="6" t="inlineStr">
        <is>
          <t>FY27</t>
        </is>
      </c>
      <c r="B4112" s="6" t="inlineStr">
        <is>
          <t>Sep</t>
        </is>
      </c>
      <c r="C4112" s="6" t="inlineStr">
        <is>
          <t>TN</t>
        </is>
      </c>
      <c r="D4112" s="7" t="inlineStr">
        <is>
          <t>TN131125</t>
        </is>
      </c>
      <c r="E4112" s="7" t="inlineStr">
        <is>
          <t>MARUTI SUZUKI</t>
        </is>
      </c>
      <c r="F4112" s="7" t="inlineStr">
        <is>
          <t>Alto 800</t>
        </is>
      </c>
      <c r="G4112" s="7" t="inlineStr">
        <is>
          <t>CASTLE TRADERS MARUTI</t>
        </is>
      </c>
      <c r="H4112" s="7" t="inlineStr">
        <is>
          <t>Non-Captive</t>
        </is>
      </c>
      <c r="I4112" s="7" t="inlineStr">
        <is>
          <t>AS CARS</t>
        </is>
      </c>
      <c r="J4112" s="8" t="n">
        <v>2014</v>
      </c>
      <c r="K4112" s="9" t="n">
        <v>39290</v>
      </c>
      <c r="L4112" s="10" t="n">
        <v>167000</v>
      </c>
      <c r="M4112" s="10" t="n">
        <v>5084.75</v>
      </c>
      <c r="N4112" s="11">
        <f>IF(M4112="","",ROUND(M4112*1.18,2))</f>
        <v/>
      </c>
      <c r="O4112" s="12">
        <f>IF(M4112="","",ROUND(N4112-M4112,2))</f>
        <v/>
      </c>
      <c r="P4112" s="13">
        <f>IF(AND(A4112&lt;&gt;"",B4112&lt;&gt;""), A4112&amp;" · "&amp;B4112, "")</f>
        <v/>
      </c>
    </row>
    <row r="4113">
      <c r="A4113" s="6" t="inlineStr">
        <is>
          <t>FY27</t>
        </is>
      </c>
      <c r="B4113" s="6" t="inlineStr">
        <is>
          <t>Sep</t>
        </is>
      </c>
      <c r="C4113" s="6" t="inlineStr">
        <is>
          <t>TN</t>
        </is>
      </c>
      <c r="D4113" s="7" t="inlineStr">
        <is>
          <t>TN132101</t>
        </is>
      </c>
      <c r="E4113" s="7" t="inlineStr">
        <is>
          <t>FORD</t>
        </is>
      </c>
      <c r="F4113" s="7" t="inlineStr">
        <is>
          <t>Figo</t>
        </is>
      </c>
      <c r="G4113" s="7" t="inlineStr">
        <is>
          <t>CASTLE TRADERS MARUTI</t>
        </is>
      </c>
      <c r="H4113" s="7" t="inlineStr">
        <is>
          <t>Non-Captive</t>
        </is>
      </c>
      <c r="I4113" s="7" t="inlineStr">
        <is>
          <t>Maruthi Industries</t>
        </is>
      </c>
      <c r="J4113" s="8" t="n">
        <v>2013</v>
      </c>
      <c r="K4113" s="9" t="n">
        <v>90490</v>
      </c>
      <c r="L4113" s="10" t="n">
        <v>97000</v>
      </c>
      <c r="M4113" s="10" t="n">
        <v>4237.29</v>
      </c>
      <c r="N4113" s="11">
        <f>IF(M4113="","",ROUND(M4113*1.18,2))</f>
        <v/>
      </c>
      <c r="O4113" s="12">
        <f>IF(M4113="","",ROUND(N4113-M4113,2))</f>
        <v/>
      </c>
      <c r="P4113" s="13">
        <f>IF(AND(A4113&lt;&gt;"",B4113&lt;&gt;""), A4113&amp;" · "&amp;B4113, "")</f>
        <v/>
      </c>
    </row>
    <row r="4114">
      <c r="A4114" s="6" t="inlineStr">
        <is>
          <t>FY27</t>
        </is>
      </c>
      <c r="B4114" s="6" t="inlineStr">
        <is>
          <t>Sep</t>
        </is>
      </c>
      <c r="C4114" s="6" t="inlineStr">
        <is>
          <t>TN</t>
        </is>
      </c>
      <c r="D4114" s="7" t="inlineStr">
        <is>
          <t>TN13B5171</t>
        </is>
      </c>
      <c r="E4114" s="7" t="inlineStr">
        <is>
          <t>HONDA</t>
        </is>
      </c>
      <c r="F4114" s="7" t="inlineStr">
        <is>
          <t>Amaze</t>
        </is>
      </c>
      <c r="G4114" s="7" t="inlineStr">
        <is>
          <t>CRESCO CARS</t>
        </is>
      </c>
      <c r="H4114" s="7" t="inlineStr">
        <is>
          <t>Non-Captive</t>
        </is>
      </c>
      <c r="I4114" s="7" t="inlineStr">
        <is>
          <t>car Hub</t>
        </is>
      </c>
      <c r="J4114" s="8" t="n">
        <v>2015</v>
      </c>
      <c r="K4114" s="9" t="n">
        <v>76934</v>
      </c>
      <c r="L4114" s="10" t="n">
        <v>92000</v>
      </c>
      <c r="M4114" s="10" t="n">
        <v>4237.29</v>
      </c>
      <c r="N4114" s="11">
        <f>IF(M4114="","",ROUND(M4114*1.18,2))</f>
        <v/>
      </c>
      <c r="O4114" s="12">
        <f>IF(M4114="","",ROUND(N4114-M4114,2))</f>
        <v/>
      </c>
      <c r="P4114" s="13">
        <f>IF(AND(A4114&lt;&gt;"",B4114&lt;&gt;""), A4114&amp;" · "&amp;B4114, "")</f>
        <v/>
      </c>
    </row>
    <row r="4115">
      <c r="A4115" s="6" t="inlineStr">
        <is>
          <t>FY27</t>
        </is>
      </c>
      <c r="B4115" s="6" t="inlineStr">
        <is>
          <t>Sep</t>
        </is>
      </c>
      <c r="C4115" s="6" t="inlineStr">
        <is>
          <t>TN</t>
        </is>
      </c>
      <c r="D4115" s="7" t="inlineStr">
        <is>
          <t>TN13P7926</t>
        </is>
      </c>
      <c r="E4115" s="7" t="inlineStr">
        <is>
          <t>MARUTI SUZUKI</t>
        </is>
      </c>
      <c r="F4115" s="7" t="inlineStr">
        <is>
          <t>Dzire</t>
        </is>
      </c>
      <c r="G4115" s="7" t="inlineStr">
        <is>
          <t>CASTLE TRADERS MARUTI</t>
        </is>
      </c>
      <c r="H4115" s="7" t="inlineStr">
        <is>
          <t>Non-Captive</t>
        </is>
      </c>
      <c r="I4115" s="7" t="inlineStr">
        <is>
          <t>Aasim Motors</t>
        </is>
      </c>
      <c r="J4115" s="8" t="n">
        <v>2018</v>
      </c>
      <c r="K4115" s="9" t="n">
        <v>118052</v>
      </c>
      <c r="L4115" s="10" t="n">
        <v>322500</v>
      </c>
      <c r="M4115" s="10" t="n">
        <v>6355.93</v>
      </c>
      <c r="N4115" s="11">
        <f>IF(M4115="","",ROUND(M4115*1.18,2))</f>
        <v/>
      </c>
      <c r="O4115" s="12">
        <f>IF(M4115="","",ROUND(N4115-M4115,2))</f>
        <v/>
      </c>
      <c r="P4115" s="13">
        <f>IF(AND(A4115&lt;&gt;"",B4115&lt;&gt;""), A4115&amp;" · "&amp;B4115, "")</f>
        <v/>
      </c>
    </row>
    <row r="4116">
      <c r="A4116" s="6" t="inlineStr">
        <is>
          <t>FY27</t>
        </is>
      </c>
      <c r="B4116" s="6" t="inlineStr">
        <is>
          <t>Sep</t>
        </is>
      </c>
      <c r="C4116" s="6" t="inlineStr">
        <is>
          <t>TN</t>
        </is>
      </c>
      <c r="D4116" s="7" t="inlineStr">
        <is>
          <t>TN141055</t>
        </is>
      </c>
      <c r="E4116" s="7" t="inlineStr">
        <is>
          <t>MARUTI SUZUKI</t>
        </is>
      </c>
      <c r="F4116" s="7" t="inlineStr">
        <is>
          <t>Celerio</t>
        </is>
      </c>
      <c r="G4116" s="7" t="inlineStr">
        <is>
          <t>KRISH TOYOTA</t>
        </is>
      </c>
      <c r="H4116" s="7" t="inlineStr">
        <is>
          <t>Non-Captive</t>
        </is>
      </c>
      <c r="I4116" s="7" t="inlineStr">
        <is>
          <t>Value Drive Tech</t>
        </is>
      </c>
      <c r="J4116" s="8" t="n">
        <v>2014</v>
      </c>
      <c r="K4116" s="9" t="n">
        <v>59207</v>
      </c>
      <c r="L4116" s="10" t="n">
        <v>99000</v>
      </c>
      <c r="M4116" s="10" t="n">
        <v>4237.29</v>
      </c>
      <c r="N4116" s="11">
        <f>IF(M4116="","",ROUND(M4116*1.18,2))</f>
        <v/>
      </c>
      <c r="O4116" s="12">
        <f>IF(M4116="","",ROUND(N4116-M4116,2))</f>
        <v/>
      </c>
      <c r="P4116" s="13">
        <f>IF(AND(A4116&lt;&gt;"",B4116&lt;&gt;""), A4116&amp;" · "&amp;B4116, "")</f>
        <v/>
      </c>
    </row>
    <row r="4117">
      <c r="A4117" s="6" t="inlineStr">
        <is>
          <t>FY27</t>
        </is>
      </c>
      <c r="B4117" s="6" t="inlineStr">
        <is>
          <t>Sep</t>
        </is>
      </c>
      <c r="C4117" s="6" t="inlineStr">
        <is>
          <t>TN</t>
        </is>
      </c>
      <c r="D4117" s="7" t="inlineStr">
        <is>
          <t>TN14C2640</t>
        </is>
      </c>
      <c r="E4117" s="7" t="inlineStr">
        <is>
          <t>FIAT</t>
        </is>
      </c>
      <c r="F4117" s="7" t="inlineStr">
        <is>
          <t>Grand Punto</t>
        </is>
      </c>
      <c r="G4117" s="7" t="inlineStr">
        <is>
          <t>CASTLE TRADERS MARUTI</t>
        </is>
      </c>
      <c r="H4117" s="7" t="inlineStr">
        <is>
          <t>Non-Captive</t>
        </is>
      </c>
      <c r="I4117" s="7" t="inlineStr">
        <is>
          <t>Trust On wheels</t>
        </is>
      </c>
      <c r="J4117" s="8" t="n">
        <v>2015</v>
      </c>
      <c r="K4117" s="9" t="n">
        <v>122798</v>
      </c>
      <c r="L4117" s="10" t="n">
        <v>195000</v>
      </c>
      <c r="M4117" s="10" t="n">
        <v>5084.75</v>
      </c>
      <c r="N4117" s="11">
        <f>IF(M4117="","",ROUND(M4117*1.18,2))</f>
        <v/>
      </c>
      <c r="O4117" s="12">
        <f>IF(M4117="","",ROUND(N4117-M4117,2))</f>
        <v/>
      </c>
      <c r="P4117" s="13">
        <f>IF(AND(A4117&lt;&gt;"",B4117&lt;&gt;""), A4117&amp;" · "&amp;B4117, "")</f>
        <v/>
      </c>
    </row>
    <row r="4118">
      <c r="A4118" s="6" t="inlineStr">
        <is>
          <t>FY27</t>
        </is>
      </c>
      <c r="B4118" s="6" t="inlineStr">
        <is>
          <t>Sep</t>
        </is>
      </c>
      <c r="C4118" s="6" t="inlineStr">
        <is>
          <t>TN</t>
        </is>
      </c>
      <c r="D4118" s="7" t="inlineStr">
        <is>
          <t>TN14C5229</t>
        </is>
      </c>
      <c r="E4118" s="7" t="inlineStr">
        <is>
          <t>HYUNDAI</t>
        </is>
      </c>
      <c r="F4118" s="7" t="inlineStr">
        <is>
          <t>Eon</t>
        </is>
      </c>
      <c r="G4118" s="7" t="inlineStr">
        <is>
          <t>VISHNU CARS PRIVATE LIMITED</t>
        </is>
      </c>
      <c r="H4118" s="7" t="inlineStr">
        <is>
          <t>Non-Captive</t>
        </is>
      </c>
      <c r="I4118" s="7" t="inlineStr">
        <is>
          <t>AAA Cars</t>
        </is>
      </c>
      <c r="J4118" s="8" t="n">
        <v>2015</v>
      </c>
      <c r="K4118" s="9" t="n">
        <v>36224</v>
      </c>
      <c r="L4118" s="10" t="n">
        <v>94000</v>
      </c>
      <c r="M4118" s="10" t="n">
        <v>4237.29</v>
      </c>
      <c r="N4118" s="11">
        <f>IF(M4118="","",ROUND(M4118*1.18,2))</f>
        <v/>
      </c>
      <c r="O4118" s="12">
        <f>IF(M4118="","",ROUND(N4118-M4118,2))</f>
        <v/>
      </c>
      <c r="P4118" s="13">
        <f>IF(AND(A4118&lt;&gt;"",B4118&lt;&gt;""), A4118&amp;" · "&amp;B4118, "")</f>
        <v/>
      </c>
    </row>
    <row r="4119">
      <c r="A4119" s="6" t="inlineStr">
        <is>
          <t>FY27</t>
        </is>
      </c>
      <c r="B4119" s="6" t="inlineStr">
        <is>
          <t>Sep</t>
        </is>
      </c>
      <c r="C4119" s="6" t="inlineStr">
        <is>
          <t>TN</t>
        </is>
      </c>
      <c r="D4119" s="7" t="inlineStr">
        <is>
          <t>TN14F9932</t>
        </is>
      </c>
      <c r="E4119" s="7" t="inlineStr">
        <is>
          <t>MARUTI SUZUKI</t>
        </is>
      </c>
      <c r="F4119" s="7" t="inlineStr">
        <is>
          <t>Ciaz</t>
        </is>
      </c>
      <c r="G4119" s="7" t="inlineStr">
        <is>
          <t>CASTLE TRADERS MARUTI</t>
        </is>
      </c>
      <c r="H4119" s="7" t="inlineStr">
        <is>
          <t>Non-Captive</t>
        </is>
      </c>
      <c r="I4119" s="7" t="inlineStr">
        <is>
          <t>Value Drive Tech</t>
        </is>
      </c>
      <c r="J4119" s="8" t="n">
        <v>2016</v>
      </c>
      <c r="K4119" s="9" t="n">
        <v>69095</v>
      </c>
      <c r="L4119" s="10" t="n">
        <v>416000</v>
      </c>
      <c r="M4119" s="10" t="n">
        <v>7627.36</v>
      </c>
      <c r="N4119" s="11">
        <f>IF(M4119="","",ROUND(M4119*1.18,2))</f>
        <v/>
      </c>
      <c r="O4119" s="12">
        <f>IF(M4119="","",ROUND(N4119-M4119,2))</f>
        <v/>
      </c>
      <c r="P4119" s="13">
        <f>IF(AND(A4119&lt;&gt;"",B4119&lt;&gt;""), A4119&amp;" · "&amp;B4119, "")</f>
        <v/>
      </c>
    </row>
    <row r="4120">
      <c r="A4120" s="6" t="inlineStr">
        <is>
          <t>FY27</t>
        </is>
      </c>
      <c r="B4120" s="6" t="inlineStr">
        <is>
          <t>Sep</t>
        </is>
      </c>
      <c r="C4120" s="6" t="inlineStr">
        <is>
          <t>TN</t>
        </is>
      </c>
      <c r="D4120" s="7" t="inlineStr">
        <is>
          <t>TN14J3738</t>
        </is>
      </c>
      <c r="E4120" s="7" t="inlineStr">
        <is>
          <t>MARUTI SUZUKI</t>
        </is>
      </c>
      <c r="F4120" s="7" t="inlineStr">
        <is>
          <t>Alto</t>
        </is>
      </c>
      <c r="G4120" s="7" t="inlineStr">
        <is>
          <t>CASTLE TRADERS MARUTI</t>
        </is>
      </c>
      <c r="H4120" s="7" t="inlineStr">
        <is>
          <t>Non-Captive</t>
        </is>
      </c>
      <c r="I4120" s="7" t="inlineStr">
        <is>
          <t>Cars24</t>
        </is>
      </c>
      <c r="J4120" s="8" t="n">
        <v>2012</v>
      </c>
      <c r="K4120" s="9" t="n">
        <v>73339</v>
      </c>
      <c r="L4120" s="10" t="n">
        <v>585000</v>
      </c>
      <c r="M4120" s="10" t="n">
        <v>7627.12</v>
      </c>
      <c r="N4120" s="11">
        <f>IF(M4120="","",ROUND(M4120*1.18,2))</f>
        <v/>
      </c>
      <c r="O4120" s="12">
        <f>IF(M4120="","",ROUND(N4120-M4120,2))</f>
        <v/>
      </c>
      <c r="P4120" s="13">
        <f>IF(AND(A4120&lt;&gt;"",B4120&lt;&gt;""), A4120&amp;" · "&amp;B4120, "")</f>
        <v/>
      </c>
    </row>
    <row r="4121">
      <c r="A4121" s="6" t="inlineStr">
        <is>
          <t>FY27</t>
        </is>
      </c>
      <c r="B4121" s="6" t="inlineStr">
        <is>
          <t>Sep</t>
        </is>
      </c>
      <c r="C4121" s="6" t="inlineStr">
        <is>
          <t>TN</t>
        </is>
      </c>
      <c r="D4121" s="7" t="inlineStr">
        <is>
          <t>TN14U3264</t>
        </is>
      </c>
      <c r="E4121" s="7" t="inlineStr">
        <is>
          <t>HONDA</t>
        </is>
      </c>
      <c r="F4121" s="7" t="inlineStr">
        <is>
          <t>Jazz</t>
        </is>
      </c>
      <c r="G4121" s="7" t="inlineStr">
        <is>
          <t>VISHNU CARS PRIVATE LIMITED</t>
        </is>
      </c>
      <c r="H4121" s="7" t="inlineStr">
        <is>
          <t>Non-Captive</t>
        </is>
      </c>
      <c r="I4121" s="7" t="inlineStr">
        <is>
          <t>Pine Autos</t>
        </is>
      </c>
      <c r="J4121" s="8" t="n">
        <v>2012</v>
      </c>
      <c r="K4121" s="9" t="n">
        <v>69235</v>
      </c>
      <c r="L4121" s="10" t="n">
        <v>99000</v>
      </c>
      <c r="M4121" s="10" t="n">
        <v>4237.29</v>
      </c>
      <c r="N4121" s="11">
        <f>IF(M4121="","",ROUND(M4121*1.18,2))</f>
        <v/>
      </c>
      <c r="O4121" s="12">
        <f>IF(M4121="","",ROUND(N4121-M4121,2))</f>
        <v/>
      </c>
      <c r="P4121" s="13">
        <f>IF(AND(A4121&lt;&gt;"",B4121&lt;&gt;""), A4121&amp;" · "&amp;B4121, "")</f>
        <v/>
      </c>
    </row>
    <row r="4122">
      <c r="A4122" s="6" t="inlineStr">
        <is>
          <t>FY27</t>
        </is>
      </c>
      <c r="B4122" s="6" t="inlineStr">
        <is>
          <t>Sep</t>
        </is>
      </c>
      <c r="C4122" s="6" t="inlineStr">
        <is>
          <t>TN</t>
        </is>
      </c>
      <c r="D4122" s="7" t="inlineStr">
        <is>
          <t>TN18AD3895</t>
        </is>
      </c>
      <c r="E4122" s="7" t="inlineStr">
        <is>
          <t>TATA</t>
        </is>
      </c>
      <c r="F4122" s="7" t="inlineStr">
        <is>
          <t>Indica</t>
        </is>
      </c>
      <c r="G4122" s="7" t="inlineStr">
        <is>
          <t>CRESCO CARS</t>
        </is>
      </c>
      <c r="H4122" s="7" t="inlineStr">
        <is>
          <t>Non-Captive</t>
        </is>
      </c>
      <c r="I4122" s="7" t="inlineStr">
        <is>
          <t>Anishcars</t>
        </is>
      </c>
      <c r="J4122" s="8" t="n">
        <v>2015</v>
      </c>
      <c r="K4122" s="9" t="n">
        <v>178982</v>
      </c>
      <c r="L4122" s="10" t="n">
        <v>200000</v>
      </c>
      <c r="M4122" s="10" t="n">
        <v>5932.2</v>
      </c>
      <c r="N4122" s="11">
        <f>IF(M4122="","",ROUND(M4122*1.18,2))</f>
        <v/>
      </c>
      <c r="O4122" s="12">
        <f>IF(M4122="","",ROUND(N4122-M4122,2))</f>
        <v/>
      </c>
      <c r="P4122" s="13">
        <f>IF(AND(A4122&lt;&gt;"",B4122&lt;&gt;""), A4122&amp;" · "&amp;B4122, "")</f>
        <v/>
      </c>
    </row>
    <row r="4123">
      <c r="A4123" s="6" t="inlineStr">
        <is>
          <t>FY27</t>
        </is>
      </c>
      <c r="B4123" s="6" t="inlineStr">
        <is>
          <t>Sep</t>
        </is>
      </c>
      <c r="C4123" s="6" t="inlineStr">
        <is>
          <t>TN</t>
        </is>
      </c>
      <c r="D4123" s="7" t="inlineStr">
        <is>
          <t>TN18AF1353</t>
        </is>
      </c>
      <c r="E4123" s="7" t="inlineStr">
        <is>
          <t>MARUTI SUZUKI</t>
        </is>
      </c>
      <c r="F4123" s="7" t="inlineStr">
        <is>
          <t>Alto 800</t>
        </is>
      </c>
      <c r="G4123" s="7" t="inlineStr">
        <is>
          <t>CRESCO CARS</t>
        </is>
      </c>
      <c r="H4123" s="7" t="inlineStr">
        <is>
          <t>Non-Captive</t>
        </is>
      </c>
      <c r="I4123" s="7" t="inlineStr">
        <is>
          <t>Santhosh Cars</t>
        </is>
      </c>
      <c r="J4123" s="8" t="n">
        <v>2015</v>
      </c>
      <c r="K4123" s="9" t="n">
        <v>12381</v>
      </c>
      <c r="L4123" s="10" t="n">
        <v>93000</v>
      </c>
      <c r="M4123" s="10" t="n">
        <v>3389.83</v>
      </c>
      <c r="N4123" s="11">
        <f>IF(M4123="","",ROUND(M4123*1.18,2))</f>
        <v/>
      </c>
      <c r="O4123" s="12">
        <f>IF(M4123="","",ROUND(N4123-M4123,2))</f>
        <v/>
      </c>
      <c r="P4123" s="13">
        <f>IF(AND(A4123&lt;&gt;"",B4123&lt;&gt;""), A4123&amp;" · "&amp;B4123, "")</f>
        <v/>
      </c>
    </row>
    <row r="4124">
      <c r="A4124" s="6" t="inlineStr">
        <is>
          <t>FY27</t>
        </is>
      </c>
      <c r="B4124" s="6" t="inlineStr">
        <is>
          <t>Sep</t>
        </is>
      </c>
      <c r="C4124" s="6" t="inlineStr">
        <is>
          <t>TN</t>
        </is>
      </c>
      <c r="D4124" s="7" t="inlineStr">
        <is>
          <t>TN18AH8950</t>
        </is>
      </c>
      <c r="E4124" s="7" t="inlineStr">
        <is>
          <t>MARUTI SUZUKI</t>
        </is>
      </c>
      <c r="F4124" s="7" t="inlineStr">
        <is>
          <t>Alto 800</t>
        </is>
      </c>
      <c r="G4124" s="7" t="inlineStr">
        <is>
          <t>EXCHANGE ROTN</t>
        </is>
      </c>
      <c r="H4124" s="7" t="inlineStr">
        <is>
          <t>Captive</t>
        </is>
      </c>
      <c r="I4124" s="7" t="inlineStr">
        <is>
          <t>Sai Cars</t>
        </is>
      </c>
      <c r="J4124" s="8" t="n">
        <v>2016</v>
      </c>
      <c r="K4124" s="9" t="n">
        <v>105762</v>
      </c>
      <c r="L4124" s="10" t="n">
        <v>95000</v>
      </c>
      <c r="M4124" s="10" t="n">
        <v>4237.29</v>
      </c>
      <c r="N4124" s="11">
        <f>IF(M4124="","",ROUND(M4124*1.18,2))</f>
        <v/>
      </c>
      <c r="O4124" s="12">
        <f>IF(M4124="","",ROUND(N4124-M4124,2))</f>
        <v/>
      </c>
      <c r="P4124" s="13">
        <f>IF(AND(A4124&lt;&gt;"",B4124&lt;&gt;""), A4124&amp;" · "&amp;B4124, "")</f>
        <v/>
      </c>
    </row>
    <row r="4125">
      <c r="A4125" s="6" t="inlineStr">
        <is>
          <t>FY27</t>
        </is>
      </c>
      <c r="B4125" s="6" t="inlineStr">
        <is>
          <t>Sep</t>
        </is>
      </c>
      <c r="C4125" s="6" t="inlineStr">
        <is>
          <t>TN</t>
        </is>
      </c>
      <c r="D4125" s="7" t="inlineStr">
        <is>
          <t>TN18AM7641</t>
        </is>
      </c>
      <c r="E4125" s="7" t="inlineStr">
        <is>
          <t>MARUTI SUZUKI</t>
        </is>
      </c>
      <c r="F4125" s="7" t="inlineStr">
        <is>
          <t>Baleno</t>
        </is>
      </c>
      <c r="G4125" s="7" t="inlineStr">
        <is>
          <t>AUTOMOTIVE MANUFACTURES PRIVATE LIMITED</t>
        </is>
      </c>
      <c r="H4125" s="7" t="inlineStr">
        <is>
          <t>Non-Captive</t>
        </is>
      </c>
      <c r="I4125" s="7" t="inlineStr">
        <is>
          <t>Nirmal Cars</t>
        </is>
      </c>
      <c r="J4125" s="8" t="n">
        <v>2017</v>
      </c>
      <c r="K4125" s="9" t="n">
        <v>86644</v>
      </c>
      <c r="L4125" s="10" t="n">
        <v>189000</v>
      </c>
      <c r="M4125" s="10" t="n">
        <v>5084.75</v>
      </c>
      <c r="N4125" s="11">
        <f>IF(M4125="","",ROUND(M4125*1.18,2))</f>
        <v/>
      </c>
      <c r="O4125" s="12">
        <f>IF(M4125="","",ROUND(N4125-M4125,2))</f>
        <v/>
      </c>
      <c r="P4125" s="13">
        <f>IF(AND(A4125&lt;&gt;"",B4125&lt;&gt;""), A4125&amp;" · "&amp;B4125, "")</f>
        <v/>
      </c>
    </row>
    <row r="4126">
      <c r="A4126" s="6" t="inlineStr">
        <is>
          <t>FY27</t>
        </is>
      </c>
      <c r="B4126" s="6" t="inlineStr">
        <is>
          <t>Sep</t>
        </is>
      </c>
      <c r="C4126" s="6" t="inlineStr">
        <is>
          <t>TN</t>
        </is>
      </c>
      <c r="D4126" s="7" t="inlineStr">
        <is>
          <t>TN18AR2210</t>
        </is>
      </c>
      <c r="E4126" s="7" t="inlineStr">
        <is>
          <t>MARUTI SUZUKI</t>
        </is>
      </c>
      <c r="F4126" s="7" t="inlineStr">
        <is>
          <t>Omni</t>
        </is>
      </c>
      <c r="G4126" s="7" t="inlineStr">
        <is>
          <t>RAJALAKSHMI CARS</t>
        </is>
      </c>
      <c r="H4126" s="7" t="inlineStr">
        <is>
          <t>Non-Captive</t>
        </is>
      </c>
      <c r="I4126" s="7" t="inlineStr">
        <is>
          <t>AAA Cars</t>
        </is>
      </c>
      <c r="J4126" s="8" t="n">
        <v>2018</v>
      </c>
      <c r="K4126" s="9" t="n">
        <v>65474</v>
      </c>
      <c r="L4126" s="10" t="n">
        <v>98000</v>
      </c>
      <c r="M4126" s="10" t="n">
        <v>4237.29</v>
      </c>
      <c r="N4126" s="11">
        <f>IF(M4126="","",ROUND(M4126*1.18,2))</f>
        <v/>
      </c>
      <c r="O4126" s="12">
        <f>IF(M4126="","",ROUND(N4126-M4126,2))</f>
        <v/>
      </c>
      <c r="P4126" s="13">
        <f>IF(AND(A4126&lt;&gt;"",B4126&lt;&gt;""), A4126&amp;" · "&amp;B4126, "")</f>
        <v/>
      </c>
    </row>
    <row r="4127">
      <c r="A4127" s="6" t="inlineStr">
        <is>
          <t>FY27</t>
        </is>
      </c>
      <c r="B4127" s="6" t="inlineStr">
        <is>
          <t>Sep</t>
        </is>
      </c>
      <c r="C4127" s="6" t="inlineStr">
        <is>
          <t>TN</t>
        </is>
      </c>
      <c r="D4127" s="7" t="inlineStr">
        <is>
          <t>TN18BW1333</t>
        </is>
      </c>
      <c r="E4127" s="7" t="inlineStr">
        <is>
          <t>KIA</t>
        </is>
      </c>
      <c r="F4127" s="7" t="inlineStr">
        <is>
          <t>Sonet</t>
        </is>
      </c>
      <c r="G4127" s="7" t="inlineStr">
        <is>
          <t>CASTLE TRADERS MARUTI</t>
        </is>
      </c>
      <c r="H4127" s="7" t="inlineStr">
        <is>
          <t>Non-Captive</t>
        </is>
      </c>
      <c r="I4127" s="7" t="inlineStr">
        <is>
          <t>Pine Autos</t>
        </is>
      </c>
      <c r="J4127" s="8" t="n">
        <v>2025</v>
      </c>
      <c r="K4127" s="9" t="n">
        <v>9339</v>
      </c>
      <c r="L4127" s="10" t="n">
        <v>785000</v>
      </c>
      <c r="M4127" s="10" t="n">
        <v>8474.58</v>
      </c>
      <c r="N4127" s="11">
        <f>IF(M4127="","",ROUND(M4127*1.18,2))</f>
        <v/>
      </c>
      <c r="O4127" s="12">
        <f>IF(M4127="","",ROUND(N4127-M4127,2))</f>
        <v/>
      </c>
      <c r="P4127" s="13">
        <f>IF(AND(A4127&lt;&gt;"",B4127&lt;&gt;""), A4127&amp;" · "&amp;B4127, "")</f>
        <v/>
      </c>
    </row>
    <row r="4128">
      <c r="A4128" s="6" t="inlineStr">
        <is>
          <t>FY27</t>
        </is>
      </c>
      <c r="B4128" s="6" t="inlineStr">
        <is>
          <t>Sep</t>
        </is>
      </c>
      <c r="C4128" s="6" t="inlineStr">
        <is>
          <t>TN</t>
        </is>
      </c>
      <c r="D4128" s="7" t="inlineStr">
        <is>
          <t>TN18D3208</t>
        </is>
      </c>
      <c r="E4128" s="7" t="inlineStr">
        <is>
          <t>MARUTI SUZUKI</t>
        </is>
      </c>
      <c r="F4128" s="7" t="inlineStr">
        <is>
          <t>Alto</t>
        </is>
      </c>
      <c r="G4128" s="7" t="inlineStr">
        <is>
          <t>EXCHANGE ROTN</t>
        </is>
      </c>
      <c r="H4128" s="7" t="inlineStr">
        <is>
          <t>Captive</t>
        </is>
      </c>
      <c r="I4128" s="7" t="inlineStr">
        <is>
          <t>STALIN CARS</t>
        </is>
      </c>
      <c r="J4128" s="8" t="n">
        <v>2010</v>
      </c>
      <c r="K4128" s="9" t="n">
        <v>103019</v>
      </c>
      <c r="L4128" s="10" t="n">
        <v>70000</v>
      </c>
      <c r="M4128" s="10" t="n">
        <v>4237.29</v>
      </c>
      <c r="N4128" s="11">
        <f>IF(M4128="","",ROUND(M4128*1.18,2))</f>
        <v/>
      </c>
      <c r="O4128" s="12">
        <f>IF(M4128="","",ROUND(N4128-M4128,2))</f>
        <v/>
      </c>
      <c r="P4128" s="13">
        <f>IF(AND(A4128&lt;&gt;"",B4128&lt;&gt;""), A4128&amp;" · "&amp;B4128, "")</f>
        <v/>
      </c>
    </row>
    <row r="4129">
      <c r="A4129" s="6" t="inlineStr">
        <is>
          <t>FY27</t>
        </is>
      </c>
      <c r="B4129" s="6" t="inlineStr">
        <is>
          <t>Sep</t>
        </is>
      </c>
      <c r="C4129" s="6" t="inlineStr">
        <is>
          <t>TN</t>
        </is>
      </c>
      <c r="D4129" s="7" t="inlineStr">
        <is>
          <t>TN18J1361</t>
        </is>
      </c>
      <c r="E4129" s="7" t="inlineStr">
        <is>
          <t>MARUTI SUZUKI</t>
        </is>
      </c>
      <c r="F4129" s="7" t="inlineStr">
        <is>
          <t>Alto</t>
        </is>
      </c>
      <c r="G4129" s="7" t="inlineStr">
        <is>
          <t>PRODUCTIVITY ELEMENTS PRIVATE LIMITED</t>
        </is>
      </c>
      <c r="H4129" s="7" t="inlineStr">
        <is>
          <t>Non-Captive</t>
        </is>
      </c>
      <c r="I4129" s="7" t="inlineStr">
        <is>
          <t>Srijja Travels</t>
        </is>
      </c>
      <c r="J4129" s="8" t="n">
        <v>2011</v>
      </c>
      <c r="K4129" s="9" t="n">
        <v>131727</v>
      </c>
      <c r="L4129" s="10" t="n">
        <v>93000</v>
      </c>
      <c r="M4129" s="10" t="n">
        <v>4237.29</v>
      </c>
      <c r="N4129" s="11">
        <f>IF(M4129="","",ROUND(M4129*1.18,2))</f>
        <v/>
      </c>
      <c r="O4129" s="12">
        <f>IF(M4129="","",ROUND(N4129-M4129,2))</f>
        <v/>
      </c>
      <c r="P4129" s="13">
        <f>IF(AND(A4129&lt;&gt;"",B4129&lt;&gt;""), A4129&amp;" · "&amp;B4129, "")</f>
        <v/>
      </c>
    </row>
    <row r="4130">
      <c r="A4130" s="6" t="inlineStr">
        <is>
          <t>FY27</t>
        </is>
      </c>
      <c r="B4130" s="6" t="inlineStr">
        <is>
          <t>Sep</t>
        </is>
      </c>
      <c r="C4130" s="6" t="inlineStr">
        <is>
          <t>TN</t>
        </is>
      </c>
      <c r="D4130" s="7" t="inlineStr">
        <is>
          <t>TN18T4153</t>
        </is>
      </c>
      <c r="E4130" s="7" t="inlineStr">
        <is>
          <t>MARUTI SUZUKI</t>
        </is>
      </c>
      <c r="F4130" s="7" t="inlineStr">
        <is>
          <t>Wagon R</t>
        </is>
      </c>
      <c r="G4130" s="7" t="inlineStr">
        <is>
          <t>PEEYESYEM HK MOTORS LLP</t>
        </is>
      </c>
      <c r="H4130" s="7" t="inlineStr">
        <is>
          <t>Non-Captive</t>
        </is>
      </c>
      <c r="I4130" s="7" t="inlineStr">
        <is>
          <t>Aneesa Pravin Cars</t>
        </is>
      </c>
      <c r="J4130" s="8" t="n">
        <v>2013</v>
      </c>
      <c r="K4130" s="9" t="n">
        <v>50062</v>
      </c>
      <c r="L4130" s="10" t="n">
        <v>95000</v>
      </c>
      <c r="M4130" s="10" t="n">
        <v>4237.29</v>
      </c>
      <c r="N4130" s="11">
        <f>IF(M4130="","",ROUND(M4130*1.18,2))</f>
        <v/>
      </c>
      <c r="O4130" s="12">
        <f>IF(M4130="","",ROUND(N4130-M4130,2))</f>
        <v/>
      </c>
      <c r="P4130" s="13">
        <f>IF(AND(A4130&lt;&gt;"",B4130&lt;&gt;""), A4130&amp;" · "&amp;B4130, "")</f>
        <v/>
      </c>
    </row>
    <row r="4131">
      <c r="A4131" s="6" t="inlineStr">
        <is>
          <t>FY27</t>
        </is>
      </c>
      <c r="B4131" s="6" t="inlineStr">
        <is>
          <t>Sep</t>
        </is>
      </c>
      <c r="C4131" s="6" t="inlineStr">
        <is>
          <t>TN</t>
        </is>
      </c>
      <c r="D4131" s="7" t="inlineStr">
        <is>
          <t>TN18V7809</t>
        </is>
      </c>
      <c r="E4131" s="7" t="inlineStr">
        <is>
          <t>MARUTI SUZUKI</t>
        </is>
      </c>
      <c r="F4131" s="7" t="inlineStr">
        <is>
          <t>Ritz</t>
        </is>
      </c>
      <c r="G4131" s="7" t="inlineStr">
        <is>
          <t>CRESCO CARS</t>
        </is>
      </c>
      <c r="H4131" s="7" t="inlineStr">
        <is>
          <t>Non-Captive</t>
        </is>
      </c>
      <c r="I4131" s="7" t="inlineStr">
        <is>
          <t>Srijja Travels</t>
        </is>
      </c>
      <c r="J4131" s="8" t="n">
        <v>2012</v>
      </c>
      <c r="K4131" s="9" t="n">
        <v>79137</v>
      </c>
      <c r="L4131" s="10" t="n">
        <v>98000</v>
      </c>
      <c r="M4131" s="10" t="n">
        <v>4237.29</v>
      </c>
      <c r="N4131" s="11">
        <f>IF(M4131="","",ROUND(M4131*1.18,2))</f>
        <v/>
      </c>
      <c r="O4131" s="12">
        <f>IF(M4131="","",ROUND(N4131-M4131,2))</f>
        <v/>
      </c>
      <c r="P4131" s="13">
        <f>IF(AND(A4131&lt;&gt;"",B4131&lt;&gt;""), A4131&amp;" · "&amp;B4131, "")</f>
        <v/>
      </c>
    </row>
    <row r="4132">
      <c r="A4132" s="6" t="inlineStr">
        <is>
          <t>FY27</t>
        </is>
      </c>
      <c r="B4132" s="6" t="inlineStr">
        <is>
          <t>Sep</t>
        </is>
      </c>
      <c r="C4132" s="6" t="inlineStr">
        <is>
          <t>TN</t>
        </is>
      </c>
      <c r="D4132" s="7" t="inlineStr">
        <is>
          <t>TN18Z5275</t>
        </is>
      </c>
      <c r="E4132" s="7" t="inlineStr">
        <is>
          <t>MARUTI SUZUKI</t>
        </is>
      </c>
      <c r="F4132" s="7" t="inlineStr">
        <is>
          <t>Alto K10</t>
        </is>
      </c>
      <c r="G4132" s="7" t="inlineStr">
        <is>
          <t>EXCHANGE ROTN</t>
        </is>
      </c>
      <c r="H4132" s="7" t="inlineStr">
        <is>
          <t>Captive</t>
        </is>
      </c>
      <c r="I4132" s="7" t="inlineStr">
        <is>
          <t>Niranchana Cars</t>
        </is>
      </c>
      <c r="J4132" s="8" t="n">
        <v>2011</v>
      </c>
      <c r="K4132" s="9" t="n">
        <v>90909</v>
      </c>
      <c r="L4132" s="10" t="n">
        <v>85000</v>
      </c>
      <c r="M4132" s="10" t="n">
        <v>4237.29</v>
      </c>
      <c r="N4132" s="11">
        <f>IF(M4132="","",ROUND(M4132*1.18,2))</f>
        <v/>
      </c>
      <c r="O4132" s="12">
        <f>IF(M4132="","",ROUND(N4132-M4132,2))</f>
        <v/>
      </c>
      <c r="P4132" s="13">
        <f>IF(AND(A4132&lt;&gt;"",B4132&lt;&gt;""), A4132&amp;" · "&amp;B4132, "")</f>
        <v/>
      </c>
    </row>
    <row r="4133">
      <c r="A4133" s="6" t="inlineStr">
        <is>
          <t>FY27</t>
        </is>
      </c>
      <c r="B4133" s="6" t="inlineStr">
        <is>
          <t>Sep</t>
        </is>
      </c>
      <c r="C4133" s="6" t="inlineStr">
        <is>
          <t>TN</t>
        </is>
      </c>
      <c r="D4133" s="7" t="inlineStr">
        <is>
          <t>TN19AA8865</t>
        </is>
      </c>
      <c r="E4133" s="7" t="inlineStr">
        <is>
          <t>FIAT</t>
        </is>
      </c>
      <c r="F4133" s="7" t="inlineStr">
        <is>
          <t>Grand Punto</t>
        </is>
      </c>
      <c r="G4133" s="7" t="inlineStr">
        <is>
          <t>AIE CARS PRIVATE LIMITED</t>
        </is>
      </c>
      <c r="H4133" s="7" t="inlineStr">
        <is>
          <t>Non-Captive</t>
        </is>
      </c>
      <c r="I4133" s="7" t="inlineStr">
        <is>
          <t>AAA Cars</t>
        </is>
      </c>
      <c r="J4133" s="8" t="n">
        <v>2016</v>
      </c>
      <c r="K4133" s="9" t="n">
        <v>101610</v>
      </c>
      <c r="L4133" s="10" t="n">
        <v>96000</v>
      </c>
      <c r="M4133" s="10" t="n">
        <v>4237.29</v>
      </c>
      <c r="N4133" s="11">
        <f>IF(M4133="","",ROUND(M4133*1.18,2))</f>
        <v/>
      </c>
      <c r="O4133" s="12">
        <f>IF(M4133="","",ROUND(N4133-M4133,2))</f>
        <v/>
      </c>
      <c r="P4133" s="13">
        <f>IF(AND(A4133&lt;&gt;"",B4133&lt;&gt;""), A4133&amp;" · "&amp;B4133, "")</f>
        <v/>
      </c>
    </row>
    <row r="4134">
      <c r="A4134" s="6" t="inlineStr">
        <is>
          <t>FY27</t>
        </is>
      </c>
      <c r="B4134" s="6" t="inlineStr">
        <is>
          <t>Sep</t>
        </is>
      </c>
      <c r="C4134" s="6" t="inlineStr">
        <is>
          <t>TN</t>
        </is>
      </c>
      <c r="D4134" s="7" t="inlineStr">
        <is>
          <t>TN19AS2919</t>
        </is>
      </c>
      <c r="E4134" s="7" t="inlineStr">
        <is>
          <t>MARUTI SUZUKI</t>
        </is>
      </c>
      <c r="F4134" s="7" t="inlineStr">
        <is>
          <t>Dzire</t>
        </is>
      </c>
      <c r="G4134" s="7" t="inlineStr">
        <is>
          <t>VISHNU CARS PRIVATE LIMITED</t>
        </is>
      </c>
      <c r="H4134" s="7" t="inlineStr">
        <is>
          <t>Non-Captive</t>
        </is>
      </c>
      <c r="I4134" s="7" t="inlineStr">
        <is>
          <t>Thiyagarajan Raja Cars</t>
        </is>
      </c>
      <c r="J4134" s="8" t="n">
        <v>2022</v>
      </c>
      <c r="K4134" s="9" t="n">
        <v>38765</v>
      </c>
      <c r="L4134" s="10" t="n">
        <v>593600</v>
      </c>
      <c r="M4134" s="10" t="n">
        <v>7627.12</v>
      </c>
      <c r="N4134" s="11">
        <f>IF(M4134="","",ROUND(M4134*1.18,2))</f>
        <v/>
      </c>
      <c r="O4134" s="12">
        <f>IF(M4134="","",ROUND(N4134-M4134,2))</f>
        <v/>
      </c>
      <c r="P4134" s="13">
        <f>IF(AND(A4134&lt;&gt;"",B4134&lt;&gt;""), A4134&amp;" · "&amp;B4134, "")</f>
        <v/>
      </c>
    </row>
    <row r="4135">
      <c r="A4135" s="6" t="inlineStr">
        <is>
          <t>FY27</t>
        </is>
      </c>
      <c r="B4135" s="6" t="inlineStr">
        <is>
          <t>Sep</t>
        </is>
      </c>
      <c r="C4135" s="6" t="inlineStr">
        <is>
          <t>TN</t>
        </is>
      </c>
      <c r="D4135" s="7" t="inlineStr">
        <is>
          <t>TN19K4298</t>
        </is>
      </c>
      <c r="E4135" s="7" t="inlineStr">
        <is>
          <t>HONDA</t>
        </is>
      </c>
      <c r="F4135" s="7" t="inlineStr">
        <is>
          <t>City</t>
        </is>
      </c>
      <c r="G4135" s="7" t="inlineStr">
        <is>
          <t>LAKSHMI NISSAN</t>
        </is>
      </c>
      <c r="H4135" s="7" t="inlineStr">
        <is>
          <t>Non-Captive</t>
        </is>
      </c>
      <c r="I4135" s="7" t="inlineStr">
        <is>
          <t>car Hub</t>
        </is>
      </c>
      <c r="J4135" s="8" t="n">
        <v>2013</v>
      </c>
      <c r="K4135" s="9" t="n">
        <v>131307</v>
      </c>
      <c r="L4135" s="10" t="n">
        <v>93000</v>
      </c>
      <c r="M4135" s="10" t="n">
        <v>4237.29</v>
      </c>
      <c r="N4135" s="11">
        <f>IF(M4135="","",ROUND(M4135*1.18,2))</f>
        <v/>
      </c>
      <c r="O4135" s="12">
        <f>IF(M4135="","",ROUND(N4135-M4135,2))</f>
        <v/>
      </c>
      <c r="P4135" s="13">
        <f>IF(AND(A4135&lt;&gt;"",B4135&lt;&gt;""), A4135&amp;" · "&amp;B4135, "")</f>
        <v/>
      </c>
    </row>
    <row r="4136">
      <c r="A4136" s="6" t="inlineStr">
        <is>
          <t>FY27</t>
        </is>
      </c>
      <c r="B4136" s="6" t="inlineStr">
        <is>
          <t>Sep</t>
        </is>
      </c>
      <c r="C4136" s="6" t="inlineStr">
        <is>
          <t>TN</t>
        </is>
      </c>
      <c r="D4136" s="7" t="inlineStr">
        <is>
          <t>TN19P9990</t>
        </is>
      </c>
      <c r="E4136" s="7" t="inlineStr">
        <is>
          <t>FORD</t>
        </is>
      </c>
      <c r="F4136" s="7" t="inlineStr">
        <is>
          <t>EcoSport</t>
        </is>
      </c>
      <c r="G4136" s="7" t="inlineStr">
        <is>
          <t>EXCHANGE ROTN</t>
        </is>
      </c>
      <c r="H4136" s="7" t="inlineStr">
        <is>
          <t>Captive</t>
        </is>
      </c>
      <c r="I4136" s="7" t="inlineStr">
        <is>
          <t>&lt;NA&gt;</t>
        </is>
      </c>
      <c r="J4136" s="8" t="n">
        <v>2014</v>
      </c>
      <c r="K4136" s="9" t="n">
        <v>147221</v>
      </c>
      <c r="L4136" s="10" t="n">
        <v>275000</v>
      </c>
      <c r="M4136" s="10" t="n">
        <v>8474.58</v>
      </c>
      <c r="N4136" s="11">
        <f>IF(M4136="","",ROUND(M4136*1.18,2))</f>
        <v/>
      </c>
      <c r="O4136" s="12">
        <f>IF(M4136="","",ROUND(N4136-M4136,2))</f>
        <v/>
      </c>
      <c r="P4136" s="13">
        <f>IF(AND(A4136&lt;&gt;"",B4136&lt;&gt;""), A4136&amp;" · "&amp;B4136, "")</f>
        <v/>
      </c>
    </row>
    <row r="4137">
      <c r="A4137" s="6" t="inlineStr">
        <is>
          <t>FY27</t>
        </is>
      </c>
      <c r="B4137" s="6" t="inlineStr">
        <is>
          <t>Sep</t>
        </is>
      </c>
      <c r="C4137" s="6" t="inlineStr">
        <is>
          <t>TN</t>
        </is>
      </c>
      <c r="D4137" s="7" t="inlineStr">
        <is>
          <t>TN20AB6066</t>
        </is>
      </c>
      <c r="E4137" s="7" t="inlineStr">
        <is>
          <t>HONDA</t>
        </is>
      </c>
      <c r="F4137" s="7" t="inlineStr">
        <is>
          <t>City</t>
        </is>
      </c>
      <c r="G4137" s="7" t="inlineStr">
        <is>
          <t>AIE CARS PRIVATE LIMITED</t>
        </is>
      </c>
      <c r="H4137" s="7" t="inlineStr">
        <is>
          <t>Non-Captive</t>
        </is>
      </c>
      <c r="I4137" s="7" t="inlineStr">
        <is>
          <t>VS Enterprises</t>
        </is>
      </c>
      <c r="J4137" s="8" t="n">
        <v>2005</v>
      </c>
      <c r="K4137" s="9" t="n">
        <v>106570</v>
      </c>
      <c r="L4137" s="10" t="n">
        <v>98000</v>
      </c>
      <c r="M4137" s="10" t="n">
        <v>4237.29</v>
      </c>
      <c r="N4137" s="11">
        <f>IF(M4137="","",ROUND(M4137*1.18,2))</f>
        <v/>
      </c>
      <c r="O4137" s="12">
        <f>IF(M4137="","",ROUND(N4137-M4137,2))</f>
        <v/>
      </c>
      <c r="P4137" s="13">
        <f>IF(AND(A4137&lt;&gt;"",B4137&lt;&gt;""), A4137&amp;" · "&amp;B4137, "")</f>
        <v/>
      </c>
    </row>
    <row r="4138">
      <c r="A4138" s="6" t="inlineStr">
        <is>
          <t>FY27</t>
        </is>
      </c>
      <c r="B4138" s="6" t="inlineStr">
        <is>
          <t>Sep</t>
        </is>
      </c>
      <c r="C4138" s="6" t="inlineStr">
        <is>
          <t>TN</t>
        </is>
      </c>
      <c r="D4138" s="7" t="inlineStr">
        <is>
          <t>TN20CY0777</t>
        </is>
      </c>
      <c r="E4138" s="7" t="inlineStr">
        <is>
          <t>MAHINDRA</t>
        </is>
      </c>
      <c r="F4138" s="7" t="inlineStr">
        <is>
          <t>XUV500</t>
        </is>
      </c>
      <c r="G4138" s="7" t="inlineStr">
        <is>
          <t>LAKSHMI NISSAN</t>
        </is>
      </c>
      <c r="H4138" s="7" t="inlineStr">
        <is>
          <t>Non-Captive</t>
        </is>
      </c>
      <c r="I4138" s="7" t="inlineStr">
        <is>
          <t>AS CARS</t>
        </is>
      </c>
      <c r="J4138" s="8" t="n">
        <v>2012</v>
      </c>
      <c r="K4138" s="9" t="n">
        <v>120315</v>
      </c>
      <c r="L4138" s="10" t="n">
        <v>98000</v>
      </c>
      <c r="M4138" s="10" t="n">
        <v>4237.29</v>
      </c>
      <c r="N4138" s="11">
        <f>IF(M4138="","",ROUND(M4138*1.18,2))</f>
        <v/>
      </c>
      <c r="O4138" s="12">
        <f>IF(M4138="","",ROUND(N4138-M4138,2))</f>
        <v/>
      </c>
      <c r="P4138" s="13">
        <f>IF(AND(A4138&lt;&gt;"",B4138&lt;&gt;""), A4138&amp;" · "&amp;B4138, "")</f>
        <v/>
      </c>
    </row>
    <row r="4139">
      <c r="A4139" s="6" t="inlineStr">
        <is>
          <t>FY27</t>
        </is>
      </c>
      <c r="B4139" s="6" t="inlineStr">
        <is>
          <t>Sep</t>
        </is>
      </c>
      <c r="C4139" s="6" t="inlineStr">
        <is>
          <t>TN</t>
        </is>
      </c>
      <c r="D4139" s="7" t="inlineStr">
        <is>
          <t>TN20S7166</t>
        </is>
      </c>
      <c r="E4139" s="7" t="inlineStr">
        <is>
          <t>MARUTI SUZUKI</t>
        </is>
      </c>
      <c r="F4139" s="7" t="inlineStr">
        <is>
          <t>800</t>
        </is>
      </c>
      <c r="G4139" s="7" t="inlineStr">
        <is>
          <t>RAJALAKSHMI CARS</t>
        </is>
      </c>
      <c r="H4139" s="7" t="inlineStr">
        <is>
          <t>Non-Captive</t>
        </is>
      </c>
      <c r="I4139" s="7" t="inlineStr">
        <is>
          <t>Aneesa Pravin Cars</t>
        </is>
      </c>
      <c r="J4139" s="8" t="n">
        <v>2003</v>
      </c>
      <c r="K4139" s="9" t="n">
        <v>97781</v>
      </c>
      <c r="L4139" s="10" t="n">
        <v>89000</v>
      </c>
      <c r="M4139" s="10" t="n">
        <v>4237.29</v>
      </c>
      <c r="N4139" s="11">
        <f>IF(M4139="","",ROUND(M4139*1.18,2))</f>
        <v/>
      </c>
      <c r="O4139" s="12">
        <f>IF(M4139="","",ROUND(N4139-M4139,2))</f>
        <v/>
      </c>
      <c r="P4139" s="13">
        <f>IF(AND(A4139&lt;&gt;"",B4139&lt;&gt;""), A4139&amp;" · "&amp;B4139, "")</f>
        <v/>
      </c>
    </row>
    <row r="4140">
      <c r="A4140" s="6" t="inlineStr">
        <is>
          <t>FY27</t>
        </is>
      </c>
      <c r="B4140" s="6" t="inlineStr">
        <is>
          <t>Sep</t>
        </is>
      </c>
      <c r="C4140" s="6" t="inlineStr">
        <is>
          <t>TN</t>
        </is>
      </c>
      <c r="D4140" s="7" t="inlineStr">
        <is>
          <t>TN21AX8998</t>
        </is>
      </c>
      <c r="E4140" s="7" t="inlineStr">
        <is>
          <t>HONDA</t>
        </is>
      </c>
      <c r="F4140" s="7" t="inlineStr">
        <is>
          <t>City</t>
        </is>
      </c>
      <c r="G4140" s="7" t="inlineStr">
        <is>
          <t>VISHNU CARS PRIVATE LIMITED</t>
        </is>
      </c>
      <c r="H4140" s="7" t="inlineStr">
        <is>
          <t>Non-Captive</t>
        </is>
      </c>
      <c r="I4140" s="7" t="inlineStr">
        <is>
          <t>Santhosh Cars</t>
        </is>
      </c>
      <c r="J4140" s="8" t="n">
        <v>2008</v>
      </c>
      <c r="K4140" s="9" t="n">
        <v>27279</v>
      </c>
      <c r="L4140" s="10" t="n">
        <v>97000</v>
      </c>
      <c r="M4140" s="10" t="n">
        <v>4237.29</v>
      </c>
      <c r="N4140" s="11">
        <f>IF(M4140="","",ROUND(M4140*1.18,2))</f>
        <v/>
      </c>
      <c r="O4140" s="12">
        <f>IF(M4140="","",ROUND(N4140-M4140,2))</f>
        <v/>
      </c>
      <c r="P4140" s="13">
        <f>IF(AND(A4140&lt;&gt;"",B4140&lt;&gt;""), A4140&amp;" · "&amp;B4140, "")</f>
        <v/>
      </c>
    </row>
    <row r="4141">
      <c r="A4141" s="6" t="inlineStr">
        <is>
          <t>FY27</t>
        </is>
      </c>
      <c r="B4141" s="6" t="inlineStr">
        <is>
          <t>Sep</t>
        </is>
      </c>
      <c r="C4141" s="6" t="inlineStr">
        <is>
          <t>TN</t>
        </is>
      </c>
      <c r="D4141" s="7" t="inlineStr">
        <is>
          <t>TN21BY2201</t>
        </is>
      </c>
      <c r="E4141" s="7" t="inlineStr">
        <is>
          <t>HYUNDAI</t>
        </is>
      </c>
      <c r="F4141" s="7" t="inlineStr">
        <is>
          <t>Tucson</t>
        </is>
      </c>
      <c r="G4141" s="7" t="inlineStr">
        <is>
          <t>PEEYESYEM HK MOTORS LLP</t>
        </is>
      </c>
      <c r="H4141" s="7" t="inlineStr">
        <is>
          <t>Non-Captive</t>
        </is>
      </c>
      <c r="I4141" s="7" t="inlineStr">
        <is>
          <t>Aneesa Pravin Cars</t>
        </is>
      </c>
      <c r="J4141" s="8" t="n">
        <v>2016</v>
      </c>
      <c r="K4141" s="9" t="n">
        <v>24048</v>
      </c>
      <c r="L4141" s="10" t="n">
        <v>98000</v>
      </c>
      <c r="M4141" s="10" t="n">
        <v>4237.29</v>
      </c>
      <c r="N4141" s="11">
        <f>IF(M4141="","",ROUND(M4141*1.18,2))</f>
        <v/>
      </c>
      <c r="O4141" s="12">
        <f>IF(M4141="","",ROUND(N4141-M4141,2))</f>
        <v/>
      </c>
      <c r="P4141" s="13">
        <f>IF(AND(A4141&lt;&gt;"",B4141&lt;&gt;""), A4141&amp;" · "&amp;B4141, "")</f>
        <v/>
      </c>
    </row>
    <row r="4142">
      <c r="A4142" s="6" t="inlineStr">
        <is>
          <t>FY27</t>
        </is>
      </c>
      <c r="B4142" s="6" t="inlineStr">
        <is>
          <t>Sep</t>
        </is>
      </c>
      <c r="C4142" s="6" t="inlineStr">
        <is>
          <t>TN</t>
        </is>
      </c>
      <c r="D4142" s="7" t="inlineStr">
        <is>
          <t>TN21K3804</t>
        </is>
      </c>
      <c r="E4142" s="7" t="inlineStr">
        <is>
          <t>MARUTI SUZUKI</t>
        </is>
      </c>
      <c r="F4142" s="7" t="inlineStr">
        <is>
          <t>Swift</t>
        </is>
      </c>
      <c r="G4142" s="7" t="inlineStr">
        <is>
          <t>FPL AUTOMOBILES PRIVATE LIMITED</t>
        </is>
      </c>
      <c r="H4142" s="7" t="inlineStr">
        <is>
          <t>Non-Captive</t>
        </is>
      </c>
      <c r="I4142" s="7" t="inlineStr">
        <is>
          <t>Value Drive Tech</t>
        </is>
      </c>
      <c r="J4142" s="8" t="n">
        <v>2006</v>
      </c>
      <c r="K4142" s="9" t="n">
        <v>137153</v>
      </c>
      <c r="L4142" s="10" t="n">
        <v>93000</v>
      </c>
      <c r="M4142" s="10" t="n">
        <v>4237.29</v>
      </c>
      <c r="N4142" s="11">
        <f>IF(M4142="","",ROUND(M4142*1.18,2))</f>
        <v/>
      </c>
      <c r="O4142" s="12">
        <f>IF(M4142="","",ROUND(N4142-M4142,2))</f>
        <v/>
      </c>
      <c r="P4142" s="13">
        <f>IF(AND(A4142&lt;&gt;"",B4142&lt;&gt;""), A4142&amp;" · "&amp;B4142, "")</f>
        <v/>
      </c>
    </row>
    <row r="4143">
      <c r="A4143" s="6" t="inlineStr">
        <is>
          <t>FY27</t>
        </is>
      </c>
      <c r="B4143" s="6" t="inlineStr">
        <is>
          <t>Sep</t>
        </is>
      </c>
      <c r="C4143" s="6" t="inlineStr">
        <is>
          <t>TN</t>
        </is>
      </c>
      <c r="D4143" s="7" t="inlineStr">
        <is>
          <t>TN22AD7818</t>
        </is>
      </c>
      <c r="E4143" s="7" t="inlineStr">
        <is>
          <t>MAHINDRA</t>
        </is>
      </c>
      <c r="F4143" s="7" t="inlineStr">
        <is>
          <t>Scorpio</t>
        </is>
      </c>
      <c r="G4143" s="7" t="inlineStr">
        <is>
          <t>EXCHANGE CHENNAI</t>
        </is>
      </c>
      <c r="H4143" s="7" t="inlineStr">
        <is>
          <t>Captive</t>
        </is>
      </c>
      <c r="I4143" s="7" t="inlineStr">
        <is>
          <t>Santhosh Cars</t>
        </is>
      </c>
      <c r="J4143" s="8" t="n">
        <v>2004</v>
      </c>
      <c r="K4143" s="9" t="n">
        <v>279772</v>
      </c>
      <c r="L4143" s="10" t="n">
        <v>130000</v>
      </c>
      <c r="M4143" s="10" t="n">
        <v>8474.58</v>
      </c>
      <c r="N4143" s="11">
        <f>IF(M4143="","",ROUND(M4143*1.18,2))</f>
        <v/>
      </c>
      <c r="O4143" s="12">
        <f>IF(M4143="","",ROUND(N4143-M4143,2))</f>
        <v/>
      </c>
      <c r="P4143" s="13">
        <f>IF(AND(A4143&lt;&gt;"",B4143&lt;&gt;""), A4143&amp;" · "&amp;B4143, "")</f>
        <v/>
      </c>
    </row>
    <row r="4144">
      <c r="A4144" s="6" t="inlineStr">
        <is>
          <t>FY27</t>
        </is>
      </c>
      <c r="B4144" s="6" t="inlineStr">
        <is>
          <t>Sep</t>
        </is>
      </c>
      <c r="C4144" s="6" t="inlineStr">
        <is>
          <t>TN</t>
        </is>
      </c>
      <c r="D4144" s="7" t="inlineStr">
        <is>
          <t>TN22AE7228</t>
        </is>
      </c>
      <c r="E4144" s="7" t="inlineStr">
        <is>
          <t>HYUNDAI</t>
        </is>
      </c>
      <c r="F4144" s="7" t="inlineStr">
        <is>
          <t>Santro</t>
        </is>
      </c>
      <c r="G4144" s="7" t="inlineStr">
        <is>
          <t>CASTLE TRADERS MARUTI</t>
        </is>
      </c>
      <c r="H4144" s="7" t="inlineStr">
        <is>
          <t>Non-Captive</t>
        </is>
      </c>
      <c r="I4144" s="7" t="inlineStr">
        <is>
          <t>Aneesa Pravin Cars</t>
        </is>
      </c>
      <c r="J4144" s="8" t="n">
        <v>2004</v>
      </c>
      <c r="K4144" s="9" t="n">
        <v>62092</v>
      </c>
      <c r="L4144" s="10" t="n">
        <v>98000</v>
      </c>
      <c r="M4144" s="10" t="n">
        <v>4237.29</v>
      </c>
      <c r="N4144" s="11">
        <f>IF(M4144="","",ROUND(M4144*1.18,2))</f>
        <v/>
      </c>
      <c r="O4144" s="12">
        <f>IF(M4144="","",ROUND(N4144-M4144,2))</f>
        <v/>
      </c>
      <c r="P4144" s="13">
        <f>IF(AND(A4144&lt;&gt;"",B4144&lt;&gt;""), A4144&amp;" · "&amp;B4144, "")</f>
        <v/>
      </c>
    </row>
    <row r="4145">
      <c r="A4145" s="6" t="inlineStr">
        <is>
          <t>FY27</t>
        </is>
      </c>
      <c r="B4145" s="6" t="inlineStr">
        <is>
          <t>Sep</t>
        </is>
      </c>
      <c r="C4145" s="6" t="inlineStr">
        <is>
          <t>TN</t>
        </is>
      </c>
      <c r="D4145" s="7" t="inlineStr">
        <is>
          <t>TN22AL0271</t>
        </is>
      </c>
      <c r="E4145" s="7" t="inlineStr">
        <is>
          <t>HYUNDAI</t>
        </is>
      </c>
      <c r="F4145" s="7" t="inlineStr">
        <is>
          <t>Santro</t>
        </is>
      </c>
      <c r="G4145" s="7" t="inlineStr">
        <is>
          <t>EXCHANGE CHENNAI</t>
        </is>
      </c>
      <c r="H4145" s="7" t="inlineStr">
        <is>
          <t>Captive</t>
        </is>
      </c>
      <c r="I4145" s="7" t="inlineStr">
        <is>
          <t>Amarnath</t>
        </is>
      </c>
      <c r="J4145" s="8" t="n">
        <v>2005</v>
      </c>
      <c r="K4145" s="9" t="n">
        <v>85466</v>
      </c>
      <c r="L4145" s="10" t="n">
        <v>45000</v>
      </c>
      <c r="M4145" s="10" t="n">
        <v>4237.29</v>
      </c>
      <c r="N4145" s="11">
        <f>IF(M4145="","",ROUND(M4145*1.18,2))</f>
        <v/>
      </c>
      <c r="O4145" s="12">
        <f>IF(M4145="","",ROUND(N4145-M4145,2))</f>
        <v/>
      </c>
      <c r="P4145" s="13">
        <f>IF(AND(A4145&lt;&gt;"",B4145&lt;&gt;""), A4145&amp;" · "&amp;B4145, "")</f>
        <v/>
      </c>
    </row>
    <row r="4146">
      <c r="A4146" s="6" t="inlineStr">
        <is>
          <t>FY27</t>
        </is>
      </c>
      <c r="B4146" s="6" t="inlineStr">
        <is>
          <t>Sep</t>
        </is>
      </c>
      <c r="C4146" s="6" t="inlineStr">
        <is>
          <t>TN</t>
        </is>
      </c>
      <c r="D4146" s="7" t="inlineStr">
        <is>
          <t>TN22AV4304</t>
        </is>
      </c>
      <c r="E4146" s="7" t="inlineStr">
        <is>
          <t>HINDUSTAN MOTORS</t>
        </is>
      </c>
      <c r="F4146" s="7" t="inlineStr">
        <is>
          <t>Ambassador</t>
        </is>
      </c>
      <c r="G4146" s="7" t="inlineStr">
        <is>
          <t>RAJALAKSHMI CARS</t>
        </is>
      </c>
      <c r="H4146" s="7" t="inlineStr">
        <is>
          <t>Non-Captive</t>
        </is>
      </c>
      <c r="I4146" s="7" t="inlineStr">
        <is>
          <t>Srijja Travels</t>
        </is>
      </c>
      <c r="J4146" s="8" t="n">
        <v>2007</v>
      </c>
      <c r="K4146" s="9" t="n">
        <v>78016</v>
      </c>
      <c r="L4146" s="10" t="n">
        <v>89000</v>
      </c>
      <c r="M4146" s="10" t="n">
        <v>4237.29</v>
      </c>
      <c r="N4146" s="11">
        <f>IF(M4146="","",ROUND(M4146*1.18,2))</f>
        <v/>
      </c>
      <c r="O4146" s="12">
        <f>IF(M4146="","",ROUND(N4146-M4146,2))</f>
        <v/>
      </c>
      <c r="P4146" s="13">
        <f>IF(AND(A4146&lt;&gt;"",B4146&lt;&gt;""), A4146&amp;" · "&amp;B4146, "")</f>
        <v/>
      </c>
    </row>
    <row r="4147">
      <c r="A4147" s="6" t="inlineStr">
        <is>
          <t>FY27</t>
        </is>
      </c>
      <c r="B4147" s="6" t="inlineStr">
        <is>
          <t>Sep</t>
        </is>
      </c>
      <c r="C4147" s="6" t="inlineStr">
        <is>
          <t>TN</t>
        </is>
      </c>
      <c r="D4147" s="7" t="inlineStr">
        <is>
          <t>TN22BB0616</t>
        </is>
      </c>
      <c r="E4147" s="7" t="inlineStr">
        <is>
          <t>MARUTI SUZUKI</t>
        </is>
      </c>
      <c r="F4147" s="7" t="inlineStr">
        <is>
          <t>Wagon R</t>
        </is>
      </c>
      <c r="G4147" s="7" t="inlineStr">
        <is>
          <t>STEER AUTO TECHNOLOGIES PRIVATE LIMITED</t>
        </is>
      </c>
      <c r="H4147" s="7" t="inlineStr">
        <is>
          <t>Non-Captive</t>
        </is>
      </c>
      <c r="I4147" s="7" t="inlineStr">
        <is>
          <t>Srijja Travels</t>
        </is>
      </c>
      <c r="J4147" s="8" t="n">
        <v>2008</v>
      </c>
      <c r="K4147" s="9" t="n">
        <v>97423</v>
      </c>
      <c r="L4147" s="10" t="n">
        <v>92000</v>
      </c>
      <c r="M4147" s="10" t="n">
        <v>4237.29</v>
      </c>
      <c r="N4147" s="11">
        <f>IF(M4147="","",ROUND(M4147*1.18,2))</f>
        <v/>
      </c>
      <c r="O4147" s="12">
        <f>IF(M4147="","",ROUND(N4147-M4147,2))</f>
        <v/>
      </c>
      <c r="P4147" s="13">
        <f>IF(AND(A4147&lt;&gt;"",B4147&lt;&gt;""), A4147&amp;" · "&amp;B4147, "")</f>
        <v/>
      </c>
    </row>
    <row r="4148">
      <c r="A4148" s="6" t="inlineStr">
        <is>
          <t>FY27</t>
        </is>
      </c>
      <c r="B4148" s="6" t="inlineStr">
        <is>
          <t>Sep</t>
        </is>
      </c>
      <c r="C4148" s="6" t="inlineStr">
        <is>
          <t>TN</t>
        </is>
      </c>
      <c r="D4148" s="7" t="inlineStr">
        <is>
          <t>TN22BB4074</t>
        </is>
      </c>
      <c r="E4148" s="7" t="inlineStr">
        <is>
          <t>MARUTI SUZUKI</t>
        </is>
      </c>
      <c r="F4148" s="7" t="inlineStr">
        <is>
          <t>Wagon R</t>
        </is>
      </c>
      <c r="G4148" s="7" t="inlineStr">
        <is>
          <t>VISHNU CARS PRIVATE LIMITED</t>
        </is>
      </c>
      <c r="H4148" s="7" t="inlineStr">
        <is>
          <t>Non-Captive</t>
        </is>
      </c>
      <c r="I4148" s="7" t="inlineStr">
        <is>
          <t>Santhosh Cars</t>
        </is>
      </c>
      <c r="J4148" s="8" t="n">
        <v>2008</v>
      </c>
      <c r="K4148" s="9" t="n">
        <v>42884</v>
      </c>
      <c r="L4148" s="10" t="n">
        <v>96000</v>
      </c>
      <c r="M4148" s="10" t="n">
        <v>4237.29</v>
      </c>
      <c r="N4148" s="11">
        <f>IF(M4148="","",ROUND(M4148*1.18,2))</f>
        <v/>
      </c>
      <c r="O4148" s="12">
        <f>IF(M4148="","",ROUND(N4148-M4148,2))</f>
        <v/>
      </c>
      <c r="P4148" s="13">
        <f>IF(AND(A4148&lt;&gt;"",B4148&lt;&gt;""), A4148&amp;" · "&amp;B4148, "")</f>
        <v/>
      </c>
    </row>
    <row r="4149">
      <c r="A4149" s="6" t="inlineStr">
        <is>
          <t>FY27</t>
        </is>
      </c>
      <c r="B4149" s="6" t="inlineStr">
        <is>
          <t>Sep</t>
        </is>
      </c>
      <c r="C4149" s="6" t="inlineStr">
        <is>
          <t>TN</t>
        </is>
      </c>
      <c r="D4149" s="7" t="inlineStr">
        <is>
          <t>TN22BP6360</t>
        </is>
      </c>
      <c r="E4149" s="7" t="inlineStr">
        <is>
          <t>MARUTI SUZUKI</t>
        </is>
      </c>
      <c r="F4149" s="7" t="inlineStr">
        <is>
          <t>Ritz</t>
        </is>
      </c>
      <c r="G4149" s="7" t="inlineStr">
        <is>
          <t>HARSHA TOYOTA</t>
        </is>
      </c>
      <c r="H4149" s="7" t="inlineStr">
        <is>
          <t>Non-Captive</t>
        </is>
      </c>
      <c r="I4149" s="7" t="inlineStr">
        <is>
          <t>Grid 33</t>
        </is>
      </c>
      <c r="J4149" s="8" t="n">
        <v>2011</v>
      </c>
      <c r="K4149" s="9" t="n">
        <v>38984</v>
      </c>
      <c r="L4149" s="10" t="n">
        <v>92000</v>
      </c>
      <c r="M4149" s="10" t="n">
        <v>4661.02</v>
      </c>
      <c r="N4149" s="11">
        <f>IF(M4149="","",ROUND(M4149*1.18,2))</f>
        <v/>
      </c>
      <c r="O4149" s="12">
        <f>IF(M4149="","",ROUND(N4149-M4149,2))</f>
        <v/>
      </c>
      <c r="P4149" s="13">
        <f>IF(AND(A4149&lt;&gt;"",B4149&lt;&gt;""), A4149&amp;" · "&amp;B4149, "")</f>
        <v/>
      </c>
    </row>
    <row r="4150">
      <c r="A4150" s="6" t="inlineStr">
        <is>
          <t>FY27</t>
        </is>
      </c>
      <c r="B4150" s="6" t="inlineStr">
        <is>
          <t>Sep</t>
        </is>
      </c>
      <c r="C4150" s="6" t="inlineStr">
        <is>
          <t>TN</t>
        </is>
      </c>
      <c r="D4150" s="7" t="inlineStr">
        <is>
          <t>TN22BP8318</t>
        </is>
      </c>
      <c r="E4150" s="7" t="inlineStr">
        <is>
          <t>FORD</t>
        </is>
      </c>
      <c r="F4150" s="7" t="inlineStr">
        <is>
          <t>Figo</t>
        </is>
      </c>
      <c r="G4150" s="7" t="inlineStr">
        <is>
          <t>VISHNU CARS PRIVATE LIMITED</t>
        </is>
      </c>
      <c r="H4150" s="7" t="inlineStr">
        <is>
          <t>Non-Captive</t>
        </is>
      </c>
      <c r="I4150" s="7" t="inlineStr">
        <is>
          <t>Santhosh Cars</t>
        </is>
      </c>
      <c r="J4150" s="8" t="n">
        <v>2011</v>
      </c>
      <c r="K4150" s="9" t="n">
        <v>104012</v>
      </c>
      <c r="L4150" s="10" t="n">
        <v>97000</v>
      </c>
      <c r="M4150" s="10" t="n">
        <v>4237.29</v>
      </c>
      <c r="N4150" s="11">
        <f>IF(M4150="","",ROUND(M4150*1.18,2))</f>
        <v/>
      </c>
      <c r="O4150" s="12">
        <f>IF(M4150="","",ROUND(N4150-M4150,2))</f>
        <v/>
      </c>
      <c r="P4150" s="13">
        <f>IF(AND(A4150&lt;&gt;"",B4150&lt;&gt;""), A4150&amp;" · "&amp;B4150, "")</f>
        <v/>
      </c>
    </row>
    <row r="4151">
      <c r="A4151" s="6" t="inlineStr">
        <is>
          <t>FY27</t>
        </is>
      </c>
      <c r="B4151" s="6" t="inlineStr">
        <is>
          <t>Sep</t>
        </is>
      </c>
      <c r="C4151" s="6" t="inlineStr">
        <is>
          <t>TN</t>
        </is>
      </c>
      <c r="D4151" s="7" t="inlineStr">
        <is>
          <t>TN22BQ7456</t>
        </is>
      </c>
      <c r="E4151" s="7" t="inlineStr">
        <is>
          <t>MARUTI SUZUKI</t>
        </is>
      </c>
      <c r="F4151" s="7" t="inlineStr">
        <is>
          <t>Wagon R</t>
        </is>
      </c>
      <c r="G4151" s="7" t="inlineStr">
        <is>
          <t>FPL AUTOMOBILES PRIVATE LIMITED</t>
        </is>
      </c>
      <c r="H4151" s="7" t="inlineStr">
        <is>
          <t>Non-Captive</t>
        </is>
      </c>
      <c r="I4151" s="7" t="inlineStr">
        <is>
          <t>Pine Autos</t>
        </is>
      </c>
      <c r="J4151" s="8" t="n">
        <v>2011</v>
      </c>
      <c r="K4151" s="9" t="n">
        <v>99999</v>
      </c>
      <c r="L4151" s="10" t="n">
        <v>94000</v>
      </c>
      <c r="M4151" s="10" t="n">
        <v>4237.29</v>
      </c>
      <c r="N4151" s="11">
        <f>IF(M4151="","",ROUND(M4151*1.18,2))</f>
        <v/>
      </c>
      <c r="O4151" s="12">
        <f>IF(M4151="","",ROUND(N4151-M4151,2))</f>
        <v/>
      </c>
      <c r="P4151" s="13">
        <f>IF(AND(A4151&lt;&gt;"",B4151&lt;&gt;""), A4151&amp;" · "&amp;B4151, "")</f>
        <v/>
      </c>
    </row>
    <row r="4152">
      <c r="A4152" s="6" t="inlineStr">
        <is>
          <t>FY27</t>
        </is>
      </c>
      <c r="B4152" s="6" t="inlineStr">
        <is>
          <t>Sep</t>
        </is>
      </c>
      <c r="C4152" s="6" t="inlineStr">
        <is>
          <t>TN</t>
        </is>
      </c>
      <c r="D4152" s="7" t="inlineStr">
        <is>
          <t>TN22BQ7551</t>
        </is>
      </c>
      <c r="E4152" s="7" t="inlineStr">
        <is>
          <t>MARUTI SUZUKI</t>
        </is>
      </c>
      <c r="F4152" s="7" t="inlineStr">
        <is>
          <t>Wagon R</t>
        </is>
      </c>
      <c r="G4152" s="7" t="inlineStr">
        <is>
          <t>STEER AUTO TECHNOLOGIES PRIVATE LIMITED</t>
        </is>
      </c>
      <c r="H4152" s="7" t="inlineStr">
        <is>
          <t>Non-Captive</t>
        </is>
      </c>
      <c r="I4152" s="7" t="inlineStr">
        <is>
          <t>Cars24</t>
        </is>
      </c>
      <c r="J4152" s="8" t="n">
        <v>2011</v>
      </c>
      <c r="K4152" s="9" t="n">
        <v>60062</v>
      </c>
      <c r="L4152" s="10" t="n">
        <v>92000</v>
      </c>
      <c r="M4152" s="10" t="n">
        <v>4237.29</v>
      </c>
      <c r="N4152" s="11">
        <f>IF(M4152="","",ROUND(M4152*1.18,2))</f>
        <v/>
      </c>
      <c r="O4152" s="12">
        <f>IF(M4152="","",ROUND(N4152-M4152,2))</f>
        <v/>
      </c>
      <c r="P4152" s="13">
        <f>IF(AND(A4152&lt;&gt;"",B4152&lt;&gt;""), A4152&amp;" · "&amp;B4152, "")</f>
        <v/>
      </c>
    </row>
    <row r="4153">
      <c r="A4153" s="6" t="inlineStr">
        <is>
          <t>FY27</t>
        </is>
      </c>
      <c r="B4153" s="6" t="inlineStr">
        <is>
          <t>Sep</t>
        </is>
      </c>
      <c r="C4153" s="6" t="inlineStr">
        <is>
          <t>TN</t>
        </is>
      </c>
      <c r="D4153" s="7" t="inlineStr">
        <is>
          <t>TN22BR4653</t>
        </is>
      </c>
      <c r="E4153" s="7" t="inlineStr">
        <is>
          <t>MARUTI SUZUKI</t>
        </is>
      </c>
      <c r="F4153" s="7" t="inlineStr">
        <is>
          <t>Alto</t>
        </is>
      </c>
      <c r="G4153" s="7" t="inlineStr">
        <is>
          <t>EXCHANGE CHENNAI</t>
        </is>
      </c>
      <c r="H4153" s="7" t="inlineStr">
        <is>
          <t>Captive</t>
        </is>
      </c>
      <c r="I4153" s="7" t="inlineStr">
        <is>
          <t>Santhosh Cars</t>
        </is>
      </c>
      <c r="J4153" s="8" t="n">
        <v>2011</v>
      </c>
      <c r="K4153" s="9" t="n">
        <v>32584</v>
      </c>
      <c r="L4153" s="10" t="n">
        <v>25000</v>
      </c>
      <c r="M4153" s="10" t="n">
        <v>4237.29</v>
      </c>
      <c r="N4153" s="11">
        <f>IF(M4153="","",ROUND(M4153*1.18,2))</f>
        <v/>
      </c>
      <c r="O4153" s="12">
        <f>IF(M4153="","",ROUND(N4153-M4153,2))</f>
        <v/>
      </c>
      <c r="P4153" s="13">
        <f>IF(AND(A4153&lt;&gt;"",B4153&lt;&gt;""), A4153&amp;" · "&amp;B4153, "")</f>
        <v/>
      </c>
    </row>
    <row r="4154">
      <c r="A4154" s="6" t="inlineStr">
        <is>
          <t>FY27</t>
        </is>
      </c>
      <c r="B4154" s="6" t="inlineStr">
        <is>
          <t>Sep</t>
        </is>
      </c>
      <c r="C4154" s="6" t="inlineStr">
        <is>
          <t>TN</t>
        </is>
      </c>
      <c r="D4154" s="7" t="inlineStr">
        <is>
          <t>TN22BS0217</t>
        </is>
      </c>
      <c r="E4154" s="7" t="inlineStr">
        <is>
          <t>HYUNDAI</t>
        </is>
      </c>
      <c r="F4154" s="7" t="inlineStr">
        <is>
          <t>i10</t>
        </is>
      </c>
      <c r="G4154" s="7" t="inlineStr">
        <is>
          <t>EXCHANGE ROTN</t>
        </is>
      </c>
      <c r="H4154" s="7" t="inlineStr">
        <is>
          <t>Captive</t>
        </is>
      </c>
      <c r="I4154" s="7" t="inlineStr">
        <is>
          <t>Sai Cars</t>
        </is>
      </c>
      <c r="J4154" s="8" t="n">
        <v>2010</v>
      </c>
      <c r="K4154" s="9" t="n">
        <v>87451</v>
      </c>
      <c r="L4154" s="10" t="n">
        <v>90000</v>
      </c>
      <c r="M4154" s="10" t="n">
        <v>4237.29</v>
      </c>
      <c r="N4154" s="11">
        <f>IF(M4154="","",ROUND(M4154*1.18,2))</f>
        <v/>
      </c>
      <c r="O4154" s="12">
        <f>IF(M4154="","",ROUND(N4154-M4154,2))</f>
        <v/>
      </c>
      <c r="P4154" s="13">
        <f>IF(AND(A4154&lt;&gt;"",B4154&lt;&gt;""), A4154&amp;" · "&amp;B4154, "")</f>
        <v/>
      </c>
    </row>
    <row r="4155">
      <c r="A4155" s="6" t="inlineStr">
        <is>
          <t>FY27</t>
        </is>
      </c>
      <c r="B4155" s="6" t="inlineStr">
        <is>
          <t>Sep</t>
        </is>
      </c>
      <c r="C4155" s="6" t="inlineStr">
        <is>
          <t>TN</t>
        </is>
      </c>
      <c r="D4155" s="7" t="inlineStr">
        <is>
          <t>TN22BW2417</t>
        </is>
      </c>
      <c r="E4155" s="7" t="inlineStr">
        <is>
          <t>MARUTI SUZUKI</t>
        </is>
      </c>
      <c r="F4155" s="7" t="inlineStr">
        <is>
          <t>Zen Estilo</t>
        </is>
      </c>
      <c r="G4155" s="7" t="inlineStr">
        <is>
          <t>PRODUCTIVITY ELEMENTS PRIVATE LIMITED</t>
        </is>
      </c>
      <c r="H4155" s="7" t="inlineStr">
        <is>
          <t>Non-Captive</t>
        </is>
      </c>
      <c r="I4155" s="7" t="inlineStr">
        <is>
          <t>Grid 33</t>
        </is>
      </c>
      <c r="J4155" s="8" t="n">
        <v>2009</v>
      </c>
      <c r="K4155" s="9" t="n">
        <v>61768</v>
      </c>
      <c r="L4155" s="10" t="n">
        <v>97000</v>
      </c>
      <c r="M4155" s="10" t="n">
        <v>4237.29</v>
      </c>
      <c r="N4155" s="11">
        <f>IF(M4155="","",ROUND(M4155*1.18,2))</f>
        <v/>
      </c>
      <c r="O4155" s="12">
        <f>IF(M4155="","",ROUND(N4155-M4155,2))</f>
        <v/>
      </c>
      <c r="P4155" s="13">
        <f>IF(AND(A4155&lt;&gt;"",B4155&lt;&gt;""), A4155&amp;" · "&amp;B4155, "")</f>
        <v/>
      </c>
    </row>
    <row r="4156">
      <c r="A4156" s="6" t="inlineStr">
        <is>
          <t>FY27</t>
        </is>
      </c>
      <c r="B4156" s="6" t="inlineStr">
        <is>
          <t>Sep</t>
        </is>
      </c>
      <c r="C4156" s="6" t="inlineStr">
        <is>
          <t>TN</t>
        </is>
      </c>
      <c r="D4156" s="7" t="inlineStr">
        <is>
          <t>TN22BZ6528</t>
        </is>
      </c>
      <c r="E4156" s="7" t="inlineStr">
        <is>
          <t>MARUTI SUZUKI</t>
        </is>
      </c>
      <c r="F4156" s="7" t="inlineStr">
        <is>
          <t>Zen Estilo</t>
        </is>
      </c>
      <c r="G4156" s="7" t="inlineStr">
        <is>
          <t>POPULAR VEHICLES</t>
        </is>
      </c>
      <c r="H4156" s="7" t="inlineStr">
        <is>
          <t>Non-Captive</t>
        </is>
      </c>
      <c r="I4156" s="7" t="inlineStr">
        <is>
          <t>Value Drive Tech</t>
        </is>
      </c>
      <c r="J4156" s="8" t="n">
        <v>2008</v>
      </c>
      <c r="K4156" s="9" t="n">
        <v>10672</v>
      </c>
      <c r="L4156" s="10" t="n">
        <v>96000</v>
      </c>
      <c r="M4156" s="10" t="n">
        <v>4237.29</v>
      </c>
      <c r="N4156" s="11">
        <f>IF(M4156="","",ROUND(M4156*1.18,2))</f>
        <v/>
      </c>
      <c r="O4156" s="12">
        <f>IF(M4156="","",ROUND(N4156-M4156,2))</f>
        <v/>
      </c>
      <c r="P4156" s="13">
        <f>IF(AND(A4156&lt;&gt;"",B4156&lt;&gt;""), A4156&amp;" · "&amp;B4156, "")</f>
        <v/>
      </c>
    </row>
    <row r="4157">
      <c r="A4157" s="6" t="inlineStr">
        <is>
          <t>FY27</t>
        </is>
      </c>
      <c r="B4157" s="6" t="inlineStr">
        <is>
          <t>Sep</t>
        </is>
      </c>
      <c r="C4157" s="6" t="inlineStr">
        <is>
          <t>TN</t>
        </is>
      </c>
      <c r="D4157" s="7" t="inlineStr">
        <is>
          <t>TN22CC0742</t>
        </is>
      </c>
      <c r="E4157" s="7" t="inlineStr">
        <is>
          <t>MARUTI SUZUKI</t>
        </is>
      </c>
      <c r="F4157" s="7" t="inlineStr">
        <is>
          <t>Alto K10</t>
        </is>
      </c>
      <c r="G4157" s="7" t="inlineStr">
        <is>
          <t>ABT LIMITED</t>
        </is>
      </c>
      <c r="H4157" s="7" t="inlineStr">
        <is>
          <t>Non-Captive</t>
        </is>
      </c>
      <c r="I4157" s="7" t="inlineStr">
        <is>
          <t>RAM Manohar</t>
        </is>
      </c>
      <c r="J4157" s="8" t="n">
        <v>2011</v>
      </c>
      <c r="K4157" s="9" t="n">
        <v>42559</v>
      </c>
      <c r="L4157" s="10" t="n">
        <v>192000</v>
      </c>
      <c r="M4157" s="10" t="n">
        <v>3389.83</v>
      </c>
      <c r="N4157" s="11">
        <f>IF(M4157="","",ROUND(M4157*1.18,2))</f>
        <v/>
      </c>
      <c r="O4157" s="12">
        <f>IF(M4157="","",ROUND(N4157-M4157,2))</f>
        <v/>
      </c>
      <c r="P4157" s="13">
        <f>IF(AND(A4157&lt;&gt;"",B4157&lt;&gt;""), A4157&amp;" · "&amp;B4157, "")</f>
        <v/>
      </c>
    </row>
    <row r="4158">
      <c r="A4158" s="6" t="inlineStr">
        <is>
          <t>FY27</t>
        </is>
      </c>
      <c r="B4158" s="6" t="inlineStr">
        <is>
          <t>Sep</t>
        </is>
      </c>
      <c r="C4158" s="6" t="inlineStr">
        <is>
          <t>TN</t>
        </is>
      </c>
      <c r="D4158" s="7" t="inlineStr">
        <is>
          <t>TN22CD4714</t>
        </is>
      </c>
      <c r="E4158" s="7" t="inlineStr">
        <is>
          <t>MARUTI SUZUKI</t>
        </is>
      </c>
      <c r="F4158" s="7" t="inlineStr">
        <is>
          <t>A-Star</t>
        </is>
      </c>
      <c r="G4158" s="7" t="inlineStr">
        <is>
          <t>LANSON QCARS PRIVATE LIMITED</t>
        </is>
      </c>
      <c r="H4158" s="7" t="inlineStr">
        <is>
          <t>Non-Captive</t>
        </is>
      </c>
      <c r="I4158" s="7" t="inlineStr">
        <is>
          <t>Srijja Travels</t>
        </is>
      </c>
      <c r="J4158" s="8" t="n">
        <v>2012</v>
      </c>
      <c r="K4158" s="9" t="n">
        <v>55692</v>
      </c>
      <c r="L4158" s="10" t="n">
        <v>92000</v>
      </c>
      <c r="M4158" s="10" t="n">
        <v>4237.29</v>
      </c>
      <c r="N4158" s="11">
        <f>IF(M4158="","",ROUND(M4158*1.18,2))</f>
        <v/>
      </c>
      <c r="O4158" s="12">
        <f>IF(M4158="","",ROUND(N4158-M4158,2))</f>
        <v/>
      </c>
      <c r="P4158" s="13">
        <f>IF(AND(A4158&lt;&gt;"",B4158&lt;&gt;""), A4158&amp;" · "&amp;B4158, "")</f>
        <v/>
      </c>
    </row>
    <row r="4159">
      <c r="A4159" s="6" t="inlineStr">
        <is>
          <t>FY27</t>
        </is>
      </c>
      <c r="B4159" s="6" t="inlineStr">
        <is>
          <t>Sep</t>
        </is>
      </c>
      <c r="C4159" s="6" t="inlineStr">
        <is>
          <t>TN</t>
        </is>
      </c>
      <c r="D4159" s="7" t="inlineStr">
        <is>
          <t>TN22CF2554</t>
        </is>
      </c>
      <c r="E4159" s="7" t="inlineStr">
        <is>
          <t>MARUTI SUZUKI</t>
        </is>
      </c>
      <c r="F4159" s="7" t="inlineStr">
        <is>
          <t>Alto K10</t>
        </is>
      </c>
      <c r="G4159" s="7" t="inlineStr">
        <is>
          <t>EXCHANGE ROTN</t>
        </is>
      </c>
      <c r="H4159" s="7" t="inlineStr">
        <is>
          <t>Captive</t>
        </is>
      </c>
      <c r="I4159" s="7" t="inlineStr">
        <is>
          <t>Mr.Cars</t>
        </is>
      </c>
      <c r="J4159" s="8" t="n">
        <v>2012</v>
      </c>
      <c r="K4159" s="9" t="n">
        <v>93308</v>
      </c>
      <c r="L4159" s="10" t="n">
        <v>97000</v>
      </c>
      <c r="M4159" s="10" t="n">
        <v>4237.29</v>
      </c>
      <c r="N4159" s="11">
        <f>IF(M4159="","",ROUND(M4159*1.18,2))</f>
        <v/>
      </c>
      <c r="O4159" s="12">
        <f>IF(M4159="","",ROUND(N4159-M4159,2))</f>
        <v/>
      </c>
      <c r="P4159" s="13">
        <f>IF(AND(A4159&lt;&gt;"",B4159&lt;&gt;""), A4159&amp;" · "&amp;B4159, "")</f>
        <v/>
      </c>
    </row>
    <row r="4160">
      <c r="A4160" s="6" t="inlineStr">
        <is>
          <t>FY27</t>
        </is>
      </c>
      <c r="B4160" s="6" t="inlineStr">
        <is>
          <t>Sep</t>
        </is>
      </c>
      <c r="C4160" s="6" t="inlineStr">
        <is>
          <t>TN</t>
        </is>
      </c>
      <c r="D4160" s="7" t="inlineStr">
        <is>
          <t>TN22CJ3173</t>
        </is>
      </c>
      <c r="E4160" s="7" t="inlineStr">
        <is>
          <t>MARUTI SUZUKI</t>
        </is>
      </c>
      <c r="F4160" s="7" t="inlineStr">
        <is>
          <t>Dzire</t>
        </is>
      </c>
      <c r="G4160" s="7" t="inlineStr">
        <is>
          <t>THIYA CARS</t>
        </is>
      </c>
      <c r="H4160" s="7" t="inlineStr">
        <is>
          <t>Non-Captive</t>
        </is>
      </c>
      <c r="I4160" s="7" t="inlineStr">
        <is>
          <t>Srijja Travels</t>
        </is>
      </c>
      <c r="J4160" s="8" t="n">
        <v>2012</v>
      </c>
      <c r="K4160" s="9" t="n">
        <v>69018</v>
      </c>
      <c r="L4160" s="10" t="n">
        <v>93000</v>
      </c>
      <c r="M4160" s="10" t="n">
        <v>4237.29</v>
      </c>
      <c r="N4160" s="11">
        <f>IF(M4160="","",ROUND(M4160*1.18,2))</f>
        <v/>
      </c>
      <c r="O4160" s="12">
        <f>IF(M4160="","",ROUND(N4160-M4160,2))</f>
        <v/>
      </c>
      <c r="P4160" s="13">
        <f>IF(AND(A4160&lt;&gt;"",B4160&lt;&gt;""), A4160&amp;" · "&amp;B4160, "")</f>
        <v/>
      </c>
    </row>
    <row r="4161">
      <c r="A4161" s="6" t="inlineStr">
        <is>
          <t>FY27</t>
        </is>
      </c>
      <c r="B4161" s="6" t="inlineStr">
        <is>
          <t>Sep</t>
        </is>
      </c>
      <c r="C4161" s="6" t="inlineStr">
        <is>
          <t>TN</t>
        </is>
      </c>
      <c r="D4161" s="7" t="inlineStr">
        <is>
          <t>TN22CP1801</t>
        </is>
      </c>
      <c r="E4161" s="7" t="inlineStr">
        <is>
          <t>HONDA</t>
        </is>
      </c>
      <c r="F4161" s="7" t="inlineStr">
        <is>
          <t>Brio</t>
        </is>
      </c>
      <c r="G4161" s="7" t="inlineStr">
        <is>
          <t>VISHNU CARS PRIVATE LIMITED</t>
        </is>
      </c>
      <c r="H4161" s="7" t="inlineStr">
        <is>
          <t>Non-Captive</t>
        </is>
      </c>
      <c r="I4161" s="7" t="inlineStr">
        <is>
          <t>Santhosh Cars</t>
        </is>
      </c>
      <c r="J4161" s="8" t="n">
        <v>2013</v>
      </c>
      <c r="K4161" s="9" t="n">
        <v>108402</v>
      </c>
      <c r="L4161" s="10" t="n">
        <v>86000</v>
      </c>
      <c r="M4161" s="10" t="n">
        <v>3389.83</v>
      </c>
      <c r="N4161" s="11">
        <f>IF(M4161="","",ROUND(M4161*1.18,2))</f>
        <v/>
      </c>
      <c r="O4161" s="12">
        <f>IF(M4161="","",ROUND(N4161-M4161,2))</f>
        <v/>
      </c>
      <c r="P4161" s="13">
        <f>IF(AND(A4161&lt;&gt;"",B4161&lt;&gt;""), A4161&amp;" · "&amp;B4161, "")</f>
        <v/>
      </c>
    </row>
    <row r="4162">
      <c r="A4162" s="6" t="inlineStr">
        <is>
          <t>FY27</t>
        </is>
      </c>
      <c r="B4162" s="6" t="inlineStr">
        <is>
          <t>Sep</t>
        </is>
      </c>
      <c r="C4162" s="6" t="inlineStr">
        <is>
          <t>TN</t>
        </is>
      </c>
      <c r="D4162" s="7" t="inlineStr">
        <is>
          <t>TN22CQ4705</t>
        </is>
      </c>
      <c r="E4162" s="7" t="inlineStr">
        <is>
          <t>TATA</t>
        </is>
      </c>
      <c r="F4162" s="7" t="inlineStr">
        <is>
          <t>Indica</t>
        </is>
      </c>
      <c r="G4162" s="7" t="inlineStr">
        <is>
          <t>AIE CARS PRIVATE LIMITED</t>
        </is>
      </c>
      <c r="H4162" s="7" t="inlineStr">
        <is>
          <t>Non-Captive</t>
        </is>
      </c>
      <c r="I4162" s="7" t="inlineStr">
        <is>
          <t>VS Enterprises</t>
        </is>
      </c>
      <c r="J4162" s="8" t="n">
        <v>2014</v>
      </c>
      <c r="K4162" s="9" t="n">
        <v>102742</v>
      </c>
      <c r="L4162" s="10" t="n">
        <v>94000</v>
      </c>
      <c r="M4162" s="10" t="n">
        <v>4237.29</v>
      </c>
      <c r="N4162" s="11">
        <f>IF(M4162="","",ROUND(M4162*1.18,2))</f>
        <v/>
      </c>
      <c r="O4162" s="12">
        <f>IF(M4162="","",ROUND(N4162-M4162,2))</f>
        <v/>
      </c>
      <c r="P4162" s="13">
        <f>IF(AND(A4162&lt;&gt;"",B4162&lt;&gt;""), A4162&amp;" · "&amp;B4162, "")</f>
        <v/>
      </c>
    </row>
    <row r="4163">
      <c r="A4163" s="6" t="inlineStr">
        <is>
          <t>FY27</t>
        </is>
      </c>
      <c r="B4163" s="6" t="inlineStr">
        <is>
          <t>Sep</t>
        </is>
      </c>
      <c r="C4163" s="6" t="inlineStr">
        <is>
          <t>TN</t>
        </is>
      </c>
      <c r="D4163" s="7" t="inlineStr">
        <is>
          <t>TN22CR1382</t>
        </is>
      </c>
      <c r="E4163" s="7" t="inlineStr">
        <is>
          <t>VOLKSWAGEN</t>
        </is>
      </c>
      <c r="F4163" s="7" t="inlineStr">
        <is>
          <t>Polo</t>
        </is>
      </c>
      <c r="G4163" s="7" t="inlineStr">
        <is>
          <t>THIYA CARS</t>
        </is>
      </c>
      <c r="H4163" s="7" t="inlineStr">
        <is>
          <t>Non-Captive</t>
        </is>
      </c>
      <c r="I4163" s="7" t="inlineStr">
        <is>
          <t>Value Drive Tech</t>
        </is>
      </c>
      <c r="J4163" s="8" t="n">
        <v>2013</v>
      </c>
      <c r="K4163" s="9" t="n">
        <v>253805</v>
      </c>
      <c r="L4163" s="10" t="n">
        <v>89000</v>
      </c>
      <c r="M4163" s="10" t="n">
        <v>4237.29</v>
      </c>
      <c r="N4163" s="11">
        <f>IF(M4163="","",ROUND(M4163*1.18,2))</f>
        <v/>
      </c>
      <c r="O4163" s="12">
        <f>IF(M4163="","",ROUND(N4163-M4163,2))</f>
        <v/>
      </c>
      <c r="P4163" s="13">
        <f>IF(AND(A4163&lt;&gt;"",B4163&lt;&gt;""), A4163&amp;" · "&amp;B4163, "")</f>
        <v/>
      </c>
    </row>
    <row r="4164">
      <c r="A4164" s="6" t="inlineStr">
        <is>
          <t>FY27</t>
        </is>
      </c>
      <c r="B4164" s="6" t="inlineStr">
        <is>
          <t>Sep</t>
        </is>
      </c>
      <c r="C4164" s="6" t="inlineStr">
        <is>
          <t>TN</t>
        </is>
      </c>
      <c r="D4164" s="7" t="inlineStr">
        <is>
          <t>TN22DM7436</t>
        </is>
      </c>
      <c r="E4164" s="7" t="inlineStr">
        <is>
          <t>HYUNDAI</t>
        </is>
      </c>
      <c r="F4164" s="7" t="inlineStr">
        <is>
          <t>i20</t>
        </is>
      </c>
      <c r="G4164" s="7" t="inlineStr">
        <is>
          <t>EXCHANGE CHENNAI</t>
        </is>
      </c>
      <c r="H4164" s="7" t="inlineStr">
        <is>
          <t>Captive</t>
        </is>
      </c>
      <c r="I4164" s="7" t="inlineStr">
        <is>
          <t>Santhosh Cars</t>
        </is>
      </c>
      <c r="J4164" s="8" t="n"/>
      <c r="K4164" s="9" t="n"/>
      <c r="L4164" s="10" t="n">
        <v>405000</v>
      </c>
      <c r="M4164" s="10" t="n">
        <v>8474.58</v>
      </c>
      <c r="N4164" s="11">
        <f>IF(M4164="","",ROUND(M4164*1.18,2))</f>
        <v/>
      </c>
      <c r="O4164" s="12">
        <f>IF(M4164="","",ROUND(N4164-M4164,2))</f>
        <v/>
      </c>
      <c r="P4164" s="13">
        <f>IF(AND(A4164&lt;&gt;"",B4164&lt;&gt;""), A4164&amp;" · "&amp;B4164, "")</f>
        <v/>
      </c>
    </row>
    <row r="4165">
      <c r="A4165" s="6" t="inlineStr">
        <is>
          <t>FY27</t>
        </is>
      </c>
      <c r="B4165" s="6" t="inlineStr">
        <is>
          <t>Sep</t>
        </is>
      </c>
      <c r="C4165" s="6" t="inlineStr">
        <is>
          <t>TN</t>
        </is>
      </c>
      <c r="D4165" s="7" t="inlineStr">
        <is>
          <t>TN22DQ5262</t>
        </is>
      </c>
      <c r="E4165" s="7" t="inlineStr">
        <is>
          <t>HYUNDAI</t>
        </is>
      </c>
      <c r="F4165" s="7" t="inlineStr">
        <is>
          <t>Xcent</t>
        </is>
      </c>
      <c r="G4165" s="7" t="inlineStr">
        <is>
          <t>EXCHANGE CHENNAI</t>
        </is>
      </c>
      <c r="H4165" s="7" t="inlineStr">
        <is>
          <t>Captive</t>
        </is>
      </c>
      <c r="I4165" s="7" t="inlineStr">
        <is>
          <t>&lt;NA&gt;</t>
        </is>
      </c>
      <c r="J4165" s="8" t="n">
        <v>2019</v>
      </c>
      <c r="K4165" s="9" t="n">
        <v>45027</v>
      </c>
      <c r="L4165" s="10" t="n">
        <v>385000</v>
      </c>
      <c r="M4165" s="10" t="n">
        <v>8474.58</v>
      </c>
      <c r="N4165" s="11">
        <f>IF(M4165="","",ROUND(M4165*1.18,2))</f>
        <v/>
      </c>
      <c r="O4165" s="12">
        <f>IF(M4165="","",ROUND(N4165-M4165,2))</f>
        <v/>
      </c>
      <c r="P4165" s="13">
        <f>IF(AND(A4165&lt;&gt;"",B4165&lt;&gt;""), A4165&amp;" · "&amp;B4165, "")</f>
        <v/>
      </c>
    </row>
    <row r="4166">
      <c r="A4166" s="6" t="inlineStr">
        <is>
          <t>FY27</t>
        </is>
      </c>
      <c r="B4166" s="6" t="inlineStr">
        <is>
          <t>Sep</t>
        </is>
      </c>
      <c r="C4166" s="6" t="inlineStr">
        <is>
          <t>TN</t>
        </is>
      </c>
      <c r="D4166" s="7" t="inlineStr">
        <is>
          <t>TN22DT3817</t>
        </is>
      </c>
      <c r="E4166" s="7" t="inlineStr">
        <is>
          <t>TATA</t>
        </is>
      </c>
      <c r="F4166" s="7" t="inlineStr">
        <is>
          <t>Nexon</t>
        </is>
      </c>
      <c r="G4166" s="7" t="inlineStr">
        <is>
          <t>PRODUCTIVITY ELEMENTS PRIVATE LIMITED</t>
        </is>
      </c>
      <c r="H4166" s="7" t="inlineStr">
        <is>
          <t>Non-Captive</t>
        </is>
      </c>
      <c r="I4166" s="7" t="inlineStr">
        <is>
          <t>Castel Traders Honada</t>
        </is>
      </c>
      <c r="J4166" s="8" t="n">
        <v>2020</v>
      </c>
      <c r="K4166" s="9" t="n">
        <v>103868</v>
      </c>
      <c r="L4166" s="10" t="n">
        <v>96000</v>
      </c>
      <c r="M4166" s="10" t="n">
        <v>4237.29</v>
      </c>
      <c r="N4166" s="11">
        <f>IF(M4166="","",ROUND(M4166*1.18,2))</f>
        <v/>
      </c>
      <c r="O4166" s="12">
        <f>IF(M4166="","",ROUND(N4166-M4166,2))</f>
        <v/>
      </c>
      <c r="P4166" s="13">
        <f>IF(AND(A4166&lt;&gt;"",B4166&lt;&gt;""), A4166&amp;" · "&amp;B4166, "")</f>
        <v/>
      </c>
    </row>
    <row r="4167">
      <c r="A4167" s="6" t="inlineStr">
        <is>
          <t>FY27</t>
        </is>
      </c>
      <c r="B4167" s="6" t="inlineStr">
        <is>
          <t>Sep</t>
        </is>
      </c>
      <c r="C4167" s="6" t="inlineStr">
        <is>
          <t>TN</t>
        </is>
      </c>
      <c r="D4167" s="7" t="inlineStr">
        <is>
          <t>TN25AJ0522</t>
        </is>
      </c>
      <c r="E4167" s="7" t="inlineStr">
        <is>
          <t>TATA</t>
        </is>
      </c>
      <c r="F4167" s="7" t="inlineStr">
        <is>
          <t>Indigo</t>
        </is>
      </c>
      <c r="G4167" s="7" t="inlineStr">
        <is>
          <t>KKR ENTERPRISES</t>
        </is>
      </c>
      <c r="H4167" s="7" t="inlineStr">
        <is>
          <t>Non-Captive</t>
        </is>
      </c>
      <c r="I4167" s="7" t="inlineStr">
        <is>
          <t>Srijja Travels</t>
        </is>
      </c>
      <c r="J4167" s="8" t="n">
        <v>2013</v>
      </c>
      <c r="K4167" s="9" t="n">
        <v>115988</v>
      </c>
      <c r="L4167" s="10" t="n">
        <v>169000</v>
      </c>
      <c r="M4167" s="10" t="n">
        <v>5084.79</v>
      </c>
      <c r="N4167" s="11">
        <f>IF(M4167="","",ROUND(M4167*1.18,2))</f>
        <v/>
      </c>
      <c r="O4167" s="12">
        <f>IF(M4167="","",ROUND(N4167-M4167,2))</f>
        <v/>
      </c>
      <c r="P4167" s="13">
        <f>IF(AND(A4167&lt;&gt;"",B4167&lt;&gt;""), A4167&amp;" · "&amp;B4167, "")</f>
        <v/>
      </c>
    </row>
    <row r="4168">
      <c r="A4168" s="6" t="inlineStr">
        <is>
          <t>FY27</t>
        </is>
      </c>
      <c r="B4168" s="6" t="inlineStr">
        <is>
          <t>Sep</t>
        </is>
      </c>
      <c r="C4168" s="6" t="inlineStr">
        <is>
          <t>TN</t>
        </is>
      </c>
      <c r="D4168" s="7" t="inlineStr">
        <is>
          <t>TN25BC9339</t>
        </is>
      </c>
      <c r="E4168" s="7" t="inlineStr">
        <is>
          <t>HONDA</t>
        </is>
      </c>
      <c r="F4168" s="7" t="inlineStr">
        <is>
          <t>City</t>
        </is>
      </c>
      <c r="G4168" s="7" t="inlineStr">
        <is>
          <t>EXCHANGE ROTN</t>
        </is>
      </c>
      <c r="H4168" s="7" t="inlineStr">
        <is>
          <t>Captive</t>
        </is>
      </c>
      <c r="I4168" s="7" t="inlineStr">
        <is>
          <t>Ss Cars (Erode</t>
        </is>
      </c>
      <c r="J4168" s="8" t="n">
        <v>2017</v>
      </c>
      <c r="K4168" s="9" t="n">
        <v>180224</v>
      </c>
      <c r="L4168" s="10" t="n">
        <v>535000</v>
      </c>
      <c r="M4168" s="10" t="n">
        <v>12711.86</v>
      </c>
      <c r="N4168" s="11">
        <f>IF(M4168="","",ROUND(M4168*1.18,2))</f>
        <v/>
      </c>
      <c r="O4168" s="12">
        <f>IF(M4168="","",ROUND(N4168-M4168,2))</f>
        <v/>
      </c>
      <c r="P4168" s="13">
        <f>IF(AND(A4168&lt;&gt;"",B4168&lt;&gt;""), A4168&amp;" · "&amp;B4168, "")</f>
        <v/>
      </c>
    </row>
    <row r="4169">
      <c r="A4169" s="6" t="inlineStr">
        <is>
          <t>FY27</t>
        </is>
      </c>
      <c r="B4169" s="6" t="inlineStr">
        <is>
          <t>Sep</t>
        </is>
      </c>
      <c r="C4169" s="6" t="inlineStr">
        <is>
          <t>TN</t>
        </is>
      </c>
      <c r="D4169" s="7" t="inlineStr">
        <is>
          <t>TN25BK2450</t>
        </is>
      </c>
      <c r="E4169" s="7" t="inlineStr">
        <is>
          <t>TATA</t>
        </is>
      </c>
      <c r="F4169" s="7" t="inlineStr">
        <is>
          <t>Tigor</t>
        </is>
      </c>
      <c r="G4169" s="7" t="inlineStr">
        <is>
          <t>EXCHANGE CHENNAI</t>
        </is>
      </c>
      <c r="H4169" s="7" t="inlineStr">
        <is>
          <t>Captive</t>
        </is>
      </c>
      <c r="I4169" s="7" t="inlineStr">
        <is>
          <t>Santhosh Cars</t>
        </is>
      </c>
      <c r="J4169" s="8" t="n">
        <v>2018</v>
      </c>
      <c r="K4169" s="9" t="n">
        <v>92222</v>
      </c>
      <c r="L4169" s="10" t="n">
        <v>310000</v>
      </c>
      <c r="M4169" s="10" t="n">
        <v>8474.58</v>
      </c>
      <c r="N4169" s="11">
        <f>IF(M4169="","",ROUND(M4169*1.18,2))</f>
        <v/>
      </c>
      <c r="O4169" s="12">
        <f>IF(M4169="","",ROUND(N4169-M4169,2))</f>
        <v/>
      </c>
      <c r="P4169" s="13">
        <f>IF(AND(A4169&lt;&gt;"",B4169&lt;&gt;""), A4169&amp;" · "&amp;B4169, "")</f>
        <v/>
      </c>
    </row>
    <row r="4170">
      <c r="A4170" s="6" t="inlineStr">
        <is>
          <t>FY27</t>
        </is>
      </c>
      <c r="B4170" s="6" t="inlineStr">
        <is>
          <t>Sep</t>
        </is>
      </c>
      <c r="C4170" s="6" t="inlineStr">
        <is>
          <t>TN</t>
        </is>
      </c>
      <c r="D4170" s="7" t="inlineStr">
        <is>
          <t>TN28AZ1424</t>
        </is>
      </c>
      <c r="E4170" s="7" t="inlineStr">
        <is>
          <t>MARUTI SUZUKI</t>
        </is>
      </c>
      <c r="F4170" s="7" t="inlineStr">
        <is>
          <t>Omni</t>
        </is>
      </c>
      <c r="G4170" s="7" t="inlineStr">
        <is>
          <t>EXCHANGE ROTN</t>
        </is>
      </c>
      <c r="H4170" s="7" t="inlineStr">
        <is>
          <t>Captive</t>
        </is>
      </c>
      <c r="I4170" s="7" t="inlineStr">
        <is>
          <t>Sivashankar Cars</t>
        </is>
      </c>
      <c r="J4170" s="8" t="n">
        <v>2007</v>
      </c>
      <c r="K4170" s="9" t="n">
        <v>268808</v>
      </c>
      <c r="L4170" s="10" t="n">
        <v>55000</v>
      </c>
      <c r="M4170" s="10" t="n">
        <v>4237.29</v>
      </c>
      <c r="N4170" s="11">
        <f>IF(M4170="","",ROUND(M4170*1.18,2))</f>
        <v/>
      </c>
      <c r="O4170" s="12">
        <f>IF(M4170="","",ROUND(N4170-M4170,2))</f>
        <v/>
      </c>
      <c r="P4170" s="13">
        <f>IF(AND(A4170&lt;&gt;"",B4170&lt;&gt;""), A4170&amp;" · "&amp;B4170, "")</f>
        <v/>
      </c>
    </row>
    <row r="4171">
      <c r="A4171" s="6" t="inlineStr">
        <is>
          <t>FY27</t>
        </is>
      </c>
      <c r="B4171" s="6" t="inlineStr">
        <is>
          <t>Sep</t>
        </is>
      </c>
      <c r="C4171" s="6" t="inlineStr">
        <is>
          <t>TN</t>
        </is>
      </c>
      <c r="D4171" s="7" t="inlineStr">
        <is>
          <t>TN28BD3458</t>
        </is>
      </c>
      <c r="E4171" s="7" t="inlineStr">
        <is>
          <t>RENAULT</t>
        </is>
      </c>
      <c r="F4171" s="7" t="inlineStr">
        <is>
          <t>Kwid</t>
        </is>
      </c>
      <c r="G4171" s="7" t="inlineStr">
        <is>
          <t>EXCHANGE ROTN</t>
        </is>
      </c>
      <c r="H4171" s="7" t="inlineStr">
        <is>
          <t>Captive</t>
        </is>
      </c>
      <c r="I4171" s="7" t="inlineStr">
        <is>
          <t>Sivashankar Cars</t>
        </is>
      </c>
      <c r="J4171" s="8" t="n">
        <v>2018</v>
      </c>
      <c r="K4171" s="9" t="n">
        <v>108046</v>
      </c>
      <c r="L4171" s="10" t="n">
        <v>180000</v>
      </c>
      <c r="M4171" s="10" t="n">
        <v>8474.58</v>
      </c>
      <c r="N4171" s="11">
        <f>IF(M4171="","",ROUND(M4171*1.18,2))</f>
        <v/>
      </c>
      <c r="O4171" s="12">
        <f>IF(M4171="","",ROUND(N4171-M4171,2))</f>
        <v/>
      </c>
      <c r="P4171" s="13">
        <f>IF(AND(A4171&lt;&gt;"",B4171&lt;&gt;""), A4171&amp;" · "&amp;B4171, "")</f>
        <v/>
      </c>
    </row>
    <row r="4172">
      <c r="A4172" s="6" t="inlineStr">
        <is>
          <t>FY27</t>
        </is>
      </c>
      <c r="B4172" s="6" t="inlineStr">
        <is>
          <t>Sep</t>
        </is>
      </c>
      <c r="C4172" s="6" t="inlineStr">
        <is>
          <t>TN</t>
        </is>
      </c>
      <c r="D4172" s="7" t="inlineStr">
        <is>
          <t>TN29AT9670</t>
        </is>
      </c>
      <c r="E4172" s="7" t="inlineStr">
        <is>
          <t>HONDA</t>
        </is>
      </c>
      <c r="F4172" s="7" t="inlineStr">
        <is>
          <t>Amaze</t>
        </is>
      </c>
      <c r="G4172" s="7" t="inlineStr">
        <is>
          <t>EXCHANGE ROTN</t>
        </is>
      </c>
      <c r="H4172" s="7" t="inlineStr">
        <is>
          <t>Captive</t>
        </is>
      </c>
      <c r="I4172" s="7" t="inlineStr">
        <is>
          <t>&lt;NA&gt;</t>
        </is>
      </c>
      <c r="J4172" s="8" t="n">
        <v>2014</v>
      </c>
      <c r="K4172" s="9" t="n">
        <v>198725</v>
      </c>
      <c r="L4172" s="10" t="n">
        <v>150000</v>
      </c>
      <c r="M4172" s="10" t="n">
        <v>4237.29</v>
      </c>
      <c r="N4172" s="11">
        <f>IF(M4172="","",ROUND(M4172*1.18,2))</f>
        <v/>
      </c>
      <c r="O4172" s="12">
        <f>IF(M4172="","",ROUND(N4172-M4172,2))</f>
        <v/>
      </c>
      <c r="P4172" s="13">
        <f>IF(AND(A4172&lt;&gt;"",B4172&lt;&gt;""), A4172&amp;" · "&amp;B4172, "")</f>
        <v/>
      </c>
    </row>
    <row r="4173">
      <c r="A4173" s="6" t="inlineStr">
        <is>
          <t>FY27</t>
        </is>
      </c>
      <c r="B4173" s="6" t="inlineStr">
        <is>
          <t>Sep</t>
        </is>
      </c>
      <c r="C4173" s="6" t="inlineStr">
        <is>
          <t>TN</t>
        </is>
      </c>
      <c r="D4173" s="7" t="inlineStr">
        <is>
          <t>TN29BF5469</t>
        </is>
      </c>
      <c r="E4173" s="7" t="inlineStr">
        <is>
          <t>HONDA</t>
        </is>
      </c>
      <c r="F4173" s="7" t="inlineStr">
        <is>
          <t>Amaze</t>
        </is>
      </c>
      <c r="G4173" s="7" t="inlineStr">
        <is>
          <t>EXCHANGE ROTN</t>
        </is>
      </c>
      <c r="H4173" s="7" t="inlineStr">
        <is>
          <t>Captive</t>
        </is>
      </c>
      <c r="I4173" s="7" t="inlineStr">
        <is>
          <t>SRI RAJA KANAPATHY CARS</t>
        </is>
      </c>
      <c r="J4173" s="8" t="n">
        <v>2017</v>
      </c>
      <c r="K4173" s="9" t="n">
        <v>162039</v>
      </c>
      <c r="L4173" s="10" t="n">
        <v>350000</v>
      </c>
      <c r="M4173" s="10" t="n">
        <v>10169.49</v>
      </c>
      <c r="N4173" s="11">
        <f>IF(M4173="","",ROUND(M4173*1.18,2))</f>
        <v/>
      </c>
      <c r="O4173" s="12">
        <f>IF(M4173="","",ROUND(N4173-M4173,2))</f>
        <v/>
      </c>
      <c r="P4173" s="13">
        <f>IF(AND(A4173&lt;&gt;"",B4173&lt;&gt;""), A4173&amp;" · "&amp;B4173, "")</f>
        <v/>
      </c>
    </row>
    <row r="4174">
      <c r="A4174" s="6" t="inlineStr">
        <is>
          <t>FY27</t>
        </is>
      </c>
      <c r="B4174" s="6" t="inlineStr">
        <is>
          <t>Sep</t>
        </is>
      </c>
      <c r="C4174" s="6" t="inlineStr">
        <is>
          <t>TN</t>
        </is>
      </c>
      <c r="D4174" s="7" t="inlineStr">
        <is>
          <t>TN29BJ5650</t>
        </is>
      </c>
      <c r="E4174" s="7" t="inlineStr">
        <is>
          <t>HYUNDAI</t>
        </is>
      </c>
      <c r="F4174" s="7" t="inlineStr">
        <is>
          <t>i10</t>
        </is>
      </c>
      <c r="G4174" s="7" t="inlineStr">
        <is>
          <t>STEER AUTO TECHNOLOGIES PRIVATE LIMITED</t>
        </is>
      </c>
      <c r="H4174" s="7" t="inlineStr">
        <is>
          <t>Non-Captive</t>
        </is>
      </c>
      <c r="I4174" s="7" t="inlineStr">
        <is>
          <t>Santhosh Cars</t>
        </is>
      </c>
      <c r="J4174" s="8" t="n">
        <v>2018</v>
      </c>
      <c r="K4174" s="9" t="n">
        <v>65755</v>
      </c>
      <c r="L4174" s="10" t="n">
        <v>99000</v>
      </c>
      <c r="M4174" s="10" t="n">
        <v>3389.83</v>
      </c>
      <c r="N4174" s="11">
        <f>IF(M4174="","",ROUND(M4174*1.18,2))</f>
        <v/>
      </c>
      <c r="O4174" s="12">
        <f>IF(M4174="","",ROUND(N4174-M4174,2))</f>
        <v/>
      </c>
      <c r="P4174" s="13">
        <f>IF(AND(A4174&lt;&gt;"",B4174&lt;&gt;""), A4174&amp;" · "&amp;B4174, "")</f>
        <v/>
      </c>
    </row>
    <row r="4175">
      <c r="A4175" s="6" t="inlineStr">
        <is>
          <t>FY27</t>
        </is>
      </c>
      <c r="B4175" s="6" t="inlineStr">
        <is>
          <t>Sep</t>
        </is>
      </c>
      <c r="C4175" s="6" t="inlineStr">
        <is>
          <t>TN</t>
        </is>
      </c>
      <c r="D4175" s="7" t="inlineStr">
        <is>
          <t>TN29L7356</t>
        </is>
      </c>
      <c r="E4175" s="7" t="inlineStr">
        <is>
          <t>MARUTI SUZUKI</t>
        </is>
      </c>
      <c r="F4175" s="7" t="inlineStr">
        <is>
          <t>Alto</t>
        </is>
      </c>
      <c r="G4175" s="7" t="inlineStr">
        <is>
          <t>EXCHANGE ROTN</t>
        </is>
      </c>
      <c r="H4175" s="7" t="inlineStr">
        <is>
          <t>Captive</t>
        </is>
      </c>
      <c r="I4175" s="7" t="inlineStr">
        <is>
          <t>&lt;NA&gt;</t>
        </is>
      </c>
      <c r="J4175" s="8" t="n">
        <v>2003</v>
      </c>
      <c r="K4175" s="9" t="n">
        <v>90244</v>
      </c>
      <c r="L4175" s="10" t="n">
        <v>55000</v>
      </c>
      <c r="M4175" s="10" t="n">
        <v>4237.29</v>
      </c>
      <c r="N4175" s="11">
        <f>IF(M4175="","",ROUND(M4175*1.18,2))</f>
        <v/>
      </c>
      <c r="O4175" s="12">
        <f>IF(M4175="","",ROUND(N4175-M4175,2))</f>
        <v/>
      </c>
      <c r="P4175" s="13">
        <f>IF(AND(A4175&lt;&gt;"",B4175&lt;&gt;""), A4175&amp;" · "&amp;B4175, "")</f>
        <v/>
      </c>
    </row>
    <row r="4176">
      <c r="A4176" s="6" t="inlineStr">
        <is>
          <t>FY27</t>
        </is>
      </c>
      <c r="B4176" s="6" t="inlineStr">
        <is>
          <t>Sep</t>
        </is>
      </c>
      <c r="C4176" s="6" t="inlineStr">
        <is>
          <t>TN</t>
        </is>
      </c>
      <c r="D4176" s="7" t="inlineStr">
        <is>
          <t>TN30AT8731</t>
        </is>
      </c>
      <c r="E4176" s="7" t="inlineStr">
        <is>
          <t>TATA</t>
        </is>
      </c>
      <c r="F4176" s="7" t="inlineStr">
        <is>
          <t>Indica</t>
        </is>
      </c>
      <c r="G4176" s="7" t="inlineStr">
        <is>
          <t>EXCHANGE ROTN</t>
        </is>
      </c>
      <c r="H4176" s="7" t="inlineStr">
        <is>
          <t>Captive</t>
        </is>
      </c>
      <c r="I4176" s="7" t="inlineStr">
        <is>
          <t>Niranchana Cars</t>
        </is>
      </c>
      <c r="J4176" s="8" t="n">
        <v>2013</v>
      </c>
      <c r="K4176" s="9" t="n">
        <v>144175</v>
      </c>
      <c r="L4176" s="10" t="n">
        <v>75000</v>
      </c>
      <c r="M4176" s="10" t="n">
        <v>4237.29</v>
      </c>
      <c r="N4176" s="11">
        <f>IF(M4176="","",ROUND(M4176*1.18,2))</f>
        <v/>
      </c>
      <c r="O4176" s="12">
        <f>IF(M4176="","",ROUND(N4176-M4176,2))</f>
        <v/>
      </c>
      <c r="P4176" s="13">
        <f>IF(AND(A4176&lt;&gt;"",B4176&lt;&gt;""), A4176&amp;" · "&amp;B4176, "")</f>
        <v/>
      </c>
    </row>
    <row r="4177">
      <c r="A4177" s="6" t="inlineStr">
        <is>
          <t>FY27</t>
        </is>
      </c>
      <c r="B4177" s="6" t="inlineStr">
        <is>
          <t>Sep</t>
        </is>
      </c>
      <c r="C4177" s="6" t="inlineStr">
        <is>
          <t>TN</t>
        </is>
      </c>
      <c r="D4177" s="7" t="inlineStr">
        <is>
          <t>TN30BA3060</t>
        </is>
      </c>
      <c r="E4177" s="7" t="inlineStr">
        <is>
          <t>HONDA</t>
        </is>
      </c>
      <c r="F4177" s="7" t="inlineStr">
        <is>
          <t>Brio</t>
        </is>
      </c>
      <c r="G4177" s="7" t="inlineStr">
        <is>
          <t>THIYA CARS</t>
        </is>
      </c>
      <c r="H4177" s="7" t="inlineStr">
        <is>
          <t>Non-Captive</t>
        </is>
      </c>
      <c r="I4177" s="7" t="inlineStr">
        <is>
          <t>Value Drive Tech</t>
        </is>
      </c>
      <c r="J4177" s="8" t="n">
        <v>2013</v>
      </c>
      <c r="K4177" s="9" t="n">
        <v>61995</v>
      </c>
      <c r="L4177" s="10" t="n">
        <v>99000</v>
      </c>
      <c r="M4177" s="10" t="n">
        <v>4237.29</v>
      </c>
      <c r="N4177" s="11">
        <f>IF(M4177="","",ROUND(M4177*1.18,2))</f>
        <v/>
      </c>
      <c r="O4177" s="12">
        <f>IF(M4177="","",ROUND(N4177-M4177,2))</f>
        <v/>
      </c>
      <c r="P4177" s="13">
        <f>IF(AND(A4177&lt;&gt;"",B4177&lt;&gt;""), A4177&amp;" · "&amp;B4177, "")</f>
        <v/>
      </c>
    </row>
    <row r="4178">
      <c r="A4178" s="6" t="inlineStr">
        <is>
          <t>FY27</t>
        </is>
      </c>
      <c r="B4178" s="6" t="inlineStr">
        <is>
          <t>Sep</t>
        </is>
      </c>
      <c r="C4178" s="6" t="inlineStr">
        <is>
          <t>TN</t>
        </is>
      </c>
      <c r="D4178" s="7" t="inlineStr">
        <is>
          <t>TN30BA6755</t>
        </is>
      </c>
      <c r="E4178" s="7" t="inlineStr">
        <is>
          <t>TATA</t>
        </is>
      </c>
      <c r="F4178" s="7" t="inlineStr">
        <is>
          <t>Indica</t>
        </is>
      </c>
      <c r="G4178" s="7" t="inlineStr">
        <is>
          <t>EXCHANGE ROTN</t>
        </is>
      </c>
      <c r="H4178" s="7" t="inlineStr">
        <is>
          <t>Captive</t>
        </is>
      </c>
      <c r="I4178" s="7" t="inlineStr">
        <is>
          <t>STALIN CARS</t>
        </is>
      </c>
      <c r="J4178" s="8" t="n">
        <v>2014</v>
      </c>
      <c r="K4178" s="9" t="n">
        <v>357611</v>
      </c>
      <c r="L4178" s="10" t="n">
        <v>75000</v>
      </c>
      <c r="M4178" s="10" t="n">
        <v>4237.29</v>
      </c>
      <c r="N4178" s="11">
        <f>IF(M4178="","",ROUND(M4178*1.18,2))</f>
        <v/>
      </c>
      <c r="O4178" s="12">
        <f>IF(M4178="","",ROUND(N4178-M4178,2))</f>
        <v/>
      </c>
      <c r="P4178" s="13">
        <f>IF(AND(A4178&lt;&gt;"",B4178&lt;&gt;""), A4178&amp;" · "&amp;B4178, "")</f>
        <v/>
      </c>
    </row>
    <row r="4179">
      <c r="A4179" s="6" t="inlineStr">
        <is>
          <t>FY27</t>
        </is>
      </c>
      <c r="B4179" s="6" t="inlineStr">
        <is>
          <t>Sep</t>
        </is>
      </c>
      <c r="C4179" s="6" t="inlineStr">
        <is>
          <t>TN</t>
        </is>
      </c>
      <c r="D4179" s="7" t="inlineStr">
        <is>
          <t>TN30BP6612</t>
        </is>
      </c>
      <c r="E4179" s="7" t="inlineStr">
        <is>
          <t>MARUTI SUZUKI</t>
        </is>
      </c>
      <c r="F4179" s="7" t="inlineStr">
        <is>
          <t>Baleno</t>
        </is>
      </c>
      <c r="G4179" s="7" t="inlineStr">
        <is>
          <t>PRODUCTIVITY ELEMENTS PRIVATE LIMITED</t>
        </is>
      </c>
      <c r="H4179" s="7" t="inlineStr">
        <is>
          <t>Non-Captive</t>
        </is>
      </c>
      <c r="I4179" s="7" t="inlineStr">
        <is>
          <t>Srijja Travels</t>
        </is>
      </c>
      <c r="J4179" s="8" t="n">
        <v>2019</v>
      </c>
      <c r="K4179" s="9" t="n">
        <v>82248</v>
      </c>
      <c r="L4179" s="10" t="n">
        <v>96000</v>
      </c>
      <c r="M4179" s="10" t="n">
        <v>4237.29</v>
      </c>
      <c r="N4179" s="11">
        <f>IF(M4179="","",ROUND(M4179*1.18,2))</f>
        <v/>
      </c>
      <c r="O4179" s="12">
        <f>IF(M4179="","",ROUND(N4179-M4179,2))</f>
        <v/>
      </c>
      <c r="P4179" s="13">
        <f>IF(AND(A4179&lt;&gt;"",B4179&lt;&gt;""), A4179&amp;" · "&amp;B4179, "")</f>
        <v/>
      </c>
    </row>
    <row r="4180">
      <c r="A4180" s="6" t="inlineStr">
        <is>
          <t>FY27</t>
        </is>
      </c>
      <c r="B4180" s="6" t="inlineStr">
        <is>
          <t>Sep</t>
        </is>
      </c>
      <c r="C4180" s="6" t="inlineStr">
        <is>
          <t>TN</t>
        </is>
      </c>
      <c r="D4180" s="7" t="inlineStr">
        <is>
          <t>TN30K4848</t>
        </is>
      </c>
      <c r="E4180" s="7" t="inlineStr">
        <is>
          <t>TATA</t>
        </is>
      </c>
      <c r="F4180" s="7" t="inlineStr">
        <is>
          <t>Indica</t>
        </is>
      </c>
      <c r="G4180" s="7" t="inlineStr">
        <is>
          <t>STEER AUTO TECHNOLOGIES PRIVATE LIMITED</t>
        </is>
      </c>
      <c r="H4180" s="7" t="inlineStr">
        <is>
          <t>Non-Captive</t>
        </is>
      </c>
      <c r="I4180" s="7" t="inlineStr">
        <is>
          <t>Pine Autos</t>
        </is>
      </c>
      <c r="J4180" s="8" t="n">
        <v>2005</v>
      </c>
      <c r="K4180" s="9" t="n">
        <v>98300</v>
      </c>
      <c r="L4180" s="10" t="n">
        <v>97000</v>
      </c>
      <c r="M4180" s="10" t="n">
        <v>5084.75</v>
      </c>
      <c r="N4180" s="11">
        <f>IF(M4180="","",ROUND(M4180*1.18,2))</f>
        <v/>
      </c>
      <c r="O4180" s="12">
        <f>IF(M4180="","",ROUND(N4180-M4180,2))</f>
        <v/>
      </c>
      <c r="P4180" s="13">
        <f>IF(AND(A4180&lt;&gt;"",B4180&lt;&gt;""), A4180&amp;" · "&amp;B4180, "")</f>
        <v/>
      </c>
    </row>
    <row r="4181">
      <c r="A4181" s="6" t="inlineStr">
        <is>
          <t>FY27</t>
        </is>
      </c>
      <c r="B4181" s="6" t="inlineStr">
        <is>
          <t>Sep</t>
        </is>
      </c>
      <c r="C4181" s="6" t="inlineStr">
        <is>
          <t>TN</t>
        </is>
      </c>
      <c r="D4181" s="7" t="inlineStr">
        <is>
          <t>TN30K7664</t>
        </is>
      </c>
      <c r="E4181" s="7" t="inlineStr">
        <is>
          <t>TATA</t>
        </is>
      </c>
      <c r="F4181" s="7" t="inlineStr">
        <is>
          <t>Indigo</t>
        </is>
      </c>
      <c r="G4181" s="7" t="inlineStr">
        <is>
          <t>EXCHANGE ROTN</t>
        </is>
      </c>
      <c r="H4181" s="7" t="inlineStr">
        <is>
          <t>Captive</t>
        </is>
      </c>
      <c r="I4181" s="7" t="inlineStr">
        <is>
          <t>&lt;NA&gt;</t>
        </is>
      </c>
      <c r="J4181" s="8" t="n">
        <v>2006</v>
      </c>
      <c r="K4181" s="9" t="n">
        <v>165400</v>
      </c>
      <c r="L4181" s="10" t="n">
        <v>40000</v>
      </c>
      <c r="M4181" s="10" t="n">
        <v>4237.29</v>
      </c>
      <c r="N4181" s="11">
        <f>IF(M4181="","",ROUND(M4181*1.18,2))</f>
        <v/>
      </c>
      <c r="O4181" s="12">
        <f>IF(M4181="","",ROUND(N4181-M4181,2))</f>
        <v/>
      </c>
      <c r="P4181" s="13">
        <f>IF(AND(A4181&lt;&gt;"",B4181&lt;&gt;""), A4181&amp;" · "&amp;B4181, "")</f>
        <v/>
      </c>
    </row>
    <row r="4182">
      <c r="A4182" s="6" t="inlineStr">
        <is>
          <t>FY27</t>
        </is>
      </c>
      <c r="B4182" s="6" t="inlineStr">
        <is>
          <t>Sep</t>
        </is>
      </c>
      <c r="C4182" s="6" t="inlineStr">
        <is>
          <t>TN</t>
        </is>
      </c>
      <c r="D4182" s="7" t="inlineStr">
        <is>
          <t>TN31AM3578</t>
        </is>
      </c>
      <c r="E4182" s="7" t="inlineStr">
        <is>
          <t>TATA</t>
        </is>
      </c>
      <c r="F4182" s="7" t="inlineStr">
        <is>
          <t>Nano</t>
        </is>
      </c>
      <c r="G4182" s="7" t="inlineStr">
        <is>
          <t>CASTLE TRADERS MARUTI</t>
        </is>
      </c>
      <c r="H4182" s="7" t="inlineStr">
        <is>
          <t>Non-Captive</t>
        </is>
      </c>
      <c r="I4182" s="7" t="inlineStr">
        <is>
          <t>Aneesa Pravin Cars</t>
        </is>
      </c>
      <c r="J4182" s="8" t="n">
        <v>2012</v>
      </c>
      <c r="K4182" s="9" t="n">
        <v>45895</v>
      </c>
      <c r="L4182" s="10" t="n">
        <v>97000</v>
      </c>
      <c r="M4182" s="10" t="n">
        <v>4237.29</v>
      </c>
      <c r="N4182" s="11">
        <f>IF(M4182="","",ROUND(M4182*1.18,2))</f>
        <v/>
      </c>
      <c r="O4182" s="12">
        <f>IF(M4182="","",ROUND(N4182-M4182,2))</f>
        <v/>
      </c>
      <c r="P4182" s="13">
        <f>IF(AND(A4182&lt;&gt;"",B4182&lt;&gt;""), A4182&amp;" · "&amp;B4182, "")</f>
        <v/>
      </c>
    </row>
    <row r="4183">
      <c r="A4183" s="6" t="inlineStr">
        <is>
          <t>FY27</t>
        </is>
      </c>
      <c r="B4183" s="6" t="inlineStr">
        <is>
          <t>Sep</t>
        </is>
      </c>
      <c r="C4183" s="6" t="inlineStr">
        <is>
          <t>TN</t>
        </is>
      </c>
      <c r="D4183" s="7" t="inlineStr">
        <is>
          <t>TN33AC0153</t>
        </is>
      </c>
      <c r="E4183" s="7" t="inlineStr">
        <is>
          <t>MARUTI SUZUKI</t>
        </is>
      </c>
      <c r="F4183" s="7" t="inlineStr">
        <is>
          <t>Wagon R</t>
        </is>
      </c>
      <c r="G4183" s="7" t="inlineStr">
        <is>
          <t>EXCHANGE ROTN</t>
        </is>
      </c>
      <c r="H4183" s="7" t="inlineStr">
        <is>
          <t>Captive</t>
        </is>
      </c>
      <c r="I4183" s="7" t="inlineStr">
        <is>
          <t>Ayyappa Cars</t>
        </is>
      </c>
      <c r="J4183" s="8" t="n">
        <v>2004</v>
      </c>
      <c r="K4183" s="9" t="n">
        <v>145624</v>
      </c>
      <c r="L4183" s="10" t="n">
        <v>60000</v>
      </c>
      <c r="M4183" s="10" t="n">
        <v>4237.29</v>
      </c>
      <c r="N4183" s="11">
        <f>IF(M4183="","",ROUND(M4183*1.18,2))</f>
        <v/>
      </c>
      <c r="O4183" s="12">
        <f>IF(M4183="","",ROUND(N4183-M4183,2))</f>
        <v/>
      </c>
      <c r="P4183" s="13">
        <f>IF(AND(A4183&lt;&gt;"",B4183&lt;&gt;""), A4183&amp;" · "&amp;B4183, "")</f>
        <v/>
      </c>
    </row>
    <row r="4184">
      <c r="A4184" s="6" t="inlineStr">
        <is>
          <t>FY27</t>
        </is>
      </c>
      <c r="B4184" s="6" t="inlineStr">
        <is>
          <t>Sep</t>
        </is>
      </c>
      <c r="C4184" s="6" t="inlineStr">
        <is>
          <t>TN</t>
        </is>
      </c>
      <c r="D4184" s="7" t="inlineStr">
        <is>
          <t>TN33AF2939</t>
        </is>
      </c>
      <c r="E4184" s="7" t="inlineStr">
        <is>
          <t>HYUNDAI</t>
        </is>
      </c>
      <c r="F4184" s="7" t="inlineStr">
        <is>
          <t>Santro</t>
        </is>
      </c>
      <c r="G4184" s="7" t="inlineStr">
        <is>
          <t>EXCHANGE ROTN</t>
        </is>
      </c>
      <c r="H4184" s="7" t="inlineStr">
        <is>
          <t>Captive</t>
        </is>
      </c>
      <c r="I4184" s="7" t="inlineStr">
        <is>
          <t>Mr.Cars</t>
        </is>
      </c>
      <c r="J4184" s="8" t="n">
        <v>2006</v>
      </c>
      <c r="K4184" s="9" t="n">
        <v>176025</v>
      </c>
      <c r="L4184" s="10" t="n">
        <v>55000</v>
      </c>
      <c r="M4184" s="10" t="n">
        <v>4237.29</v>
      </c>
      <c r="N4184" s="11">
        <f>IF(M4184="","",ROUND(M4184*1.18,2))</f>
        <v/>
      </c>
      <c r="O4184" s="12">
        <f>IF(M4184="","",ROUND(N4184-M4184,2))</f>
        <v/>
      </c>
      <c r="P4184" s="13">
        <f>IF(AND(A4184&lt;&gt;"",B4184&lt;&gt;""), A4184&amp;" · "&amp;B4184, "")</f>
        <v/>
      </c>
    </row>
    <row r="4185">
      <c r="A4185" s="6" t="inlineStr">
        <is>
          <t>FY27</t>
        </is>
      </c>
      <c r="B4185" s="6" t="inlineStr">
        <is>
          <t>Sep</t>
        </is>
      </c>
      <c r="C4185" s="6" t="inlineStr">
        <is>
          <t>TN</t>
        </is>
      </c>
      <c r="D4185" s="7" t="inlineStr">
        <is>
          <t>TN33AM9798</t>
        </is>
      </c>
      <c r="E4185" s="7" t="inlineStr">
        <is>
          <t>TATA</t>
        </is>
      </c>
      <c r="F4185" s="7" t="inlineStr">
        <is>
          <t>Indica</t>
        </is>
      </c>
      <c r="G4185" s="7" t="inlineStr">
        <is>
          <t>EXCHANGE ROTN</t>
        </is>
      </c>
      <c r="H4185" s="7" t="inlineStr">
        <is>
          <t>Captive</t>
        </is>
      </c>
      <c r="I4185" s="7" t="inlineStr">
        <is>
          <t>Sivashankar Cars</t>
        </is>
      </c>
      <c r="J4185" s="8" t="n">
        <v>2009</v>
      </c>
      <c r="K4185" s="9" t="n">
        <v>60213</v>
      </c>
      <c r="L4185" s="10" t="n">
        <v>50000</v>
      </c>
      <c r="M4185" s="10" t="n">
        <v>5084.75</v>
      </c>
      <c r="N4185" s="11">
        <f>IF(M4185="","",ROUND(M4185*1.18,2))</f>
        <v/>
      </c>
      <c r="O4185" s="12">
        <f>IF(M4185="","",ROUND(N4185-M4185,2))</f>
        <v/>
      </c>
      <c r="P4185" s="13">
        <f>IF(AND(A4185&lt;&gt;"",B4185&lt;&gt;""), A4185&amp;" · "&amp;B4185, "")</f>
        <v/>
      </c>
    </row>
    <row r="4186">
      <c r="A4186" s="6" t="inlineStr">
        <is>
          <t>FY27</t>
        </is>
      </c>
      <c r="B4186" s="6" t="inlineStr">
        <is>
          <t>Sep</t>
        </is>
      </c>
      <c r="C4186" s="6" t="inlineStr">
        <is>
          <t>TN</t>
        </is>
      </c>
      <c r="D4186" s="7" t="inlineStr">
        <is>
          <t>TN33AS1188</t>
        </is>
      </c>
      <c r="E4186" s="7" t="inlineStr">
        <is>
          <t>HYUNDAI</t>
        </is>
      </c>
      <c r="F4186" s="7" t="inlineStr">
        <is>
          <t>Santro</t>
        </is>
      </c>
      <c r="G4186" s="7" t="inlineStr">
        <is>
          <t>EXCHANGE ROTN</t>
        </is>
      </c>
      <c r="H4186" s="7" t="inlineStr">
        <is>
          <t>Captive</t>
        </is>
      </c>
      <c r="I4186" s="7" t="inlineStr">
        <is>
          <t>Mr.Cars</t>
        </is>
      </c>
      <c r="J4186" s="8" t="n">
        <v>2010</v>
      </c>
      <c r="K4186" s="9" t="n">
        <v>136477</v>
      </c>
      <c r="L4186" s="10" t="n">
        <v>98000</v>
      </c>
      <c r="M4186" s="10" t="n">
        <v>4237.29</v>
      </c>
      <c r="N4186" s="11">
        <f>IF(M4186="","",ROUND(M4186*1.18,2))</f>
        <v/>
      </c>
      <c r="O4186" s="12">
        <f>IF(M4186="","",ROUND(N4186-M4186,2))</f>
        <v/>
      </c>
      <c r="P4186" s="13">
        <f>IF(AND(A4186&lt;&gt;"",B4186&lt;&gt;""), A4186&amp;" · "&amp;B4186, "")</f>
        <v/>
      </c>
    </row>
    <row r="4187">
      <c r="A4187" s="6" t="inlineStr">
        <is>
          <t>FY27</t>
        </is>
      </c>
      <c r="B4187" s="6" t="inlineStr">
        <is>
          <t>Sep</t>
        </is>
      </c>
      <c r="C4187" s="6" t="inlineStr">
        <is>
          <t>TN</t>
        </is>
      </c>
      <c r="D4187" s="7" t="inlineStr">
        <is>
          <t>TN33AT7053</t>
        </is>
      </c>
      <c r="E4187" s="7" t="inlineStr">
        <is>
          <t>HYUNDAI</t>
        </is>
      </c>
      <c r="F4187" s="7" t="inlineStr">
        <is>
          <t>Santro</t>
        </is>
      </c>
      <c r="G4187" s="7" t="inlineStr">
        <is>
          <t>EXCHANGE ROTN</t>
        </is>
      </c>
      <c r="H4187" s="7" t="inlineStr">
        <is>
          <t>Captive</t>
        </is>
      </c>
      <c r="I4187" s="7" t="inlineStr">
        <is>
          <t>Thirumalai Cars (Madurai</t>
        </is>
      </c>
      <c r="J4187" s="8" t="n">
        <v>2011</v>
      </c>
      <c r="K4187" s="9" t="n">
        <v>115494</v>
      </c>
      <c r="L4187" s="10" t="n">
        <v>75000</v>
      </c>
      <c r="M4187" s="10" t="n">
        <v>4237.29</v>
      </c>
      <c r="N4187" s="11">
        <f>IF(M4187="","",ROUND(M4187*1.18,2))</f>
        <v/>
      </c>
      <c r="O4187" s="12">
        <f>IF(M4187="","",ROUND(N4187-M4187,2))</f>
        <v/>
      </c>
      <c r="P4187" s="13">
        <f>IF(AND(A4187&lt;&gt;"",B4187&lt;&gt;""), A4187&amp;" · "&amp;B4187, "")</f>
        <v/>
      </c>
    </row>
    <row r="4188">
      <c r="A4188" s="6" t="inlineStr">
        <is>
          <t>FY27</t>
        </is>
      </c>
      <c r="B4188" s="6" t="inlineStr">
        <is>
          <t>Sep</t>
        </is>
      </c>
      <c r="C4188" s="6" t="inlineStr">
        <is>
          <t>TN</t>
        </is>
      </c>
      <c r="D4188" s="7" t="inlineStr">
        <is>
          <t>TN33BJ6030</t>
        </is>
      </c>
      <c r="E4188" s="7" t="inlineStr">
        <is>
          <t>HONDA</t>
        </is>
      </c>
      <c r="F4188" s="7" t="inlineStr">
        <is>
          <t>Amaze</t>
        </is>
      </c>
      <c r="G4188" s="7" t="inlineStr">
        <is>
          <t>EXCHANGE ROTN</t>
        </is>
      </c>
      <c r="H4188" s="7" t="inlineStr">
        <is>
          <t>Captive</t>
        </is>
      </c>
      <c r="I4188" s="7" t="inlineStr">
        <is>
          <t>Sivashankar Cars</t>
        </is>
      </c>
      <c r="J4188" s="8" t="n">
        <v>2015</v>
      </c>
      <c r="K4188" s="9" t="n">
        <v>60383</v>
      </c>
      <c r="L4188" s="10" t="n">
        <v>295000</v>
      </c>
      <c r="M4188" s="10" t="n">
        <v>8474.58</v>
      </c>
      <c r="N4188" s="11">
        <f>IF(M4188="","",ROUND(M4188*1.18,2))</f>
        <v/>
      </c>
      <c r="O4188" s="12">
        <f>IF(M4188="","",ROUND(N4188-M4188,2))</f>
        <v/>
      </c>
      <c r="P4188" s="13">
        <f>IF(AND(A4188&lt;&gt;"",B4188&lt;&gt;""), A4188&amp;" · "&amp;B4188, "")</f>
        <v/>
      </c>
    </row>
    <row r="4189">
      <c r="A4189" s="6" t="inlineStr">
        <is>
          <t>FY27</t>
        </is>
      </c>
      <c r="B4189" s="6" t="inlineStr">
        <is>
          <t>Sep</t>
        </is>
      </c>
      <c r="C4189" s="6" t="inlineStr">
        <is>
          <t>TN</t>
        </is>
      </c>
      <c r="D4189" s="7" t="inlineStr">
        <is>
          <t>TN33BS7452</t>
        </is>
      </c>
      <c r="E4189" s="7" t="inlineStr">
        <is>
          <t>RENAULT</t>
        </is>
      </c>
      <c r="F4189" s="7" t="inlineStr">
        <is>
          <t>Kwid</t>
        </is>
      </c>
      <c r="G4189" s="7" t="inlineStr">
        <is>
          <t>STEER AUTO TECHNOLOGIES PRIVATE LIMITED</t>
        </is>
      </c>
      <c r="H4189" s="7" t="inlineStr">
        <is>
          <t>Non-Captive</t>
        </is>
      </c>
      <c r="I4189" s="7" t="inlineStr">
        <is>
          <t>Castel Traders Honada</t>
        </is>
      </c>
      <c r="J4189" s="8" t="n">
        <v>2019</v>
      </c>
      <c r="K4189" s="9" t="n">
        <v>88514</v>
      </c>
      <c r="L4189" s="10" t="n">
        <v>99000</v>
      </c>
      <c r="M4189" s="10" t="n">
        <v>4237.29</v>
      </c>
      <c r="N4189" s="11">
        <f>IF(M4189="","",ROUND(M4189*1.18,2))</f>
        <v/>
      </c>
      <c r="O4189" s="12">
        <f>IF(M4189="","",ROUND(N4189-M4189,2))</f>
        <v/>
      </c>
      <c r="P4189" s="13">
        <f>IF(AND(A4189&lt;&gt;"",B4189&lt;&gt;""), A4189&amp;" · "&amp;B4189, "")</f>
        <v/>
      </c>
    </row>
    <row r="4190">
      <c r="A4190" s="6" t="inlineStr">
        <is>
          <t>FY27</t>
        </is>
      </c>
      <c r="B4190" s="6" t="inlineStr">
        <is>
          <t>Sep</t>
        </is>
      </c>
      <c r="C4190" s="6" t="inlineStr">
        <is>
          <t>TN</t>
        </is>
      </c>
      <c r="D4190" s="7" t="inlineStr">
        <is>
          <t>TN34MA1739</t>
        </is>
      </c>
      <c r="E4190" s="7" t="inlineStr">
        <is>
          <t>HONDA</t>
        </is>
      </c>
      <c r="F4190" s="7" t="inlineStr">
        <is>
          <t>Amaze</t>
        </is>
      </c>
      <c r="G4190" s="7" t="inlineStr">
        <is>
          <t>EXCHANGE ROTN</t>
        </is>
      </c>
      <c r="H4190" s="7" t="inlineStr">
        <is>
          <t>Captive</t>
        </is>
      </c>
      <c r="I4190" s="7" t="inlineStr">
        <is>
          <t>SRI RAJA KANAPATHY CARS</t>
        </is>
      </c>
      <c r="J4190" s="8" t="n">
        <v>2022</v>
      </c>
      <c r="K4190" s="9" t="n">
        <v>21885</v>
      </c>
      <c r="L4190" s="10" t="n">
        <v>580000</v>
      </c>
      <c r="M4190" s="10" t="n">
        <v>12711.86</v>
      </c>
      <c r="N4190" s="11">
        <f>IF(M4190="","",ROUND(M4190*1.18,2))</f>
        <v/>
      </c>
      <c r="O4190" s="12">
        <f>IF(M4190="","",ROUND(N4190-M4190,2))</f>
        <v/>
      </c>
      <c r="P4190" s="13">
        <f>IF(AND(A4190&lt;&gt;"",B4190&lt;&gt;""), A4190&amp;" · "&amp;B4190, "")</f>
        <v/>
      </c>
    </row>
    <row r="4191">
      <c r="A4191" s="6" t="inlineStr">
        <is>
          <t>FY27</t>
        </is>
      </c>
      <c r="B4191" s="6" t="inlineStr">
        <is>
          <t>Sep</t>
        </is>
      </c>
      <c r="C4191" s="6" t="inlineStr">
        <is>
          <t>TN</t>
        </is>
      </c>
      <c r="D4191" s="7" t="inlineStr">
        <is>
          <t>TN34MC0951</t>
        </is>
      </c>
      <c r="E4191" s="7" t="inlineStr">
        <is>
          <t>SKODA</t>
        </is>
      </c>
      <c r="F4191" s="7" t="inlineStr">
        <is>
          <t>Kushaq</t>
        </is>
      </c>
      <c r="G4191" s="7" t="inlineStr">
        <is>
          <t>EXCHANGE ROTN</t>
        </is>
      </c>
      <c r="H4191" s="7" t="inlineStr">
        <is>
          <t>Captive</t>
        </is>
      </c>
      <c r="I4191" s="7" t="inlineStr">
        <is>
          <t>Sai Cars</t>
        </is>
      </c>
      <c r="J4191" s="8" t="n">
        <v>2024</v>
      </c>
      <c r="K4191" s="9" t="n">
        <v>10269</v>
      </c>
      <c r="L4191" s="10" t="n">
        <v>900000</v>
      </c>
      <c r="M4191" s="10" t="n">
        <v>12711.86</v>
      </c>
      <c r="N4191" s="11">
        <f>IF(M4191="","",ROUND(M4191*1.18,2))</f>
        <v/>
      </c>
      <c r="O4191" s="12">
        <f>IF(M4191="","",ROUND(N4191-M4191,2))</f>
        <v/>
      </c>
      <c r="P4191" s="13">
        <f>IF(AND(A4191&lt;&gt;"",B4191&lt;&gt;""), A4191&amp;" · "&amp;B4191, "")</f>
        <v/>
      </c>
    </row>
    <row r="4192">
      <c r="A4192" s="6" t="inlineStr">
        <is>
          <t>FY27</t>
        </is>
      </c>
      <c r="B4192" s="6" t="inlineStr">
        <is>
          <t>Sep</t>
        </is>
      </c>
      <c r="C4192" s="6" t="inlineStr">
        <is>
          <t>TN</t>
        </is>
      </c>
      <c r="D4192" s="7" t="inlineStr">
        <is>
          <t>TN34Y6423</t>
        </is>
      </c>
      <c r="E4192" s="7" t="inlineStr">
        <is>
          <t>MARUTI SUZUKI</t>
        </is>
      </c>
      <c r="F4192" s="7" t="inlineStr">
        <is>
          <t>Eeco</t>
        </is>
      </c>
      <c r="G4192" s="7" t="inlineStr">
        <is>
          <t>EXCHANGE ROTN</t>
        </is>
      </c>
      <c r="H4192" s="7" t="inlineStr">
        <is>
          <t>Captive</t>
        </is>
      </c>
      <c r="I4192" s="7" t="inlineStr">
        <is>
          <t>Geethanjali Cars Chennimalai</t>
        </is>
      </c>
      <c r="J4192" s="8" t="n">
        <v>2016</v>
      </c>
      <c r="K4192" s="9" t="n">
        <v>86813</v>
      </c>
      <c r="L4192" s="10" t="n">
        <v>265000</v>
      </c>
      <c r="M4192" s="10" t="n">
        <v>10169.49</v>
      </c>
      <c r="N4192" s="11">
        <f>IF(M4192="","",ROUND(M4192*1.18,2))</f>
        <v/>
      </c>
      <c r="O4192" s="12">
        <f>IF(M4192="","",ROUND(N4192-M4192,2))</f>
        <v/>
      </c>
      <c r="P4192" s="13">
        <f>IF(AND(A4192&lt;&gt;"",B4192&lt;&gt;""), A4192&amp;" · "&amp;B4192, "")</f>
        <v/>
      </c>
    </row>
    <row r="4193">
      <c r="A4193" s="6" t="inlineStr">
        <is>
          <t>FY27</t>
        </is>
      </c>
      <c r="B4193" s="6" t="inlineStr">
        <is>
          <t>Sep</t>
        </is>
      </c>
      <c r="C4193" s="6" t="inlineStr">
        <is>
          <t>TN</t>
        </is>
      </c>
      <c r="D4193" s="7" t="inlineStr">
        <is>
          <t>TN36AD3609</t>
        </is>
      </c>
      <c r="E4193" s="7" t="inlineStr">
        <is>
          <t>NISSAN</t>
        </is>
      </c>
      <c r="F4193" s="7" t="inlineStr">
        <is>
          <t>Micra</t>
        </is>
      </c>
      <c r="G4193" s="7" t="inlineStr">
        <is>
          <t>EXCHANGE ROTN</t>
        </is>
      </c>
      <c r="H4193" s="7" t="inlineStr">
        <is>
          <t>Captive</t>
        </is>
      </c>
      <c r="I4193" s="7" t="inlineStr">
        <is>
          <t>Aswin Cars</t>
        </is>
      </c>
      <c r="J4193" s="8" t="n">
        <v>2016</v>
      </c>
      <c r="K4193" s="9" t="n">
        <v>155476</v>
      </c>
      <c r="L4193" s="10" t="n">
        <v>70000</v>
      </c>
      <c r="M4193" s="10" t="n">
        <v>4237.29</v>
      </c>
      <c r="N4193" s="11">
        <f>IF(M4193="","",ROUND(M4193*1.18,2))</f>
        <v/>
      </c>
      <c r="O4193" s="12">
        <f>IF(M4193="","",ROUND(N4193-M4193,2))</f>
        <v/>
      </c>
      <c r="P4193" s="13">
        <f>IF(AND(A4193&lt;&gt;"",B4193&lt;&gt;""), A4193&amp;" · "&amp;B4193, "")</f>
        <v/>
      </c>
    </row>
    <row r="4194">
      <c r="A4194" s="6" t="inlineStr">
        <is>
          <t>FY27</t>
        </is>
      </c>
      <c r="B4194" s="6" t="inlineStr">
        <is>
          <t>Sep</t>
        </is>
      </c>
      <c r="C4194" s="6" t="inlineStr">
        <is>
          <t>TN</t>
        </is>
      </c>
      <c r="D4194" s="7" t="inlineStr">
        <is>
          <t>TN36AX9603</t>
        </is>
      </c>
      <c r="E4194" s="7" t="inlineStr">
        <is>
          <t>HYUNDAI</t>
        </is>
      </c>
      <c r="F4194" s="7" t="inlineStr">
        <is>
          <t>Eon</t>
        </is>
      </c>
      <c r="G4194" s="7" t="inlineStr">
        <is>
          <t>THIYA CARS</t>
        </is>
      </c>
      <c r="H4194" s="7" t="inlineStr">
        <is>
          <t>Non-Captive</t>
        </is>
      </c>
      <c r="I4194" s="7" t="inlineStr">
        <is>
          <t>Cars24</t>
        </is>
      </c>
      <c r="J4194" s="8" t="n">
        <v>2014</v>
      </c>
      <c r="K4194" s="9" t="n">
        <v>38883</v>
      </c>
      <c r="L4194" s="10" t="n">
        <v>98000</v>
      </c>
      <c r="M4194" s="10" t="n">
        <v>4237.29</v>
      </c>
      <c r="N4194" s="11">
        <f>IF(M4194="","",ROUND(M4194*1.18,2))</f>
        <v/>
      </c>
      <c r="O4194" s="12">
        <f>IF(M4194="","",ROUND(N4194-M4194,2))</f>
        <v/>
      </c>
      <c r="P4194" s="13">
        <f>IF(AND(A4194&lt;&gt;"",B4194&lt;&gt;""), A4194&amp;" · "&amp;B4194, "")</f>
        <v/>
      </c>
    </row>
    <row r="4195">
      <c r="A4195" s="6" t="inlineStr">
        <is>
          <t>FY27</t>
        </is>
      </c>
      <c r="B4195" s="6" t="inlineStr">
        <is>
          <t>Sep</t>
        </is>
      </c>
      <c r="C4195" s="6" t="inlineStr">
        <is>
          <t>TN</t>
        </is>
      </c>
      <c r="D4195" s="7" t="inlineStr">
        <is>
          <t>TN36T2260</t>
        </is>
      </c>
      <c r="E4195" s="7" t="inlineStr">
        <is>
          <t>MARUTI SUZUKI</t>
        </is>
      </c>
      <c r="F4195" s="7" t="inlineStr">
        <is>
          <t>Alto</t>
        </is>
      </c>
      <c r="G4195" s="7" t="inlineStr">
        <is>
          <t>LAKSHMI MOTORS</t>
        </is>
      </c>
      <c r="H4195" s="7" t="inlineStr">
        <is>
          <t>Non-Captive</t>
        </is>
      </c>
      <c r="I4195" s="7" t="inlineStr">
        <is>
          <t>Value Drive Tech</t>
        </is>
      </c>
      <c r="J4195" s="8" t="n">
        <v>2011</v>
      </c>
      <c r="K4195" s="9" t="n">
        <v>125875</v>
      </c>
      <c r="L4195" s="10" t="n">
        <v>89000</v>
      </c>
      <c r="M4195" s="10" t="n">
        <v>4237.29</v>
      </c>
      <c r="N4195" s="11">
        <f>IF(M4195="","",ROUND(M4195*1.18,2))</f>
        <v/>
      </c>
      <c r="O4195" s="12">
        <f>IF(M4195="","",ROUND(N4195-M4195,2))</f>
        <v/>
      </c>
      <c r="P4195" s="13">
        <f>IF(AND(A4195&lt;&gt;"",B4195&lt;&gt;""), A4195&amp;" · "&amp;B4195, "")</f>
        <v/>
      </c>
    </row>
    <row r="4196">
      <c r="A4196" s="6" t="inlineStr">
        <is>
          <t>FY27</t>
        </is>
      </c>
      <c r="B4196" s="6" t="inlineStr">
        <is>
          <t>Sep</t>
        </is>
      </c>
      <c r="C4196" s="6" t="inlineStr">
        <is>
          <t>TN</t>
        </is>
      </c>
      <c r="D4196" s="7" t="inlineStr">
        <is>
          <t>TN37AF3299</t>
        </is>
      </c>
      <c r="E4196" s="7" t="inlineStr">
        <is>
          <t>TOYOTA</t>
        </is>
      </c>
      <c r="F4196" s="7" t="inlineStr">
        <is>
          <t>Corolla Altis</t>
        </is>
      </c>
      <c r="G4196" s="7" t="inlineStr">
        <is>
          <t>STEER AUTO TECHNOLOGIES PRIVATE LIMITED</t>
        </is>
      </c>
      <c r="H4196" s="7" t="inlineStr">
        <is>
          <t>Non-Captive</t>
        </is>
      </c>
      <c r="I4196" s="7" t="inlineStr">
        <is>
          <t>Pine Autos</t>
        </is>
      </c>
      <c r="J4196" s="8" t="n">
        <v>2004</v>
      </c>
      <c r="K4196" s="9" t="n">
        <v>678110</v>
      </c>
      <c r="L4196" s="10" t="n">
        <v>87000</v>
      </c>
      <c r="M4196" s="10" t="n">
        <v>4237.29</v>
      </c>
      <c r="N4196" s="11">
        <f>IF(M4196="","",ROUND(M4196*1.18,2))</f>
        <v/>
      </c>
      <c r="O4196" s="12">
        <f>IF(M4196="","",ROUND(N4196-M4196,2))</f>
        <v/>
      </c>
      <c r="P4196" s="13">
        <f>IF(AND(A4196&lt;&gt;"",B4196&lt;&gt;""), A4196&amp;" · "&amp;B4196, "")</f>
        <v/>
      </c>
    </row>
    <row r="4197">
      <c r="A4197" s="6" t="inlineStr">
        <is>
          <t>FY27</t>
        </is>
      </c>
      <c r="B4197" s="6" t="inlineStr">
        <is>
          <t>Sep</t>
        </is>
      </c>
      <c r="C4197" s="6" t="inlineStr">
        <is>
          <t>TN</t>
        </is>
      </c>
      <c r="D4197" s="7" t="inlineStr">
        <is>
          <t>TN37AV8658</t>
        </is>
      </c>
      <c r="E4197" s="7" t="inlineStr">
        <is>
          <t>MARUTI SUZUKI</t>
        </is>
      </c>
      <c r="F4197" s="7" t="inlineStr">
        <is>
          <t>Alto</t>
        </is>
      </c>
      <c r="G4197" s="7" t="inlineStr">
        <is>
          <t>EXCHANGE ROTN</t>
        </is>
      </c>
      <c r="H4197" s="7" t="inlineStr">
        <is>
          <t>Captive</t>
        </is>
      </c>
      <c r="I4197" s="7" t="inlineStr">
        <is>
          <t>Sai Cars</t>
        </is>
      </c>
      <c r="J4197" s="8" t="n">
        <v>2007</v>
      </c>
      <c r="K4197" s="9" t="n">
        <v>130747</v>
      </c>
      <c r="L4197" s="10" t="n">
        <v>85000</v>
      </c>
      <c r="M4197" s="10" t="n">
        <v>4237.29</v>
      </c>
      <c r="N4197" s="11">
        <f>IF(M4197="","",ROUND(M4197*1.18,2))</f>
        <v/>
      </c>
      <c r="O4197" s="12">
        <f>IF(M4197="","",ROUND(N4197-M4197,2))</f>
        <v/>
      </c>
      <c r="P4197" s="13">
        <f>IF(AND(A4197&lt;&gt;"",B4197&lt;&gt;""), A4197&amp;" · "&amp;B4197, "")</f>
        <v/>
      </c>
    </row>
    <row r="4198">
      <c r="A4198" s="6" t="inlineStr">
        <is>
          <t>FY27</t>
        </is>
      </c>
      <c r="B4198" s="6" t="inlineStr">
        <is>
          <t>Sep</t>
        </is>
      </c>
      <c r="C4198" s="6" t="inlineStr">
        <is>
          <t>TN</t>
        </is>
      </c>
      <c r="D4198" s="7" t="inlineStr">
        <is>
          <t>TN37BA0032</t>
        </is>
      </c>
      <c r="E4198" s="7" t="inlineStr">
        <is>
          <t>FORD</t>
        </is>
      </c>
      <c r="F4198" s="7" t="inlineStr">
        <is>
          <t>Fiesta</t>
        </is>
      </c>
      <c r="G4198" s="7" t="inlineStr">
        <is>
          <t>ABT LIMITED</t>
        </is>
      </c>
      <c r="H4198" s="7" t="inlineStr">
        <is>
          <t>Non-Captive</t>
        </is>
      </c>
      <c r="I4198" s="7" t="inlineStr">
        <is>
          <t>Srijja Travels</t>
        </is>
      </c>
      <c r="J4198" s="8" t="n">
        <v>2008</v>
      </c>
      <c r="K4198" s="9" t="n">
        <v>102695</v>
      </c>
      <c r="L4198" s="10" t="n">
        <v>94000</v>
      </c>
      <c r="M4198" s="10" t="n">
        <v>4237.29</v>
      </c>
      <c r="N4198" s="11">
        <f>IF(M4198="","",ROUND(M4198*1.18,2))</f>
        <v/>
      </c>
      <c r="O4198" s="12">
        <f>IF(M4198="","",ROUND(N4198-M4198,2))</f>
        <v/>
      </c>
      <c r="P4198" s="13">
        <f>IF(AND(A4198&lt;&gt;"",B4198&lt;&gt;""), A4198&amp;" · "&amp;B4198, "")</f>
        <v/>
      </c>
    </row>
    <row r="4199">
      <c r="A4199" s="6" t="inlineStr">
        <is>
          <t>FY27</t>
        </is>
      </c>
      <c r="B4199" s="6" t="inlineStr">
        <is>
          <t>Sep</t>
        </is>
      </c>
      <c r="C4199" s="6" t="inlineStr">
        <is>
          <t>TN</t>
        </is>
      </c>
      <c r="D4199" s="7" t="inlineStr">
        <is>
          <t>TN37BH4288</t>
        </is>
      </c>
      <c r="E4199" s="7" t="inlineStr">
        <is>
          <t>MARUTI SUZUKI</t>
        </is>
      </c>
      <c r="F4199" s="7" t="inlineStr">
        <is>
          <t>Swift</t>
        </is>
      </c>
      <c r="G4199" s="7" t="inlineStr">
        <is>
          <t>THIYA CARS</t>
        </is>
      </c>
      <c r="H4199" s="7" t="inlineStr">
        <is>
          <t>Non-Captive</t>
        </is>
      </c>
      <c r="I4199" s="7" t="inlineStr">
        <is>
          <t>Cars24</t>
        </is>
      </c>
      <c r="J4199" s="8" t="n">
        <v>2010</v>
      </c>
      <c r="K4199" s="9" t="n">
        <v>60503</v>
      </c>
      <c r="L4199" s="10" t="n">
        <v>94000</v>
      </c>
      <c r="M4199" s="10" t="n">
        <v>4237.29</v>
      </c>
      <c r="N4199" s="11">
        <f>IF(M4199="","",ROUND(M4199*1.18,2))</f>
        <v/>
      </c>
      <c r="O4199" s="12">
        <f>IF(M4199="","",ROUND(N4199-M4199,2))</f>
        <v/>
      </c>
      <c r="P4199" s="13">
        <f>IF(AND(A4199&lt;&gt;"",B4199&lt;&gt;""), A4199&amp;" · "&amp;B4199, "")</f>
        <v/>
      </c>
    </row>
    <row r="4200">
      <c r="A4200" s="6" t="inlineStr">
        <is>
          <t>FY27</t>
        </is>
      </c>
      <c r="B4200" s="6" t="inlineStr">
        <is>
          <t>Sep</t>
        </is>
      </c>
      <c r="C4200" s="6" t="inlineStr">
        <is>
          <t>TN</t>
        </is>
      </c>
      <c r="D4200" s="7" t="inlineStr">
        <is>
          <t>TN37BS3443</t>
        </is>
      </c>
      <c r="E4200" s="7" t="inlineStr">
        <is>
          <t>FORD</t>
        </is>
      </c>
      <c r="F4200" s="7" t="inlineStr">
        <is>
          <t>Fiesta</t>
        </is>
      </c>
      <c r="G4200" s="7" t="inlineStr">
        <is>
          <t>THIYA CARS</t>
        </is>
      </c>
      <c r="H4200" s="7" t="inlineStr">
        <is>
          <t>Non-Captive</t>
        </is>
      </c>
      <c r="I4200" s="7" t="inlineStr">
        <is>
          <t>Srijja Travels</t>
        </is>
      </c>
      <c r="J4200" s="8" t="n">
        <v>2011</v>
      </c>
      <c r="K4200" s="9" t="n">
        <v>135083</v>
      </c>
      <c r="L4200" s="10" t="n">
        <v>96000</v>
      </c>
      <c r="M4200" s="10" t="n">
        <v>4237.29</v>
      </c>
      <c r="N4200" s="11">
        <f>IF(M4200="","",ROUND(M4200*1.18,2))</f>
        <v/>
      </c>
      <c r="O4200" s="12">
        <f>IF(M4200="","",ROUND(N4200-M4200,2))</f>
        <v/>
      </c>
      <c r="P4200" s="13">
        <f>IF(AND(A4200&lt;&gt;"",B4200&lt;&gt;""), A4200&amp;" · "&amp;B4200, "")</f>
        <v/>
      </c>
    </row>
    <row r="4201">
      <c r="A4201" s="6" t="inlineStr">
        <is>
          <t>FY27</t>
        </is>
      </c>
      <c r="B4201" s="6" t="inlineStr">
        <is>
          <t>Sep</t>
        </is>
      </c>
      <c r="C4201" s="6" t="inlineStr">
        <is>
          <t>TN</t>
        </is>
      </c>
      <c r="D4201" s="7" t="inlineStr">
        <is>
          <t>TN37BT6315</t>
        </is>
      </c>
      <c r="E4201" s="7" t="inlineStr">
        <is>
          <t>TATA</t>
        </is>
      </c>
      <c r="F4201" s="7" t="inlineStr">
        <is>
          <t>Nano</t>
        </is>
      </c>
      <c r="G4201" s="7" t="inlineStr">
        <is>
          <t>EXCHANGE ROTN</t>
        </is>
      </c>
      <c r="H4201" s="7" t="inlineStr">
        <is>
          <t>Captive</t>
        </is>
      </c>
      <c r="I4201" s="7" t="inlineStr">
        <is>
          <t>Shree Cars (Coimbatore</t>
        </is>
      </c>
      <c r="J4201" s="8" t="n">
        <v>2011</v>
      </c>
      <c r="K4201" s="9" t="n">
        <v>65113</v>
      </c>
      <c r="L4201" s="10" t="n">
        <v>45000</v>
      </c>
      <c r="M4201" s="10" t="n">
        <v>4237.29</v>
      </c>
      <c r="N4201" s="11">
        <f>IF(M4201="","",ROUND(M4201*1.18,2))</f>
        <v/>
      </c>
      <c r="O4201" s="12">
        <f>IF(M4201="","",ROUND(N4201-M4201,2))</f>
        <v/>
      </c>
      <c r="P4201" s="13">
        <f>IF(AND(A4201&lt;&gt;"",B4201&lt;&gt;""), A4201&amp;" · "&amp;B4201, "")</f>
        <v/>
      </c>
    </row>
    <row r="4202">
      <c r="A4202" s="6" t="inlineStr">
        <is>
          <t>FY27</t>
        </is>
      </c>
      <c r="B4202" s="6" t="inlineStr">
        <is>
          <t>Sep</t>
        </is>
      </c>
      <c r="C4202" s="6" t="inlineStr">
        <is>
          <t>TN</t>
        </is>
      </c>
      <c r="D4202" s="7" t="inlineStr">
        <is>
          <t>TN37BW6000</t>
        </is>
      </c>
      <c r="E4202" s="7" t="inlineStr">
        <is>
          <t>HONDA</t>
        </is>
      </c>
      <c r="F4202" s="7" t="inlineStr">
        <is>
          <t>Brio</t>
        </is>
      </c>
      <c r="G4202" s="7" t="inlineStr">
        <is>
          <t>EXCHANGE ROTN</t>
        </is>
      </c>
      <c r="H4202" s="7" t="inlineStr">
        <is>
          <t>Captive</t>
        </is>
      </c>
      <c r="I4202" s="7" t="inlineStr">
        <is>
          <t>Gugha Cars</t>
        </is>
      </c>
      <c r="J4202" s="8" t="n">
        <v>2012</v>
      </c>
      <c r="K4202" s="9" t="n">
        <v>82202</v>
      </c>
      <c r="L4202" s="10" t="n">
        <v>260000</v>
      </c>
      <c r="M4202" s="10" t="n">
        <v>8474.58</v>
      </c>
      <c r="N4202" s="11">
        <f>IF(M4202="","",ROUND(M4202*1.18,2))</f>
        <v/>
      </c>
      <c r="O4202" s="12">
        <f>IF(M4202="","",ROUND(N4202-M4202,2))</f>
        <v/>
      </c>
      <c r="P4202" s="13">
        <f>IF(AND(A4202&lt;&gt;"",B4202&lt;&gt;""), A4202&amp;" · "&amp;B4202, "")</f>
        <v/>
      </c>
    </row>
    <row r="4203">
      <c r="A4203" s="6" t="inlineStr">
        <is>
          <t>FY27</t>
        </is>
      </c>
      <c r="B4203" s="6" t="inlineStr">
        <is>
          <t>Sep</t>
        </is>
      </c>
      <c r="C4203" s="6" t="inlineStr">
        <is>
          <t>TN</t>
        </is>
      </c>
      <c r="D4203" s="7" t="inlineStr">
        <is>
          <t>TN37BY9153</t>
        </is>
      </c>
      <c r="E4203" s="7" t="inlineStr">
        <is>
          <t>HONDA</t>
        </is>
      </c>
      <c r="F4203" s="7" t="inlineStr">
        <is>
          <t>City</t>
        </is>
      </c>
      <c r="G4203" s="7" t="inlineStr">
        <is>
          <t>EXCHANGE ROTN</t>
        </is>
      </c>
      <c r="H4203" s="7" t="inlineStr">
        <is>
          <t>Captive</t>
        </is>
      </c>
      <c r="I4203" s="7" t="inlineStr">
        <is>
          <t>&lt;NA&gt;</t>
        </is>
      </c>
      <c r="J4203" s="8" t="n">
        <v>2012</v>
      </c>
      <c r="K4203" s="9" t="n">
        <v>153420</v>
      </c>
      <c r="L4203" s="10" t="n">
        <v>285000</v>
      </c>
      <c r="M4203" s="10" t="n">
        <v>4237.29</v>
      </c>
      <c r="N4203" s="11">
        <f>IF(M4203="","",ROUND(M4203*1.18,2))</f>
        <v/>
      </c>
      <c r="O4203" s="12">
        <f>IF(M4203="","",ROUND(N4203-M4203,2))</f>
        <v/>
      </c>
      <c r="P4203" s="13">
        <f>IF(AND(A4203&lt;&gt;"",B4203&lt;&gt;""), A4203&amp;" · "&amp;B4203, "")</f>
        <v/>
      </c>
    </row>
    <row r="4204">
      <c r="A4204" s="6" t="inlineStr">
        <is>
          <t>FY27</t>
        </is>
      </c>
      <c r="B4204" s="6" t="inlineStr">
        <is>
          <t>Sep</t>
        </is>
      </c>
      <c r="C4204" s="6" t="inlineStr">
        <is>
          <t>TN</t>
        </is>
      </c>
      <c r="D4204" s="7" t="inlineStr">
        <is>
          <t>TN37CV8868</t>
        </is>
      </c>
      <c r="E4204" s="7" t="inlineStr">
        <is>
          <t>VOLKSWAGEN</t>
        </is>
      </c>
      <c r="F4204" s="7" t="inlineStr">
        <is>
          <t>Ameo</t>
        </is>
      </c>
      <c r="G4204" s="7" t="inlineStr">
        <is>
          <t>EXCHANGE ROTN</t>
        </is>
      </c>
      <c r="H4204" s="7" t="inlineStr">
        <is>
          <t>Captive</t>
        </is>
      </c>
      <c r="I4204" s="7" t="inlineStr">
        <is>
          <t>&lt;NA&gt;</t>
        </is>
      </c>
      <c r="J4204" s="8" t="n">
        <v>2016</v>
      </c>
      <c r="K4204" s="9" t="n">
        <v>122216</v>
      </c>
      <c r="L4204" s="10" t="n">
        <v>360000</v>
      </c>
      <c r="M4204" s="10" t="n">
        <v>8474.58</v>
      </c>
      <c r="N4204" s="11">
        <f>IF(M4204="","",ROUND(M4204*1.18,2))</f>
        <v/>
      </c>
      <c r="O4204" s="12">
        <f>IF(M4204="","",ROUND(N4204-M4204,2))</f>
        <v/>
      </c>
      <c r="P4204" s="13">
        <f>IF(AND(A4204&lt;&gt;"",B4204&lt;&gt;""), A4204&amp;" · "&amp;B4204, "")</f>
        <v/>
      </c>
    </row>
    <row r="4205">
      <c r="A4205" s="6" t="inlineStr">
        <is>
          <t>FY27</t>
        </is>
      </c>
      <c r="B4205" s="6" t="inlineStr">
        <is>
          <t>Sep</t>
        </is>
      </c>
      <c r="C4205" s="6" t="inlineStr">
        <is>
          <t>TN</t>
        </is>
      </c>
      <c r="D4205" s="7" t="inlineStr">
        <is>
          <t>TN37CZ2549</t>
        </is>
      </c>
      <c r="E4205" s="7" t="inlineStr">
        <is>
          <t>MARUTI SUZUKI</t>
        </is>
      </c>
      <c r="F4205" s="7" t="inlineStr">
        <is>
          <t>Alto K10</t>
        </is>
      </c>
      <c r="G4205" s="7" t="inlineStr">
        <is>
          <t>NIRMAL CARS</t>
        </is>
      </c>
      <c r="H4205" s="7" t="inlineStr">
        <is>
          <t>Non-Captive</t>
        </is>
      </c>
      <c r="I4205" s="7" t="inlineStr">
        <is>
          <t>Cars24</t>
        </is>
      </c>
      <c r="J4205" s="8" t="n">
        <v>2013</v>
      </c>
      <c r="K4205" s="9" t="n">
        <v>37111</v>
      </c>
      <c r="L4205" s="10" t="n">
        <v>97000</v>
      </c>
      <c r="M4205" s="10" t="n">
        <v>4237.29</v>
      </c>
      <c r="N4205" s="11">
        <f>IF(M4205="","",ROUND(M4205*1.18,2))</f>
        <v/>
      </c>
      <c r="O4205" s="12">
        <f>IF(M4205="","",ROUND(N4205-M4205,2))</f>
        <v/>
      </c>
      <c r="P4205" s="13">
        <f>IF(AND(A4205&lt;&gt;"",B4205&lt;&gt;""), A4205&amp;" · "&amp;B4205, "")</f>
        <v/>
      </c>
    </row>
    <row r="4206">
      <c r="A4206" s="6" t="inlineStr">
        <is>
          <t>FY27</t>
        </is>
      </c>
      <c r="B4206" s="6" t="inlineStr">
        <is>
          <t>Sep</t>
        </is>
      </c>
      <c r="C4206" s="6" t="inlineStr">
        <is>
          <t>TN</t>
        </is>
      </c>
      <c r="D4206" s="7" t="inlineStr">
        <is>
          <t>TN37DM8488</t>
        </is>
      </c>
      <c r="E4206" s="7" t="inlineStr">
        <is>
          <t>HONDA</t>
        </is>
      </c>
      <c r="F4206" s="7" t="inlineStr">
        <is>
          <t>City</t>
        </is>
      </c>
      <c r="G4206" s="7" t="inlineStr">
        <is>
          <t>EXCHANGE ROTN</t>
        </is>
      </c>
      <c r="H4206" s="7" t="inlineStr">
        <is>
          <t>Captive</t>
        </is>
      </c>
      <c r="I4206" s="7" t="inlineStr">
        <is>
          <t>Sai Cars</t>
        </is>
      </c>
      <c r="J4206" s="8" t="n">
        <v>2020</v>
      </c>
      <c r="K4206" s="9" t="n">
        <v>84290</v>
      </c>
      <c r="L4206" s="10" t="n">
        <v>840000</v>
      </c>
      <c r="M4206" s="10" t="n">
        <v>16949.15</v>
      </c>
      <c r="N4206" s="11">
        <f>IF(M4206="","",ROUND(M4206*1.18,2))</f>
        <v/>
      </c>
      <c r="O4206" s="12">
        <f>IF(M4206="","",ROUND(N4206-M4206,2))</f>
        <v/>
      </c>
      <c r="P4206" s="13">
        <f>IF(AND(A4206&lt;&gt;"",B4206&lt;&gt;""), A4206&amp;" · "&amp;B4206, "")</f>
        <v/>
      </c>
    </row>
    <row r="4207">
      <c r="A4207" s="6" t="inlineStr">
        <is>
          <t>FY27</t>
        </is>
      </c>
      <c r="B4207" s="6" t="inlineStr">
        <is>
          <t>Sep</t>
        </is>
      </c>
      <c r="C4207" s="6" t="inlineStr">
        <is>
          <t>TN</t>
        </is>
      </c>
      <c r="D4207" s="7" t="inlineStr">
        <is>
          <t>TN38BA6968</t>
        </is>
      </c>
      <c r="E4207" s="7" t="inlineStr">
        <is>
          <t>MARUTI SUZUKI</t>
        </is>
      </c>
      <c r="F4207" s="7" t="inlineStr">
        <is>
          <t>Alto</t>
        </is>
      </c>
      <c r="G4207" s="7" t="inlineStr">
        <is>
          <t>EXCHANGE ROTN</t>
        </is>
      </c>
      <c r="H4207" s="7" t="inlineStr">
        <is>
          <t>Captive</t>
        </is>
      </c>
      <c r="I4207" s="7" t="inlineStr">
        <is>
          <t>Sree Murugan Cars</t>
        </is>
      </c>
      <c r="J4207" s="8" t="n">
        <v>2010</v>
      </c>
      <c r="K4207" s="9" t="n">
        <v>70145</v>
      </c>
      <c r="L4207" s="10" t="n">
        <v>70000</v>
      </c>
      <c r="M4207" s="10" t="n">
        <v>4237.29</v>
      </c>
      <c r="N4207" s="11">
        <f>IF(M4207="","",ROUND(M4207*1.18,2))</f>
        <v/>
      </c>
      <c r="O4207" s="12">
        <f>IF(M4207="","",ROUND(N4207-M4207,2))</f>
        <v/>
      </c>
      <c r="P4207" s="13">
        <f>IF(AND(A4207&lt;&gt;"",B4207&lt;&gt;""), A4207&amp;" · "&amp;B4207, "")</f>
        <v/>
      </c>
    </row>
    <row r="4208">
      <c r="A4208" s="6" t="inlineStr">
        <is>
          <t>FY27</t>
        </is>
      </c>
      <c r="B4208" s="6" t="inlineStr">
        <is>
          <t>Sep</t>
        </is>
      </c>
      <c r="C4208" s="6" t="inlineStr">
        <is>
          <t>TN</t>
        </is>
      </c>
      <c r="D4208" s="7" t="inlineStr">
        <is>
          <t>TN38BM2462</t>
        </is>
      </c>
      <c r="E4208" s="7" t="inlineStr">
        <is>
          <t>MARUTI SUZUKI</t>
        </is>
      </c>
      <c r="F4208" s="7" t="inlineStr">
        <is>
          <t>Eeco</t>
        </is>
      </c>
      <c r="G4208" s="7" t="inlineStr">
        <is>
          <t>PRODUCTIVITY ELEMENTS PRIVATE LIMITED</t>
        </is>
      </c>
      <c r="H4208" s="7" t="inlineStr">
        <is>
          <t>Non-Captive</t>
        </is>
      </c>
      <c r="I4208" s="7" t="inlineStr">
        <is>
          <t>Grid 33</t>
        </is>
      </c>
      <c r="J4208" s="8" t="n">
        <v>2012</v>
      </c>
      <c r="K4208" s="9" t="n">
        <v>102152</v>
      </c>
      <c r="L4208" s="10" t="n">
        <v>93000</v>
      </c>
      <c r="M4208" s="10" t="n">
        <v>4237.29</v>
      </c>
      <c r="N4208" s="11">
        <f>IF(M4208="","",ROUND(M4208*1.18,2))</f>
        <v/>
      </c>
      <c r="O4208" s="12">
        <f>IF(M4208="","",ROUND(N4208-M4208,2))</f>
        <v/>
      </c>
      <c r="P4208" s="13">
        <f>IF(AND(A4208&lt;&gt;"",B4208&lt;&gt;""), A4208&amp;" · "&amp;B4208, "")</f>
        <v/>
      </c>
    </row>
    <row r="4209">
      <c r="A4209" s="6" t="inlineStr">
        <is>
          <t>FY27</t>
        </is>
      </c>
      <c r="B4209" s="6" t="inlineStr">
        <is>
          <t>Sep</t>
        </is>
      </c>
      <c r="C4209" s="6" t="inlineStr">
        <is>
          <t>TN</t>
        </is>
      </c>
      <c r="D4209" s="7" t="inlineStr">
        <is>
          <t>TN38BQ0402</t>
        </is>
      </c>
      <c r="E4209" s="7" t="inlineStr">
        <is>
          <t>FORD</t>
        </is>
      </c>
      <c r="F4209" s="7" t="inlineStr">
        <is>
          <t>Figo</t>
        </is>
      </c>
      <c r="G4209" s="7" t="inlineStr">
        <is>
          <t>EXCHANGE ROTN</t>
        </is>
      </c>
      <c r="H4209" s="7" t="inlineStr">
        <is>
          <t>Captive</t>
        </is>
      </c>
      <c r="I4209" s="7" t="inlineStr">
        <is>
          <t>Sr Auto Consulting</t>
        </is>
      </c>
      <c r="J4209" s="8" t="n">
        <v>2012</v>
      </c>
      <c r="K4209" s="9" t="n">
        <v>69965</v>
      </c>
      <c r="L4209" s="10" t="n">
        <v>150000</v>
      </c>
      <c r="M4209" s="10" t="n">
        <v>5932.2</v>
      </c>
      <c r="N4209" s="11">
        <f>IF(M4209="","",ROUND(M4209*1.18,2))</f>
        <v/>
      </c>
      <c r="O4209" s="12">
        <f>IF(M4209="","",ROUND(N4209-M4209,2))</f>
        <v/>
      </c>
      <c r="P4209" s="13">
        <f>IF(AND(A4209&lt;&gt;"",B4209&lt;&gt;""), A4209&amp;" · "&amp;B4209, "")</f>
        <v/>
      </c>
    </row>
    <row r="4210">
      <c r="A4210" s="6" t="inlineStr">
        <is>
          <t>FY27</t>
        </is>
      </c>
      <c r="B4210" s="6" t="inlineStr">
        <is>
          <t>Sep</t>
        </is>
      </c>
      <c r="C4210" s="6" t="inlineStr">
        <is>
          <t>TN</t>
        </is>
      </c>
      <c r="D4210" s="7" t="inlineStr">
        <is>
          <t>TN38BS0537</t>
        </is>
      </c>
      <c r="E4210" s="7" t="inlineStr">
        <is>
          <t>FORD</t>
        </is>
      </c>
      <c r="F4210" s="7" t="inlineStr">
        <is>
          <t>Figo</t>
        </is>
      </c>
      <c r="G4210" s="7" t="inlineStr">
        <is>
          <t>CRESCO CARS</t>
        </is>
      </c>
      <c r="H4210" s="7" t="inlineStr">
        <is>
          <t>Non-Captive</t>
        </is>
      </c>
      <c r="I4210" s="7" t="inlineStr">
        <is>
          <t>Srijja Travels</t>
        </is>
      </c>
      <c r="J4210" s="8" t="n">
        <v>2012</v>
      </c>
      <c r="K4210" s="9" t="n">
        <v>136352</v>
      </c>
      <c r="L4210" s="10" t="n">
        <v>97000</v>
      </c>
      <c r="M4210" s="10" t="n">
        <v>4237.29</v>
      </c>
      <c r="N4210" s="11">
        <f>IF(M4210="","",ROUND(M4210*1.18,2))</f>
        <v/>
      </c>
      <c r="O4210" s="12">
        <f>IF(M4210="","",ROUND(N4210-M4210,2))</f>
        <v/>
      </c>
      <c r="P4210" s="13">
        <f>IF(AND(A4210&lt;&gt;"",B4210&lt;&gt;""), A4210&amp;" · "&amp;B4210, "")</f>
        <v/>
      </c>
    </row>
    <row r="4211">
      <c r="A4211" s="6" t="inlineStr">
        <is>
          <t>FY27</t>
        </is>
      </c>
      <c r="B4211" s="6" t="inlineStr">
        <is>
          <t>Sep</t>
        </is>
      </c>
      <c r="C4211" s="6" t="inlineStr">
        <is>
          <t>TN</t>
        </is>
      </c>
      <c r="D4211" s="7" t="inlineStr">
        <is>
          <t>TN38BT9810</t>
        </is>
      </c>
      <c r="E4211" s="7" t="inlineStr">
        <is>
          <t>TOYOTA</t>
        </is>
      </c>
      <c r="F4211" s="7" t="inlineStr">
        <is>
          <t>Etios</t>
        </is>
      </c>
      <c r="G4211" s="7" t="inlineStr">
        <is>
          <t>EXCHANGE ROTN</t>
        </is>
      </c>
      <c r="H4211" s="7" t="inlineStr">
        <is>
          <t>Captive</t>
        </is>
      </c>
      <c r="I4211" s="7" t="inlineStr">
        <is>
          <t>Sr Auto Consulting</t>
        </is>
      </c>
      <c r="J4211" s="8" t="n">
        <v>2013</v>
      </c>
      <c r="K4211" s="9" t="n">
        <v>188994</v>
      </c>
      <c r="L4211" s="10" t="n">
        <v>375000</v>
      </c>
      <c r="M4211" s="10" t="n">
        <v>8474.58</v>
      </c>
      <c r="N4211" s="11">
        <f>IF(M4211="","",ROUND(M4211*1.18,2))</f>
        <v/>
      </c>
      <c r="O4211" s="12">
        <f>IF(M4211="","",ROUND(N4211-M4211,2))</f>
        <v/>
      </c>
      <c r="P4211" s="13">
        <f>IF(AND(A4211&lt;&gt;"",B4211&lt;&gt;""), A4211&amp;" · "&amp;B4211, "")</f>
        <v/>
      </c>
    </row>
    <row r="4212">
      <c r="A4212" s="6" t="inlineStr">
        <is>
          <t>FY27</t>
        </is>
      </c>
      <c r="B4212" s="6" t="inlineStr">
        <is>
          <t>Sep</t>
        </is>
      </c>
      <c r="C4212" s="6" t="inlineStr">
        <is>
          <t>TN</t>
        </is>
      </c>
      <c r="D4212" s="7" t="inlineStr">
        <is>
          <t>TN38BU7851</t>
        </is>
      </c>
      <c r="E4212" s="7" t="inlineStr">
        <is>
          <t>MARUTI SUZUKI</t>
        </is>
      </c>
      <c r="F4212" s="7" t="inlineStr">
        <is>
          <t>Alto 800</t>
        </is>
      </c>
      <c r="G4212" s="7" t="inlineStr">
        <is>
          <t>V.S.T. MOTORS PRIVATE LIMITED</t>
        </is>
      </c>
      <c r="H4212" s="7" t="inlineStr">
        <is>
          <t>Non-Captive</t>
        </is>
      </c>
      <c r="I4212" s="7" t="inlineStr">
        <is>
          <t>Santhosh Cars</t>
        </is>
      </c>
      <c r="J4212" s="8" t="n">
        <v>2013</v>
      </c>
      <c r="K4212" s="9" t="n">
        <v>103804</v>
      </c>
      <c r="L4212" s="10" t="n">
        <v>206000</v>
      </c>
      <c r="M4212" s="10" t="n">
        <v>4237.29</v>
      </c>
      <c r="N4212" s="11">
        <f>IF(M4212="","",ROUND(M4212*1.18,2))</f>
        <v/>
      </c>
      <c r="O4212" s="12">
        <f>IF(M4212="","",ROUND(N4212-M4212,2))</f>
        <v/>
      </c>
      <c r="P4212" s="13">
        <f>IF(AND(A4212&lt;&gt;"",B4212&lt;&gt;""), A4212&amp;" · "&amp;B4212, "")</f>
        <v/>
      </c>
    </row>
    <row r="4213">
      <c r="A4213" s="6" t="inlineStr">
        <is>
          <t>FY27</t>
        </is>
      </c>
      <c r="B4213" s="6" t="inlineStr">
        <is>
          <t>Sep</t>
        </is>
      </c>
      <c r="C4213" s="6" t="inlineStr">
        <is>
          <t>TN</t>
        </is>
      </c>
      <c r="D4213" s="7" t="inlineStr">
        <is>
          <t>TN38BU9264</t>
        </is>
      </c>
      <c r="E4213" s="7" t="inlineStr">
        <is>
          <t>MARUTI SUZUKI</t>
        </is>
      </c>
      <c r="F4213" s="7" t="inlineStr">
        <is>
          <t>Dzire</t>
        </is>
      </c>
      <c r="G4213" s="7" t="inlineStr">
        <is>
          <t>EXCHANGE ROTN</t>
        </is>
      </c>
      <c r="H4213" s="7" t="inlineStr">
        <is>
          <t>Captive</t>
        </is>
      </c>
      <c r="I4213" s="7" t="inlineStr">
        <is>
          <t>Senthur Finance</t>
        </is>
      </c>
      <c r="J4213" s="8" t="n">
        <v>2013</v>
      </c>
      <c r="K4213" s="9" t="n">
        <v>34283</v>
      </c>
      <c r="L4213" s="10" t="n">
        <v>370000</v>
      </c>
      <c r="M4213" s="10" t="n">
        <v>12711.86</v>
      </c>
      <c r="N4213" s="11">
        <f>IF(M4213="","",ROUND(M4213*1.18,2))</f>
        <v/>
      </c>
      <c r="O4213" s="12">
        <f>IF(M4213="","",ROUND(N4213-M4213,2))</f>
        <v/>
      </c>
      <c r="P4213" s="13">
        <f>IF(AND(A4213&lt;&gt;"",B4213&lt;&gt;""), A4213&amp;" · "&amp;B4213, "")</f>
        <v/>
      </c>
    </row>
    <row r="4214">
      <c r="A4214" s="6" t="inlineStr">
        <is>
          <t>FY27</t>
        </is>
      </c>
      <c r="B4214" s="6" t="inlineStr">
        <is>
          <t>Sep</t>
        </is>
      </c>
      <c r="C4214" s="6" t="inlineStr">
        <is>
          <t>TN</t>
        </is>
      </c>
      <c r="D4214" s="7" t="inlineStr">
        <is>
          <t>TN38BW9837</t>
        </is>
      </c>
      <c r="E4214" s="7" t="inlineStr">
        <is>
          <t>HONDA</t>
        </is>
      </c>
      <c r="F4214" s="7" t="inlineStr">
        <is>
          <t>City</t>
        </is>
      </c>
      <c r="G4214" s="7" t="inlineStr">
        <is>
          <t>EXCHANGE ROTN</t>
        </is>
      </c>
      <c r="H4214" s="7" t="inlineStr">
        <is>
          <t>Captive</t>
        </is>
      </c>
      <c r="I4214" s="7" t="inlineStr">
        <is>
          <t>Gugha Cars</t>
        </is>
      </c>
      <c r="J4214" s="8" t="n">
        <v>2014</v>
      </c>
      <c r="K4214" s="9" t="n">
        <v>135901</v>
      </c>
      <c r="L4214" s="10" t="n">
        <v>320000</v>
      </c>
      <c r="M4214" s="10" t="n">
        <v>12711.86</v>
      </c>
      <c r="N4214" s="11">
        <f>IF(M4214="","",ROUND(M4214*1.18,2))</f>
        <v/>
      </c>
      <c r="O4214" s="12">
        <f>IF(M4214="","",ROUND(N4214-M4214,2))</f>
        <v/>
      </c>
      <c r="P4214" s="13">
        <f>IF(AND(A4214&lt;&gt;"",B4214&lt;&gt;""), A4214&amp;" · "&amp;B4214, "")</f>
        <v/>
      </c>
    </row>
    <row r="4215">
      <c r="A4215" s="6" t="inlineStr">
        <is>
          <t>FY27</t>
        </is>
      </c>
      <c r="B4215" s="6" t="inlineStr">
        <is>
          <t>Sep</t>
        </is>
      </c>
      <c r="C4215" s="6" t="inlineStr">
        <is>
          <t>TN</t>
        </is>
      </c>
      <c r="D4215" s="7" t="inlineStr">
        <is>
          <t>TN38CD0025</t>
        </is>
      </c>
      <c r="E4215" s="7" t="inlineStr">
        <is>
          <t>RENAULT</t>
        </is>
      </c>
      <c r="F4215" s="7" t="inlineStr">
        <is>
          <t>Kwid</t>
        </is>
      </c>
      <c r="G4215" s="7" t="inlineStr">
        <is>
          <t>CRESCO CARS</t>
        </is>
      </c>
      <c r="H4215" s="7" t="inlineStr">
        <is>
          <t>Non-Captive</t>
        </is>
      </c>
      <c r="I4215" s="7" t="inlineStr">
        <is>
          <t>Cars24</t>
        </is>
      </c>
      <c r="J4215" s="8" t="n">
        <v>2016</v>
      </c>
      <c r="K4215" s="9" t="n">
        <v>37401</v>
      </c>
      <c r="L4215" s="10" t="n">
        <v>99000</v>
      </c>
      <c r="M4215" s="10" t="n">
        <v>4237.29</v>
      </c>
      <c r="N4215" s="11">
        <f>IF(M4215="","",ROUND(M4215*1.18,2))</f>
        <v/>
      </c>
      <c r="O4215" s="12">
        <f>IF(M4215="","",ROUND(N4215-M4215,2))</f>
        <v/>
      </c>
      <c r="P4215" s="13">
        <f>IF(AND(A4215&lt;&gt;"",B4215&lt;&gt;""), A4215&amp;" · "&amp;B4215, "")</f>
        <v/>
      </c>
    </row>
    <row r="4216">
      <c r="A4216" s="6" t="inlineStr">
        <is>
          <t>FY27</t>
        </is>
      </c>
      <c r="B4216" s="6" t="inlineStr">
        <is>
          <t>Sep</t>
        </is>
      </c>
      <c r="C4216" s="6" t="inlineStr">
        <is>
          <t>TN</t>
        </is>
      </c>
      <c r="D4216" s="7" t="inlineStr">
        <is>
          <t>TN38CD4243</t>
        </is>
      </c>
      <c r="E4216" s="7" t="inlineStr">
        <is>
          <t>HONDA</t>
        </is>
      </c>
      <c r="F4216" s="7" t="inlineStr">
        <is>
          <t>Jazz</t>
        </is>
      </c>
      <c r="G4216" s="7" t="inlineStr">
        <is>
          <t>EXCHANGE ROTN</t>
        </is>
      </c>
      <c r="H4216" s="7" t="inlineStr">
        <is>
          <t>Captive</t>
        </is>
      </c>
      <c r="I4216" s="7" t="inlineStr">
        <is>
          <t>Auto Solution</t>
        </is>
      </c>
      <c r="J4216" s="8" t="n">
        <v>2016</v>
      </c>
      <c r="K4216" s="9" t="n">
        <v>77276</v>
      </c>
      <c r="L4216" s="10" t="n">
        <v>400000</v>
      </c>
      <c r="M4216" s="10" t="n">
        <v>12711.86</v>
      </c>
      <c r="N4216" s="11">
        <f>IF(M4216="","",ROUND(M4216*1.18,2))</f>
        <v/>
      </c>
      <c r="O4216" s="12">
        <f>IF(M4216="","",ROUND(N4216-M4216,2))</f>
        <v/>
      </c>
      <c r="P4216" s="13">
        <f>IF(AND(A4216&lt;&gt;"",B4216&lt;&gt;""), A4216&amp;" · "&amp;B4216, "")</f>
        <v/>
      </c>
    </row>
    <row r="4217">
      <c r="A4217" s="6" t="inlineStr">
        <is>
          <t>FY27</t>
        </is>
      </c>
      <c r="B4217" s="6" t="inlineStr">
        <is>
          <t>Sep</t>
        </is>
      </c>
      <c r="C4217" s="6" t="inlineStr">
        <is>
          <t>TN</t>
        </is>
      </c>
      <c r="D4217" s="7" t="inlineStr">
        <is>
          <t>TN38CH1105</t>
        </is>
      </c>
      <c r="E4217" s="7" t="inlineStr">
        <is>
          <t>MARUTI SUZUKI</t>
        </is>
      </c>
      <c r="F4217" s="7" t="inlineStr">
        <is>
          <t>Ciaz</t>
        </is>
      </c>
      <c r="G4217" s="7" t="inlineStr">
        <is>
          <t>EXCHANGE ROTN</t>
        </is>
      </c>
      <c r="H4217" s="7" t="inlineStr">
        <is>
          <t>Captive</t>
        </is>
      </c>
      <c r="I4217" s="7" t="inlineStr">
        <is>
          <t>Auto Solution</t>
        </is>
      </c>
      <c r="J4217" s="8" t="n">
        <v>2016</v>
      </c>
      <c r="K4217" s="9" t="n">
        <v>46132</v>
      </c>
      <c r="L4217" s="10" t="n">
        <v>510000</v>
      </c>
      <c r="M4217" s="10" t="n">
        <v>12711.86</v>
      </c>
      <c r="N4217" s="11">
        <f>IF(M4217="","",ROUND(M4217*1.18,2))</f>
        <v/>
      </c>
      <c r="O4217" s="12">
        <f>IF(M4217="","",ROUND(N4217-M4217,2))</f>
        <v/>
      </c>
      <c r="P4217" s="13">
        <f>IF(AND(A4217&lt;&gt;"",B4217&lt;&gt;""), A4217&amp;" · "&amp;B4217, "")</f>
        <v/>
      </c>
    </row>
    <row r="4218">
      <c r="A4218" s="6" t="inlineStr">
        <is>
          <t>FY27</t>
        </is>
      </c>
      <c r="B4218" s="6" t="inlineStr">
        <is>
          <t>Sep</t>
        </is>
      </c>
      <c r="C4218" s="6" t="inlineStr">
        <is>
          <t>TN</t>
        </is>
      </c>
      <c r="D4218" s="7" t="inlineStr">
        <is>
          <t>TN38CJ2709</t>
        </is>
      </c>
      <c r="E4218" s="7" t="inlineStr">
        <is>
          <t>VOLKSWAGEN</t>
        </is>
      </c>
      <c r="F4218" s="7" t="inlineStr">
        <is>
          <t>Ameo</t>
        </is>
      </c>
      <c r="G4218" s="7" t="inlineStr">
        <is>
          <t>PRODUCTIVITY ELEMENTS PRIVATE LIMITED</t>
        </is>
      </c>
      <c r="H4218" s="7" t="inlineStr">
        <is>
          <t>Non-Captive</t>
        </is>
      </c>
      <c r="I4218" s="7" t="inlineStr">
        <is>
          <t>Cars24</t>
        </is>
      </c>
      <c r="J4218" s="8" t="n">
        <v>2016</v>
      </c>
      <c r="K4218" s="9" t="n">
        <v>260320</v>
      </c>
      <c r="L4218" s="10" t="n">
        <v>97000</v>
      </c>
      <c r="M4218" s="10" t="n">
        <v>4237.29</v>
      </c>
      <c r="N4218" s="11">
        <f>IF(M4218="","",ROUND(M4218*1.18,2))</f>
        <v/>
      </c>
      <c r="O4218" s="12">
        <f>IF(M4218="","",ROUND(N4218-M4218,2))</f>
        <v/>
      </c>
      <c r="P4218" s="13">
        <f>IF(AND(A4218&lt;&gt;"",B4218&lt;&gt;""), A4218&amp;" · "&amp;B4218, "")</f>
        <v/>
      </c>
    </row>
    <row r="4219">
      <c r="A4219" s="6" t="inlineStr">
        <is>
          <t>FY27</t>
        </is>
      </c>
      <c r="B4219" s="6" t="inlineStr">
        <is>
          <t>Sep</t>
        </is>
      </c>
      <c r="C4219" s="6" t="inlineStr">
        <is>
          <t>TN</t>
        </is>
      </c>
      <c r="D4219" s="7" t="inlineStr">
        <is>
          <t>TN38CJ5580</t>
        </is>
      </c>
      <c r="E4219" s="7" t="inlineStr">
        <is>
          <t>MARUTI SUZUKI</t>
        </is>
      </c>
      <c r="F4219" s="7" t="inlineStr">
        <is>
          <t>Baleno</t>
        </is>
      </c>
      <c r="G4219" s="7" t="inlineStr">
        <is>
          <t>PRODUCTIVITY ELEMENTS PRIVATE LIMITED</t>
        </is>
      </c>
      <c r="H4219" s="7" t="inlineStr">
        <is>
          <t>Non-Captive</t>
        </is>
      </c>
      <c r="I4219" s="7" t="inlineStr">
        <is>
          <t>Cars24</t>
        </is>
      </c>
      <c r="J4219" s="8" t="n">
        <v>2017</v>
      </c>
      <c r="K4219" s="9" t="n">
        <v>82248</v>
      </c>
      <c r="L4219" s="10" t="n">
        <v>94000</v>
      </c>
      <c r="M4219" s="10" t="n">
        <v>4237.29</v>
      </c>
      <c r="N4219" s="11">
        <f>IF(M4219="","",ROUND(M4219*1.18,2))</f>
        <v/>
      </c>
      <c r="O4219" s="12">
        <f>IF(M4219="","",ROUND(N4219-M4219,2))</f>
        <v/>
      </c>
      <c r="P4219" s="13">
        <f>IF(AND(A4219&lt;&gt;"",B4219&lt;&gt;""), A4219&amp;" · "&amp;B4219, "")</f>
        <v/>
      </c>
    </row>
    <row r="4220">
      <c r="A4220" s="6" t="inlineStr">
        <is>
          <t>FY27</t>
        </is>
      </c>
      <c r="B4220" s="6" t="inlineStr">
        <is>
          <t>Sep</t>
        </is>
      </c>
      <c r="C4220" s="6" t="inlineStr">
        <is>
          <t>TN</t>
        </is>
      </c>
      <c r="D4220" s="7" t="inlineStr">
        <is>
          <t>TN38CK9722</t>
        </is>
      </c>
      <c r="E4220" s="7" t="inlineStr">
        <is>
          <t>HYUNDAI</t>
        </is>
      </c>
      <c r="F4220" s="7" t="inlineStr">
        <is>
          <t>Grand i10</t>
        </is>
      </c>
      <c r="G4220" s="7" t="inlineStr">
        <is>
          <t>EXCHANGE ROTN</t>
        </is>
      </c>
      <c r="H4220" s="7" t="inlineStr">
        <is>
          <t>Captive</t>
        </is>
      </c>
      <c r="I4220" s="7" t="inlineStr">
        <is>
          <t>Sai Cars</t>
        </is>
      </c>
      <c r="J4220" s="8" t="n">
        <v>2017</v>
      </c>
      <c r="K4220" s="9" t="n">
        <v>80928</v>
      </c>
      <c r="L4220" s="10" t="n">
        <v>96000</v>
      </c>
      <c r="M4220" s="10" t="n">
        <v>4237.29</v>
      </c>
      <c r="N4220" s="11">
        <f>IF(M4220="","",ROUND(M4220*1.18,2))</f>
        <v/>
      </c>
      <c r="O4220" s="12">
        <f>IF(M4220="","",ROUND(N4220-M4220,2))</f>
        <v/>
      </c>
      <c r="P4220" s="13">
        <f>IF(AND(A4220&lt;&gt;"",B4220&lt;&gt;""), A4220&amp;" · "&amp;B4220, "")</f>
        <v/>
      </c>
    </row>
    <row r="4221">
      <c r="A4221" s="6" t="inlineStr">
        <is>
          <t>FY27</t>
        </is>
      </c>
      <c r="B4221" s="6" t="inlineStr">
        <is>
          <t>Sep</t>
        </is>
      </c>
      <c r="C4221" s="6" t="inlineStr">
        <is>
          <t>TN</t>
        </is>
      </c>
      <c r="D4221" s="7" t="inlineStr">
        <is>
          <t>TN38CT1750</t>
        </is>
      </c>
      <c r="E4221" s="7" t="inlineStr">
        <is>
          <t>TATA</t>
        </is>
      </c>
      <c r="F4221" s="7" t="inlineStr">
        <is>
          <t>Bolt</t>
        </is>
      </c>
      <c r="G4221" s="7" t="inlineStr">
        <is>
          <t>PRODUCTIVITY ELEMENTS PRIVATE LIMITED</t>
        </is>
      </c>
      <c r="H4221" s="7" t="inlineStr">
        <is>
          <t>Non-Captive</t>
        </is>
      </c>
      <c r="I4221" s="7" t="inlineStr">
        <is>
          <t>Emarald Cars</t>
        </is>
      </c>
      <c r="J4221" s="8" t="n">
        <v>2018</v>
      </c>
      <c r="K4221" s="9" t="n">
        <v>76004</v>
      </c>
      <c r="L4221" s="10" t="n">
        <v>98000</v>
      </c>
      <c r="M4221" s="10" t="n">
        <v>4237.29</v>
      </c>
      <c r="N4221" s="11">
        <f>IF(M4221="","",ROUND(M4221*1.18,2))</f>
        <v/>
      </c>
      <c r="O4221" s="12">
        <f>IF(M4221="","",ROUND(N4221-M4221,2))</f>
        <v/>
      </c>
      <c r="P4221" s="13">
        <f>IF(AND(A4221&lt;&gt;"",B4221&lt;&gt;""), A4221&amp;" · "&amp;B4221, "")</f>
        <v/>
      </c>
    </row>
    <row r="4222">
      <c r="A4222" s="6" t="inlineStr">
        <is>
          <t>FY27</t>
        </is>
      </c>
      <c r="B4222" s="6" t="inlineStr">
        <is>
          <t>Sep</t>
        </is>
      </c>
      <c r="C4222" s="6" t="inlineStr">
        <is>
          <t>TN</t>
        </is>
      </c>
      <c r="D4222" s="7" t="inlineStr">
        <is>
          <t>TN38CW3996</t>
        </is>
      </c>
      <c r="E4222" s="7" t="inlineStr">
        <is>
          <t>HONDA</t>
        </is>
      </c>
      <c r="F4222" s="7" t="inlineStr">
        <is>
          <t>Amaze</t>
        </is>
      </c>
      <c r="G4222" s="7" t="inlineStr">
        <is>
          <t>EXCHANGE ROTN</t>
        </is>
      </c>
      <c r="H4222" s="7" t="inlineStr">
        <is>
          <t>Captive</t>
        </is>
      </c>
      <c r="I4222" s="7" t="inlineStr">
        <is>
          <t>Sai Cars</t>
        </is>
      </c>
      <c r="J4222" s="8" t="n">
        <v>2020</v>
      </c>
      <c r="K4222" s="9" t="n">
        <v>87838</v>
      </c>
      <c r="L4222" s="10" t="n">
        <v>480000</v>
      </c>
      <c r="M4222" s="10" t="n">
        <v>8474.58</v>
      </c>
      <c r="N4222" s="11">
        <f>IF(M4222="","",ROUND(M4222*1.18,2))</f>
        <v/>
      </c>
      <c r="O4222" s="12">
        <f>IF(M4222="","",ROUND(N4222-M4222,2))</f>
        <v/>
      </c>
      <c r="P4222" s="13">
        <f>IF(AND(A4222&lt;&gt;"",B4222&lt;&gt;""), A4222&amp;" · "&amp;B4222, "")</f>
        <v/>
      </c>
    </row>
    <row r="4223">
      <c r="A4223" s="6" t="inlineStr">
        <is>
          <t>FY27</t>
        </is>
      </c>
      <c r="B4223" s="6" t="inlineStr">
        <is>
          <t>Sep</t>
        </is>
      </c>
      <c r="C4223" s="6" t="inlineStr">
        <is>
          <t>TN</t>
        </is>
      </c>
      <c r="D4223" s="7" t="inlineStr">
        <is>
          <t>TN38CW5658</t>
        </is>
      </c>
      <c r="E4223" s="7" t="inlineStr">
        <is>
          <t>MARUTI SUZUKI</t>
        </is>
      </c>
      <c r="F4223" s="7" t="inlineStr">
        <is>
          <t>Dzire</t>
        </is>
      </c>
      <c r="G4223" s="7" t="inlineStr">
        <is>
          <t>EXCHANGE ROTN</t>
        </is>
      </c>
      <c r="H4223" s="7" t="inlineStr">
        <is>
          <t>Captive</t>
        </is>
      </c>
      <c r="I4223" s="7" t="inlineStr">
        <is>
          <t>YUGA DHEERAN CARS</t>
        </is>
      </c>
      <c r="J4223" s="8" t="n">
        <v>2020</v>
      </c>
      <c r="K4223" s="9" t="n">
        <v>82550</v>
      </c>
      <c r="L4223" s="10" t="n">
        <v>510000</v>
      </c>
      <c r="M4223" s="10" t="n">
        <v>12711.86</v>
      </c>
      <c r="N4223" s="11">
        <f>IF(M4223="","",ROUND(M4223*1.18,2))</f>
        <v/>
      </c>
      <c r="O4223" s="12">
        <f>IF(M4223="","",ROUND(N4223-M4223,2))</f>
        <v/>
      </c>
      <c r="P4223" s="13">
        <f>IF(AND(A4223&lt;&gt;"",B4223&lt;&gt;""), A4223&amp;" · "&amp;B4223, "")</f>
        <v/>
      </c>
    </row>
    <row r="4224">
      <c r="A4224" s="6" t="inlineStr">
        <is>
          <t>FY27</t>
        </is>
      </c>
      <c r="B4224" s="6" t="inlineStr">
        <is>
          <t>Sep</t>
        </is>
      </c>
      <c r="C4224" s="6" t="inlineStr">
        <is>
          <t>TN</t>
        </is>
      </c>
      <c r="D4224" s="7" t="inlineStr">
        <is>
          <t>TN38F7416</t>
        </is>
      </c>
      <c r="E4224" s="7" t="inlineStr">
        <is>
          <t>MARUTI SUZUKI</t>
        </is>
      </c>
      <c r="F4224" s="7" t="inlineStr">
        <is>
          <t>Esteem</t>
        </is>
      </c>
      <c r="G4224" s="7" t="inlineStr">
        <is>
          <t>EXCHANGE ROTN</t>
        </is>
      </c>
      <c r="H4224" s="7" t="inlineStr">
        <is>
          <t>Captive</t>
        </is>
      </c>
      <c r="I4224" s="7" t="inlineStr">
        <is>
          <t>Sivashankar Cars</t>
        </is>
      </c>
      <c r="J4224" s="8" t="n">
        <v>2003</v>
      </c>
      <c r="K4224" s="9" t="n">
        <v>29310</v>
      </c>
      <c r="L4224" s="10" t="n">
        <v>30000</v>
      </c>
      <c r="M4224" s="10" t="n">
        <v>4237.29</v>
      </c>
      <c r="N4224" s="11">
        <f>IF(M4224="","",ROUND(M4224*1.18,2))</f>
        <v/>
      </c>
      <c r="O4224" s="12">
        <f>IF(M4224="","",ROUND(N4224-M4224,2))</f>
        <v/>
      </c>
      <c r="P4224" s="13">
        <f>IF(AND(A4224&lt;&gt;"",B4224&lt;&gt;""), A4224&amp;" · "&amp;B4224, "")</f>
        <v/>
      </c>
    </row>
    <row r="4225">
      <c r="A4225" s="6" t="inlineStr">
        <is>
          <t>FY27</t>
        </is>
      </c>
      <c r="B4225" s="6" t="inlineStr">
        <is>
          <t>Sep</t>
        </is>
      </c>
      <c r="C4225" s="6" t="inlineStr">
        <is>
          <t>TN</t>
        </is>
      </c>
      <c r="D4225" s="7" t="inlineStr">
        <is>
          <t>TN38Y5290</t>
        </is>
      </c>
      <c r="E4225" s="7" t="inlineStr">
        <is>
          <t>MARUTI SUZUKI</t>
        </is>
      </c>
      <c r="F4225" s="7" t="inlineStr">
        <is>
          <t>Alto</t>
        </is>
      </c>
      <c r="G4225" s="7" t="inlineStr">
        <is>
          <t>EXCHANGE ROTN</t>
        </is>
      </c>
      <c r="H4225" s="7" t="inlineStr">
        <is>
          <t>Captive</t>
        </is>
      </c>
      <c r="I4225" s="7" t="inlineStr">
        <is>
          <t>READY TO RIDE CARS</t>
        </is>
      </c>
      <c r="J4225" s="8" t="n">
        <v>2004</v>
      </c>
      <c r="K4225" s="9" t="n">
        <v>154487</v>
      </c>
      <c r="L4225" s="10" t="n">
        <v>60000</v>
      </c>
      <c r="M4225" s="10" t="n">
        <v>4237.29</v>
      </c>
      <c r="N4225" s="11">
        <f>IF(M4225="","",ROUND(M4225*1.18,2))</f>
        <v/>
      </c>
      <c r="O4225" s="12">
        <f>IF(M4225="","",ROUND(N4225-M4225,2))</f>
        <v/>
      </c>
      <c r="P4225" s="13">
        <f>IF(AND(A4225&lt;&gt;"",B4225&lt;&gt;""), A4225&amp;" · "&amp;B4225, "")</f>
        <v/>
      </c>
    </row>
    <row r="4226">
      <c r="A4226" s="6" t="inlineStr">
        <is>
          <t>FY27</t>
        </is>
      </c>
      <c r="B4226" s="6" t="inlineStr">
        <is>
          <t>Sep</t>
        </is>
      </c>
      <c r="C4226" s="6" t="inlineStr">
        <is>
          <t>TN</t>
        </is>
      </c>
      <c r="D4226" s="7" t="inlineStr">
        <is>
          <t>TN39AM4664</t>
        </is>
      </c>
      <c r="E4226" s="7" t="inlineStr">
        <is>
          <t>HONDA</t>
        </is>
      </c>
      <c r="F4226" s="7" t="inlineStr">
        <is>
          <t>City</t>
        </is>
      </c>
      <c r="G4226" s="7" t="inlineStr">
        <is>
          <t>EXCHANGE ROTN</t>
        </is>
      </c>
      <c r="H4226" s="7" t="inlineStr">
        <is>
          <t>Captive</t>
        </is>
      </c>
      <c r="I4226" s="7" t="inlineStr">
        <is>
          <t>Ulavan Cars (Pollachi</t>
        </is>
      </c>
      <c r="J4226" s="8" t="n">
        <v>2007</v>
      </c>
      <c r="K4226" s="9" t="n">
        <v>127173</v>
      </c>
      <c r="L4226" s="10" t="n">
        <v>140000</v>
      </c>
      <c r="M4226" s="10" t="n">
        <v>8474.58</v>
      </c>
      <c r="N4226" s="11">
        <f>IF(M4226="","",ROUND(M4226*1.18,2))</f>
        <v/>
      </c>
      <c r="O4226" s="12">
        <f>IF(M4226="","",ROUND(N4226-M4226,2))</f>
        <v/>
      </c>
      <c r="P4226" s="13">
        <f>IF(AND(A4226&lt;&gt;"",B4226&lt;&gt;""), A4226&amp;" · "&amp;B4226, "")</f>
        <v/>
      </c>
    </row>
    <row r="4227">
      <c r="A4227" s="6" t="inlineStr">
        <is>
          <t>FY27</t>
        </is>
      </c>
      <c r="B4227" s="6" t="inlineStr">
        <is>
          <t>Sep</t>
        </is>
      </c>
      <c r="C4227" s="6" t="inlineStr">
        <is>
          <t>TN</t>
        </is>
      </c>
      <c r="D4227" s="7" t="inlineStr">
        <is>
          <t>TN39AR3739</t>
        </is>
      </c>
      <c r="E4227" s="7" t="inlineStr">
        <is>
          <t>SKODA</t>
        </is>
      </c>
      <c r="F4227" s="7" t="inlineStr">
        <is>
          <t>Laura</t>
        </is>
      </c>
      <c r="G4227" s="7" t="inlineStr">
        <is>
          <t>EXCHANGE ROTN</t>
        </is>
      </c>
      <c r="H4227" s="7" t="inlineStr">
        <is>
          <t>Captive</t>
        </is>
      </c>
      <c r="I4227" s="7" t="inlineStr">
        <is>
          <t>Ulavan Cars (Pollachi</t>
        </is>
      </c>
      <c r="J4227" s="8" t="n">
        <v>2008</v>
      </c>
      <c r="K4227" s="9" t="n">
        <v>88879</v>
      </c>
      <c r="L4227" s="10" t="n">
        <v>70000</v>
      </c>
      <c r="M4227" s="10" t="n">
        <v>4237.29</v>
      </c>
      <c r="N4227" s="11">
        <f>IF(M4227="","",ROUND(M4227*1.18,2))</f>
        <v/>
      </c>
      <c r="O4227" s="12">
        <f>IF(M4227="","",ROUND(N4227-M4227,2))</f>
        <v/>
      </c>
      <c r="P4227" s="13">
        <f>IF(AND(A4227&lt;&gt;"",B4227&lt;&gt;""), A4227&amp;" · "&amp;B4227, "")</f>
        <v/>
      </c>
    </row>
    <row r="4228">
      <c r="A4228" s="6" t="inlineStr">
        <is>
          <t>FY27</t>
        </is>
      </c>
      <c r="B4228" s="6" t="inlineStr">
        <is>
          <t>Sep</t>
        </is>
      </c>
      <c r="C4228" s="6" t="inlineStr">
        <is>
          <t>TN</t>
        </is>
      </c>
      <c r="D4228" s="7" t="inlineStr">
        <is>
          <t>TN41AK6657</t>
        </is>
      </c>
      <c r="E4228" s="7" t="inlineStr">
        <is>
          <t>MARUTI SUZUKI</t>
        </is>
      </c>
      <c r="F4228" s="7" t="inlineStr">
        <is>
          <t>Alto K10</t>
        </is>
      </c>
      <c r="G4228" s="7" t="inlineStr">
        <is>
          <t>EXCHANGE ROTN</t>
        </is>
      </c>
      <c r="H4228" s="7" t="inlineStr">
        <is>
          <t>Captive</t>
        </is>
      </c>
      <c r="I4228" s="7" t="inlineStr">
        <is>
          <t>Sai Cars</t>
        </is>
      </c>
      <c r="J4228" s="8" t="n">
        <v>2014</v>
      </c>
      <c r="K4228" s="9" t="n">
        <v>128945</v>
      </c>
      <c r="L4228" s="10" t="n">
        <v>93000</v>
      </c>
      <c r="M4228" s="10" t="n">
        <v>4237.29</v>
      </c>
      <c r="N4228" s="11">
        <f>IF(M4228="","",ROUND(M4228*1.18,2))</f>
        <v/>
      </c>
      <c r="O4228" s="12">
        <f>IF(M4228="","",ROUND(N4228-M4228,2))</f>
        <v/>
      </c>
      <c r="P4228" s="13">
        <f>IF(AND(A4228&lt;&gt;"",B4228&lt;&gt;""), A4228&amp;" · "&amp;B4228, "")</f>
        <v/>
      </c>
    </row>
    <row r="4229">
      <c r="A4229" s="6" t="inlineStr">
        <is>
          <t>FY27</t>
        </is>
      </c>
      <c r="B4229" s="6" t="inlineStr">
        <is>
          <t>Sep</t>
        </is>
      </c>
      <c r="C4229" s="6" t="inlineStr">
        <is>
          <t>TN</t>
        </is>
      </c>
      <c r="D4229" s="7" t="inlineStr">
        <is>
          <t>TN42AA7329</t>
        </is>
      </c>
      <c r="E4229" s="7" t="inlineStr">
        <is>
          <t>RENAULT</t>
        </is>
      </c>
      <c r="F4229" s="7" t="inlineStr">
        <is>
          <t>Kwid</t>
        </is>
      </c>
      <c r="G4229" s="7" t="inlineStr">
        <is>
          <t>EXCHANGE ROTN</t>
        </is>
      </c>
      <c r="H4229" s="7" t="inlineStr">
        <is>
          <t>Captive</t>
        </is>
      </c>
      <c r="I4229" s="7" t="inlineStr">
        <is>
          <t>Sivashankar Cars</t>
        </is>
      </c>
      <c r="J4229" s="8" t="n">
        <v>2018</v>
      </c>
      <c r="K4229" s="9" t="n">
        <v>85644</v>
      </c>
      <c r="L4229" s="10" t="n">
        <v>98000</v>
      </c>
      <c r="M4229" s="10" t="n">
        <v>4237.29</v>
      </c>
      <c r="N4229" s="11">
        <f>IF(M4229="","",ROUND(M4229*1.18,2))</f>
        <v/>
      </c>
      <c r="O4229" s="12">
        <f>IF(M4229="","",ROUND(N4229-M4229,2))</f>
        <v/>
      </c>
      <c r="P4229" s="13">
        <f>IF(AND(A4229&lt;&gt;"",B4229&lt;&gt;""), A4229&amp;" · "&amp;B4229, "")</f>
        <v/>
      </c>
    </row>
    <row r="4230">
      <c r="A4230" s="6" t="inlineStr">
        <is>
          <t>FY27</t>
        </is>
      </c>
      <c r="B4230" s="6" t="inlineStr">
        <is>
          <t>Sep</t>
        </is>
      </c>
      <c r="C4230" s="6" t="inlineStr">
        <is>
          <t>TN</t>
        </is>
      </c>
      <c r="D4230" s="7" t="inlineStr">
        <is>
          <t>TN42M7715</t>
        </is>
      </c>
      <c r="E4230" s="7" t="inlineStr">
        <is>
          <t>DATSUN</t>
        </is>
      </c>
      <c r="F4230" s="7" t="inlineStr">
        <is>
          <t>Go</t>
        </is>
      </c>
      <c r="G4230" s="7" t="inlineStr">
        <is>
          <t>NIRMAL CARS</t>
        </is>
      </c>
      <c r="H4230" s="7" t="inlineStr">
        <is>
          <t>Non-Captive</t>
        </is>
      </c>
      <c r="I4230" s="7" t="inlineStr">
        <is>
          <t>Value Drive Tech</t>
        </is>
      </c>
      <c r="J4230" s="8" t="n">
        <v>2015</v>
      </c>
      <c r="K4230" s="9" t="n">
        <v>35679</v>
      </c>
      <c r="L4230" s="10" t="n">
        <v>86000</v>
      </c>
      <c r="M4230" s="10" t="n">
        <v>4237.29</v>
      </c>
      <c r="N4230" s="11">
        <f>IF(M4230="","",ROUND(M4230*1.18,2))</f>
        <v/>
      </c>
      <c r="O4230" s="12">
        <f>IF(M4230="","",ROUND(N4230-M4230,2))</f>
        <v/>
      </c>
      <c r="P4230" s="13">
        <f>IF(AND(A4230&lt;&gt;"",B4230&lt;&gt;""), A4230&amp;" · "&amp;B4230, "")</f>
        <v/>
      </c>
    </row>
    <row r="4231">
      <c r="A4231" s="6" t="inlineStr">
        <is>
          <t>FY27</t>
        </is>
      </c>
      <c r="B4231" s="6" t="inlineStr">
        <is>
          <t>Sep</t>
        </is>
      </c>
      <c r="C4231" s="6" t="inlineStr">
        <is>
          <t>TN</t>
        </is>
      </c>
      <c r="D4231" s="7" t="inlineStr">
        <is>
          <t>TN45AC8271</t>
        </is>
      </c>
      <c r="E4231" s="7" t="inlineStr">
        <is>
          <t>MARUTI SUZUKI</t>
        </is>
      </c>
      <c r="F4231" s="7" t="inlineStr">
        <is>
          <t>Alto</t>
        </is>
      </c>
      <c r="G4231" s="7" t="inlineStr">
        <is>
          <t>EXCHANGE ROTN</t>
        </is>
      </c>
      <c r="H4231" s="7" t="inlineStr">
        <is>
          <t>Captive</t>
        </is>
      </c>
      <c r="I4231" s="7" t="inlineStr">
        <is>
          <t>Mr.Cars</t>
        </is>
      </c>
      <c r="J4231" s="8" t="n">
        <v>2005</v>
      </c>
      <c r="K4231" s="9" t="n">
        <v>70533</v>
      </c>
      <c r="L4231" s="10" t="n">
        <v>65000</v>
      </c>
      <c r="M4231" s="10" t="n">
        <v>4237.29</v>
      </c>
      <c r="N4231" s="11">
        <f>IF(M4231="","",ROUND(M4231*1.18,2))</f>
        <v/>
      </c>
      <c r="O4231" s="12">
        <f>IF(M4231="","",ROUND(N4231-M4231,2))</f>
        <v/>
      </c>
      <c r="P4231" s="13">
        <f>IF(AND(A4231&lt;&gt;"",B4231&lt;&gt;""), A4231&amp;" · "&amp;B4231, "")</f>
        <v/>
      </c>
    </row>
    <row r="4232">
      <c r="A4232" s="6" t="inlineStr">
        <is>
          <t>FY27</t>
        </is>
      </c>
      <c r="B4232" s="6" t="inlineStr">
        <is>
          <t>Sep</t>
        </is>
      </c>
      <c r="C4232" s="6" t="inlineStr">
        <is>
          <t>TN</t>
        </is>
      </c>
      <c r="D4232" s="7" t="inlineStr">
        <is>
          <t>TN45AM4161</t>
        </is>
      </c>
      <c r="E4232" s="7" t="inlineStr">
        <is>
          <t>HYUNDAI</t>
        </is>
      </c>
      <c r="F4232" s="7" t="inlineStr">
        <is>
          <t>Accent</t>
        </is>
      </c>
      <c r="G4232" s="7" t="inlineStr">
        <is>
          <t>RAJALAKSHMI CARS</t>
        </is>
      </c>
      <c r="H4232" s="7" t="inlineStr">
        <is>
          <t>Non-Captive</t>
        </is>
      </c>
      <c r="I4232" s="7" t="inlineStr">
        <is>
          <t>Santhosh Cars</t>
        </is>
      </c>
      <c r="J4232" s="8" t="n">
        <v>2009</v>
      </c>
      <c r="K4232" s="9" t="n">
        <v>46038</v>
      </c>
      <c r="L4232" s="10" t="n">
        <v>94000</v>
      </c>
      <c r="M4232" s="10" t="n">
        <v>3389.83</v>
      </c>
      <c r="N4232" s="11">
        <f>IF(M4232="","",ROUND(M4232*1.18,2))</f>
        <v/>
      </c>
      <c r="O4232" s="12">
        <f>IF(M4232="","",ROUND(N4232-M4232,2))</f>
        <v/>
      </c>
      <c r="P4232" s="13">
        <f>IF(AND(A4232&lt;&gt;"",B4232&lt;&gt;""), A4232&amp;" · "&amp;B4232, "")</f>
        <v/>
      </c>
    </row>
    <row r="4233">
      <c r="A4233" s="6" t="inlineStr">
        <is>
          <t>FY27</t>
        </is>
      </c>
      <c r="B4233" s="6" t="inlineStr">
        <is>
          <t>Sep</t>
        </is>
      </c>
      <c r="C4233" s="6" t="inlineStr">
        <is>
          <t>TN</t>
        </is>
      </c>
      <c r="D4233" s="7" t="inlineStr">
        <is>
          <t>TN45AS9884</t>
        </is>
      </c>
      <c r="E4233" s="7" t="inlineStr">
        <is>
          <t>SKODA</t>
        </is>
      </c>
      <c r="F4233" s="7" t="inlineStr">
        <is>
          <t>Fabia</t>
        </is>
      </c>
      <c r="G4233" s="7" t="inlineStr">
        <is>
          <t>EXCHANGE ROTN</t>
        </is>
      </c>
      <c r="H4233" s="7" t="inlineStr">
        <is>
          <t>Captive</t>
        </is>
      </c>
      <c r="I4233" s="7" t="inlineStr">
        <is>
          <t>Shree Cars (Coimbatore</t>
        </is>
      </c>
      <c r="J4233" s="8" t="n">
        <v>2011</v>
      </c>
      <c r="K4233" s="9" t="n">
        <v>159670</v>
      </c>
      <c r="L4233" s="10" t="n">
        <v>70000</v>
      </c>
      <c r="M4233" s="10" t="n">
        <v>4237.29</v>
      </c>
      <c r="N4233" s="11">
        <f>IF(M4233="","",ROUND(M4233*1.18,2))</f>
        <v/>
      </c>
      <c r="O4233" s="12">
        <f>IF(M4233="","",ROUND(N4233-M4233,2))</f>
        <v/>
      </c>
      <c r="P4233" s="13">
        <f>IF(AND(A4233&lt;&gt;"",B4233&lt;&gt;""), A4233&amp;" · "&amp;B4233, "")</f>
        <v/>
      </c>
    </row>
    <row r="4234">
      <c r="A4234" s="6" t="inlineStr">
        <is>
          <t>FY27</t>
        </is>
      </c>
      <c r="B4234" s="6" t="inlineStr">
        <is>
          <t>Sep</t>
        </is>
      </c>
      <c r="C4234" s="6" t="inlineStr">
        <is>
          <t>TN</t>
        </is>
      </c>
      <c r="D4234" s="7" t="inlineStr">
        <is>
          <t>TN45BY4138</t>
        </is>
      </c>
      <c r="E4234" s="7" t="inlineStr">
        <is>
          <t>HYUNDAI</t>
        </is>
      </c>
      <c r="F4234" s="7" t="inlineStr">
        <is>
          <t>Eon</t>
        </is>
      </c>
      <c r="G4234" s="7" t="inlineStr">
        <is>
          <t>EXCHANGE ROTN</t>
        </is>
      </c>
      <c r="H4234" s="7" t="inlineStr">
        <is>
          <t>Captive</t>
        </is>
      </c>
      <c r="I4234" s="7" t="inlineStr">
        <is>
          <t>&lt;NA&gt;</t>
        </is>
      </c>
      <c r="J4234" s="8" t="n">
        <v>2012</v>
      </c>
      <c r="K4234" s="9" t="n">
        <v>94273</v>
      </c>
      <c r="L4234" s="10" t="n">
        <v>165000</v>
      </c>
      <c r="M4234" s="10" t="n">
        <v>4237.29</v>
      </c>
      <c r="N4234" s="11">
        <f>IF(M4234="","",ROUND(M4234*1.18,2))</f>
        <v/>
      </c>
      <c r="O4234" s="12">
        <f>IF(M4234="","",ROUND(N4234-M4234,2))</f>
        <v/>
      </c>
      <c r="P4234" s="13">
        <f>IF(AND(A4234&lt;&gt;"",B4234&lt;&gt;""), A4234&amp;" · "&amp;B4234, "")</f>
        <v/>
      </c>
    </row>
    <row r="4235">
      <c r="A4235" s="6" t="inlineStr">
        <is>
          <t>FY27</t>
        </is>
      </c>
      <c r="B4235" s="6" t="inlineStr">
        <is>
          <t>Sep</t>
        </is>
      </c>
      <c r="C4235" s="6" t="inlineStr">
        <is>
          <t>TN</t>
        </is>
      </c>
      <c r="D4235" s="7" t="inlineStr">
        <is>
          <t>TN45Q6705</t>
        </is>
      </c>
      <c r="E4235" s="7" t="inlineStr">
        <is>
          <t>MARUTI SUZUKI</t>
        </is>
      </c>
      <c r="F4235" s="7" t="inlineStr">
        <is>
          <t>Zen</t>
        </is>
      </c>
      <c r="G4235" s="7" t="inlineStr">
        <is>
          <t>NIRMAL CARS</t>
        </is>
      </c>
      <c r="H4235" s="7" t="inlineStr">
        <is>
          <t>Non-Captive</t>
        </is>
      </c>
      <c r="I4235" s="7" t="inlineStr">
        <is>
          <t>Senthil Cars</t>
        </is>
      </c>
      <c r="J4235" s="8" t="n">
        <v>2001</v>
      </c>
      <c r="K4235" s="9" t="n">
        <v>99999</v>
      </c>
      <c r="L4235" s="10" t="n">
        <v>87000</v>
      </c>
      <c r="M4235" s="10" t="n">
        <v>4237.29</v>
      </c>
      <c r="N4235" s="11">
        <f>IF(M4235="","",ROUND(M4235*1.18,2))</f>
        <v/>
      </c>
      <c r="O4235" s="12">
        <f>IF(M4235="","",ROUND(N4235-M4235,2))</f>
        <v/>
      </c>
      <c r="P4235" s="13">
        <f>IF(AND(A4235&lt;&gt;"",B4235&lt;&gt;""), A4235&amp;" · "&amp;B4235, "")</f>
        <v/>
      </c>
    </row>
    <row r="4236">
      <c r="A4236" s="6" t="inlineStr">
        <is>
          <t>FY27</t>
        </is>
      </c>
      <c r="B4236" s="6" t="inlineStr">
        <is>
          <t>Sep</t>
        </is>
      </c>
      <c r="C4236" s="6" t="inlineStr">
        <is>
          <t>TN</t>
        </is>
      </c>
      <c r="D4236" s="7" t="inlineStr">
        <is>
          <t>TN48AT9452</t>
        </is>
      </c>
      <c r="E4236" s="7" t="inlineStr">
        <is>
          <t>RENAULT</t>
        </is>
      </c>
      <c r="F4236" s="7" t="inlineStr">
        <is>
          <t>Kwid</t>
        </is>
      </c>
      <c r="G4236" s="7" t="inlineStr">
        <is>
          <t>EXCHANGE ROTN</t>
        </is>
      </c>
      <c r="H4236" s="7" t="inlineStr">
        <is>
          <t>Captive</t>
        </is>
      </c>
      <c r="I4236" s="7" t="inlineStr">
        <is>
          <t>Sivashankar Cars</t>
        </is>
      </c>
      <c r="J4236" s="8" t="n">
        <v>2018</v>
      </c>
      <c r="K4236" s="9" t="n">
        <v>87117</v>
      </c>
      <c r="L4236" s="10" t="n">
        <v>98000</v>
      </c>
      <c r="M4236" s="10" t="n">
        <v>4237.29</v>
      </c>
      <c r="N4236" s="11">
        <f>IF(M4236="","",ROUND(M4236*1.18,2))</f>
        <v/>
      </c>
      <c r="O4236" s="12">
        <f>IF(M4236="","",ROUND(N4236-M4236,2))</f>
        <v/>
      </c>
      <c r="P4236" s="13">
        <f>IF(AND(A4236&lt;&gt;"",B4236&lt;&gt;""), A4236&amp;" · "&amp;B4236, "")</f>
        <v/>
      </c>
    </row>
    <row r="4237">
      <c r="A4237" s="6" t="inlineStr">
        <is>
          <t>FY27</t>
        </is>
      </c>
      <c r="B4237" s="6" t="inlineStr">
        <is>
          <t>Sep</t>
        </is>
      </c>
      <c r="C4237" s="6" t="inlineStr">
        <is>
          <t>TN</t>
        </is>
      </c>
      <c r="D4237" s="7" t="inlineStr">
        <is>
          <t>TN51H9361</t>
        </is>
      </c>
      <c r="E4237" s="7" t="inlineStr">
        <is>
          <t>MARUTI SUZUKI</t>
        </is>
      </c>
      <c r="F4237" s="7" t="inlineStr">
        <is>
          <t>Alto</t>
        </is>
      </c>
      <c r="G4237" s="7" t="inlineStr">
        <is>
          <t>CASTLE TRADERS MARUTI</t>
        </is>
      </c>
      <c r="H4237" s="7" t="inlineStr">
        <is>
          <t>Non-Captive</t>
        </is>
      </c>
      <c r="I4237" s="7" t="inlineStr">
        <is>
          <t>Aasim Motors</t>
        </is>
      </c>
      <c r="J4237" s="8" t="n">
        <v>2012</v>
      </c>
      <c r="K4237" s="9" t="n">
        <v>144582</v>
      </c>
      <c r="L4237" s="10" t="n">
        <v>95000</v>
      </c>
      <c r="M4237" s="10" t="n">
        <v>4237.29</v>
      </c>
      <c r="N4237" s="11">
        <f>IF(M4237="","",ROUND(M4237*1.18,2))</f>
        <v/>
      </c>
      <c r="O4237" s="12">
        <f>IF(M4237="","",ROUND(N4237-M4237,2))</f>
        <v/>
      </c>
      <c r="P4237" s="13">
        <f>IF(AND(A4237&lt;&gt;"",B4237&lt;&gt;""), A4237&amp;" · "&amp;B4237, "")</f>
        <v/>
      </c>
    </row>
    <row r="4238">
      <c r="A4238" s="6" t="inlineStr">
        <is>
          <t>FY27</t>
        </is>
      </c>
      <c r="B4238" s="6" t="inlineStr">
        <is>
          <t>Sep</t>
        </is>
      </c>
      <c r="C4238" s="6" t="inlineStr">
        <is>
          <t>TN</t>
        </is>
      </c>
      <c r="D4238" s="7" t="inlineStr">
        <is>
          <t>TN52C3788</t>
        </is>
      </c>
      <c r="E4238" s="7" t="inlineStr">
        <is>
          <t>CHEVROLET</t>
        </is>
      </c>
      <c r="F4238" s="7" t="inlineStr">
        <is>
          <t>Beat</t>
        </is>
      </c>
      <c r="G4238" s="7" t="inlineStr">
        <is>
          <t>EXCHANGE ROTN</t>
        </is>
      </c>
      <c r="H4238" s="7" t="inlineStr">
        <is>
          <t>Captive</t>
        </is>
      </c>
      <c r="I4238" s="7" t="inlineStr">
        <is>
          <t>Ayyappa Cars</t>
        </is>
      </c>
      <c r="J4238" s="8" t="n">
        <v>2011</v>
      </c>
      <c r="K4238" s="9" t="n">
        <v>85614</v>
      </c>
      <c r="L4238" s="10" t="n">
        <v>50000</v>
      </c>
      <c r="M4238" s="10" t="n">
        <v>4237.29</v>
      </c>
      <c r="N4238" s="11">
        <f>IF(M4238="","",ROUND(M4238*1.18,2))</f>
        <v/>
      </c>
      <c r="O4238" s="12">
        <f>IF(M4238="","",ROUND(N4238-M4238,2))</f>
        <v/>
      </c>
      <c r="P4238" s="13">
        <f>IF(AND(A4238&lt;&gt;"",B4238&lt;&gt;""), A4238&amp;" · "&amp;B4238, "")</f>
        <v/>
      </c>
    </row>
    <row r="4239">
      <c r="A4239" s="6" t="inlineStr">
        <is>
          <t>FY27</t>
        </is>
      </c>
      <c r="B4239" s="6" t="inlineStr">
        <is>
          <t>Sep</t>
        </is>
      </c>
      <c r="C4239" s="6" t="inlineStr">
        <is>
          <t>TN</t>
        </is>
      </c>
      <c r="D4239" s="7" t="inlineStr">
        <is>
          <t>TN52Y7322</t>
        </is>
      </c>
      <c r="E4239" s="7" t="inlineStr">
        <is>
          <t>CHEVROLET</t>
        </is>
      </c>
      <c r="F4239" s="7" t="inlineStr">
        <is>
          <t>Spark</t>
        </is>
      </c>
      <c r="G4239" s="7" t="inlineStr">
        <is>
          <t>LANSON QCARS PRIVATE LIMITED</t>
        </is>
      </c>
      <c r="H4239" s="7" t="inlineStr">
        <is>
          <t>Non-Captive</t>
        </is>
      </c>
      <c r="I4239" s="7" t="inlineStr">
        <is>
          <t>Mahathi Cars</t>
        </is>
      </c>
      <c r="J4239" s="8" t="n">
        <v>2010</v>
      </c>
      <c r="K4239" s="9" t="n">
        <v>69451</v>
      </c>
      <c r="L4239" s="10" t="n">
        <v>93000</v>
      </c>
      <c r="M4239" s="10" t="n">
        <v>4237.29</v>
      </c>
      <c r="N4239" s="11">
        <f>IF(M4239="","",ROUND(M4239*1.18,2))</f>
        <v/>
      </c>
      <c r="O4239" s="12">
        <f>IF(M4239="","",ROUND(N4239-M4239,2))</f>
        <v/>
      </c>
      <c r="P4239" s="13">
        <f>IF(AND(A4239&lt;&gt;"",B4239&lt;&gt;""), A4239&amp;" · "&amp;B4239, "")</f>
        <v/>
      </c>
    </row>
    <row r="4240">
      <c r="A4240" s="6" t="inlineStr">
        <is>
          <t>FY27</t>
        </is>
      </c>
      <c r="B4240" s="6" t="inlineStr">
        <is>
          <t>Sep</t>
        </is>
      </c>
      <c r="C4240" s="6" t="inlineStr">
        <is>
          <t>TN</t>
        </is>
      </c>
      <c r="D4240" s="7" t="inlineStr">
        <is>
          <t>TN55AE5089</t>
        </is>
      </c>
      <c r="E4240" s="7" t="inlineStr">
        <is>
          <t>MARUTI SUZUKI</t>
        </is>
      </c>
      <c r="F4240" s="7" t="inlineStr">
        <is>
          <t>Swift</t>
        </is>
      </c>
      <c r="G4240" s="7" t="inlineStr">
        <is>
          <t>STEER AUTO TECHNOLOGIES PRIVATE LIMITED</t>
        </is>
      </c>
      <c r="H4240" s="7" t="inlineStr">
        <is>
          <t>Non-Captive</t>
        </is>
      </c>
      <c r="I4240" s="7" t="inlineStr">
        <is>
          <t>Castel Traders Honada</t>
        </is>
      </c>
      <c r="J4240" s="8" t="n">
        <v>2013</v>
      </c>
      <c r="K4240" s="9" t="n">
        <v>127904</v>
      </c>
      <c r="L4240" s="10" t="n">
        <v>86000</v>
      </c>
      <c r="M4240" s="10" t="n">
        <v>4237.29</v>
      </c>
      <c r="N4240" s="11">
        <f>IF(M4240="","",ROUND(M4240*1.18,2))</f>
        <v/>
      </c>
      <c r="O4240" s="12">
        <f>IF(M4240="","",ROUND(N4240-M4240,2))</f>
        <v/>
      </c>
      <c r="P4240" s="13">
        <f>IF(AND(A4240&lt;&gt;"",B4240&lt;&gt;""), A4240&amp;" · "&amp;B4240, "")</f>
        <v/>
      </c>
    </row>
    <row r="4241">
      <c r="A4241" s="6" t="inlineStr">
        <is>
          <t>FY27</t>
        </is>
      </c>
      <c r="B4241" s="6" t="inlineStr">
        <is>
          <t>Sep</t>
        </is>
      </c>
      <c r="C4241" s="6" t="inlineStr">
        <is>
          <t>TN</t>
        </is>
      </c>
      <c r="D4241" s="7" t="inlineStr">
        <is>
          <t>TN55AF3600</t>
        </is>
      </c>
      <c r="E4241" s="7" t="inlineStr">
        <is>
          <t>HYUNDAI</t>
        </is>
      </c>
      <c r="F4241" s="7" t="inlineStr">
        <is>
          <t>i20</t>
        </is>
      </c>
      <c r="G4241" s="7" t="inlineStr">
        <is>
          <t>CARS INDIA</t>
        </is>
      </c>
      <c r="H4241" s="7" t="inlineStr">
        <is>
          <t>Non-Captive</t>
        </is>
      </c>
      <c r="I4241" s="7" t="inlineStr">
        <is>
          <t>Santhosh Cars</t>
        </is>
      </c>
      <c r="J4241" s="8" t="n">
        <v>2013</v>
      </c>
      <c r="K4241" s="9" t="n">
        <v>79800</v>
      </c>
      <c r="L4241" s="10" t="n">
        <v>94000</v>
      </c>
      <c r="M4241" s="10" t="n">
        <v>4237.29</v>
      </c>
      <c r="N4241" s="11">
        <f>IF(M4241="","",ROUND(M4241*1.18,2))</f>
        <v/>
      </c>
      <c r="O4241" s="12">
        <f>IF(M4241="","",ROUND(N4241-M4241,2))</f>
        <v/>
      </c>
      <c r="P4241" s="13">
        <f>IF(AND(A4241&lt;&gt;"",B4241&lt;&gt;""), A4241&amp;" · "&amp;B4241, "")</f>
        <v/>
      </c>
    </row>
    <row r="4242">
      <c r="A4242" s="6" t="inlineStr">
        <is>
          <t>FY27</t>
        </is>
      </c>
      <c r="B4242" s="6" t="inlineStr">
        <is>
          <t>Sep</t>
        </is>
      </c>
      <c r="C4242" s="6" t="inlineStr">
        <is>
          <t>TN</t>
        </is>
      </c>
      <c r="D4242" s="7" t="inlineStr">
        <is>
          <t>TN55R9693</t>
        </is>
      </c>
      <c r="E4242" s="7" t="inlineStr">
        <is>
          <t>HYUNDAI</t>
        </is>
      </c>
      <c r="F4242" s="7" t="inlineStr">
        <is>
          <t>Santro</t>
        </is>
      </c>
      <c r="G4242" s="7" t="inlineStr">
        <is>
          <t>EXCHANGE ROTN</t>
        </is>
      </c>
      <c r="H4242" s="7" t="inlineStr">
        <is>
          <t>Captive</t>
        </is>
      </c>
      <c r="I4242" s="7" t="inlineStr">
        <is>
          <t>Sree Murugan Cars</t>
        </is>
      </c>
      <c r="J4242" s="8" t="n">
        <v>2008</v>
      </c>
      <c r="K4242" s="9" t="n">
        <v>140765</v>
      </c>
      <c r="L4242" s="10" t="n">
        <v>86000</v>
      </c>
      <c r="M4242" s="10" t="n">
        <v>4237.29</v>
      </c>
      <c r="N4242" s="11">
        <f>IF(M4242="","",ROUND(M4242*1.18,2))</f>
        <v/>
      </c>
      <c r="O4242" s="12">
        <f>IF(M4242="","",ROUND(N4242-M4242,2))</f>
        <v/>
      </c>
      <c r="P4242" s="13">
        <f>IF(AND(A4242&lt;&gt;"",B4242&lt;&gt;""), A4242&amp;" · "&amp;B4242, "")</f>
        <v/>
      </c>
    </row>
    <row r="4243">
      <c r="A4243" s="6" t="inlineStr">
        <is>
          <t>FY27</t>
        </is>
      </c>
      <c r="B4243" s="6" t="inlineStr">
        <is>
          <t>Sep</t>
        </is>
      </c>
      <c r="C4243" s="6" t="inlineStr">
        <is>
          <t>TN</t>
        </is>
      </c>
      <c r="D4243" s="7" t="inlineStr">
        <is>
          <t>TN56A7498</t>
        </is>
      </c>
      <c r="E4243" s="7" t="inlineStr">
        <is>
          <t>MARUTI SUZUKI</t>
        </is>
      </c>
      <c r="F4243" s="7" t="inlineStr">
        <is>
          <t>Wagon R</t>
        </is>
      </c>
      <c r="G4243" s="7" t="inlineStr">
        <is>
          <t>EXCHANGE ROTN</t>
        </is>
      </c>
      <c r="H4243" s="7" t="inlineStr">
        <is>
          <t>Captive</t>
        </is>
      </c>
      <c r="I4243" s="7" t="inlineStr">
        <is>
          <t>Sivashankar Cars</t>
        </is>
      </c>
      <c r="J4243" s="8" t="n">
        <v>2010</v>
      </c>
      <c r="K4243" s="9" t="n">
        <v>166256</v>
      </c>
      <c r="L4243" s="10" t="n">
        <v>95000</v>
      </c>
      <c r="M4243" s="10" t="n">
        <v>4237.29</v>
      </c>
      <c r="N4243" s="11">
        <f>IF(M4243="","",ROUND(M4243*1.18,2))</f>
        <v/>
      </c>
      <c r="O4243" s="12">
        <f>IF(M4243="","",ROUND(N4243-M4243,2))</f>
        <v/>
      </c>
      <c r="P4243" s="13">
        <f>IF(AND(A4243&lt;&gt;"",B4243&lt;&gt;""), A4243&amp;" · "&amp;B4243, "")</f>
        <v/>
      </c>
    </row>
    <row r="4244">
      <c r="A4244" s="6" t="inlineStr">
        <is>
          <t>FY27</t>
        </is>
      </c>
      <c r="B4244" s="6" t="inlineStr">
        <is>
          <t>Sep</t>
        </is>
      </c>
      <c r="C4244" s="6" t="inlineStr">
        <is>
          <t>TN</t>
        </is>
      </c>
      <c r="D4244" s="7" t="inlineStr">
        <is>
          <t>TN56E5236</t>
        </is>
      </c>
      <c r="E4244" s="7" t="inlineStr">
        <is>
          <t>HONDA</t>
        </is>
      </c>
      <c r="F4244" s="7" t="inlineStr">
        <is>
          <t>Amaze</t>
        </is>
      </c>
      <c r="G4244" s="7" t="inlineStr">
        <is>
          <t>EXCHANGE ROTN</t>
        </is>
      </c>
      <c r="H4244" s="7" t="inlineStr">
        <is>
          <t>Captive</t>
        </is>
      </c>
      <c r="I4244" s="7" t="inlineStr">
        <is>
          <t>Sai Cars</t>
        </is>
      </c>
      <c r="J4244" s="8" t="n">
        <v>2013</v>
      </c>
      <c r="K4244" s="9" t="n">
        <v>127810</v>
      </c>
      <c r="L4244" s="10" t="n">
        <v>270000</v>
      </c>
      <c r="M4244" s="10" t="n">
        <v>8474.58</v>
      </c>
      <c r="N4244" s="11">
        <f>IF(M4244="","",ROUND(M4244*1.18,2))</f>
        <v/>
      </c>
      <c r="O4244" s="12">
        <f>IF(M4244="","",ROUND(N4244-M4244,2))</f>
        <v/>
      </c>
      <c r="P4244" s="13">
        <f>IF(AND(A4244&lt;&gt;"",B4244&lt;&gt;""), A4244&amp;" · "&amp;B4244, "")</f>
        <v/>
      </c>
    </row>
    <row r="4245">
      <c r="A4245" s="6" t="inlineStr">
        <is>
          <t>FY27</t>
        </is>
      </c>
      <c r="B4245" s="6" t="inlineStr">
        <is>
          <t>Sep</t>
        </is>
      </c>
      <c r="C4245" s="6" t="inlineStr">
        <is>
          <t>TN</t>
        </is>
      </c>
      <c r="D4245" s="7" t="inlineStr">
        <is>
          <t>TN56M5557</t>
        </is>
      </c>
      <c r="E4245" s="7" t="inlineStr">
        <is>
          <t>TATA</t>
        </is>
      </c>
      <c r="F4245" s="7" t="inlineStr">
        <is>
          <t>Nexon</t>
        </is>
      </c>
      <c r="G4245" s="7" t="inlineStr">
        <is>
          <t>EXCHANGE ROTN</t>
        </is>
      </c>
      <c r="H4245" s="7" t="inlineStr">
        <is>
          <t>Captive</t>
        </is>
      </c>
      <c r="I4245" s="7" t="inlineStr">
        <is>
          <t>Sivashankar Cars</t>
        </is>
      </c>
      <c r="J4245" s="8" t="n">
        <v>2019</v>
      </c>
      <c r="K4245" s="9" t="n">
        <v>183274</v>
      </c>
      <c r="L4245" s="10" t="n">
        <v>390000</v>
      </c>
      <c r="M4245" s="10" t="n">
        <v>6355.93</v>
      </c>
      <c r="N4245" s="11">
        <f>IF(M4245="","",ROUND(M4245*1.18,2))</f>
        <v/>
      </c>
      <c r="O4245" s="12">
        <f>IF(M4245="","",ROUND(N4245-M4245,2))</f>
        <v/>
      </c>
      <c r="P4245" s="13">
        <f>IF(AND(A4245&lt;&gt;"",B4245&lt;&gt;""), A4245&amp;" · "&amp;B4245, "")</f>
        <v/>
      </c>
    </row>
    <row r="4246">
      <c r="A4246" s="6" t="inlineStr">
        <is>
          <t>FY27</t>
        </is>
      </c>
      <c r="B4246" s="6" t="inlineStr">
        <is>
          <t>Sep</t>
        </is>
      </c>
      <c r="C4246" s="6" t="inlineStr">
        <is>
          <t>TN</t>
        </is>
      </c>
      <c r="D4246" s="7" t="inlineStr">
        <is>
          <t>TN58AB5319</t>
        </is>
      </c>
      <c r="E4246" s="7" t="inlineStr">
        <is>
          <t>MARUTI SUZUKI</t>
        </is>
      </c>
      <c r="F4246" s="7" t="inlineStr">
        <is>
          <t>Alto</t>
        </is>
      </c>
      <c r="G4246" s="7" t="inlineStr">
        <is>
          <t>EXCHANGE ROTN</t>
        </is>
      </c>
      <c r="H4246" s="7" t="inlineStr">
        <is>
          <t>Captive</t>
        </is>
      </c>
      <c r="I4246" s="7" t="inlineStr">
        <is>
          <t>Auto Motivators</t>
        </is>
      </c>
      <c r="J4246" s="8" t="n">
        <v>2012</v>
      </c>
      <c r="K4246" s="9" t="n">
        <v>120133</v>
      </c>
      <c r="L4246" s="10" t="n">
        <v>85000</v>
      </c>
      <c r="M4246" s="10" t="n">
        <v>4237.29</v>
      </c>
      <c r="N4246" s="11">
        <f>IF(M4246="","",ROUND(M4246*1.18,2))</f>
        <v/>
      </c>
      <c r="O4246" s="12">
        <f>IF(M4246="","",ROUND(N4246-M4246,2))</f>
        <v/>
      </c>
      <c r="P4246" s="13">
        <f>IF(AND(A4246&lt;&gt;"",B4246&lt;&gt;""), A4246&amp;" · "&amp;B4246, "")</f>
        <v/>
      </c>
    </row>
    <row r="4247">
      <c r="A4247" s="6" t="inlineStr">
        <is>
          <t>FY27</t>
        </is>
      </c>
      <c r="B4247" s="6" t="inlineStr">
        <is>
          <t>Sep</t>
        </is>
      </c>
      <c r="C4247" s="6" t="inlineStr">
        <is>
          <t>TN</t>
        </is>
      </c>
      <c r="D4247" s="7" t="inlineStr">
        <is>
          <t>TN58AC4694</t>
        </is>
      </c>
      <c r="E4247" s="7" t="inlineStr">
        <is>
          <t>HYUNDAI</t>
        </is>
      </c>
      <c r="F4247" s="7" t="inlineStr">
        <is>
          <t>i20</t>
        </is>
      </c>
      <c r="G4247" s="7" t="inlineStr">
        <is>
          <t>EXCHANGE ROTN</t>
        </is>
      </c>
      <c r="H4247" s="7" t="inlineStr">
        <is>
          <t>Captive</t>
        </is>
      </c>
      <c r="I4247" s="7" t="inlineStr">
        <is>
          <t>Ksm Auto Consultant</t>
        </is>
      </c>
      <c r="J4247" s="8" t="n">
        <v>2012</v>
      </c>
      <c r="K4247" s="9" t="n">
        <v>204522</v>
      </c>
      <c r="L4247" s="10" t="n">
        <v>140000</v>
      </c>
      <c r="M4247" s="10" t="n">
        <v>8474.58</v>
      </c>
      <c r="N4247" s="11">
        <f>IF(M4247="","",ROUND(M4247*1.18,2))</f>
        <v/>
      </c>
      <c r="O4247" s="12">
        <f>IF(M4247="","",ROUND(N4247-M4247,2))</f>
        <v/>
      </c>
      <c r="P4247" s="13">
        <f>IF(AND(A4247&lt;&gt;"",B4247&lt;&gt;""), A4247&amp;" · "&amp;B4247, "")</f>
        <v/>
      </c>
    </row>
    <row r="4248">
      <c r="A4248" s="6" t="inlineStr">
        <is>
          <t>FY27</t>
        </is>
      </c>
      <c r="B4248" s="6" t="inlineStr">
        <is>
          <t>Sep</t>
        </is>
      </c>
      <c r="C4248" s="6" t="inlineStr">
        <is>
          <t>TN</t>
        </is>
      </c>
      <c r="D4248" s="7" t="inlineStr">
        <is>
          <t>TN58BB4307</t>
        </is>
      </c>
      <c r="E4248" s="7" t="inlineStr">
        <is>
          <t>HYUNDAI</t>
        </is>
      </c>
      <c r="F4248" s="7" t="inlineStr">
        <is>
          <t>Santro</t>
        </is>
      </c>
      <c r="G4248" s="7" t="inlineStr">
        <is>
          <t>EXCHANGE ROTN</t>
        </is>
      </c>
      <c r="H4248" s="7" t="inlineStr">
        <is>
          <t>Captive</t>
        </is>
      </c>
      <c r="I4248" s="7" t="inlineStr">
        <is>
          <t>Thirumalai Cars (Madurai</t>
        </is>
      </c>
      <c r="J4248" s="8" t="n">
        <v>2019</v>
      </c>
      <c r="K4248" s="9" t="n">
        <v>143925</v>
      </c>
      <c r="L4248" s="10" t="n">
        <v>245000</v>
      </c>
      <c r="M4248" s="10" t="n">
        <v>8474.58</v>
      </c>
      <c r="N4248" s="11">
        <f>IF(M4248="","",ROUND(M4248*1.18,2))</f>
        <v/>
      </c>
      <c r="O4248" s="12">
        <f>IF(M4248="","",ROUND(N4248-M4248,2))</f>
        <v/>
      </c>
      <c r="P4248" s="13">
        <f>IF(AND(A4248&lt;&gt;"",B4248&lt;&gt;""), A4248&amp;" · "&amp;B4248, "")</f>
        <v/>
      </c>
    </row>
    <row r="4249">
      <c r="A4249" s="6" t="inlineStr">
        <is>
          <t>FY27</t>
        </is>
      </c>
      <c r="B4249" s="6" t="inlineStr">
        <is>
          <t>Sep</t>
        </is>
      </c>
      <c r="C4249" s="6" t="inlineStr">
        <is>
          <t>TN</t>
        </is>
      </c>
      <c r="D4249" s="7" t="inlineStr">
        <is>
          <t>TN58BD7243</t>
        </is>
      </c>
      <c r="E4249" s="7" t="inlineStr">
        <is>
          <t>KIA</t>
        </is>
      </c>
      <c r="F4249" s="7" t="inlineStr">
        <is>
          <t>Seltos</t>
        </is>
      </c>
      <c r="G4249" s="7" t="inlineStr">
        <is>
          <t>EXCHANGE ROTN</t>
        </is>
      </c>
      <c r="H4249" s="7" t="inlineStr">
        <is>
          <t>Captive</t>
        </is>
      </c>
      <c r="I4249" s="7" t="inlineStr">
        <is>
          <t>Gokul Cars</t>
        </is>
      </c>
      <c r="J4249" s="8" t="n">
        <v>2020</v>
      </c>
      <c r="K4249" s="9" t="n">
        <v>60385</v>
      </c>
      <c r="L4249" s="10" t="n">
        <v>690000</v>
      </c>
      <c r="M4249" s="10" t="n">
        <v>16949.15</v>
      </c>
      <c r="N4249" s="11">
        <f>IF(M4249="","",ROUND(M4249*1.18,2))</f>
        <v/>
      </c>
      <c r="O4249" s="12">
        <f>IF(M4249="","",ROUND(N4249-M4249,2))</f>
        <v/>
      </c>
      <c r="P4249" s="13">
        <f>IF(AND(A4249&lt;&gt;"",B4249&lt;&gt;""), A4249&amp;" · "&amp;B4249, "")</f>
        <v/>
      </c>
    </row>
    <row r="4250">
      <c r="A4250" s="6" t="inlineStr">
        <is>
          <t>FY27</t>
        </is>
      </c>
      <c r="B4250" s="6" t="inlineStr">
        <is>
          <t>Sep</t>
        </is>
      </c>
      <c r="C4250" s="6" t="inlineStr">
        <is>
          <t>TN</t>
        </is>
      </c>
      <c r="D4250" s="7" t="inlineStr">
        <is>
          <t>TN58BF4068</t>
        </is>
      </c>
      <c r="E4250" s="7" t="inlineStr">
        <is>
          <t>TATA</t>
        </is>
      </c>
      <c r="F4250" s="7" t="inlineStr">
        <is>
          <t>Altroz</t>
        </is>
      </c>
      <c r="G4250" s="7" t="inlineStr">
        <is>
          <t>EXCHANGE ROTN</t>
        </is>
      </c>
      <c r="H4250" s="7" t="inlineStr">
        <is>
          <t>Captive</t>
        </is>
      </c>
      <c r="I4250" s="7" t="inlineStr">
        <is>
          <t>Shree Cars (Coimbatore</t>
        </is>
      </c>
      <c r="J4250" s="8" t="n">
        <v>2021</v>
      </c>
      <c r="K4250" s="9" t="n">
        <v>67904</v>
      </c>
      <c r="L4250" s="10" t="n">
        <v>460000</v>
      </c>
      <c r="M4250" s="10" t="n">
        <v>8474.58</v>
      </c>
      <c r="N4250" s="11">
        <f>IF(M4250="","",ROUND(M4250*1.18,2))</f>
        <v/>
      </c>
      <c r="O4250" s="12">
        <f>IF(M4250="","",ROUND(N4250-M4250,2))</f>
        <v/>
      </c>
      <c r="P4250" s="13">
        <f>IF(AND(A4250&lt;&gt;"",B4250&lt;&gt;""), A4250&amp;" · "&amp;B4250, "")</f>
        <v/>
      </c>
    </row>
    <row r="4251">
      <c r="A4251" s="6" t="inlineStr">
        <is>
          <t>FY27</t>
        </is>
      </c>
      <c r="B4251" s="6" t="inlineStr">
        <is>
          <t>Sep</t>
        </is>
      </c>
      <c r="C4251" s="6" t="inlineStr">
        <is>
          <t>TN</t>
        </is>
      </c>
      <c r="D4251" s="7" t="inlineStr">
        <is>
          <t>TN58Q9515</t>
        </is>
      </c>
      <c r="E4251" s="7" t="inlineStr">
        <is>
          <t>MARUTI SUZUKI</t>
        </is>
      </c>
      <c r="F4251" s="7" t="inlineStr">
        <is>
          <t>800</t>
        </is>
      </c>
      <c r="G4251" s="7" t="inlineStr">
        <is>
          <t>EXCHANGE ROTN</t>
        </is>
      </c>
      <c r="H4251" s="7" t="inlineStr">
        <is>
          <t>Captive</t>
        </is>
      </c>
      <c r="I4251" s="7" t="inlineStr">
        <is>
          <t>Sai Cars</t>
        </is>
      </c>
      <c r="J4251" s="8" t="n">
        <v>2007</v>
      </c>
      <c r="K4251" s="9" t="n">
        <v>59530</v>
      </c>
      <c r="L4251" s="10" t="n">
        <v>45000</v>
      </c>
      <c r="M4251" s="10" t="n">
        <v>4237.29</v>
      </c>
      <c r="N4251" s="11">
        <f>IF(M4251="","",ROUND(M4251*1.18,2))</f>
        <v/>
      </c>
      <c r="O4251" s="12">
        <f>IF(M4251="","",ROUND(N4251-M4251,2))</f>
        <v/>
      </c>
      <c r="P4251" s="13">
        <f>IF(AND(A4251&lt;&gt;"",B4251&lt;&gt;""), A4251&amp;" · "&amp;B4251, "")</f>
        <v/>
      </c>
    </row>
    <row r="4252">
      <c r="A4252" s="6" t="inlineStr">
        <is>
          <t>FY27</t>
        </is>
      </c>
      <c r="B4252" s="6" t="inlineStr">
        <is>
          <t>Sep</t>
        </is>
      </c>
      <c r="C4252" s="6" t="inlineStr">
        <is>
          <t>TN</t>
        </is>
      </c>
      <c r="D4252" s="7" t="inlineStr">
        <is>
          <t>TN58W1159</t>
        </is>
      </c>
      <c r="E4252" s="7" t="inlineStr">
        <is>
          <t>MARUTI SUZUKI</t>
        </is>
      </c>
      <c r="F4252" s="7" t="inlineStr">
        <is>
          <t>Zen Estilo</t>
        </is>
      </c>
      <c r="G4252" s="7" t="inlineStr">
        <is>
          <t>STEER AUTO TECHNOLOGIES PRIVATE LIMITED</t>
        </is>
      </c>
      <c r="H4252" s="7" t="inlineStr">
        <is>
          <t>Non-Captive</t>
        </is>
      </c>
      <c r="I4252" s="7" t="inlineStr">
        <is>
          <t>Castel Traders Honada</t>
        </is>
      </c>
      <c r="J4252" s="8" t="n">
        <v>2010</v>
      </c>
      <c r="K4252" s="9" t="n">
        <v>61768</v>
      </c>
      <c r="L4252" s="10" t="n">
        <v>92000</v>
      </c>
      <c r="M4252" s="10" t="n">
        <v>4237.29</v>
      </c>
      <c r="N4252" s="11">
        <f>IF(M4252="","",ROUND(M4252*1.18,2))</f>
        <v/>
      </c>
      <c r="O4252" s="12">
        <f>IF(M4252="","",ROUND(N4252-M4252,2))</f>
        <v/>
      </c>
      <c r="P4252" s="13">
        <f>IF(AND(A4252&lt;&gt;"",B4252&lt;&gt;""), A4252&amp;" · "&amp;B4252, "")</f>
        <v/>
      </c>
    </row>
    <row r="4253">
      <c r="A4253" s="6" t="inlineStr">
        <is>
          <t>FY27</t>
        </is>
      </c>
      <c r="B4253" s="6" t="inlineStr">
        <is>
          <t>Sep</t>
        </is>
      </c>
      <c r="C4253" s="6" t="inlineStr">
        <is>
          <t>TN</t>
        </is>
      </c>
      <c r="D4253" s="7" t="inlineStr">
        <is>
          <t>TN59AT6297</t>
        </is>
      </c>
      <c r="E4253" s="7" t="inlineStr">
        <is>
          <t>FORD</t>
        </is>
      </c>
      <c r="F4253" s="7" t="inlineStr">
        <is>
          <t>Fiesta Classic</t>
        </is>
      </c>
      <c r="G4253" s="7" t="inlineStr">
        <is>
          <t>EXCHANGE ROTN</t>
        </is>
      </c>
      <c r="H4253" s="7" t="inlineStr">
        <is>
          <t>Captive</t>
        </is>
      </c>
      <c r="I4253" s="7" t="inlineStr">
        <is>
          <t>KSM Auto Consulting</t>
        </is>
      </c>
      <c r="J4253" s="8" t="n">
        <v>2011</v>
      </c>
      <c r="K4253" s="9" t="n">
        <v>97240</v>
      </c>
      <c r="L4253" s="10" t="n">
        <v>65000</v>
      </c>
      <c r="M4253" s="10" t="n">
        <v>4237.29</v>
      </c>
      <c r="N4253" s="11">
        <f>IF(M4253="","",ROUND(M4253*1.18,2))</f>
        <v/>
      </c>
      <c r="O4253" s="12">
        <f>IF(M4253="","",ROUND(N4253-M4253,2))</f>
        <v/>
      </c>
      <c r="P4253" s="13">
        <f>IF(AND(A4253&lt;&gt;"",B4253&lt;&gt;""), A4253&amp;" · "&amp;B4253, "")</f>
        <v/>
      </c>
    </row>
    <row r="4254">
      <c r="A4254" s="6" t="inlineStr">
        <is>
          <t>FY27</t>
        </is>
      </c>
      <c r="B4254" s="6" t="inlineStr">
        <is>
          <t>Sep</t>
        </is>
      </c>
      <c r="C4254" s="6" t="inlineStr">
        <is>
          <t>TN</t>
        </is>
      </c>
      <c r="D4254" s="7" t="inlineStr">
        <is>
          <t>TN59AV7247</t>
        </is>
      </c>
      <c r="E4254" s="7" t="inlineStr">
        <is>
          <t>TATA</t>
        </is>
      </c>
      <c r="F4254" s="7" t="inlineStr">
        <is>
          <t>Nano</t>
        </is>
      </c>
      <c r="G4254" s="7" t="inlineStr">
        <is>
          <t>EXCHANGE ROTN</t>
        </is>
      </c>
      <c r="H4254" s="7" t="inlineStr">
        <is>
          <t>Captive</t>
        </is>
      </c>
      <c r="I4254" s="7" t="inlineStr">
        <is>
          <t>Aswin Cars</t>
        </is>
      </c>
      <c r="J4254" s="8" t="n">
        <v>2012</v>
      </c>
      <c r="K4254" s="9" t="n">
        <v>57330</v>
      </c>
      <c r="L4254" s="10" t="n">
        <v>45000</v>
      </c>
      <c r="M4254" s="10" t="n">
        <v>4237.29</v>
      </c>
      <c r="N4254" s="11">
        <f>IF(M4254="","",ROUND(M4254*1.18,2))</f>
        <v/>
      </c>
      <c r="O4254" s="12">
        <f>IF(M4254="","",ROUND(N4254-M4254,2))</f>
        <v/>
      </c>
      <c r="P4254" s="13">
        <f>IF(AND(A4254&lt;&gt;"",B4254&lt;&gt;""), A4254&amp;" · "&amp;B4254, "")</f>
        <v/>
      </c>
    </row>
    <row r="4255">
      <c r="A4255" s="6" t="inlineStr">
        <is>
          <t>FY27</t>
        </is>
      </c>
      <c r="B4255" s="6" t="inlineStr">
        <is>
          <t>Sep</t>
        </is>
      </c>
      <c r="C4255" s="6" t="inlineStr">
        <is>
          <t>TN</t>
        </is>
      </c>
      <c r="D4255" s="7" t="inlineStr">
        <is>
          <t>TN59AW3704</t>
        </is>
      </c>
      <c r="E4255" s="7" t="inlineStr">
        <is>
          <t>CHEVROLET</t>
        </is>
      </c>
      <c r="F4255" s="7" t="inlineStr">
        <is>
          <t>Beat</t>
        </is>
      </c>
      <c r="G4255" s="7" t="inlineStr">
        <is>
          <t>EXCHANGE ROTN</t>
        </is>
      </c>
      <c r="H4255" s="7" t="inlineStr">
        <is>
          <t>Captive</t>
        </is>
      </c>
      <c r="I4255" s="7" t="inlineStr">
        <is>
          <t>Gokul Cars</t>
        </is>
      </c>
      <c r="J4255" s="8" t="n">
        <v>2012</v>
      </c>
      <c r="K4255" s="9" t="n">
        <v>57557</v>
      </c>
      <c r="L4255" s="10" t="n">
        <v>80000</v>
      </c>
      <c r="M4255" s="10" t="n">
        <v>4237.29</v>
      </c>
      <c r="N4255" s="11">
        <f>IF(M4255="","",ROUND(M4255*1.18,2))</f>
        <v/>
      </c>
      <c r="O4255" s="12">
        <f>IF(M4255="","",ROUND(N4255-M4255,2))</f>
        <v/>
      </c>
      <c r="P4255" s="13">
        <f>IF(AND(A4255&lt;&gt;"",B4255&lt;&gt;""), A4255&amp;" · "&amp;B4255, "")</f>
        <v/>
      </c>
    </row>
    <row r="4256">
      <c r="A4256" s="6" t="inlineStr">
        <is>
          <t>FY27</t>
        </is>
      </c>
      <c r="B4256" s="6" t="inlineStr">
        <is>
          <t>Sep</t>
        </is>
      </c>
      <c r="C4256" s="6" t="inlineStr">
        <is>
          <t>TN</t>
        </is>
      </c>
      <c r="D4256" s="7" t="inlineStr">
        <is>
          <t>TN59BD8824</t>
        </is>
      </c>
      <c r="E4256" s="7" t="inlineStr">
        <is>
          <t>HYUNDAI</t>
        </is>
      </c>
      <c r="F4256" s="7" t="inlineStr">
        <is>
          <t>Eon</t>
        </is>
      </c>
      <c r="G4256" s="7" t="inlineStr">
        <is>
          <t>AIE CARS PRIVATE LIMITED</t>
        </is>
      </c>
      <c r="H4256" s="7" t="inlineStr">
        <is>
          <t>Non-Captive</t>
        </is>
      </c>
      <c r="I4256" s="7" t="inlineStr">
        <is>
          <t>Value Drive Tech</t>
        </is>
      </c>
      <c r="J4256" s="8" t="n">
        <v>2014</v>
      </c>
      <c r="K4256" s="9" t="n">
        <v>34198</v>
      </c>
      <c r="L4256" s="10" t="n">
        <v>87000</v>
      </c>
      <c r="M4256" s="10" t="n">
        <v>4576.27</v>
      </c>
      <c r="N4256" s="11">
        <f>IF(M4256="","",ROUND(M4256*1.18,2))</f>
        <v/>
      </c>
      <c r="O4256" s="12">
        <f>IF(M4256="","",ROUND(N4256-M4256,2))</f>
        <v/>
      </c>
      <c r="P4256" s="13">
        <f>IF(AND(A4256&lt;&gt;"",B4256&lt;&gt;""), A4256&amp;" · "&amp;B4256, "")</f>
        <v/>
      </c>
    </row>
    <row r="4257">
      <c r="A4257" s="6" t="inlineStr">
        <is>
          <t>FY27</t>
        </is>
      </c>
      <c r="B4257" s="6" t="inlineStr">
        <is>
          <t>Sep</t>
        </is>
      </c>
      <c r="C4257" s="6" t="inlineStr">
        <is>
          <t>TN</t>
        </is>
      </c>
      <c r="D4257" s="7" t="inlineStr">
        <is>
          <t>TN59BE4200</t>
        </is>
      </c>
      <c r="E4257" s="7" t="inlineStr">
        <is>
          <t>HONDA</t>
        </is>
      </c>
      <c r="F4257" s="7" t="inlineStr">
        <is>
          <t>Amaze</t>
        </is>
      </c>
      <c r="G4257" s="7" t="inlineStr">
        <is>
          <t>EXCHANGE ROTN</t>
        </is>
      </c>
      <c r="H4257" s="7" t="inlineStr">
        <is>
          <t>Captive</t>
        </is>
      </c>
      <c r="I4257" s="7" t="inlineStr">
        <is>
          <t>Shree Cars (Coimbatore</t>
        </is>
      </c>
      <c r="J4257" s="8" t="n">
        <v>2014</v>
      </c>
      <c r="K4257" s="9" t="n">
        <v>165372</v>
      </c>
      <c r="L4257" s="10" t="n">
        <v>90000</v>
      </c>
      <c r="M4257" s="10" t="n">
        <v>4237.29</v>
      </c>
      <c r="N4257" s="11">
        <f>IF(M4257="","",ROUND(M4257*1.18,2))</f>
        <v/>
      </c>
      <c r="O4257" s="12">
        <f>IF(M4257="","",ROUND(N4257-M4257,2))</f>
        <v/>
      </c>
      <c r="P4257" s="13">
        <f>IF(AND(A4257&lt;&gt;"",B4257&lt;&gt;""), A4257&amp;" · "&amp;B4257, "")</f>
        <v/>
      </c>
    </row>
    <row r="4258">
      <c r="A4258" s="6" t="inlineStr">
        <is>
          <t>FY27</t>
        </is>
      </c>
      <c r="B4258" s="6" t="inlineStr">
        <is>
          <t>Sep</t>
        </is>
      </c>
      <c r="C4258" s="6" t="inlineStr">
        <is>
          <t>TN</t>
        </is>
      </c>
      <c r="D4258" s="7" t="inlineStr">
        <is>
          <t>TN59BL0175</t>
        </is>
      </c>
      <c r="E4258" s="7" t="inlineStr">
        <is>
          <t>DATSUN</t>
        </is>
      </c>
      <c r="F4258" s="7" t="inlineStr">
        <is>
          <t>Redi-GO</t>
        </is>
      </c>
      <c r="G4258" s="7" t="inlineStr">
        <is>
          <t>EXCHANGE ROTN</t>
        </is>
      </c>
      <c r="H4258" s="7" t="inlineStr">
        <is>
          <t>Captive</t>
        </is>
      </c>
      <c r="I4258" s="7" t="inlineStr">
        <is>
          <t>READY TO RIDE CARS</t>
        </is>
      </c>
      <c r="J4258" s="8" t="n">
        <v>2016</v>
      </c>
      <c r="K4258" s="9" t="n">
        <v>64039</v>
      </c>
      <c r="L4258" s="10" t="n">
        <v>80000</v>
      </c>
      <c r="M4258" s="10" t="n">
        <v>4237.29</v>
      </c>
      <c r="N4258" s="11">
        <f>IF(M4258="","",ROUND(M4258*1.18,2))</f>
        <v/>
      </c>
      <c r="O4258" s="12">
        <f>IF(M4258="","",ROUND(N4258-M4258,2))</f>
        <v/>
      </c>
      <c r="P4258" s="13">
        <f>IF(AND(A4258&lt;&gt;"",B4258&lt;&gt;""), A4258&amp;" · "&amp;B4258, "")</f>
        <v/>
      </c>
    </row>
    <row r="4259">
      <c r="A4259" s="6" t="inlineStr">
        <is>
          <t>FY27</t>
        </is>
      </c>
      <c r="B4259" s="6" t="inlineStr">
        <is>
          <t>Sep</t>
        </is>
      </c>
      <c r="C4259" s="6" t="inlineStr">
        <is>
          <t>TN</t>
        </is>
      </c>
      <c r="D4259" s="7" t="inlineStr">
        <is>
          <t>TN59BR0580</t>
        </is>
      </c>
      <c r="E4259" s="7" t="inlineStr">
        <is>
          <t>HYUNDAI</t>
        </is>
      </c>
      <c r="F4259" s="7" t="inlineStr">
        <is>
          <t>Grand i10</t>
        </is>
      </c>
      <c r="G4259" s="7" t="inlineStr">
        <is>
          <t>EXCHANGE ROTN</t>
        </is>
      </c>
      <c r="H4259" s="7" t="inlineStr">
        <is>
          <t>Captive</t>
        </is>
      </c>
      <c r="I4259" s="7" t="inlineStr">
        <is>
          <t>Aswin Cars</t>
        </is>
      </c>
      <c r="J4259" s="8" t="n">
        <v>2018</v>
      </c>
      <c r="K4259" s="9" t="n">
        <v>45107</v>
      </c>
      <c r="L4259" s="10" t="n">
        <v>370000</v>
      </c>
      <c r="M4259" s="10" t="n">
        <v>16949.15</v>
      </c>
      <c r="N4259" s="11">
        <f>IF(M4259="","",ROUND(M4259*1.18,2))</f>
        <v/>
      </c>
      <c r="O4259" s="12">
        <f>IF(M4259="","",ROUND(N4259-M4259,2))</f>
        <v/>
      </c>
      <c r="P4259" s="13">
        <f>IF(AND(A4259&lt;&gt;"",B4259&lt;&gt;""), A4259&amp;" · "&amp;B4259, "")</f>
        <v/>
      </c>
    </row>
    <row r="4260">
      <c r="A4260" s="6" t="inlineStr">
        <is>
          <t>FY27</t>
        </is>
      </c>
      <c r="B4260" s="6" t="inlineStr">
        <is>
          <t>Sep</t>
        </is>
      </c>
      <c r="C4260" s="6" t="inlineStr">
        <is>
          <t>TN</t>
        </is>
      </c>
      <c r="D4260" s="7" t="inlineStr">
        <is>
          <t>TN59CA0439</t>
        </is>
      </c>
      <c r="E4260" s="7" t="inlineStr">
        <is>
          <t>MARUTI SUZUKI</t>
        </is>
      </c>
      <c r="F4260" s="7" t="inlineStr">
        <is>
          <t>Dzire</t>
        </is>
      </c>
      <c r="G4260" s="7" t="inlineStr">
        <is>
          <t>CARS INDIA</t>
        </is>
      </c>
      <c r="H4260" s="7" t="inlineStr">
        <is>
          <t>Non-Captive</t>
        </is>
      </c>
      <c r="I4260" s="7" t="inlineStr">
        <is>
          <t>Santhosh Cars</t>
        </is>
      </c>
      <c r="J4260" s="8" t="n">
        <v>2018</v>
      </c>
      <c r="K4260" s="9" t="n">
        <v>55442</v>
      </c>
      <c r="L4260" s="10" t="n">
        <v>97000</v>
      </c>
      <c r="M4260" s="10" t="n">
        <v>4237.29</v>
      </c>
      <c r="N4260" s="11">
        <f>IF(M4260="","",ROUND(M4260*1.18,2))</f>
        <v/>
      </c>
      <c r="O4260" s="12">
        <f>IF(M4260="","",ROUND(N4260-M4260,2))</f>
        <v/>
      </c>
      <c r="P4260" s="13">
        <f>IF(AND(A4260&lt;&gt;"",B4260&lt;&gt;""), A4260&amp;" · "&amp;B4260, "")</f>
        <v/>
      </c>
    </row>
    <row r="4261">
      <c r="A4261" s="6" t="inlineStr">
        <is>
          <t>FY27</t>
        </is>
      </c>
      <c r="B4261" s="6" t="inlineStr">
        <is>
          <t>Sep</t>
        </is>
      </c>
      <c r="C4261" s="6" t="inlineStr">
        <is>
          <t>TN</t>
        </is>
      </c>
      <c r="D4261" s="7" t="inlineStr">
        <is>
          <t>TN59CE3415</t>
        </is>
      </c>
      <c r="E4261" s="7" t="inlineStr">
        <is>
          <t>FORD</t>
        </is>
      </c>
      <c r="F4261" s="7" t="inlineStr">
        <is>
          <t>Figo</t>
        </is>
      </c>
      <c r="G4261" s="7" t="inlineStr">
        <is>
          <t>EXCHANGE ROTN</t>
        </is>
      </c>
      <c r="H4261" s="7" t="inlineStr">
        <is>
          <t>Captive</t>
        </is>
      </c>
      <c r="I4261" s="7" t="inlineStr">
        <is>
          <t>READY TO RIDE CARS</t>
        </is>
      </c>
      <c r="J4261" s="8" t="n">
        <v>2019</v>
      </c>
      <c r="K4261" s="9" t="n">
        <v>57237</v>
      </c>
      <c r="L4261" s="10" t="n">
        <v>300000</v>
      </c>
      <c r="M4261" s="10" t="n">
        <v>12711.86</v>
      </c>
      <c r="N4261" s="11">
        <f>IF(M4261="","",ROUND(M4261*1.18,2))</f>
        <v/>
      </c>
      <c r="O4261" s="12">
        <f>IF(M4261="","",ROUND(N4261-M4261,2))</f>
        <v/>
      </c>
      <c r="P4261" s="13">
        <f>IF(AND(A4261&lt;&gt;"",B4261&lt;&gt;""), A4261&amp;" · "&amp;B4261, "")</f>
        <v/>
      </c>
    </row>
    <row r="4262">
      <c r="A4262" s="6" t="inlineStr">
        <is>
          <t>FY27</t>
        </is>
      </c>
      <c r="B4262" s="6" t="inlineStr">
        <is>
          <t>Sep</t>
        </is>
      </c>
      <c r="C4262" s="6" t="inlineStr">
        <is>
          <t>TN</t>
        </is>
      </c>
      <c r="D4262" s="7" t="inlineStr">
        <is>
          <t>TN59CH7688</t>
        </is>
      </c>
      <c r="E4262" s="7" t="inlineStr">
        <is>
          <t>HONDA</t>
        </is>
      </c>
      <c r="F4262" s="7" t="inlineStr">
        <is>
          <t>Amaze</t>
        </is>
      </c>
      <c r="G4262" s="7" t="inlineStr">
        <is>
          <t>EXCHANGE ROTN</t>
        </is>
      </c>
      <c r="H4262" s="7" t="inlineStr">
        <is>
          <t>Captive</t>
        </is>
      </c>
      <c r="I4262" s="7" t="inlineStr">
        <is>
          <t>Thirumalai Cars (Madurai</t>
        </is>
      </c>
      <c r="J4262" s="8" t="n">
        <v>2020</v>
      </c>
      <c r="K4262" s="9" t="n">
        <v>103336</v>
      </c>
      <c r="L4262" s="10" t="n">
        <v>440000</v>
      </c>
      <c r="M4262" s="10" t="n">
        <v>16949.15</v>
      </c>
      <c r="N4262" s="11">
        <f>IF(M4262="","",ROUND(M4262*1.18,2))</f>
        <v/>
      </c>
      <c r="O4262" s="12">
        <f>IF(M4262="","",ROUND(N4262-M4262,2))</f>
        <v/>
      </c>
      <c r="P4262" s="13">
        <f>IF(AND(A4262&lt;&gt;"",B4262&lt;&gt;""), A4262&amp;" · "&amp;B4262, "")</f>
        <v/>
      </c>
    </row>
    <row r="4263">
      <c r="A4263" s="6" t="inlineStr">
        <is>
          <t>FY27</t>
        </is>
      </c>
      <c r="B4263" s="6" t="inlineStr">
        <is>
          <t>Sep</t>
        </is>
      </c>
      <c r="C4263" s="6" t="inlineStr">
        <is>
          <t>TN</t>
        </is>
      </c>
      <c r="D4263" s="7" t="inlineStr">
        <is>
          <t>TN59CQ0477</t>
        </is>
      </c>
      <c r="E4263" s="7" t="inlineStr">
        <is>
          <t>TOYOTA</t>
        </is>
      </c>
      <c r="F4263" s="7" t="inlineStr">
        <is>
          <t>Glanza</t>
        </is>
      </c>
      <c r="G4263" s="7" t="inlineStr">
        <is>
          <t>EXCHANGE ROTN</t>
        </is>
      </c>
      <c r="H4263" s="7" t="inlineStr">
        <is>
          <t>Captive</t>
        </is>
      </c>
      <c r="I4263" s="7" t="inlineStr">
        <is>
          <t>Paul Cars</t>
        </is>
      </c>
      <c r="J4263" s="8" t="n">
        <v>2022</v>
      </c>
      <c r="K4263" s="9" t="n">
        <v>76859</v>
      </c>
      <c r="L4263" s="10" t="n">
        <v>500000</v>
      </c>
      <c r="M4263" s="10" t="n">
        <v>12711.86</v>
      </c>
      <c r="N4263" s="11">
        <f>IF(M4263="","",ROUND(M4263*1.18,2))</f>
        <v/>
      </c>
      <c r="O4263" s="12">
        <f>IF(M4263="","",ROUND(N4263-M4263,2))</f>
        <v/>
      </c>
      <c r="P4263" s="13">
        <f>IF(AND(A4263&lt;&gt;"",B4263&lt;&gt;""), A4263&amp;" · "&amp;B4263, "")</f>
        <v/>
      </c>
    </row>
    <row r="4264">
      <c r="A4264" s="6" t="inlineStr">
        <is>
          <t>FY27</t>
        </is>
      </c>
      <c r="B4264" s="6" t="inlineStr">
        <is>
          <t>Sep</t>
        </is>
      </c>
      <c r="C4264" s="6" t="inlineStr">
        <is>
          <t>TN</t>
        </is>
      </c>
      <c r="D4264" s="7" t="inlineStr">
        <is>
          <t>TN60J1516</t>
        </is>
      </c>
      <c r="E4264" s="7" t="inlineStr">
        <is>
          <t>FORD</t>
        </is>
      </c>
      <c r="F4264" s="7" t="inlineStr">
        <is>
          <t>Fiesta</t>
        </is>
      </c>
      <c r="G4264" s="7" t="inlineStr">
        <is>
          <t>EXCHANGE ROTN</t>
        </is>
      </c>
      <c r="H4264" s="7" t="inlineStr">
        <is>
          <t>Captive</t>
        </is>
      </c>
      <c r="I4264" s="7" t="inlineStr">
        <is>
          <t>Uzhavan Enterprise</t>
        </is>
      </c>
      <c r="J4264" s="8" t="n">
        <v>2011</v>
      </c>
      <c r="K4264" s="9" t="n">
        <v>182852</v>
      </c>
      <c r="L4264" s="10" t="n">
        <v>70000</v>
      </c>
      <c r="M4264" s="10" t="n">
        <v>5932.2</v>
      </c>
      <c r="N4264" s="11">
        <f>IF(M4264="","",ROUND(M4264*1.18,2))</f>
        <v/>
      </c>
      <c r="O4264" s="12">
        <f>IF(M4264="","",ROUND(N4264-M4264,2))</f>
        <v/>
      </c>
      <c r="P4264" s="13">
        <f>IF(AND(A4264&lt;&gt;"",B4264&lt;&gt;""), A4264&amp;" · "&amp;B4264, "")</f>
        <v/>
      </c>
    </row>
    <row r="4265">
      <c r="A4265" s="6" t="inlineStr">
        <is>
          <t>FY27</t>
        </is>
      </c>
      <c r="B4265" s="6" t="inlineStr">
        <is>
          <t>Sep</t>
        </is>
      </c>
      <c r="C4265" s="6" t="inlineStr">
        <is>
          <t>TN</t>
        </is>
      </c>
      <c r="D4265" s="7" t="inlineStr">
        <is>
          <t>TN63AV1212</t>
        </is>
      </c>
      <c r="E4265" s="7" t="inlineStr">
        <is>
          <t>FORD</t>
        </is>
      </c>
      <c r="F4265" s="7" t="inlineStr">
        <is>
          <t>Figo</t>
        </is>
      </c>
      <c r="G4265" s="7" t="inlineStr">
        <is>
          <t>EXCHANGE ROTN</t>
        </is>
      </c>
      <c r="H4265" s="7" t="inlineStr">
        <is>
          <t>Captive</t>
        </is>
      </c>
      <c r="I4265" s="7" t="inlineStr">
        <is>
          <t>Aswin Cars</t>
        </is>
      </c>
      <c r="J4265" s="8" t="n">
        <v>2014</v>
      </c>
      <c r="K4265" s="9" t="n">
        <v>125773</v>
      </c>
      <c r="L4265" s="10" t="n">
        <v>80000</v>
      </c>
      <c r="M4265" s="10" t="n">
        <v>4237.29</v>
      </c>
      <c r="N4265" s="11">
        <f>IF(M4265="","",ROUND(M4265*1.18,2))</f>
        <v/>
      </c>
      <c r="O4265" s="12">
        <f>IF(M4265="","",ROUND(N4265-M4265,2))</f>
        <v/>
      </c>
      <c r="P4265" s="13">
        <f>IF(AND(A4265&lt;&gt;"",B4265&lt;&gt;""), A4265&amp;" · "&amp;B4265, "")</f>
        <v/>
      </c>
    </row>
    <row r="4266">
      <c r="A4266" s="6" t="inlineStr">
        <is>
          <t>FY27</t>
        </is>
      </c>
      <c r="B4266" s="6" t="inlineStr">
        <is>
          <t>Sep</t>
        </is>
      </c>
      <c r="C4266" s="6" t="inlineStr">
        <is>
          <t>TN</t>
        </is>
      </c>
      <c r="D4266" s="7" t="inlineStr">
        <is>
          <t>TN63BV3476</t>
        </is>
      </c>
      <c r="E4266" s="7" t="inlineStr">
        <is>
          <t>MARUTI SUZUKI</t>
        </is>
      </c>
      <c r="F4266" s="7" t="inlineStr">
        <is>
          <t>Swift</t>
        </is>
      </c>
      <c r="G4266" s="7" t="inlineStr">
        <is>
          <t>EXCHANGE ROTN</t>
        </is>
      </c>
      <c r="H4266" s="7" t="inlineStr">
        <is>
          <t>Captive</t>
        </is>
      </c>
      <c r="I4266" s="7" t="inlineStr">
        <is>
          <t>Aswin Cars</t>
        </is>
      </c>
      <c r="J4266" s="8" t="n">
        <v>2020</v>
      </c>
      <c r="K4266" s="9" t="n">
        <v>69618</v>
      </c>
      <c r="L4266" s="10" t="n">
        <v>483000</v>
      </c>
      <c r="M4266" s="10" t="n">
        <v>10169.49</v>
      </c>
      <c r="N4266" s="11">
        <f>IF(M4266="","",ROUND(M4266*1.18,2))</f>
        <v/>
      </c>
      <c r="O4266" s="12">
        <f>IF(M4266="","",ROUND(N4266-M4266,2))</f>
        <v/>
      </c>
      <c r="P4266" s="13">
        <f>IF(AND(A4266&lt;&gt;"",B4266&lt;&gt;""), A4266&amp;" · "&amp;B4266, "")</f>
        <v/>
      </c>
    </row>
    <row r="4267">
      <c r="A4267" s="6" t="inlineStr">
        <is>
          <t>FY27</t>
        </is>
      </c>
      <c r="B4267" s="6" t="inlineStr">
        <is>
          <t>Sep</t>
        </is>
      </c>
      <c r="C4267" s="6" t="inlineStr">
        <is>
          <t>TN</t>
        </is>
      </c>
      <c r="D4267" s="7" t="inlineStr">
        <is>
          <t>TN63M7273</t>
        </is>
      </c>
      <c r="E4267" s="7" t="inlineStr">
        <is>
          <t>FIAT</t>
        </is>
      </c>
      <c r="F4267" s="7" t="inlineStr">
        <is>
          <t>Grand Punto</t>
        </is>
      </c>
      <c r="G4267" s="7" t="inlineStr">
        <is>
          <t>EXCHANGE ROTN</t>
        </is>
      </c>
      <c r="H4267" s="7" t="inlineStr">
        <is>
          <t>Captive</t>
        </is>
      </c>
      <c r="I4267" s="7" t="inlineStr">
        <is>
          <t>&lt;NA&gt;</t>
        </is>
      </c>
      <c r="J4267" s="8" t="n">
        <v>2010</v>
      </c>
      <c r="K4267" s="9" t="n">
        <v>210520</v>
      </c>
      <c r="L4267" s="10" t="n">
        <v>75000</v>
      </c>
      <c r="M4267" s="10" t="n">
        <v>4237.29</v>
      </c>
      <c r="N4267" s="11">
        <f>IF(M4267="","",ROUND(M4267*1.18,2))</f>
        <v/>
      </c>
      <c r="O4267" s="12">
        <f>IF(M4267="","",ROUND(N4267-M4267,2))</f>
        <v/>
      </c>
      <c r="P4267" s="13">
        <f>IF(AND(A4267&lt;&gt;"",B4267&lt;&gt;""), A4267&amp;" · "&amp;B4267, "")</f>
        <v/>
      </c>
    </row>
    <row r="4268">
      <c r="A4268" s="6" t="inlineStr">
        <is>
          <t>FY27</t>
        </is>
      </c>
      <c r="B4268" s="6" t="inlineStr">
        <is>
          <t>Sep</t>
        </is>
      </c>
      <c r="C4268" s="6" t="inlineStr">
        <is>
          <t>TN</t>
        </is>
      </c>
      <c r="D4268" s="7" t="inlineStr">
        <is>
          <t>TN63S6465</t>
        </is>
      </c>
      <c r="E4268" s="7" t="inlineStr">
        <is>
          <t>HYUNDAI</t>
        </is>
      </c>
      <c r="F4268" s="7" t="inlineStr">
        <is>
          <t>i10</t>
        </is>
      </c>
      <c r="G4268" s="7" t="inlineStr">
        <is>
          <t>EXCHANGE ROTN</t>
        </is>
      </c>
      <c r="H4268" s="7" t="inlineStr">
        <is>
          <t>Captive</t>
        </is>
      </c>
      <c r="I4268" s="7" t="inlineStr">
        <is>
          <t>&lt;NA&gt;</t>
        </is>
      </c>
      <c r="J4268" s="8" t="n">
        <v>2009</v>
      </c>
      <c r="K4268" s="9" t="n">
        <v>142874</v>
      </c>
      <c r="L4268" s="10" t="n">
        <v>110000</v>
      </c>
      <c r="M4268" s="10" t="n">
        <v>4237.29</v>
      </c>
      <c r="N4268" s="11">
        <f>IF(M4268="","",ROUND(M4268*1.18,2))</f>
        <v/>
      </c>
      <c r="O4268" s="12">
        <f>IF(M4268="","",ROUND(N4268-M4268,2))</f>
        <v/>
      </c>
      <c r="P4268" s="13">
        <f>IF(AND(A4268&lt;&gt;"",B4268&lt;&gt;""), A4268&amp;" · "&amp;B4268, "")</f>
        <v/>
      </c>
    </row>
    <row r="4269">
      <c r="A4269" s="6" t="inlineStr">
        <is>
          <t>FY27</t>
        </is>
      </c>
      <c r="B4269" s="6" t="inlineStr">
        <is>
          <t>Sep</t>
        </is>
      </c>
      <c r="C4269" s="6" t="inlineStr">
        <is>
          <t>TN</t>
        </is>
      </c>
      <c r="D4269" s="7" t="inlineStr">
        <is>
          <t>TN63T9679</t>
        </is>
      </c>
      <c r="E4269" s="7" t="inlineStr">
        <is>
          <t>TATA</t>
        </is>
      </c>
      <c r="F4269" s="7" t="inlineStr">
        <is>
          <t>Indigo</t>
        </is>
      </c>
      <c r="G4269" s="7" t="inlineStr">
        <is>
          <t>EXCHANGE ROTN</t>
        </is>
      </c>
      <c r="H4269" s="7" t="inlineStr">
        <is>
          <t>Captive</t>
        </is>
      </c>
      <c r="I4269" s="7" t="inlineStr">
        <is>
          <t>READY TO RIDE CARS</t>
        </is>
      </c>
      <c r="J4269" s="8" t="n">
        <v>2008</v>
      </c>
      <c r="K4269" s="9" t="n">
        <v>145484</v>
      </c>
      <c r="L4269" s="10" t="n">
        <v>50000</v>
      </c>
      <c r="M4269" s="10" t="n">
        <v>4237.29</v>
      </c>
      <c r="N4269" s="11">
        <f>IF(M4269="","",ROUND(M4269*1.18,2))</f>
        <v/>
      </c>
      <c r="O4269" s="12">
        <f>IF(M4269="","",ROUND(N4269-M4269,2))</f>
        <v/>
      </c>
      <c r="P4269" s="13">
        <f>IF(AND(A4269&lt;&gt;"",B4269&lt;&gt;""), A4269&amp;" · "&amp;B4269, "")</f>
        <v/>
      </c>
    </row>
    <row r="4270">
      <c r="A4270" s="6" t="inlineStr">
        <is>
          <t>FY27</t>
        </is>
      </c>
      <c r="B4270" s="6" t="inlineStr">
        <is>
          <t>Sep</t>
        </is>
      </c>
      <c r="C4270" s="6" t="inlineStr">
        <is>
          <t>TN</t>
        </is>
      </c>
      <c r="D4270" s="7" t="inlineStr">
        <is>
          <t>TN64F5359</t>
        </is>
      </c>
      <c r="E4270" s="7" t="inlineStr">
        <is>
          <t>HYUNDAI</t>
        </is>
      </c>
      <c r="F4270" s="7" t="inlineStr">
        <is>
          <t>Eon</t>
        </is>
      </c>
      <c r="G4270" s="7" t="inlineStr">
        <is>
          <t>EXCHANGE ROTN</t>
        </is>
      </c>
      <c r="H4270" s="7" t="inlineStr">
        <is>
          <t>Captive</t>
        </is>
      </c>
      <c r="I4270" s="7" t="inlineStr">
        <is>
          <t>Aswin Cars</t>
        </is>
      </c>
      <c r="J4270" s="8" t="n">
        <v>2013</v>
      </c>
      <c r="K4270" s="9" t="n">
        <v>80649</v>
      </c>
      <c r="L4270" s="10" t="n">
        <v>92000</v>
      </c>
      <c r="M4270" s="10" t="n">
        <v>4237.29</v>
      </c>
      <c r="N4270" s="11">
        <f>IF(M4270="","",ROUND(M4270*1.18,2))</f>
        <v/>
      </c>
      <c r="O4270" s="12">
        <f>IF(M4270="","",ROUND(N4270-M4270,2))</f>
        <v/>
      </c>
      <c r="P4270" s="13">
        <f>IF(AND(A4270&lt;&gt;"",B4270&lt;&gt;""), A4270&amp;" · "&amp;B4270, "")</f>
        <v/>
      </c>
    </row>
    <row r="4271">
      <c r="A4271" s="6" t="inlineStr">
        <is>
          <t>FY27</t>
        </is>
      </c>
      <c r="B4271" s="6" t="inlineStr">
        <is>
          <t>Sep</t>
        </is>
      </c>
      <c r="C4271" s="6" t="inlineStr">
        <is>
          <t>TN</t>
        </is>
      </c>
      <c r="D4271" s="7" t="inlineStr">
        <is>
          <t>TN64Q7762</t>
        </is>
      </c>
      <c r="E4271" s="7" t="inlineStr">
        <is>
          <t>MARUTI SUZUKI</t>
        </is>
      </c>
      <c r="F4271" s="7" t="inlineStr">
        <is>
          <t>Baleno</t>
        </is>
      </c>
      <c r="G4271" s="7" t="inlineStr">
        <is>
          <t>EXCHANGE ROTN</t>
        </is>
      </c>
      <c r="H4271" s="7" t="inlineStr">
        <is>
          <t>Captive</t>
        </is>
      </c>
      <c r="I4271" s="7" t="inlineStr">
        <is>
          <t>Shree Cars (Coimbatore</t>
        </is>
      </c>
      <c r="J4271" s="8" t="n">
        <v>2017</v>
      </c>
      <c r="K4271" s="9" t="n">
        <v>56644</v>
      </c>
      <c r="L4271" s="10" t="n">
        <v>430000</v>
      </c>
      <c r="M4271" s="10" t="n">
        <v>12711.86</v>
      </c>
      <c r="N4271" s="11">
        <f>IF(M4271="","",ROUND(M4271*1.18,2))</f>
        <v/>
      </c>
      <c r="O4271" s="12">
        <f>IF(M4271="","",ROUND(N4271-M4271,2))</f>
        <v/>
      </c>
      <c r="P4271" s="13">
        <f>IF(AND(A4271&lt;&gt;"",B4271&lt;&gt;""), A4271&amp;" · "&amp;B4271, "")</f>
        <v/>
      </c>
    </row>
    <row r="4272">
      <c r="A4272" s="6" t="inlineStr">
        <is>
          <t>FY27</t>
        </is>
      </c>
      <c r="B4272" s="6" t="inlineStr">
        <is>
          <t>Sep</t>
        </is>
      </c>
      <c r="C4272" s="6" t="inlineStr">
        <is>
          <t>TN</t>
        </is>
      </c>
      <c r="D4272" s="7" t="inlineStr">
        <is>
          <t>TN65AK1423</t>
        </is>
      </c>
      <c r="E4272" s="7" t="inlineStr">
        <is>
          <t>MARUTI SUZUKI</t>
        </is>
      </c>
      <c r="F4272" s="7" t="inlineStr">
        <is>
          <t>Swift</t>
        </is>
      </c>
      <c r="G4272" s="7" t="inlineStr">
        <is>
          <t>EXCHANGE ROTN</t>
        </is>
      </c>
      <c r="H4272" s="7" t="inlineStr">
        <is>
          <t>Captive</t>
        </is>
      </c>
      <c r="I4272" s="7" t="inlineStr">
        <is>
          <t>DINDIGUL VALUE CAR</t>
        </is>
      </c>
      <c r="J4272" s="8" t="n">
        <v>2018</v>
      </c>
      <c r="K4272" s="9" t="n">
        <v>298777</v>
      </c>
      <c r="L4272" s="10" t="n">
        <v>302000</v>
      </c>
      <c r="M4272" s="10" t="n">
        <v>11016.95</v>
      </c>
      <c r="N4272" s="11">
        <f>IF(M4272="","",ROUND(M4272*1.18,2))</f>
        <v/>
      </c>
      <c r="O4272" s="12">
        <f>IF(M4272="","",ROUND(N4272-M4272,2))</f>
        <v/>
      </c>
      <c r="P4272" s="13">
        <f>IF(AND(A4272&lt;&gt;"",B4272&lt;&gt;""), A4272&amp;" · "&amp;B4272, "")</f>
        <v/>
      </c>
    </row>
    <row r="4273">
      <c r="A4273" s="6" t="inlineStr">
        <is>
          <t>FY27</t>
        </is>
      </c>
      <c r="B4273" s="6" t="inlineStr">
        <is>
          <t>Sep</t>
        </is>
      </c>
      <c r="C4273" s="6" t="inlineStr">
        <is>
          <t>TN</t>
        </is>
      </c>
      <c r="D4273" s="7" t="inlineStr">
        <is>
          <t>TN65P9690</t>
        </is>
      </c>
      <c r="E4273" s="7" t="inlineStr">
        <is>
          <t>FORD</t>
        </is>
      </c>
      <c r="F4273" s="7" t="inlineStr">
        <is>
          <t>Fiesta</t>
        </is>
      </c>
      <c r="G4273" s="7" t="inlineStr">
        <is>
          <t>EXCHANGE ROTN</t>
        </is>
      </c>
      <c r="H4273" s="7" t="inlineStr">
        <is>
          <t>Captive</t>
        </is>
      </c>
      <c r="I4273" s="7" t="inlineStr">
        <is>
          <t>Aswin Cars</t>
        </is>
      </c>
      <c r="J4273" s="8" t="n">
        <v>2012</v>
      </c>
      <c r="K4273" s="9" t="n">
        <v>155476</v>
      </c>
      <c r="L4273" s="10" t="n">
        <v>65000</v>
      </c>
      <c r="M4273" s="10" t="n">
        <v>4237.29</v>
      </c>
      <c r="N4273" s="11">
        <f>IF(M4273="","",ROUND(M4273*1.18,2))</f>
        <v/>
      </c>
      <c r="O4273" s="12">
        <f>IF(M4273="","",ROUND(N4273-M4273,2))</f>
        <v/>
      </c>
      <c r="P4273" s="13">
        <f>IF(AND(A4273&lt;&gt;"",B4273&lt;&gt;""), A4273&amp;" · "&amp;B4273, "")</f>
        <v/>
      </c>
    </row>
    <row r="4274">
      <c r="A4274" s="6" t="inlineStr">
        <is>
          <t>FY27</t>
        </is>
      </c>
      <c r="B4274" s="6" t="inlineStr">
        <is>
          <t>Sep</t>
        </is>
      </c>
      <c r="C4274" s="6" t="inlineStr">
        <is>
          <t>TN</t>
        </is>
      </c>
      <c r="D4274" s="7" t="inlineStr">
        <is>
          <t>TN65X4003</t>
        </is>
      </c>
      <c r="E4274" s="7" t="inlineStr">
        <is>
          <t>HYUNDAI</t>
        </is>
      </c>
      <c r="F4274" s="7" t="inlineStr">
        <is>
          <t>Santro</t>
        </is>
      </c>
      <c r="G4274" s="7" t="inlineStr">
        <is>
          <t>LAKSHMI TATA</t>
        </is>
      </c>
      <c r="H4274" s="7" t="inlineStr">
        <is>
          <t>Non-Captive</t>
        </is>
      </c>
      <c r="I4274" s="7" t="inlineStr">
        <is>
          <t>Balaji Cars</t>
        </is>
      </c>
      <c r="J4274" s="8" t="n">
        <v>2011</v>
      </c>
      <c r="K4274" s="9" t="n">
        <v>86921</v>
      </c>
      <c r="L4274" s="10" t="n">
        <v>93000</v>
      </c>
      <c r="M4274" s="10" t="n">
        <v>4237.29</v>
      </c>
      <c r="N4274" s="11">
        <f>IF(M4274="","",ROUND(M4274*1.18,2))</f>
        <v/>
      </c>
      <c r="O4274" s="12">
        <f>IF(M4274="","",ROUND(N4274-M4274,2))</f>
        <v/>
      </c>
      <c r="P4274" s="13">
        <f>IF(AND(A4274&lt;&gt;"",B4274&lt;&gt;""), A4274&amp;" · "&amp;B4274, "")</f>
        <v/>
      </c>
    </row>
    <row r="4275">
      <c r="A4275" s="6" t="inlineStr">
        <is>
          <t>FY27</t>
        </is>
      </c>
      <c r="B4275" s="6" t="inlineStr">
        <is>
          <t>Sep</t>
        </is>
      </c>
      <c r="C4275" s="6" t="inlineStr">
        <is>
          <t>TN</t>
        </is>
      </c>
      <c r="D4275" s="7" t="inlineStr">
        <is>
          <t>TN66C8455</t>
        </is>
      </c>
      <c r="E4275" s="7" t="inlineStr">
        <is>
          <t>HONDA</t>
        </is>
      </c>
      <c r="F4275" s="7" t="inlineStr">
        <is>
          <t>City</t>
        </is>
      </c>
      <c r="G4275" s="7" t="inlineStr">
        <is>
          <t>EXCHANGE ROTN</t>
        </is>
      </c>
      <c r="H4275" s="7" t="inlineStr">
        <is>
          <t>Captive</t>
        </is>
      </c>
      <c r="I4275" s="7" t="inlineStr">
        <is>
          <t>Uzhavan Enterprise</t>
        </is>
      </c>
      <c r="J4275" s="8" t="n">
        <v>2011</v>
      </c>
      <c r="K4275" s="9" t="n">
        <v>243751</v>
      </c>
      <c r="L4275" s="10" t="n">
        <v>190000</v>
      </c>
      <c r="M4275" s="10" t="n">
        <v>6355.93</v>
      </c>
      <c r="N4275" s="11">
        <f>IF(M4275="","",ROUND(M4275*1.18,2))</f>
        <v/>
      </c>
      <c r="O4275" s="12">
        <f>IF(M4275="","",ROUND(N4275-M4275,2))</f>
        <v/>
      </c>
      <c r="P4275" s="13">
        <f>IF(AND(A4275&lt;&gt;"",B4275&lt;&gt;""), A4275&amp;" · "&amp;B4275, "")</f>
        <v/>
      </c>
    </row>
    <row r="4276">
      <c r="A4276" s="6" t="inlineStr">
        <is>
          <t>FY27</t>
        </is>
      </c>
      <c r="B4276" s="6" t="inlineStr">
        <is>
          <t>Sep</t>
        </is>
      </c>
      <c r="C4276" s="6" t="inlineStr">
        <is>
          <t>TN</t>
        </is>
      </c>
      <c r="D4276" s="7" t="inlineStr">
        <is>
          <t>TN66D5798</t>
        </is>
      </c>
      <c r="E4276" s="7" t="inlineStr">
        <is>
          <t>HYUNDAI</t>
        </is>
      </c>
      <c r="F4276" s="7" t="inlineStr">
        <is>
          <t>Santro</t>
        </is>
      </c>
      <c r="G4276" s="7" t="inlineStr">
        <is>
          <t>EXCHANGE ROTN</t>
        </is>
      </c>
      <c r="H4276" s="7" t="inlineStr">
        <is>
          <t>Captive</t>
        </is>
      </c>
      <c r="I4276" s="7" t="inlineStr">
        <is>
          <t>Sivashankar Cars</t>
        </is>
      </c>
      <c r="J4276" s="8" t="n">
        <v>2011</v>
      </c>
      <c r="K4276" s="9" t="n">
        <v>74913</v>
      </c>
      <c r="L4276" s="10" t="n">
        <v>135000</v>
      </c>
      <c r="M4276" s="10" t="n">
        <v>5084.75</v>
      </c>
      <c r="N4276" s="11">
        <f>IF(M4276="","",ROUND(M4276*1.18,2))</f>
        <v/>
      </c>
      <c r="O4276" s="12">
        <f>IF(M4276="","",ROUND(N4276-M4276,2))</f>
        <v/>
      </c>
      <c r="P4276" s="13">
        <f>IF(AND(A4276&lt;&gt;"",B4276&lt;&gt;""), A4276&amp;" · "&amp;B4276, "")</f>
        <v/>
      </c>
    </row>
    <row r="4277">
      <c r="A4277" s="6" t="inlineStr">
        <is>
          <t>FY27</t>
        </is>
      </c>
      <c r="B4277" s="6" t="inlineStr">
        <is>
          <t>Sep</t>
        </is>
      </c>
      <c r="C4277" s="6" t="inlineStr">
        <is>
          <t>TN</t>
        </is>
      </c>
      <c r="D4277" s="7" t="inlineStr">
        <is>
          <t>TN66E1181</t>
        </is>
      </c>
      <c r="E4277" s="7" t="inlineStr">
        <is>
          <t>MARUTI SUZUKI</t>
        </is>
      </c>
      <c r="F4277" s="7" t="inlineStr">
        <is>
          <t>A-Star</t>
        </is>
      </c>
      <c r="G4277" s="7" t="inlineStr">
        <is>
          <t>ABT LIMITED</t>
        </is>
      </c>
      <c r="H4277" s="7" t="inlineStr">
        <is>
          <t>Non-Captive</t>
        </is>
      </c>
      <c r="I4277" s="7" t="inlineStr">
        <is>
          <t>Pine Autos</t>
        </is>
      </c>
      <c r="J4277" s="8" t="n">
        <v>2011</v>
      </c>
      <c r="K4277" s="9" t="n">
        <v>52509</v>
      </c>
      <c r="L4277" s="10" t="n">
        <v>96000</v>
      </c>
      <c r="M4277" s="10" t="n">
        <v>4237.29</v>
      </c>
      <c r="N4277" s="11">
        <f>IF(M4277="","",ROUND(M4277*1.18,2))</f>
        <v/>
      </c>
      <c r="O4277" s="12">
        <f>IF(M4277="","",ROUND(N4277-M4277,2))</f>
        <v/>
      </c>
      <c r="P4277" s="13">
        <f>IF(AND(A4277&lt;&gt;"",B4277&lt;&gt;""), A4277&amp;" · "&amp;B4277, "")</f>
        <v/>
      </c>
    </row>
    <row r="4278">
      <c r="A4278" s="6" t="inlineStr">
        <is>
          <t>FY27</t>
        </is>
      </c>
      <c r="B4278" s="6" t="inlineStr">
        <is>
          <t>Sep</t>
        </is>
      </c>
      <c r="C4278" s="6" t="inlineStr">
        <is>
          <t>TN</t>
        </is>
      </c>
      <c r="D4278" s="7" t="inlineStr">
        <is>
          <t>TN66E1887</t>
        </is>
      </c>
      <c r="E4278" s="7" t="inlineStr">
        <is>
          <t>CHEVROLET</t>
        </is>
      </c>
      <c r="F4278" s="7" t="inlineStr">
        <is>
          <t>Beat</t>
        </is>
      </c>
      <c r="G4278" s="7" t="inlineStr">
        <is>
          <t>HARSHA TOYOTA</t>
        </is>
      </c>
      <c r="H4278" s="7" t="inlineStr">
        <is>
          <t>Non-Captive</t>
        </is>
      </c>
      <c r="I4278" s="7" t="inlineStr">
        <is>
          <t>Srijja Travels</t>
        </is>
      </c>
      <c r="J4278" s="8" t="n">
        <v>2011</v>
      </c>
      <c r="K4278" s="9" t="n">
        <v>99862</v>
      </c>
      <c r="L4278" s="10" t="n">
        <v>97000</v>
      </c>
      <c r="M4278" s="10" t="n">
        <v>4533.9</v>
      </c>
      <c r="N4278" s="11">
        <f>IF(M4278="","",ROUND(M4278*1.18,2))</f>
        <v/>
      </c>
      <c r="O4278" s="12">
        <f>IF(M4278="","",ROUND(N4278-M4278,2))</f>
        <v/>
      </c>
      <c r="P4278" s="13">
        <f>IF(AND(A4278&lt;&gt;"",B4278&lt;&gt;""), A4278&amp;" · "&amp;B4278, "")</f>
        <v/>
      </c>
    </row>
    <row r="4279">
      <c r="A4279" s="6" t="inlineStr">
        <is>
          <t>FY27</t>
        </is>
      </c>
      <c r="B4279" s="6" t="inlineStr">
        <is>
          <t>Sep</t>
        </is>
      </c>
      <c r="C4279" s="6" t="inlineStr">
        <is>
          <t>TN</t>
        </is>
      </c>
      <c r="D4279" s="7" t="inlineStr">
        <is>
          <t>TN66F3342</t>
        </is>
      </c>
      <c r="E4279" s="7" t="inlineStr">
        <is>
          <t>FIAT</t>
        </is>
      </c>
      <c r="F4279" s="7" t="inlineStr">
        <is>
          <t>Punto</t>
        </is>
      </c>
      <c r="G4279" s="7" t="inlineStr">
        <is>
          <t>VISHNU CARS PRIVATE LIMITED</t>
        </is>
      </c>
      <c r="H4279" s="7" t="inlineStr">
        <is>
          <t>Non-Captive</t>
        </is>
      </c>
      <c r="I4279" s="7" t="inlineStr">
        <is>
          <t>Grid 33</t>
        </is>
      </c>
      <c r="J4279" s="8" t="n">
        <v>2012</v>
      </c>
      <c r="K4279" s="9" t="n">
        <v>99999</v>
      </c>
      <c r="L4279" s="10" t="n">
        <v>98000</v>
      </c>
      <c r="M4279" s="10" t="n">
        <v>4237.29</v>
      </c>
      <c r="N4279" s="11">
        <f>IF(M4279="","",ROUND(M4279*1.18,2))</f>
        <v/>
      </c>
      <c r="O4279" s="12">
        <f>IF(M4279="","",ROUND(N4279-M4279,2))</f>
        <v/>
      </c>
      <c r="P4279" s="13">
        <f>IF(AND(A4279&lt;&gt;"",B4279&lt;&gt;""), A4279&amp;" · "&amp;B4279, "")</f>
        <v/>
      </c>
    </row>
    <row r="4280">
      <c r="A4280" s="6" t="inlineStr">
        <is>
          <t>FY27</t>
        </is>
      </c>
      <c r="B4280" s="6" t="inlineStr">
        <is>
          <t>Sep</t>
        </is>
      </c>
      <c r="C4280" s="6" t="inlineStr">
        <is>
          <t>TN</t>
        </is>
      </c>
      <c r="D4280" s="7" t="inlineStr">
        <is>
          <t>TN66S4143</t>
        </is>
      </c>
      <c r="E4280" s="7" t="inlineStr">
        <is>
          <t>MARUTI SUZUKI</t>
        </is>
      </c>
      <c r="F4280" s="7" t="inlineStr">
        <is>
          <t>Alto K10</t>
        </is>
      </c>
      <c r="G4280" s="7" t="inlineStr">
        <is>
          <t>EXCHANGE ROTN</t>
        </is>
      </c>
      <c r="H4280" s="7" t="inlineStr">
        <is>
          <t>Captive</t>
        </is>
      </c>
      <c r="I4280" s="7" t="inlineStr">
        <is>
          <t>Sai Cars</t>
        </is>
      </c>
      <c r="J4280" s="8" t="n">
        <v>2016</v>
      </c>
      <c r="K4280" s="9" t="n">
        <v>93390</v>
      </c>
      <c r="L4280" s="10" t="n">
        <v>86000</v>
      </c>
      <c r="M4280" s="10" t="n">
        <v>4237.29</v>
      </c>
      <c r="N4280" s="11">
        <f>IF(M4280="","",ROUND(M4280*1.18,2))</f>
        <v/>
      </c>
      <c r="O4280" s="12">
        <f>IF(M4280="","",ROUND(N4280-M4280,2))</f>
        <v/>
      </c>
      <c r="P4280" s="13">
        <f>IF(AND(A4280&lt;&gt;"",B4280&lt;&gt;""), A4280&amp;" · "&amp;B4280, "")</f>
        <v/>
      </c>
    </row>
    <row r="4281">
      <c r="A4281" s="6" t="inlineStr">
        <is>
          <t>FY27</t>
        </is>
      </c>
      <c r="B4281" s="6" t="inlineStr">
        <is>
          <t>Sep</t>
        </is>
      </c>
      <c r="C4281" s="6" t="inlineStr">
        <is>
          <t>TN</t>
        </is>
      </c>
      <c r="D4281" s="7" t="inlineStr">
        <is>
          <t>TN66S7629</t>
        </is>
      </c>
      <c r="E4281" s="7" t="inlineStr">
        <is>
          <t>DATSUN</t>
        </is>
      </c>
      <c r="F4281" s="7" t="inlineStr">
        <is>
          <t>Redi-GO</t>
        </is>
      </c>
      <c r="G4281" s="7" t="inlineStr">
        <is>
          <t>EXCHANGE ROTN</t>
        </is>
      </c>
      <c r="H4281" s="7" t="inlineStr">
        <is>
          <t>Captive</t>
        </is>
      </c>
      <c r="I4281" s="7" t="inlineStr">
        <is>
          <t>Gugha Cars</t>
        </is>
      </c>
      <c r="J4281" s="8" t="n">
        <v>2016</v>
      </c>
      <c r="K4281" s="9" t="n">
        <v>42267</v>
      </c>
      <c r="L4281" s="10" t="n">
        <v>180000</v>
      </c>
      <c r="M4281" s="10" t="n">
        <v>5084.75</v>
      </c>
      <c r="N4281" s="11">
        <f>IF(M4281="","",ROUND(M4281*1.18,2))</f>
        <v/>
      </c>
      <c r="O4281" s="12">
        <f>IF(M4281="","",ROUND(N4281-M4281,2))</f>
        <v/>
      </c>
      <c r="P4281" s="13">
        <f>IF(AND(A4281&lt;&gt;"",B4281&lt;&gt;""), A4281&amp;" · "&amp;B4281, "")</f>
        <v/>
      </c>
    </row>
    <row r="4282">
      <c r="A4282" s="6" t="inlineStr">
        <is>
          <t>FY27</t>
        </is>
      </c>
      <c r="B4282" s="6" t="inlineStr">
        <is>
          <t>Sep</t>
        </is>
      </c>
      <c r="C4282" s="6" t="inlineStr">
        <is>
          <t>TN</t>
        </is>
      </c>
      <c r="D4282" s="7" t="inlineStr">
        <is>
          <t>TN67AT1392</t>
        </is>
      </c>
      <c r="E4282" s="7" t="inlineStr">
        <is>
          <t>MARUTI SUZUKI</t>
        </is>
      </c>
      <c r="F4282" s="7" t="inlineStr">
        <is>
          <t>Alto</t>
        </is>
      </c>
      <c r="G4282" s="7" t="inlineStr">
        <is>
          <t>KALYANI MOTORS MARUTI</t>
        </is>
      </c>
      <c r="H4282" s="7" t="inlineStr">
        <is>
          <t>Non-Captive</t>
        </is>
      </c>
      <c r="I4282" s="7" t="inlineStr">
        <is>
          <t>Cars24</t>
        </is>
      </c>
      <c r="J4282" s="8" t="n">
        <v>2011</v>
      </c>
      <c r="K4282" s="9" t="n">
        <v>51151</v>
      </c>
      <c r="L4282" s="10" t="n">
        <v>87000</v>
      </c>
      <c r="M4282" s="10" t="n">
        <v>4237.29</v>
      </c>
      <c r="N4282" s="11">
        <f>IF(M4282="","",ROUND(M4282*1.18,2))</f>
        <v/>
      </c>
      <c r="O4282" s="12">
        <f>IF(M4282="","",ROUND(N4282-M4282,2))</f>
        <v/>
      </c>
      <c r="P4282" s="13">
        <f>IF(AND(A4282&lt;&gt;"",B4282&lt;&gt;""), A4282&amp;" · "&amp;B4282, "")</f>
        <v/>
      </c>
    </row>
    <row r="4283">
      <c r="A4283" s="6" t="inlineStr">
        <is>
          <t>FY27</t>
        </is>
      </c>
      <c r="B4283" s="6" t="inlineStr">
        <is>
          <t>Sep</t>
        </is>
      </c>
      <c r="C4283" s="6" t="inlineStr">
        <is>
          <t>TN</t>
        </is>
      </c>
      <c r="D4283" s="7" t="inlineStr">
        <is>
          <t>TN67E7494</t>
        </is>
      </c>
      <c r="E4283" s="7" t="inlineStr">
        <is>
          <t>MARUTI SUZUKI</t>
        </is>
      </c>
      <c r="F4283" s="7" t="inlineStr">
        <is>
          <t>Alto</t>
        </is>
      </c>
      <c r="G4283" s="7" t="inlineStr">
        <is>
          <t>EXCHANGE ROTN</t>
        </is>
      </c>
      <c r="H4283" s="7" t="inlineStr">
        <is>
          <t>Captive</t>
        </is>
      </c>
      <c r="I4283" s="7" t="inlineStr">
        <is>
          <t>Aswin Cars</t>
        </is>
      </c>
      <c r="J4283" s="8" t="n">
        <v>2005</v>
      </c>
      <c r="K4283" s="9" t="n">
        <v>92781</v>
      </c>
      <c r="L4283" s="10" t="n">
        <v>50000</v>
      </c>
      <c r="M4283" s="10" t="n">
        <v>4237.29</v>
      </c>
      <c r="N4283" s="11">
        <f>IF(M4283="","",ROUND(M4283*1.18,2))</f>
        <v/>
      </c>
      <c r="O4283" s="12">
        <f>IF(M4283="","",ROUND(N4283-M4283,2))</f>
        <v/>
      </c>
      <c r="P4283" s="13">
        <f>IF(AND(A4283&lt;&gt;"",B4283&lt;&gt;""), A4283&amp;" · "&amp;B4283, "")</f>
        <v/>
      </c>
    </row>
    <row r="4284">
      <c r="A4284" s="6" t="inlineStr">
        <is>
          <t>FY27</t>
        </is>
      </c>
      <c r="B4284" s="6" t="inlineStr">
        <is>
          <t>Sep</t>
        </is>
      </c>
      <c r="C4284" s="6" t="inlineStr">
        <is>
          <t>TN</t>
        </is>
      </c>
      <c r="D4284" s="7" t="inlineStr">
        <is>
          <t>TN68J1269</t>
        </is>
      </c>
      <c r="E4284" s="7" t="inlineStr">
        <is>
          <t>HYUNDAI</t>
        </is>
      </c>
      <c r="F4284" s="7" t="inlineStr">
        <is>
          <t>Santa Fe</t>
        </is>
      </c>
      <c r="G4284" s="7" t="inlineStr">
        <is>
          <t>CASTLE TRADERS MARUTI</t>
        </is>
      </c>
      <c r="H4284" s="7" t="inlineStr">
        <is>
          <t>Non-Captive</t>
        </is>
      </c>
      <c r="I4284" s="7" t="inlineStr">
        <is>
          <t>Jamuna Global</t>
        </is>
      </c>
      <c r="J4284" s="8" t="n">
        <v>2012</v>
      </c>
      <c r="K4284" s="9" t="n">
        <v>185419</v>
      </c>
      <c r="L4284" s="10" t="n">
        <v>179000</v>
      </c>
      <c r="M4284" s="10" t="n">
        <v>5084.75</v>
      </c>
      <c r="N4284" s="11">
        <f>IF(M4284="","",ROUND(M4284*1.18,2))</f>
        <v/>
      </c>
      <c r="O4284" s="12">
        <f>IF(M4284="","",ROUND(N4284-M4284,2))</f>
        <v/>
      </c>
      <c r="P4284" s="13">
        <f>IF(AND(A4284&lt;&gt;"",B4284&lt;&gt;""), A4284&amp;" · "&amp;B4284, "")</f>
        <v/>
      </c>
    </row>
    <row r="4285">
      <c r="A4285" s="6" t="inlineStr">
        <is>
          <t>FY27</t>
        </is>
      </c>
      <c r="B4285" s="6" t="inlineStr">
        <is>
          <t>Sep</t>
        </is>
      </c>
      <c r="C4285" s="6" t="inlineStr">
        <is>
          <t>TN</t>
        </is>
      </c>
      <c r="D4285" s="7" t="inlineStr">
        <is>
          <t>TN69AB0150</t>
        </is>
      </c>
      <c r="E4285" s="7" t="inlineStr">
        <is>
          <t>MARUTI SUZUKI</t>
        </is>
      </c>
      <c r="F4285" s="7" t="inlineStr">
        <is>
          <t>Alto</t>
        </is>
      </c>
      <c r="G4285" s="7" t="inlineStr">
        <is>
          <t>EXCHANGE ROTN</t>
        </is>
      </c>
      <c r="H4285" s="7" t="inlineStr">
        <is>
          <t>Captive</t>
        </is>
      </c>
      <c r="I4285" s="7" t="inlineStr">
        <is>
          <t>Shree Cars (Coimbatore</t>
        </is>
      </c>
      <c r="J4285" s="8" t="n">
        <v>2010</v>
      </c>
      <c r="K4285" s="9" t="n">
        <v>108569</v>
      </c>
      <c r="L4285" s="10" t="n">
        <v>70000</v>
      </c>
      <c r="M4285" s="10" t="n">
        <v>4237.29</v>
      </c>
      <c r="N4285" s="11">
        <f>IF(M4285="","",ROUND(M4285*1.18,2))</f>
        <v/>
      </c>
      <c r="O4285" s="12">
        <f>IF(M4285="","",ROUND(N4285-M4285,2))</f>
        <v/>
      </c>
      <c r="P4285" s="13">
        <f>IF(AND(A4285&lt;&gt;"",B4285&lt;&gt;""), A4285&amp;" · "&amp;B4285, "")</f>
        <v/>
      </c>
    </row>
    <row r="4286">
      <c r="A4286" s="6" t="inlineStr">
        <is>
          <t>FY27</t>
        </is>
      </c>
      <c r="B4286" s="6" t="inlineStr">
        <is>
          <t>Sep</t>
        </is>
      </c>
      <c r="C4286" s="6" t="inlineStr">
        <is>
          <t>TN</t>
        </is>
      </c>
      <c r="D4286" s="7" t="inlineStr">
        <is>
          <t>TN69AB8645</t>
        </is>
      </c>
      <c r="E4286" s="7" t="inlineStr">
        <is>
          <t>MARUTI SUZUKI</t>
        </is>
      </c>
      <c r="F4286" s="7" t="inlineStr">
        <is>
          <t>Ritz</t>
        </is>
      </c>
      <c r="G4286" s="7" t="inlineStr">
        <is>
          <t>EXCHANGE ROTN</t>
        </is>
      </c>
      <c r="H4286" s="7" t="inlineStr">
        <is>
          <t>Captive</t>
        </is>
      </c>
      <c r="I4286" s="7" t="inlineStr">
        <is>
          <t>Aswin Cars</t>
        </is>
      </c>
      <c r="J4286" s="8" t="n">
        <v>2010</v>
      </c>
      <c r="K4286" s="9" t="n">
        <v>184323</v>
      </c>
      <c r="L4286" s="10" t="n">
        <v>92000</v>
      </c>
      <c r="M4286" s="10" t="n">
        <v>4237.29</v>
      </c>
      <c r="N4286" s="11">
        <f>IF(M4286="","",ROUND(M4286*1.18,2))</f>
        <v/>
      </c>
      <c r="O4286" s="12">
        <f>IF(M4286="","",ROUND(N4286-M4286,2))</f>
        <v/>
      </c>
      <c r="P4286" s="13">
        <f>IF(AND(A4286&lt;&gt;"",B4286&lt;&gt;""), A4286&amp;" · "&amp;B4286, "")</f>
        <v/>
      </c>
    </row>
    <row r="4287">
      <c r="A4287" s="6" t="inlineStr">
        <is>
          <t>FY27</t>
        </is>
      </c>
      <c r="B4287" s="6" t="inlineStr">
        <is>
          <t>Sep</t>
        </is>
      </c>
      <c r="C4287" s="6" t="inlineStr">
        <is>
          <t>TN</t>
        </is>
      </c>
      <c r="D4287" s="7" t="inlineStr">
        <is>
          <t>TN69AF5959</t>
        </is>
      </c>
      <c r="E4287" s="7" t="inlineStr">
        <is>
          <t>FORD</t>
        </is>
      </c>
      <c r="F4287" s="7" t="inlineStr">
        <is>
          <t>Figo</t>
        </is>
      </c>
      <c r="G4287" s="7" t="inlineStr">
        <is>
          <t>EXCHANGE ROTN</t>
        </is>
      </c>
      <c r="H4287" s="7" t="inlineStr">
        <is>
          <t>Captive</t>
        </is>
      </c>
      <c r="I4287" s="7" t="inlineStr">
        <is>
          <t>Sivashankar Cars</t>
        </is>
      </c>
      <c r="J4287" s="8" t="n">
        <v>2010</v>
      </c>
      <c r="K4287" s="9" t="n">
        <v>111936</v>
      </c>
      <c r="L4287" s="10" t="n">
        <v>80000</v>
      </c>
      <c r="M4287" s="10" t="n">
        <v>4237.29</v>
      </c>
      <c r="N4287" s="11">
        <f>IF(M4287="","",ROUND(M4287*1.18,2))</f>
        <v/>
      </c>
      <c r="O4287" s="12">
        <f>IF(M4287="","",ROUND(N4287-M4287,2))</f>
        <v/>
      </c>
      <c r="P4287" s="13">
        <f>IF(AND(A4287&lt;&gt;"",B4287&lt;&gt;""), A4287&amp;" · "&amp;B4287, "")</f>
        <v/>
      </c>
    </row>
    <row r="4288">
      <c r="A4288" s="6" t="inlineStr">
        <is>
          <t>FY27</t>
        </is>
      </c>
      <c r="B4288" s="6" t="inlineStr">
        <is>
          <t>Sep</t>
        </is>
      </c>
      <c r="C4288" s="6" t="inlineStr">
        <is>
          <t>TN</t>
        </is>
      </c>
      <c r="D4288" s="7" t="inlineStr">
        <is>
          <t>TN69AM3344</t>
        </is>
      </c>
      <c r="E4288" s="7" t="inlineStr">
        <is>
          <t>HYUNDAI</t>
        </is>
      </c>
      <c r="F4288" s="7" t="inlineStr">
        <is>
          <t>Xcent</t>
        </is>
      </c>
      <c r="G4288" s="7" t="inlineStr">
        <is>
          <t>PEEYESYEM HK MOTORS LLP</t>
        </is>
      </c>
      <c r="H4288" s="7" t="inlineStr">
        <is>
          <t>Non-Captive</t>
        </is>
      </c>
      <c r="I4288" s="7" t="inlineStr">
        <is>
          <t>Aneesa Pravin Cars</t>
        </is>
      </c>
      <c r="J4288" s="8" t="n">
        <v>2014</v>
      </c>
      <c r="K4288" s="9" t="n">
        <v>84462</v>
      </c>
      <c r="L4288" s="10" t="n">
        <v>99000</v>
      </c>
      <c r="M4288" s="10" t="n">
        <v>4237.29</v>
      </c>
      <c r="N4288" s="11">
        <f>IF(M4288="","",ROUND(M4288*1.18,2))</f>
        <v/>
      </c>
      <c r="O4288" s="12">
        <f>IF(M4288="","",ROUND(N4288-M4288,2))</f>
        <v/>
      </c>
      <c r="P4288" s="13">
        <f>IF(AND(A4288&lt;&gt;"",B4288&lt;&gt;""), A4288&amp;" · "&amp;B4288, "")</f>
        <v/>
      </c>
    </row>
    <row r="4289">
      <c r="A4289" s="6" t="inlineStr">
        <is>
          <t>FY27</t>
        </is>
      </c>
      <c r="B4289" s="6" t="inlineStr">
        <is>
          <t>Sep</t>
        </is>
      </c>
      <c r="C4289" s="6" t="inlineStr">
        <is>
          <t>TN</t>
        </is>
      </c>
      <c r="D4289" s="7" t="inlineStr">
        <is>
          <t>TN69AP1893</t>
        </is>
      </c>
      <c r="E4289" s="7" t="inlineStr">
        <is>
          <t>MARUTI SUZUKI</t>
        </is>
      </c>
      <c r="F4289" s="7" t="inlineStr">
        <is>
          <t>Alto 800</t>
        </is>
      </c>
      <c r="G4289" s="7" t="inlineStr">
        <is>
          <t>ABT LIMITED</t>
        </is>
      </c>
      <c r="H4289" s="7" t="inlineStr">
        <is>
          <t>Non-Captive</t>
        </is>
      </c>
      <c r="I4289" s="7" t="inlineStr">
        <is>
          <t>Mahathi Cars</t>
        </is>
      </c>
      <c r="J4289" s="8" t="n">
        <v>2014</v>
      </c>
      <c r="K4289" s="9" t="n">
        <v>92972</v>
      </c>
      <c r="L4289" s="10" t="n">
        <v>98000</v>
      </c>
      <c r="M4289" s="10" t="n">
        <v>4237.29</v>
      </c>
      <c r="N4289" s="11">
        <f>IF(M4289="","",ROUND(M4289*1.18,2))</f>
        <v/>
      </c>
      <c r="O4289" s="12">
        <f>IF(M4289="","",ROUND(N4289-M4289,2))</f>
        <v/>
      </c>
      <c r="P4289" s="13">
        <f>IF(AND(A4289&lt;&gt;"",B4289&lt;&gt;""), A4289&amp;" · "&amp;B4289, "")</f>
        <v/>
      </c>
    </row>
    <row r="4290">
      <c r="A4290" s="6" t="inlineStr">
        <is>
          <t>FY27</t>
        </is>
      </c>
      <c r="B4290" s="6" t="inlineStr">
        <is>
          <t>Sep</t>
        </is>
      </c>
      <c r="C4290" s="6" t="inlineStr">
        <is>
          <t>TN</t>
        </is>
      </c>
      <c r="D4290" s="7" t="inlineStr">
        <is>
          <t>TN70B6348</t>
        </is>
      </c>
      <c r="E4290" s="7" t="inlineStr">
        <is>
          <t>MARUTI SUZUKI</t>
        </is>
      </c>
      <c r="F4290" s="7" t="inlineStr">
        <is>
          <t>Eeco</t>
        </is>
      </c>
      <c r="G4290" s="7" t="inlineStr">
        <is>
          <t>PRODUCTIVITY ELEMENTS PRIVATE LIMITED</t>
        </is>
      </c>
      <c r="H4290" s="7" t="inlineStr">
        <is>
          <t>Non-Captive</t>
        </is>
      </c>
      <c r="I4290" s="7" t="inlineStr">
        <is>
          <t>Cars24</t>
        </is>
      </c>
      <c r="J4290" s="8" t="n">
        <v>2010</v>
      </c>
      <c r="K4290" s="9" t="n">
        <v>82644</v>
      </c>
      <c r="L4290" s="10" t="n">
        <v>96000</v>
      </c>
      <c r="M4290" s="10" t="n">
        <v>4237.29</v>
      </c>
      <c r="N4290" s="11">
        <f>IF(M4290="","",ROUND(M4290*1.18,2))</f>
        <v/>
      </c>
      <c r="O4290" s="12">
        <f>IF(M4290="","",ROUND(N4290-M4290,2))</f>
        <v/>
      </c>
      <c r="P4290" s="13">
        <f>IF(AND(A4290&lt;&gt;"",B4290&lt;&gt;""), A4290&amp;" · "&amp;B4290, "")</f>
        <v/>
      </c>
    </row>
    <row r="4291">
      <c r="A4291" s="6" t="inlineStr">
        <is>
          <t>FY27</t>
        </is>
      </c>
      <c r="B4291" s="6" t="inlineStr">
        <is>
          <t>Sep</t>
        </is>
      </c>
      <c r="C4291" s="6" t="inlineStr">
        <is>
          <t>TN</t>
        </is>
      </c>
      <c r="D4291" s="7" t="inlineStr">
        <is>
          <t>TN72AD5393</t>
        </is>
      </c>
      <c r="E4291" s="7" t="inlineStr">
        <is>
          <t>MARUTI SUZUKI</t>
        </is>
      </c>
      <c r="F4291" s="7" t="inlineStr">
        <is>
          <t>Alto</t>
        </is>
      </c>
      <c r="G4291" s="7" t="inlineStr">
        <is>
          <t>EXCHANGE ROTN</t>
        </is>
      </c>
      <c r="H4291" s="7" t="inlineStr">
        <is>
          <t>Captive</t>
        </is>
      </c>
      <c r="I4291" s="7" t="inlineStr">
        <is>
          <t>Auto Motivators</t>
        </is>
      </c>
      <c r="J4291" s="8" t="n">
        <v>2009</v>
      </c>
      <c r="K4291" s="9" t="n">
        <v>81503</v>
      </c>
      <c r="L4291" s="10" t="n">
        <v>85000</v>
      </c>
      <c r="M4291" s="10" t="n">
        <v>4237.29</v>
      </c>
      <c r="N4291" s="11">
        <f>IF(M4291="","",ROUND(M4291*1.18,2))</f>
        <v/>
      </c>
      <c r="O4291" s="12">
        <f>IF(M4291="","",ROUND(N4291-M4291,2))</f>
        <v/>
      </c>
      <c r="P4291" s="13">
        <f>IF(AND(A4291&lt;&gt;"",B4291&lt;&gt;""), A4291&amp;" · "&amp;B4291, "")</f>
        <v/>
      </c>
    </row>
    <row r="4292">
      <c r="A4292" s="6" t="inlineStr">
        <is>
          <t>FY27</t>
        </is>
      </c>
      <c r="B4292" s="6" t="inlineStr">
        <is>
          <t>Sep</t>
        </is>
      </c>
      <c r="C4292" s="6" t="inlineStr">
        <is>
          <t>TN</t>
        </is>
      </c>
      <c r="D4292" s="7" t="inlineStr">
        <is>
          <t>TN72AE5790</t>
        </is>
      </c>
      <c r="E4292" s="7" t="inlineStr">
        <is>
          <t>MARUTI SUZUKI</t>
        </is>
      </c>
      <c r="F4292" s="7" t="inlineStr">
        <is>
          <t>Dzire</t>
        </is>
      </c>
      <c r="G4292" s="7" t="inlineStr">
        <is>
          <t>RAJALAKSHMI CARS</t>
        </is>
      </c>
      <c r="H4292" s="7" t="inlineStr">
        <is>
          <t>Non-Captive</t>
        </is>
      </c>
      <c r="I4292" s="7" t="inlineStr">
        <is>
          <t>Srijja Travels</t>
        </is>
      </c>
      <c r="J4292" s="8" t="n">
        <v>2010</v>
      </c>
      <c r="K4292" s="9" t="n">
        <v>110177</v>
      </c>
      <c r="L4292" s="10" t="n">
        <v>87000</v>
      </c>
      <c r="M4292" s="10" t="n">
        <v>4237.29</v>
      </c>
      <c r="N4292" s="11">
        <f>IF(M4292="","",ROUND(M4292*1.18,2))</f>
        <v/>
      </c>
      <c r="O4292" s="12">
        <f>IF(M4292="","",ROUND(N4292-M4292,2))</f>
        <v/>
      </c>
      <c r="P4292" s="13">
        <f>IF(AND(A4292&lt;&gt;"",B4292&lt;&gt;""), A4292&amp;" · "&amp;B4292, "")</f>
        <v/>
      </c>
    </row>
    <row r="4293">
      <c r="A4293" s="6" t="inlineStr">
        <is>
          <t>FY27</t>
        </is>
      </c>
      <c r="B4293" s="6" t="inlineStr">
        <is>
          <t>Sep</t>
        </is>
      </c>
      <c r="C4293" s="6" t="inlineStr">
        <is>
          <t>TN</t>
        </is>
      </c>
      <c r="D4293" s="7" t="inlineStr">
        <is>
          <t>TN72AS5256</t>
        </is>
      </c>
      <c r="E4293" s="7" t="inlineStr">
        <is>
          <t>HONDA</t>
        </is>
      </c>
      <c r="F4293" s="7" t="inlineStr">
        <is>
          <t>City</t>
        </is>
      </c>
      <c r="G4293" s="7" t="inlineStr">
        <is>
          <t>EXCHANGE ROTN</t>
        </is>
      </c>
      <c r="H4293" s="7" t="inlineStr">
        <is>
          <t>Captive</t>
        </is>
      </c>
      <c r="I4293" s="7" t="inlineStr">
        <is>
          <t>Sivashankar Cars</t>
        </is>
      </c>
      <c r="J4293" s="8" t="n">
        <v>2014</v>
      </c>
      <c r="K4293" s="9" t="n">
        <v>120186</v>
      </c>
      <c r="L4293" s="10" t="n">
        <v>195000</v>
      </c>
      <c r="M4293" s="10" t="n">
        <v>5084.75</v>
      </c>
      <c r="N4293" s="11">
        <f>IF(M4293="","",ROUND(M4293*1.18,2))</f>
        <v/>
      </c>
      <c r="O4293" s="12">
        <f>IF(M4293="","",ROUND(N4293-M4293,2))</f>
        <v/>
      </c>
      <c r="P4293" s="13">
        <f>IF(AND(A4293&lt;&gt;"",B4293&lt;&gt;""), A4293&amp;" · "&amp;B4293, "")</f>
        <v/>
      </c>
    </row>
    <row r="4294">
      <c r="A4294" s="6" t="inlineStr">
        <is>
          <t>FY27</t>
        </is>
      </c>
      <c r="B4294" s="6" t="inlineStr">
        <is>
          <t>Sep</t>
        </is>
      </c>
      <c r="C4294" s="6" t="inlineStr">
        <is>
          <t>TN</t>
        </is>
      </c>
      <c r="D4294" s="7" t="inlineStr">
        <is>
          <t>TN72BK0033</t>
        </is>
      </c>
      <c r="E4294" s="7" t="inlineStr">
        <is>
          <t>HONDA</t>
        </is>
      </c>
      <c r="F4294" s="7" t="inlineStr">
        <is>
          <t>Amaze</t>
        </is>
      </c>
      <c r="G4294" s="7" t="inlineStr">
        <is>
          <t>EXCHANGE ROTN</t>
        </is>
      </c>
      <c r="H4294" s="7" t="inlineStr">
        <is>
          <t>Captive</t>
        </is>
      </c>
      <c r="I4294" s="7" t="inlineStr">
        <is>
          <t>Paul Cars</t>
        </is>
      </c>
      <c r="J4294" s="8" t="n">
        <v>2018</v>
      </c>
      <c r="K4294" s="9" t="n">
        <v>76610</v>
      </c>
      <c r="L4294" s="10" t="n">
        <v>400000</v>
      </c>
      <c r="M4294" s="10" t="n">
        <v>16949.15</v>
      </c>
      <c r="N4294" s="11">
        <f>IF(M4294="","",ROUND(M4294*1.18,2))</f>
        <v/>
      </c>
      <c r="O4294" s="12">
        <f>IF(M4294="","",ROUND(N4294-M4294,2))</f>
        <v/>
      </c>
      <c r="P4294" s="13">
        <f>IF(AND(A4294&lt;&gt;"",B4294&lt;&gt;""), A4294&amp;" · "&amp;B4294, "")</f>
        <v/>
      </c>
    </row>
    <row r="4295">
      <c r="A4295" s="6" t="inlineStr">
        <is>
          <t>FY27</t>
        </is>
      </c>
      <c r="B4295" s="6" t="inlineStr">
        <is>
          <t>Sep</t>
        </is>
      </c>
      <c r="C4295" s="6" t="inlineStr">
        <is>
          <t>TN</t>
        </is>
      </c>
      <c r="D4295" s="7" t="inlineStr">
        <is>
          <t>TN72J9066</t>
        </is>
      </c>
      <c r="E4295" s="7" t="inlineStr">
        <is>
          <t>MARUTI SUZUKI</t>
        </is>
      </c>
      <c r="F4295" s="7" t="inlineStr">
        <is>
          <t>800</t>
        </is>
      </c>
      <c r="G4295" s="7" t="inlineStr">
        <is>
          <t>EXCHANGE ROTN</t>
        </is>
      </c>
      <c r="H4295" s="7" t="inlineStr">
        <is>
          <t>Captive</t>
        </is>
      </c>
      <c r="I4295" s="7" t="inlineStr">
        <is>
          <t>Auto Motivators</t>
        </is>
      </c>
      <c r="J4295" s="8" t="n">
        <v>2003</v>
      </c>
      <c r="K4295" s="9" t="n">
        <v>80894</v>
      </c>
      <c r="L4295" s="10" t="n">
        <v>15000</v>
      </c>
      <c r="M4295" s="10" t="n">
        <v>4237.29</v>
      </c>
      <c r="N4295" s="11">
        <f>IF(M4295="","",ROUND(M4295*1.18,2))</f>
        <v/>
      </c>
      <c r="O4295" s="12">
        <f>IF(M4295="","",ROUND(N4295-M4295,2))</f>
        <v/>
      </c>
      <c r="P4295" s="13">
        <f>IF(AND(A4295&lt;&gt;"",B4295&lt;&gt;""), A4295&amp;" · "&amp;B4295, "")</f>
        <v/>
      </c>
    </row>
    <row r="4296">
      <c r="A4296" s="6" t="inlineStr">
        <is>
          <t>FY27</t>
        </is>
      </c>
      <c r="B4296" s="6" t="inlineStr">
        <is>
          <t>Sep</t>
        </is>
      </c>
      <c r="C4296" s="6" t="inlineStr">
        <is>
          <t>TN</t>
        </is>
      </c>
      <c r="D4296" s="7" t="inlineStr">
        <is>
          <t>TN73E3679</t>
        </is>
      </c>
      <c r="E4296" s="7" t="inlineStr">
        <is>
          <t>RENAULT</t>
        </is>
      </c>
      <c r="F4296" s="7" t="inlineStr">
        <is>
          <t>Pulse</t>
        </is>
      </c>
      <c r="G4296" s="7" t="inlineStr">
        <is>
          <t>EXCHANGE ROTN</t>
        </is>
      </c>
      <c r="H4296" s="7" t="inlineStr">
        <is>
          <t>Captive</t>
        </is>
      </c>
      <c r="I4296" s="7" t="inlineStr">
        <is>
          <t>Sai Cars</t>
        </is>
      </c>
      <c r="J4296" s="8" t="n">
        <v>2012</v>
      </c>
      <c r="K4296" s="9" t="n">
        <v>128162</v>
      </c>
      <c r="L4296" s="10" t="n">
        <v>91000</v>
      </c>
      <c r="M4296" s="10" t="n">
        <v>4237.29</v>
      </c>
      <c r="N4296" s="11">
        <f>IF(M4296="","",ROUND(M4296*1.18,2))</f>
        <v/>
      </c>
      <c r="O4296" s="12">
        <f>IF(M4296="","",ROUND(N4296-M4296,2))</f>
        <v/>
      </c>
      <c r="P4296" s="13">
        <f>IF(AND(A4296&lt;&gt;"",B4296&lt;&gt;""), A4296&amp;" · "&amp;B4296, "")</f>
        <v/>
      </c>
    </row>
    <row r="4297">
      <c r="A4297" s="6" t="inlineStr">
        <is>
          <t>FY27</t>
        </is>
      </c>
      <c r="B4297" s="6" t="inlineStr">
        <is>
          <t>Sep</t>
        </is>
      </c>
      <c r="C4297" s="6" t="inlineStr">
        <is>
          <t>TN</t>
        </is>
      </c>
      <c r="D4297" s="7" t="inlineStr">
        <is>
          <t>TN74H4268</t>
        </is>
      </c>
      <c r="E4297" s="7" t="inlineStr">
        <is>
          <t>HYUNDAI</t>
        </is>
      </c>
      <c r="F4297" s="7" t="inlineStr">
        <is>
          <t>Santro</t>
        </is>
      </c>
      <c r="G4297" s="7" t="inlineStr">
        <is>
          <t>EXCHANGE ROTN</t>
        </is>
      </c>
      <c r="H4297" s="7" t="inlineStr">
        <is>
          <t>Captive</t>
        </is>
      </c>
      <c r="I4297" s="7" t="inlineStr">
        <is>
          <t>READY TO RIDE CARS</t>
        </is>
      </c>
      <c r="J4297" s="8" t="n">
        <v>2003</v>
      </c>
      <c r="K4297" s="9" t="n">
        <v>112334</v>
      </c>
      <c r="L4297" s="10" t="n">
        <v>40000</v>
      </c>
      <c r="M4297" s="10" t="n">
        <v>4237.29</v>
      </c>
      <c r="N4297" s="11">
        <f>IF(M4297="","",ROUND(M4297*1.18,2))</f>
        <v/>
      </c>
      <c r="O4297" s="12">
        <f>IF(M4297="","",ROUND(N4297-M4297,2))</f>
        <v/>
      </c>
      <c r="P4297" s="13">
        <f>IF(AND(A4297&lt;&gt;"",B4297&lt;&gt;""), A4297&amp;" · "&amp;B4297, "")</f>
        <v/>
      </c>
    </row>
    <row r="4298">
      <c r="A4298" s="6" t="inlineStr">
        <is>
          <t>FY27</t>
        </is>
      </c>
      <c r="B4298" s="6" t="inlineStr">
        <is>
          <t>Sep</t>
        </is>
      </c>
      <c r="C4298" s="6" t="inlineStr">
        <is>
          <t>TN</t>
        </is>
      </c>
      <c r="D4298" s="7" t="inlineStr">
        <is>
          <t>TN78T9984</t>
        </is>
      </c>
      <c r="E4298" s="7" t="inlineStr">
        <is>
          <t>MARUTI SUZUKI</t>
        </is>
      </c>
      <c r="F4298" s="7" t="inlineStr">
        <is>
          <t>Alto 800</t>
        </is>
      </c>
      <c r="G4298" s="7" t="inlineStr">
        <is>
          <t>CARS INDIA</t>
        </is>
      </c>
      <c r="H4298" s="7" t="inlineStr">
        <is>
          <t>Non-Captive</t>
        </is>
      </c>
      <c r="I4298" s="7" t="inlineStr">
        <is>
          <t>Cars24</t>
        </is>
      </c>
      <c r="J4298" s="8" t="n">
        <v>2017</v>
      </c>
      <c r="K4298" s="9" t="n">
        <v>14848</v>
      </c>
      <c r="L4298" s="10" t="n">
        <v>92000</v>
      </c>
      <c r="M4298" s="10" t="n">
        <v>3898.31</v>
      </c>
      <c r="N4298" s="11">
        <f>IF(M4298="","",ROUND(M4298*1.18,2))</f>
        <v/>
      </c>
      <c r="O4298" s="12">
        <f>IF(M4298="","",ROUND(N4298-M4298,2))</f>
        <v/>
      </c>
      <c r="P4298" s="13">
        <f>IF(AND(A4298&lt;&gt;"",B4298&lt;&gt;""), A4298&amp;" · "&amp;B4298, "")</f>
        <v/>
      </c>
    </row>
    <row r="4299">
      <c r="A4299" s="6" t="inlineStr">
        <is>
          <t>FY27</t>
        </is>
      </c>
      <c r="B4299" s="6" t="inlineStr">
        <is>
          <t>Sep</t>
        </is>
      </c>
      <c r="C4299" s="6" t="inlineStr">
        <is>
          <t>TN</t>
        </is>
      </c>
      <c r="D4299" s="7" t="inlineStr">
        <is>
          <t>TN81Z1815</t>
        </is>
      </c>
      <c r="E4299" s="7" t="inlineStr">
        <is>
          <t>FORD</t>
        </is>
      </c>
      <c r="F4299" s="7" t="inlineStr">
        <is>
          <t>Figo</t>
        </is>
      </c>
      <c r="G4299" s="7" t="inlineStr">
        <is>
          <t>VISHNU CARS PRIVATE LIMITED</t>
        </is>
      </c>
      <c r="H4299" s="7" t="inlineStr">
        <is>
          <t>Non-Captive</t>
        </is>
      </c>
      <c r="I4299" s="7" t="inlineStr">
        <is>
          <t>Emarald Cars</t>
        </is>
      </c>
      <c r="J4299" s="8" t="n">
        <v>2013</v>
      </c>
      <c r="K4299" s="9" t="n">
        <v>21928</v>
      </c>
      <c r="L4299" s="10" t="n">
        <v>97000</v>
      </c>
      <c r="M4299" s="10" t="n">
        <v>4237.29</v>
      </c>
      <c r="N4299" s="11">
        <f>IF(M4299="","",ROUND(M4299*1.18,2))</f>
        <v/>
      </c>
      <c r="O4299" s="12">
        <f>IF(M4299="","",ROUND(N4299-M4299,2))</f>
        <v/>
      </c>
      <c r="P4299" s="13">
        <f>IF(AND(A4299&lt;&gt;"",B4299&lt;&gt;""), A4299&amp;" · "&amp;B4299, "")</f>
        <v/>
      </c>
    </row>
    <row r="4300">
      <c r="A4300" s="6" t="inlineStr">
        <is>
          <t>FY27</t>
        </is>
      </c>
      <c r="B4300" s="6" t="inlineStr">
        <is>
          <t>Sep</t>
        </is>
      </c>
      <c r="C4300" s="6" t="inlineStr">
        <is>
          <t>TN</t>
        </is>
      </c>
      <c r="D4300" s="7" t="inlineStr">
        <is>
          <t>TN85A6100</t>
        </is>
      </c>
      <c r="E4300" s="7" t="inlineStr">
        <is>
          <t>HYUNDAI</t>
        </is>
      </c>
      <c r="F4300" s="7" t="inlineStr">
        <is>
          <t>Verna</t>
        </is>
      </c>
      <c r="G4300" s="7" t="inlineStr">
        <is>
          <t>EXCHANGE CHENNAI</t>
        </is>
      </c>
      <c r="H4300" s="7" t="inlineStr">
        <is>
          <t>Captive</t>
        </is>
      </c>
      <c r="I4300" s="7" t="inlineStr">
        <is>
          <t>Santhosh Cars</t>
        </is>
      </c>
      <c r="J4300" s="8" t="n">
        <v>2015</v>
      </c>
      <c r="K4300" s="9" t="n">
        <v>103218</v>
      </c>
      <c r="L4300" s="10" t="n">
        <v>325000</v>
      </c>
      <c r="M4300" s="10" t="n">
        <v>8474.58</v>
      </c>
      <c r="N4300" s="11">
        <f>IF(M4300="","",ROUND(M4300*1.18,2))</f>
        <v/>
      </c>
      <c r="O4300" s="12">
        <f>IF(M4300="","",ROUND(N4300-M4300,2))</f>
        <v/>
      </c>
      <c r="P4300" s="13">
        <f>IF(AND(A4300&lt;&gt;"",B4300&lt;&gt;""), A4300&amp;" · "&amp;B4300, "")</f>
        <v/>
      </c>
    </row>
    <row r="4301">
      <c r="A4301" s="6" t="inlineStr">
        <is>
          <t>FY27</t>
        </is>
      </c>
      <c r="B4301" s="6" t="inlineStr">
        <is>
          <t>Sep</t>
        </is>
      </c>
      <c r="C4301" s="6" t="inlineStr">
        <is>
          <t>TN</t>
        </is>
      </c>
      <c r="D4301" s="7" t="inlineStr">
        <is>
          <t>TN86C2876</t>
        </is>
      </c>
      <c r="E4301" s="7" t="inlineStr">
        <is>
          <t>TOYOTA</t>
        </is>
      </c>
      <c r="F4301" s="7" t="inlineStr">
        <is>
          <t>Etios</t>
        </is>
      </c>
      <c r="G4301" s="7" t="inlineStr">
        <is>
          <t>EXCHANGE ROTN</t>
        </is>
      </c>
      <c r="H4301" s="7" t="inlineStr">
        <is>
          <t>Captive</t>
        </is>
      </c>
      <c r="I4301" s="7" t="inlineStr">
        <is>
          <t>&lt;NA&gt;</t>
        </is>
      </c>
      <c r="J4301" s="8" t="n">
        <v>2013</v>
      </c>
      <c r="K4301" s="9" t="n">
        <v>188994</v>
      </c>
      <c r="L4301" s="10" t="n">
        <v>250000</v>
      </c>
      <c r="M4301" s="10" t="n">
        <v>8474.58</v>
      </c>
      <c r="N4301" s="11">
        <f>IF(M4301="","",ROUND(M4301*1.18,2))</f>
        <v/>
      </c>
      <c r="O4301" s="12">
        <f>IF(M4301="","",ROUND(N4301-M4301,2))</f>
        <v/>
      </c>
      <c r="P4301" s="13">
        <f>IF(AND(A4301&lt;&gt;"",B4301&lt;&gt;""), A4301&amp;" · "&amp;B4301, "")</f>
        <v/>
      </c>
    </row>
    <row r="4302">
      <c r="A4302" s="6" t="inlineStr">
        <is>
          <t>FY27</t>
        </is>
      </c>
      <c r="B4302" s="6" t="inlineStr">
        <is>
          <t>Sep</t>
        </is>
      </c>
      <c r="C4302" s="6" t="inlineStr">
        <is>
          <t>TN</t>
        </is>
      </c>
      <c r="D4302" s="7" t="inlineStr">
        <is>
          <t>TN86J3412</t>
        </is>
      </c>
      <c r="E4302" s="7" t="inlineStr">
        <is>
          <t>HYUNDAI</t>
        </is>
      </c>
      <c r="F4302" s="7" t="inlineStr">
        <is>
          <t>i20</t>
        </is>
      </c>
      <c r="G4302" s="7" t="inlineStr">
        <is>
          <t>EXCHANGE ROTN</t>
        </is>
      </c>
      <c r="H4302" s="7" t="inlineStr">
        <is>
          <t>Captive</t>
        </is>
      </c>
      <c r="I4302" s="7" t="inlineStr">
        <is>
          <t>Sivashankar Cars</t>
        </is>
      </c>
      <c r="J4302" s="8" t="n">
        <v>2024</v>
      </c>
      <c r="K4302" s="9" t="n">
        <v>53136</v>
      </c>
      <c r="L4302" s="10" t="n">
        <v>585000</v>
      </c>
      <c r="M4302" s="10" t="n">
        <v>12711.86</v>
      </c>
      <c r="N4302" s="11">
        <f>IF(M4302="","",ROUND(M4302*1.18,2))</f>
        <v/>
      </c>
      <c r="O4302" s="12">
        <f>IF(M4302="","",ROUND(N4302-M4302,2))</f>
        <v/>
      </c>
      <c r="P4302" s="13">
        <f>IF(AND(A4302&lt;&gt;"",B4302&lt;&gt;""), A4302&amp;" · "&amp;B4302, "")</f>
        <v/>
      </c>
    </row>
    <row r="4303">
      <c r="A4303" s="6" t="inlineStr">
        <is>
          <t>FY27</t>
        </is>
      </c>
      <c r="B4303" s="6" t="inlineStr">
        <is>
          <t>Sep</t>
        </is>
      </c>
      <c r="C4303" s="6" t="inlineStr">
        <is>
          <t>TN</t>
        </is>
      </c>
      <c r="D4303" s="7" t="inlineStr">
        <is>
          <t>TN87D9402</t>
        </is>
      </c>
      <c r="E4303" s="7" t="inlineStr">
        <is>
          <t>BHARATBENZ</t>
        </is>
      </c>
      <c r="F4303" s="7" t="inlineStr">
        <is>
          <t>1017</t>
        </is>
      </c>
      <c r="G4303" s="7" t="inlineStr">
        <is>
          <t>DAIMLER INDIA COMMERCIAL</t>
        </is>
      </c>
      <c r="H4303" s="7" t="inlineStr">
        <is>
          <t>Non-Captive</t>
        </is>
      </c>
      <c r="I4303" s="7" t="inlineStr">
        <is>
          <t>Aneesa Pravin Cars</t>
        </is>
      </c>
      <c r="J4303" s="8" t="n">
        <v>2022</v>
      </c>
      <c r="K4303" s="9" t="n">
        <v>101301</v>
      </c>
      <c r="L4303" s="10" t="n">
        <v>1479650</v>
      </c>
      <c r="M4303" s="10" t="n">
        <v>8474.58</v>
      </c>
      <c r="N4303" s="11">
        <f>IF(M4303="","",ROUND(M4303*1.18,2))</f>
        <v/>
      </c>
      <c r="O4303" s="12">
        <f>IF(M4303="","",ROUND(N4303-M4303,2))</f>
        <v/>
      </c>
      <c r="P4303" s="13">
        <f>IF(AND(A4303&lt;&gt;"",B4303&lt;&gt;""), A4303&amp;" · "&amp;B4303, "")</f>
        <v/>
      </c>
    </row>
    <row r="4304">
      <c r="A4304" s="6" t="inlineStr">
        <is>
          <t>FY27</t>
        </is>
      </c>
      <c r="B4304" s="6" t="inlineStr">
        <is>
          <t>Sep</t>
        </is>
      </c>
      <c r="C4304" s="6" t="inlineStr">
        <is>
          <t>TN</t>
        </is>
      </c>
      <c r="D4304" s="7" t="inlineStr">
        <is>
          <t>TN87D9403</t>
        </is>
      </c>
      <c r="E4304" s="7" t="inlineStr">
        <is>
          <t>BHARATBENZ</t>
        </is>
      </c>
      <c r="F4304" s="7" t="inlineStr">
        <is>
          <t>1017</t>
        </is>
      </c>
      <c r="G4304" s="7" t="inlineStr">
        <is>
          <t>DAIMLER INDIA COMMERCIAL</t>
        </is>
      </c>
      <c r="H4304" s="7" t="inlineStr">
        <is>
          <t>Non-Captive</t>
        </is>
      </c>
      <c r="I4304" s="7" t="inlineStr">
        <is>
          <t>Thirumurugan Cars</t>
        </is>
      </c>
      <c r="J4304" s="8" t="n">
        <v>2022</v>
      </c>
      <c r="K4304" s="9" t="n">
        <v>101909</v>
      </c>
      <c r="L4304" s="10" t="n">
        <v>1479650</v>
      </c>
      <c r="M4304" s="10" t="n">
        <v>8474.58</v>
      </c>
      <c r="N4304" s="11">
        <f>IF(M4304="","",ROUND(M4304*1.18,2))</f>
        <v/>
      </c>
      <c r="O4304" s="12">
        <f>IF(M4304="","",ROUND(N4304-M4304,2))</f>
        <v/>
      </c>
      <c r="P4304" s="13">
        <f>IF(AND(A4304&lt;&gt;"",B4304&lt;&gt;""), A4304&amp;" · "&amp;B4304, "")</f>
        <v/>
      </c>
    </row>
    <row r="4305">
      <c r="A4305" s="6" t="inlineStr">
        <is>
          <t>FY27</t>
        </is>
      </c>
      <c r="B4305" s="6" t="inlineStr">
        <is>
          <t>Sep</t>
        </is>
      </c>
      <c r="C4305" s="6" t="inlineStr">
        <is>
          <t>TN</t>
        </is>
      </c>
      <c r="D4305" s="7" t="inlineStr">
        <is>
          <t>TN87D9416</t>
        </is>
      </c>
      <c r="E4305" s="7" t="inlineStr">
        <is>
          <t>BHARATBENZ</t>
        </is>
      </c>
      <c r="F4305" s="7" t="inlineStr">
        <is>
          <t>1017</t>
        </is>
      </c>
      <c r="G4305" s="7" t="inlineStr">
        <is>
          <t>DAIMLER INDIA COMMERCIAL</t>
        </is>
      </c>
      <c r="H4305" s="7" t="inlineStr">
        <is>
          <t>Non-Captive</t>
        </is>
      </c>
      <c r="I4305" s="7" t="inlineStr">
        <is>
          <t>Srijja Travels</t>
        </is>
      </c>
      <c r="J4305" s="8" t="n">
        <v>2022</v>
      </c>
      <c r="K4305" s="9" t="n">
        <v>107528</v>
      </c>
      <c r="L4305" s="10" t="n">
        <v>1479650</v>
      </c>
      <c r="M4305" s="10" t="n">
        <v>8474.58</v>
      </c>
      <c r="N4305" s="11">
        <f>IF(M4305="","",ROUND(M4305*1.18,2))</f>
        <v/>
      </c>
      <c r="O4305" s="12">
        <f>IF(M4305="","",ROUND(N4305-M4305,2))</f>
        <v/>
      </c>
      <c r="P4305" s="13">
        <f>IF(AND(A4305&lt;&gt;"",B4305&lt;&gt;""), A4305&amp;" · "&amp;B4305, "")</f>
        <v/>
      </c>
    </row>
    <row r="4306">
      <c r="A4306" s="6" t="inlineStr">
        <is>
          <t>FY27</t>
        </is>
      </c>
      <c r="B4306" s="6" t="inlineStr">
        <is>
          <t>Sep</t>
        </is>
      </c>
      <c r="C4306" s="6" t="inlineStr">
        <is>
          <t>TN</t>
        </is>
      </c>
      <c r="D4306" s="7" t="inlineStr">
        <is>
          <t>TN87D9426</t>
        </is>
      </c>
      <c r="E4306" s="7" t="inlineStr">
        <is>
          <t>BHARATBENZ</t>
        </is>
      </c>
      <c r="F4306" s="7" t="inlineStr">
        <is>
          <t>1017</t>
        </is>
      </c>
      <c r="G4306" s="7" t="inlineStr">
        <is>
          <t>DAIMLER INDIA COMMERCIAL</t>
        </is>
      </c>
      <c r="H4306" s="7" t="inlineStr">
        <is>
          <t>Non-Captive</t>
        </is>
      </c>
      <c r="I4306" s="7" t="inlineStr">
        <is>
          <t>Sunilkumar Car</t>
        </is>
      </c>
      <c r="J4306" s="8" t="n">
        <v>2022</v>
      </c>
      <c r="K4306" s="9" t="n">
        <v>105945</v>
      </c>
      <c r="L4306" s="10" t="n">
        <v>1479650</v>
      </c>
      <c r="M4306" s="10" t="n">
        <v>8474.58</v>
      </c>
      <c r="N4306" s="11">
        <f>IF(M4306="","",ROUND(M4306*1.18,2))</f>
        <v/>
      </c>
      <c r="O4306" s="12">
        <f>IF(M4306="","",ROUND(N4306-M4306,2))</f>
        <v/>
      </c>
      <c r="P4306" s="13">
        <f>IF(AND(A4306&lt;&gt;"",B4306&lt;&gt;""), A4306&amp;" · "&amp;B4306, "")</f>
        <v/>
      </c>
    </row>
    <row r="4307">
      <c r="A4307" s="6" t="inlineStr">
        <is>
          <t>FY27</t>
        </is>
      </c>
      <c r="B4307" s="6" t="inlineStr">
        <is>
          <t>Sep</t>
        </is>
      </c>
      <c r="C4307" s="6" t="inlineStr">
        <is>
          <t>TN</t>
        </is>
      </c>
      <c r="D4307" s="7" t="inlineStr">
        <is>
          <t>TN87D9574</t>
        </is>
      </c>
      <c r="E4307" s="7" t="inlineStr">
        <is>
          <t>BHARATBENZ</t>
        </is>
      </c>
      <c r="F4307" s="7" t="inlineStr">
        <is>
          <t>1017</t>
        </is>
      </c>
      <c r="G4307" s="7" t="inlineStr">
        <is>
          <t>DAIMLER INDIA COMMERCIAL</t>
        </is>
      </c>
      <c r="H4307" s="7" t="inlineStr">
        <is>
          <t>Non-Captive</t>
        </is>
      </c>
      <c r="I4307" s="7" t="inlineStr">
        <is>
          <t>Balakrishnan.T Cars</t>
        </is>
      </c>
      <c r="J4307" s="8" t="n">
        <v>2022</v>
      </c>
      <c r="K4307" s="9" t="n">
        <v>105173</v>
      </c>
      <c r="L4307" s="10" t="n">
        <v>1479650</v>
      </c>
      <c r="M4307" s="10" t="n">
        <v>8474.58</v>
      </c>
      <c r="N4307" s="11">
        <f>IF(M4307="","",ROUND(M4307*1.18,2))</f>
        <v/>
      </c>
      <c r="O4307" s="12">
        <f>IF(M4307="","",ROUND(N4307-M4307,2))</f>
        <v/>
      </c>
      <c r="P4307" s="13">
        <f>IF(AND(A4307&lt;&gt;"",B4307&lt;&gt;""), A4307&amp;" · "&amp;B4307, "")</f>
        <v/>
      </c>
    </row>
    <row r="4308">
      <c r="A4308" s="6" t="inlineStr">
        <is>
          <t>FY27</t>
        </is>
      </c>
      <c r="B4308" s="6" t="inlineStr">
        <is>
          <t>Sep</t>
        </is>
      </c>
      <c r="C4308" s="6" t="inlineStr">
        <is>
          <t>TN</t>
        </is>
      </c>
      <c r="D4308" s="7" t="inlineStr">
        <is>
          <t>TN884939</t>
        </is>
      </c>
      <c r="E4308" s="7" t="inlineStr">
        <is>
          <t>MARUTI SUZUKI</t>
        </is>
      </c>
      <c r="F4308" s="7" t="inlineStr">
        <is>
          <t>Zen Estilo</t>
        </is>
      </c>
      <c r="G4308" s="7" t="inlineStr">
        <is>
          <t>STEER AUTO TECHNOLOGIES PRIVATE LIMITED</t>
        </is>
      </c>
      <c r="H4308" s="7" t="inlineStr">
        <is>
          <t>Non-Captive</t>
        </is>
      </c>
      <c r="I4308" s="7" t="inlineStr">
        <is>
          <t>Cars24</t>
        </is>
      </c>
      <c r="J4308" s="8" t="n">
        <v>2013</v>
      </c>
      <c r="K4308" s="9" t="n">
        <v>96681</v>
      </c>
      <c r="L4308" s="10" t="n">
        <v>92000</v>
      </c>
      <c r="M4308" s="10" t="n">
        <v>4237.29</v>
      </c>
      <c r="N4308" s="11">
        <f>IF(M4308="","",ROUND(M4308*1.18,2))</f>
        <v/>
      </c>
      <c r="O4308" s="12">
        <f>IF(M4308="","",ROUND(N4308-M4308,2))</f>
        <v/>
      </c>
      <c r="P4308" s="13">
        <f>IF(AND(A4308&lt;&gt;"",B4308&lt;&gt;""), A4308&amp;" · "&amp;B4308, "")</f>
        <v/>
      </c>
    </row>
    <row r="4309">
      <c r="A4309" s="6" t="inlineStr">
        <is>
          <t>FY27</t>
        </is>
      </c>
      <c r="B4309" s="6" t="inlineStr">
        <is>
          <t>Sep</t>
        </is>
      </c>
      <c r="C4309" s="6" t="inlineStr">
        <is>
          <t>TN</t>
        </is>
      </c>
      <c r="D4309" s="7" t="inlineStr">
        <is>
          <t>TN90D1049</t>
        </is>
      </c>
      <c r="E4309" s="7" t="inlineStr">
        <is>
          <t>MARUTI SUZUKI</t>
        </is>
      </c>
      <c r="F4309" s="7" t="inlineStr">
        <is>
          <t>Baleno</t>
        </is>
      </c>
      <c r="G4309" s="7" t="inlineStr">
        <is>
          <t>EXCHANGE ROTN</t>
        </is>
      </c>
      <c r="H4309" s="7" t="inlineStr">
        <is>
          <t>Captive</t>
        </is>
      </c>
      <c r="I4309" s="7" t="inlineStr">
        <is>
          <t>&lt;NA&gt;</t>
        </is>
      </c>
      <c r="J4309" s="8" t="n">
        <v>2018</v>
      </c>
      <c r="K4309" s="9" t="n">
        <v>66293</v>
      </c>
      <c r="L4309" s="10" t="n">
        <v>380000</v>
      </c>
      <c r="M4309" s="10" t="n">
        <v>8474.58</v>
      </c>
      <c r="N4309" s="11">
        <f>IF(M4309="","",ROUND(M4309*1.18,2))</f>
        <v/>
      </c>
      <c r="O4309" s="12">
        <f>IF(M4309="","",ROUND(N4309-M4309,2))</f>
        <v/>
      </c>
      <c r="P4309" s="13">
        <f>IF(AND(A4309&lt;&gt;"",B4309&lt;&gt;""), A4309&amp;" · "&amp;B4309, "")</f>
        <v/>
      </c>
    </row>
    <row r="4310">
      <c r="A4310" s="6" t="inlineStr">
        <is>
          <t>FY27</t>
        </is>
      </c>
      <c r="B4310" s="6" t="inlineStr">
        <is>
          <t>Sep</t>
        </is>
      </c>
      <c r="C4310" s="6" t="inlineStr">
        <is>
          <t>TN</t>
        </is>
      </c>
      <c r="D4310" s="7" t="inlineStr">
        <is>
          <t>TN91A1208</t>
        </is>
      </c>
      <c r="E4310" s="7" t="inlineStr">
        <is>
          <t>HYUNDAI</t>
        </is>
      </c>
      <c r="F4310" s="7" t="inlineStr">
        <is>
          <t>Xcent</t>
        </is>
      </c>
      <c r="G4310" s="7" t="inlineStr">
        <is>
          <t>PRODUCTIVITY ELEMENTS PRIVATE LIMITED</t>
        </is>
      </c>
      <c r="H4310" s="7" t="inlineStr">
        <is>
          <t>Non-Captive</t>
        </is>
      </c>
      <c r="I4310" s="7" t="inlineStr">
        <is>
          <t>Pine Autos</t>
        </is>
      </c>
      <c r="J4310" s="8" t="n">
        <v>2016</v>
      </c>
      <c r="K4310" s="9" t="n">
        <v>199071</v>
      </c>
      <c r="L4310" s="10" t="n">
        <v>98000</v>
      </c>
      <c r="M4310" s="10" t="n">
        <v>4237.29</v>
      </c>
      <c r="N4310" s="11">
        <f>IF(M4310="","",ROUND(M4310*1.18,2))</f>
        <v/>
      </c>
      <c r="O4310" s="12">
        <f>IF(M4310="","",ROUND(N4310-M4310,2))</f>
        <v/>
      </c>
      <c r="P4310" s="13">
        <f>IF(AND(A4310&lt;&gt;"",B4310&lt;&gt;""), A4310&amp;" · "&amp;B4310, "")</f>
        <v/>
      </c>
    </row>
    <row r="4311">
      <c r="A4311" s="6" t="inlineStr">
        <is>
          <t>FY27</t>
        </is>
      </c>
      <c r="B4311" s="6" t="inlineStr">
        <is>
          <t>Sep</t>
        </is>
      </c>
      <c r="C4311" s="6" t="inlineStr">
        <is>
          <t>TN</t>
        </is>
      </c>
      <c r="D4311" s="7" t="inlineStr">
        <is>
          <t>TN91B6339</t>
        </is>
      </c>
      <c r="E4311" s="7" t="inlineStr">
        <is>
          <t>HYUNDAI</t>
        </is>
      </c>
      <c r="F4311" s="7" t="inlineStr">
        <is>
          <t>i10</t>
        </is>
      </c>
      <c r="G4311" s="7" t="inlineStr">
        <is>
          <t>AIE CARS PRIVATE LIMITED</t>
        </is>
      </c>
      <c r="H4311" s="7" t="inlineStr">
        <is>
          <t>Non-Captive</t>
        </is>
      </c>
      <c r="I4311" s="7" t="inlineStr">
        <is>
          <t>Santhosh Cars</t>
        </is>
      </c>
      <c r="J4311" s="8" t="n">
        <v>2016</v>
      </c>
      <c r="K4311" s="9" t="n">
        <v>88980</v>
      </c>
      <c r="L4311" s="10" t="n">
        <v>92000</v>
      </c>
      <c r="M4311" s="10" t="n">
        <v>4237.29</v>
      </c>
      <c r="N4311" s="11">
        <f>IF(M4311="","",ROUND(M4311*1.18,2))</f>
        <v/>
      </c>
      <c r="O4311" s="12">
        <f>IF(M4311="","",ROUND(N4311-M4311,2))</f>
        <v/>
      </c>
      <c r="P4311" s="13">
        <f>IF(AND(A4311&lt;&gt;"",B4311&lt;&gt;""), A4311&amp;" · "&amp;B4311, "")</f>
        <v/>
      </c>
    </row>
    <row r="4312">
      <c r="A4312" s="6" t="inlineStr">
        <is>
          <t>FY27</t>
        </is>
      </c>
      <c r="B4312" s="6" t="inlineStr">
        <is>
          <t>Sep</t>
        </is>
      </c>
      <c r="C4312" s="6" t="inlineStr">
        <is>
          <t>TN</t>
        </is>
      </c>
      <c r="D4312" s="7" t="inlineStr">
        <is>
          <t>TN99C7670</t>
        </is>
      </c>
      <c r="E4312" s="7" t="inlineStr">
        <is>
          <t>MARUTI SUZUKI</t>
        </is>
      </c>
      <c r="F4312" s="7" t="inlineStr">
        <is>
          <t>Celerio</t>
        </is>
      </c>
      <c r="G4312" s="7" t="inlineStr">
        <is>
          <t>STEER AUTO TECHNOLOGIES PRIVATE LIMITED</t>
        </is>
      </c>
      <c r="H4312" s="7" t="inlineStr">
        <is>
          <t>Non-Captive</t>
        </is>
      </c>
      <c r="I4312" s="7" t="inlineStr">
        <is>
          <t>Cars24</t>
        </is>
      </c>
      <c r="J4312" s="8" t="n">
        <v>2015</v>
      </c>
      <c r="K4312" s="9" t="n">
        <v>42199</v>
      </c>
      <c r="L4312" s="10" t="n">
        <v>86000</v>
      </c>
      <c r="M4312" s="10" t="n">
        <v>4237.29</v>
      </c>
      <c r="N4312" s="11">
        <f>IF(M4312="","",ROUND(M4312*1.18,2))</f>
        <v/>
      </c>
      <c r="O4312" s="12">
        <f>IF(M4312="","",ROUND(N4312-M4312,2))</f>
        <v/>
      </c>
      <c r="P4312" s="13">
        <f>IF(AND(A4312&lt;&gt;"",B4312&lt;&gt;""), A4312&amp;" · "&amp;B4312, "")</f>
        <v/>
      </c>
    </row>
    <row r="4313">
      <c r="A4313" s="6" t="inlineStr">
        <is>
          <t>FY27</t>
        </is>
      </c>
      <c r="B4313" s="6" t="inlineStr">
        <is>
          <t>Sep</t>
        </is>
      </c>
      <c r="C4313" s="6" t="inlineStr">
        <is>
          <t>TN</t>
        </is>
      </c>
      <c r="D4313" s="7" t="inlineStr">
        <is>
          <t>TN99V1078</t>
        </is>
      </c>
      <c r="E4313" s="7" t="inlineStr">
        <is>
          <t>TOYOTA</t>
        </is>
      </c>
      <c r="F4313" s="7" t="inlineStr">
        <is>
          <t>Corolla Altis</t>
        </is>
      </c>
      <c r="G4313" s="7" t="inlineStr">
        <is>
          <t>EXCHANGE ROTN</t>
        </is>
      </c>
      <c r="H4313" s="7" t="inlineStr">
        <is>
          <t>Captive</t>
        </is>
      </c>
      <c r="I4313" s="7" t="inlineStr">
        <is>
          <t>Sai Cars</t>
        </is>
      </c>
      <c r="J4313" s="8" t="n">
        <v>2018</v>
      </c>
      <c r="K4313" s="9" t="n">
        <v>80732</v>
      </c>
      <c r="L4313" s="10" t="n">
        <v>750000</v>
      </c>
      <c r="M4313" s="10" t="n">
        <v>12711.86</v>
      </c>
      <c r="N4313" s="11">
        <f>IF(M4313="","",ROUND(M4313*1.18,2))</f>
        <v/>
      </c>
      <c r="O4313" s="12">
        <f>IF(M4313="","",ROUND(N4313-M4313,2))</f>
        <v/>
      </c>
      <c r="P4313" s="13">
        <f>IF(AND(A4313&lt;&gt;"",B4313&lt;&gt;""), A4313&amp;" · "&amp;B4313, "")</f>
        <v/>
      </c>
    </row>
    <row r="4314">
      <c r="A4314" s="6" t="inlineStr">
        <is>
          <t>FY27</t>
        </is>
      </c>
      <c r="B4314" s="6" t="inlineStr">
        <is>
          <t>Sep</t>
        </is>
      </c>
      <c r="C4314" s="6" t="inlineStr">
        <is>
          <t>TN</t>
        </is>
      </c>
      <c r="D4314" s="7" t="inlineStr">
        <is>
          <t>TN99Z0968</t>
        </is>
      </c>
      <c r="E4314" s="7" t="inlineStr">
        <is>
          <t>HONDA</t>
        </is>
      </c>
      <c r="F4314" s="7" t="inlineStr">
        <is>
          <t>Amaze</t>
        </is>
      </c>
      <c r="G4314" s="7" t="inlineStr">
        <is>
          <t>EXCHANGE ROTN</t>
        </is>
      </c>
      <c r="H4314" s="7" t="inlineStr">
        <is>
          <t>Captive</t>
        </is>
      </c>
      <c r="I4314" s="7" t="inlineStr">
        <is>
          <t>Spinny / Sai Cars</t>
        </is>
      </c>
      <c r="J4314" s="8" t="n">
        <v>2023</v>
      </c>
      <c r="K4314" s="9" t="n">
        <v>33283</v>
      </c>
      <c r="L4314" s="10" t="n">
        <v>675000</v>
      </c>
      <c r="M4314" s="10" t="n">
        <v>16949.15</v>
      </c>
      <c r="N4314" s="11">
        <f>IF(M4314="","",ROUND(M4314*1.18,2))</f>
        <v/>
      </c>
      <c r="O4314" s="12">
        <f>IF(M4314="","",ROUND(N4314-M4314,2))</f>
        <v/>
      </c>
      <c r="P4314" s="13">
        <f>IF(AND(A4314&lt;&gt;"",B4314&lt;&gt;""), A4314&amp;" · "&amp;B4314, "")</f>
        <v/>
      </c>
    </row>
    <row r="4315">
      <c r="A4315" s="6" t="inlineStr">
        <is>
          <t>FY27</t>
        </is>
      </c>
      <c r="B4315" s="6" t="inlineStr">
        <is>
          <t>Sep</t>
        </is>
      </c>
      <c r="C4315" s="6" t="inlineStr">
        <is>
          <t>TN</t>
        </is>
      </c>
      <c r="D4315" s="7" t="inlineStr">
        <is>
          <t>WB74V3884</t>
        </is>
      </c>
      <c r="E4315" s="7" t="inlineStr">
        <is>
          <t>MARUTI SUZUKI</t>
        </is>
      </c>
      <c r="F4315" s="7" t="inlineStr">
        <is>
          <t>Alto</t>
        </is>
      </c>
      <c r="G4315" s="7" t="inlineStr">
        <is>
          <t>AIE CARS PRIVATE LIMITED</t>
        </is>
      </c>
      <c r="H4315" s="7" t="inlineStr">
        <is>
          <t>Non-Captive</t>
        </is>
      </c>
      <c r="I4315" s="7" t="inlineStr">
        <is>
          <t>Pine Autos</t>
        </is>
      </c>
      <c r="J4315" s="8" t="n">
        <v>2011</v>
      </c>
      <c r="K4315" s="9" t="n">
        <v>89650</v>
      </c>
      <c r="L4315" s="10" t="n">
        <v>99000</v>
      </c>
      <c r="M4315" s="10" t="n">
        <v>4237.29</v>
      </c>
      <c r="N4315" s="11">
        <f>IF(M4315="","",ROUND(M4315*1.18,2))</f>
        <v/>
      </c>
      <c r="O4315" s="12">
        <f>IF(M4315="","",ROUND(N4315-M4315,2))</f>
        <v/>
      </c>
      <c r="P4315" s="13">
        <f>IF(AND(A4315&lt;&gt;"",B4315&lt;&gt;""), A4315&amp;" · "&amp;B4315, "")</f>
        <v/>
      </c>
    </row>
  </sheetData>
  <dataValidations count="8">
    <dataValidation sqref="A2:A5000" showDropDown="0" showInputMessage="0" showErrorMessage="0" allowBlank="1" type="list">
      <formula1>='Lookup Lists'!$A$2:$A$1000</formula1>
    </dataValidation>
    <dataValidation sqref="B2:B5000" showDropDown="0" showInputMessage="0" showErrorMessage="0" allowBlank="1" type="list">
      <formula1>='Lookup Lists'!$B$2:$B$1000</formula1>
    </dataValidation>
    <dataValidation sqref="C2:C5000" showDropDown="0" showInputMessage="0" showErrorMessage="0" allowBlank="1" type="list">
      <formula1>='Lookup Lists'!$C$2:$C$1000</formula1>
    </dataValidation>
    <dataValidation sqref="E2:E5000" showDropDown="0" showInputMessage="0" showErrorMessage="0" allowBlank="1" type="list">
      <formula1>='Lookup Lists'!$E$2:$E$1000</formula1>
    </dataValidation>
    <dataValidation sqref="F2:F5000" showDropDown="0" showInputMessage="0" showErrorMessage="0" allowBlank="1" type="list">
      <formula1>='Lookup Lists'!$F$2:$F$1000</formula1>
    </dataValidation>
    <dataValidation sqref="G2:G5000" showDropDown="0" showInputMessage="0" showErrorMessage="0" allowBlank="1" type="list">
      <formula1>='Lookup Lists'!$G$2:$G$1000</formula1>
    </dataValidation>
    <dataValidation sqref="H2:H5000" showDropDown="0" showInputMessage="0" showErrorMessage="0" allowBlank="1" type="list">
      <formula1>='Lookup Lists'!$D$2:$D$1000</formula1>
    </dataValidation>
    <dataValidation sqref="I2:I5000" showDropDown="0" showInputMessage="0" showErrorMessage="0" allowBlank="1" type="list">
      <formula1>='Lookup Lists'!$H$2:$H$1000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1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  <col width="20" customWidth="1" min="8" max="8"/>
  </cols>
  <sheetData>
    <row r="1">
      <c r="A1" s="14" t="inlineStr">
        <is>
          <t>FY</t>
        </is>
      </c>
      <c r="B1" s="14" t="inlineStr">
        <is>
          <t>Month</t>
        </is>
      </c>
      <c r="C1" s="14" t="inlineStr">
        <is>
          <t>State</t>
        </is>
      </c>
      <c r="D1" s="14" t="inlineStr">
        <is>
          <t>Seller Segment</t>
        </is>
      </c>
      <c r="E1" s="14" t="inlineStr">
        <is>
          <t>Make</t>
        </is>
      </c>
      <c r="F1" s="14" t="inlineStr">
        <is>
          <t>Model</t>
        </is>
      </c>
      <c r="G1" s="14" t="inlineStr">
        <is>
          <t>Authorised Sellers</t>
        </is>
      </c>
      <c r="H1" s="14" t="inlineStr">
        <is>
          <t>Verified Buyers</t>
        </is>
      </c>
    </row>
    <row r="2">
      <c r="A2" s="15" t="inlineStr">
        <is>
          <t>FY24</t>
        </is>
      </c>
      <c r="B2" s="15" t="inlineStr">
        <is>
          <t>Jan</t>
        </is>
      </c>
      <c r="C2" s="15" t="inlineStr">
        <is>
          <t>TN</t>
        </is>
      </c>
      <c r="D2" s="15" t="inlineStr">
        <is>
          <t>Captive</t>
        </is>
      </c>
      <c r="E2" s="15" t="inlineStr">
        <is>
          <t>ASHOK LEYLAND</t>
        </is>
      </c>
      <c r="F2" s="15" t="inlineStr">
        <is>
          <t>1017</t>
        </is>
      </c>
      <c r="G2" s="15" t="inlineStr">
        <is>
          <t>AA CARS</t>
        </is>
      </c>
      <c r="H2" s="15" t="inlineStr">
        <is>
          <t>33 Cars</t>
        </is>
      </c>
    </row>
    <row r="3">
      <c r="A3" s="15" t="inlineStr">
        <is>
          <t>FY25</t>
        </is>
      </c>
      <c r="B3" s="15" t="inlineStr">
        <is>
          <t>Feb</t>
        </is>
      </c>
      <c r="C3" s="15" t="inlineStr">
        <is>
          <t>Kerala</t>
        </is>
      </c>
      <c r="D3" s="15" t="inlineStr">
        <is>
          <t>Non-Captive</t>
        </is>
      </c>
      <c r="E3" s="15" t="inlineStr">
        <is>
          <t>BHARATBENZ</t>
        </is>
      </c>
      <c r="F3" s="15" t="inlineStr">
        <is>
          <t>1112</t>
        </is>
      </c>
      <c r="G3" s="15" t="inlineStr">
        <is>
          <t>AADHI CARS PRIVATE LIMITED</t>
        </is>
      </c>
      <c r="H3" s="15" t="inlineStr">
        <is>
          <t>4 WHEEL DRIVE</t>
        </is>
      </c>
    </row>
    <row r="4">
      <c r="A4" s="15" t="inlineStr">
        <is>
          <t>FY26</t>
        </is>
      </c>
      <c r="B4" s="15" t="inlineStr">
        <is>
          <t>Mar</t>
        </is>
      </c>
      <c r="C4" s="15" t="inlineStr">
        <is>
          <t>AP/TS</t>
        </is>
      </c>
      <c r="E4" s="15" t="inlineStr">
        <is>
          <t>BMW</t>
        </is>
      </c>
      <c r="F4" s="15" t="inlineStr">
        <is>
          <t>320D</t>
        </is>
      </c>
      <c r="G4" s="15" t="inlineStr">
        <is>
          <t>ABBAS</t>
        </is>
      </c>
      <c r="H4" s="15" t="inlineStr">
        <is>
          <t>4 Wheel Drive-Rafeek T A</t>
        </is>
      </c>
    </row>
    <row r="5">
      <c r="A5" s="15" t="inlineStr">
        <is>
          <t>FY27</t>
        </is>
      </c>
      <c r="B5" s="15" t="inlineStr">
        <is>
          <t>Apr</t>
        </is>
      </c>
      <c r="C5" s="15" t="inlineStr">
        <is>
          <t>Karnataka</t>
        </is>
      </c>
      <c r="E5" s="15" t="inlineStr">
        <is>
          <t>CHEVROLET</t>
        </is>
      </c>
      <c r="F5" s="15" t="inlineStr">
        <is>
          <t>800</t>
        </is>
      </c>
      <c r="G5" s="15" t="inlineStr">
        <is>
          <t>ABDUL MUGEES</t>
        </is>
      </c>
      <c r="H5" s="15" t="inlineStr">
        <is>
          <t>4Wheelz</t>
        </is>
      </c>
    </row>
    <row r="6">
      <c r="A6" s="15" t="inlineStr">
        <is>
          <t>FY28</t>
        </is>
      </c>
      <c r="B6" s="15" t="inlineStr">
        <is>
          <t>May</t>
        </is>
      </c>
      <c r="C6" s="15" t="inlineStr">
        <is>
          <t>Maharashtra</t>
        </is>
      </c>
      <c r="E6" s="15" t="inlineStr">
        <is>
          <t>CITROEN</t>
        </is>
      </c>
      <c r="F6" s="15" t="inlineStr">
        <is>
          <t>A-Star</t>
        </is>
      </c>
      <c r="G6" s="15" t="inlineStr">
        <is>
          <t>ABDUL SALAM P U</t>
        </is>
      </c>
      <c r="H6" s="15" t="inlineStr">
        <is>
          <t>9 MILES CARZ</t>
        </is>
      </c>
    </row>
    <row r="7">
      <c r="B7" s="15" t="inlineStr">
        <is>
          <t>Jun</t>
        </is>
      </c>
      <c r="C7" s="15" t="inlineStr">
        <is>
          <t>Other</t>
        </is>
      </c>
      <c r="E7" s="15" t="inlineStr">
        <is>
          <t>DATSUN</t>
        </is>
      </c>
      <c r="F7" s="15" t="inlineStr">
        <is>
          <t>Accent</t>
        </is>
      </c>
      <c r="G7" s="15" t="inlineStr">
        <is>
          <t>ABDUL SAMAD</t>
        </is>
      </c>
      <c r="H7" s="15" t="inlineStr">
        <is>
          <t>9miles</t>
        </is>
      </c>
    </row>
    <row r="8">
      <c r="B8" s="15" t="inlineStr">
        <is>
          <t>Jul</t>
        </is>
      </c>
      <c r="E8" s="15" t="inlineStr">
        <is>
          <t>FIAT</t>
        </is>
      </c>
      <c r="F8" s="15" t="inlineStr">
        <is>
          <t>Accord</t>
        </is>
      </c>
      <c r="G8" s="15" t="inlineStr">
        <is>
          <t>ABHILASH</t>
        </is>
      </c>
      <c r="H8" s="15" t="inlineStr">
        <is>
          <t>A Surya Vidya Devi</t>
        </is>
      </c>
    </row>
    <row r="9">
      <c r="B9" s="15" t="inlineStr">
        <is>
          <t>Aug</t>
        </is>
      </c>
      <c r="E9" s="15" t="inlineStr">
        <is>
          <t>FORD</t>
        </is>
      </c>
      <c r="F9" s="15" t="inlineStr">
        <is>
          <t>Alcazar</t>
        </is>
      </c>
      <c r="G9" s="15" t="inlineStr">
        <is>
          <t>ABHISHEK</t>
        </is>
      </c>
      <c r="H9" s="15" t="inlineStr">
        <is>
          <t>AA Cars</t>
        </is>
      </c>
    </row>
    <row r="10">
      <c r="B10" s="15" t="inlineStr">
        <is>
          <t>Sep</t>
        </is>
      </c>
      <c r="E10" s="15" t="inlineStr">
        <is>
          <t>HINDUSTAN MOTORS</t>
        </is>
      </c>
      <c r="F10" s="15" t="inlineStr">
        <is>
          <t>Alto</t>
        </is>
      </c>
      <c r="G10" s="15" t="inlineStr">
        <is>
          <t>ABILASH CHANDRAN</t>
        </is>
      </c>
      <c r="H10" s="15" t="inlineStr">
        <is>
          <t>AAA Cars</t>
        </is>
      </c>
    </row>
    <row r="11">
      <c r="B11" s="15" t="inlineStr">
        <is>
          <t>Oct</t>
        </is>
      </c>
      <c r="E11" s="15" t="inlineStr">
        <is>
          <t>HONDA</t>
        </is>
      </c>
      <c r="F11" s="15" t="inlineStr">
        <is>
          <t>Alto 800</t>
        </is>
      </c>
      <c r="G11" s="15" t="inlineStr">
        <is>
          <t>ABT LIMITED</t>
        </is>
      </c>
      <c r="H11" s="15" t="inlineStr">
        <is>
          <t>AB CAR ZONE</t>
        </is>
      </c>
    </row>
    <row r="12">
      <c r="B12" s="15" t="inlineStr">
        <is>
          <t>Nov</t>
        </is>
      </c>
      <c r="E12" s="15" t="inlineStr">
        <is>
          <t>HYUNDAI</t>
        </is>
      </c>
      <c r="F12" s="15" t="inlineStr">
        <is>
          <t>Alto K10</t>
        </is>
      </c>
      <c r="G12" s="15" t="inlineStr">
        <is>
          <t>ABT ROTN</t>
        </is>
      </c>
      <c r="H12" s="15" t="inlineStr">
        <is>
          <t>AB Cars</t>
        </is>
      </c>
    </row>
    <row r="13">
      <c r="B13" s="15" t="inlineStr">
        <is>
          <t>Dec</t>
        </is>
      </c>
      <c r="E13" s="15" t="inlineStr">
        <is>
          <t>JEEP</t>
        </is>
      </c>
      <c r="F13" s="15" t="inlineStr">
        <is>
          <t>Altroz</t>
        </is>
      </c>
      <c r="G13" s="15" t="inlineStr">
        <is>
          <t>ABU THAHIR AITO CARS</t>
        </is>
      </c>
      <c r="H13" s="15" t="inlineStr">
        <is>
          <t>ABDUL BASHEER</t>
        </is>
      </c>
    </row>
    <row r="14">
      <c r="E14" s="15" t="inlineStr">
        <is>
          <t>KIA</t>
        </is>
      </c>
      <c r="F14" s="15" t="inlineStr">
        <is>
          <t>Amaze</t>
        </is>
      </c>
      <c r="G14" s="15" t="inlineStr">
        <is>
          <t>AIE CARS PRIVATE LIMITED</t>
        </is>
      </c>
      <c r="H14" s="15" t="inlineStr">
        <is>
          <t>ABDUL KAHAR</t>
        </is>
      </c>
    </row>
    <row r="15">
      <c r="E15" s="15" t="inlineStr">
        <is>
          <t>MAHINDRA</t>
        </is>
      </c>
      <c r="F15" s="15" t="inlineStr">
        <is>
          <t>Ambassador</t>
        </is>
      </c>
      <c r="G15" s="15" t="inlineStr">
        <is>
          <t>AITO CARS</t>
        </is>
      </c>
      <c r="H15" s="15" t="inlineStr">
        <is>
          <t>ABDUL SALAM K K</t>
        </is>
      </c>
    </row>
    <row r="16">
      <c r="E16" s="15" t="inlineStr">
        <is>
          <t>MARUTI SUZUKI</t>
        </is>
      </c>
      <c r="F16" s="15" t="inlineStr">
        <is>
          <t>Ameo</t>
        </is>
      </c>
      <c r="G16" s="15" t="inlineStr">
        <is>
          <t>AKHILNATH</t>
        </is>
      </c>
      <c r="H16" s="15" t="inlineStr">
        <is>
          <t>ABHINASH P V</t>
        </is>
      </c>
    </row>
    <row r="17">
      <c r="E17" s="15" t="inlineStr">
        <is>
          <t>MG MOTORS</t>
        </is>
      </c>
      <c r="F17" s="15" t="inlineStr">
        <is>
          <t>Aria</t>
        </is>
      </c>
      <c r="G17" s="15" t="inlineStr">
        <is>
          <t>ALBIN</t>
        </is>
      </c>
      <c r="H17" s="15" t="inlineStr">
        <is>
          <t>ABHISHEK</t>
        </is>
      </c>
    </row>
    <row r="18">
      <c r="E18" s="15" t="inlineStr">
        <is>
          <t>MITSUBISHI</t>
        </is>
      </c>
      <c r="F18" s="15" t="inlineStr">
        <is>
          <t>Aspire</t>
        </is>
      </c>
      <c r="G18" s="15" t="inlineStr">
        <is>
          <t>ALBIN JOSE</t>
        </is>
      </c>
      <c r="H18" s="15" t="inlineStr">
        <is>
          <t>ABIJITH V K</t>
        </is>
      </c>
    </row>
    <row r="19">
      <c r="E19" s="15" t="inlineStr">
        <is>
          <t>NISSAN</t>
        </is>
      </c>
      <c r="F19" s="15" t="inlineStr">
        <is>
          <t>Astor</t>
        </is>
      </c>
      <c r="G19" s="15" t="inlineStr">
        <is>
          <t>ALI HAPPY DRIVE</t>
        </is>
      </c>
      <c r="H19" s="15" t="inlineStr">
        <is>
          <t>ABITH M S</t>
        </is>
      </c>
    </row>
    <row r="20">
      <c r="E20" s="15" t="inlineStr">
        <is>
          <t>OPEL</t>
        </is>
      </c>
      <c r="F20" s="15" t="inlineStr">
        <is>
          <t>Aura</t>
        </is>
      </c>
      <c r="G20" s="15" t="inlineStr">
        <is>
          <t>AM MOTORS</t>
        </is>
      </c>
      <c r="H20" s="15" t="inlineStr">
        <is>
          <t>ADERSH MAY BACK MOTORS</t>
        </is>
      </c>
    </row>
    <row r="21">
      <c r="E21" s="15" t="inlineStr">
        <is>
          <t>RENAULT</t>
        </is>
      </c>
      <c r="F21" s="15" t="inlineStr">
        <is>
          <t>Aveo</t>
        </is>
      </c>
      <c r="G21" s="15" t="inlineStr">
        <is>
          <t>AMANA TOYOTA</t>
        </is>
      </c>
      <c r="H21" s="15" t="inlineStr">
        <is>
          <t>AFSAL A</t>
        </is>
      </c>
    </row>
    <row r="22">
      <c r="E22" s="15" t="inlineStr">
        <is>
          <t>SKODA</t>
        </is>
      </c>
      <c r="F22" s="15" t="inlineStr">
        <is>
          <t>Avventura</t>
        </is>
      </c>
      <c r="G22" s="15" t="inlineStr">
        <is>
          <t>AMPL MAHINDRA</t>
        </is>
      </c>
      <c r="H22" s="15" t="inlineStr">
        <is>
          <t>AFSAL A(SUDHEER K H</t>
        </is>
      </c>
    </row>
    <row r="23">
      <c r="E23" s="15" t="inlineStr">
        <is>
          <t>SML ISUZU</t>
        </is>
      </c>
      <c r="F23" s="15" t="inlineStr">
        <is>
          <t>BR-V</t>
        </is>
      </c>
      <c r="G23" s="15" t="inlineStr">
        <is>
          <t>AMRITH V CHANDY</t>
        </is>
      </c>
      <c r="H23" s="15" t="inlineStr">
        <is>
          <t>AFSAL P ASARAF</t>
        </is>
      </c>
    </row>
    <row r="24">
      <c r="E24" s="15" t="inlineStr">
        <is>
          <t>TATA</t>
        </is>
      </c>
      <c r="F24" s="15" t="inlineStr">
        <is>
          <t>Baleno</t>
        </is>
      </c>
      <c r="G24" s="15" t="inlineStr">
        <is>
          <t>AMRUTH</t>
        </is>
      </c>
      <c r="H24" s="15" t="inlineStr">
        <is>
          <t>AJMAL ASHIQ</t>
        </is>
      </c>
    </row>
    <row r="25">
      <c r="E25" s="15" t="inlineStr">
        <is>
          <t>TOYOTA</t>
        </is>
      </c>
      <c r="F25" s="15" t="inlineStr">
        <is>
          <t>Beat</t>
        </is>
      </c>
      <c r="G25" s="15" t="inlineStr">
        <is>
          <t>ANAAMALAIS TOYOTA</t>
        </is>
      </c>
      <c r="H25" s="15" t="inlineStr">
        <is>
          <t>AKHIL K</t>
        </is>
      </c>
    </row>
    <row r="26">
      <c r="E26" s="15" t="inlineStr">
        <is>
          <t>VOLKSWAGEN</t>
        </is>
      </c>
      <c r="F26" s="15" t="inlineStr">
        <is>
          <t>Bolero</t>
        </is>
      </c>
      <c r="G26" s="15" t="inlineStr">
        <is>
          <t>ANANDHU SURESH</t>
        </is>
      </c>
      <c r="H26" s="15" t="inlineStr">
        <is>
          <t>AKHIL KT</t>
        </is>
      </c>
    </row>
    <row r="27">
      <c r="E27" s="15" t="inlineStr">
        <is>
          <t>VOLVO</t>
        </is>
      </c>
      <c r="F27" s="15" t="inlineStr">
        <is>
          <t>Bolt</t>
        </is>
      </c>
      <c r="G27" s="15" t="inlineStr">
        <is>
          <t>ANAS</t>
        </is>
      </c>
      <c r="H27" s="15" t="inlineStr">
        <is>
          <t>AKHILNATH</t>
        </is>
      </c>
    </row>
    <row r="28">
      <c r="F28" s="15" t="inlineStr">
        <is>
          <t>Brio</t>
        </is>
      </c>
      <c r="G28" s="15" t="inlineStr">
        <is>
          <t>ANAS HAMEED</t>
        </is>
      </c>
      <c r="H28" s="15" t="inlineStr">
        <is>
          <t>ALBIN</t>
        </is>
      </c>
    </row>
    <row r="29">
      <c r="F29" s="15" t="inlineStr">
        <is>
          <t>C3</t>
        </is>
      </c>
      <c r="G29" s="15" t="inlineStr">
        <is>
          <t>ANAS VH</t>
        </is>
      </c>
      <c r="H29" s="15" t="inlineStr">
        <is>
          <t>ALTHAF</t>
        </is>
      </c>
    </row>
    <row r="30">
      <c r="F30" s="15" t="inlineStr">
        <is>
          <t>CR-V</t>
        </is>
      </c>
      <c r="G30" s="15" t="inlineStr">
        <is>
          <t>ANIL</t>
        </is>
      </c>
      <c r="H30" s="15" t="inlineStr">
        <is>
          <t>AM MOTORS</t>
        </is>
      </c>
    </row>
    <row r="31">
      <c r="F31" s="15" t="inlineStr">
        <is>
          <t>Camry</t>
        </is>
      </c>
      <c r="G31" s="15" t="inlineStr">
        <is>
          <t>ANJEL MOTORS</t>
        </is>
      </c>
      <c r="H31" s="15" t="inlineStr">
        <is>
          <t>AMANA TOYOTA</t>
        </is>
      </c>
    </row>
    <row r="32">
      <c r="F32" s="15" t="inlineStr">
        <is>
          <t>Captur</t>
        </is>
      </c>
      <c r="G32" s="15" t="inlineStr">
        <is>
          <t>ANWAR SADATH</t>
        </is>
      </c>
      <c r="H32" s="15" t="inlineStr">
        <is>
          <t>ANANDHU</t>
        </is>
      </c>
    </row>
    <row r="33">
      <c r="F33" s="15" t="inlineStr">
        <is>
          <t>Carens</t>
        </is>
      </c>
      <c r="G33" s="15" t="inlineStr">
        <is>
          <t>APCO HONDA</t>
        </is>
      </c>
      <c r="H33" s="15" t="inlineStr">
        <is>
          <t>ANAS HAMEEDKUTTY</t>
        </is>
      </c>
    </row>
    <row r="34">
      <c r="F34" s="15" t="inlineStr">
        <is>
          <t>Cargo</t>
        </is>
      </c>
      <c r="G34" s="15" t="inlineStr">
        <is>
          <t>APCO HYUNDAI</t>
        </is>
      </c>
      <c r="H34" s="15" t="inlineStr">
        <is>
          <t>ANAS VH</t>
        </is>
      </c>
    </row>
    <row r="35">
      <c r="F35" s="15" t="inlineStr">
        <is>
          <t>Celerio</t>
        </is>
      </c>
      <c r="G35" s="15" t="inlineStr">
        <is>
          <t>ARAVIND</t>
        </is>
      </c>
      <c r="H35" s="15" t="inlineStr">
        <is>
          <t>ANEEFA</t>
        </is>
      </c>
    </row>
    <row r="36">
      <c r="F36" s="15" t="inlineStr">
        <is>
          <t>Celerio X</t>
        </is>
      </c>
      <c r="G36" s="15" t="inlineStr">
        <is>
          <t>ARJID</t>
        </is>
      </c>
      <c r="H36" s="15" t="inlineStr">
        <is>
          <t>ANEES</t>
        </is>
      </c>
    </row>
    <row r="37">
      <c r="F37" s="15" t="inlineStr">
        <is>
          <t>Ciaz</t>
        </is>
      </c>
      <c r="G37" s="15" t="inlineStr">
        <is>
          <t>ARJUN KK</t>
        </is>
      </c>
      <c r="H37" s="15" t="inlineStr">
        <is>
          <t>ANEESH</t>
        </is>
      </c>
    </row>
    <row r="38">
      <c r="F38" s="15" t="inlineStr">
        <is>
          <t>City</t>
        </is>
      </c>
      <c r="G38" s="15" t="inlineStr">
        <is>
          <t>ARUN T RAJ</t>
        </is>
      </c>
      <c r="H38" s="15" t="inlineStr">
        <is>
          <t>ANOOP</t>
        </is>
      </c>
    </row>
    <row r="39">
      <c r="F39" s="15" t="inlineStr">
        <is>
          <t>Civic</t>
        </is>
      </c>
      <c r="G39" s="15" t="inlineStr">
        <is>
          <t>ASAMS M SUNNY</t>
        </is>
      </c>
      <c r="H39" s="15" t="inlineStr">
        <is>
          <t>ANOOP AUGUSTINE</t>
        </is>
      </c>
    </row>
    <row r="40">
      <c r="F40" s="15" t="inlineStr">
        <is>
          <t>Compass</t>
        </is>
      </c>
      <c r="G40" s="15" t="inlineStr">
        <is>
          <t>ATHEN MARUTI</t>
        </is>
      </c>
      <c r="H40" s="15" t="inlineStr">
        <is>
          <t>ANSHWAL</t>
        </is>
      </c>
    </row>
    <row r="41">
      <c r="F41" s="15" t="inlineStr">
        <is>
          <t>Corolla Altis</t>
        </is>
      </c>
      <c r="G41" s="15" t="inlineStr">
        <is>
          <t>ATHUL</t>
        </is>
      </c>
      <c r="H41" s="15" t="inlineStr">
        <is>
          <t>ANSHWAL P ANIL</t>
        </is>
      </c>
    </row>
    <row r="42">
      <c r="F42" s="15" t="inlineStr">
        <is>
          <t>Corsa</t>
        </is>
      </c>
      <c r="G42" s="15" t="inlineStr">
        <is>
          <t>ATHUL RAJ</t>
        </is>
      </c>
      <c r="H42" s="15" t="inlineStr">
        <is>
          <t>APCO HONDA</t>
        </is>
      </c>
    </row>
    <row r="43">
      <c r="F43" s="15" t="inlineStr">
        <is>
          <t>Creta</t>
        </is>
      </c>
      <c r="G43" s="15" t="inlineStr">
        <is>
          <t>AUGUSTHY M J</t>
        </is>
      </c>
      <c r="H43" s="15" t="inlineStr">
        <is>
          <t>APCO HYUNDAI</t>
        </is>
      </c>
    </row>
    <row r="44">
      <c r="F44" s="15" t="inlineStr">
        <is>
          <t>Cruze</t>
        </is>
      </c>
      <c r="G44" s="15" t="inlineStr">
        <is>
          <t>AUGUSTIN THOMAS</t>
        </is>
      </c>
      <c r="H44" s="15" t="inlineStr">
        <is>
          <t>APCO KANJAGAD</t>
        </is>
      </c>
    </row>
    <row r="45">
      <c r="F45" s="15" t="inlineStr">
        <is>
          <t>Dosth</t>
        </is>
      </c>
      <c r="G45" s="15" t="inlineStr">
        <is>
          <t>AUTO DRIVE</t>
        </is>
      </c>
      <c r="H45" s="15" t="inlineStr">
        <is>
          <t>APM cars</t>
        </is>
      </c>
    </row>
    <row r="46">
      <c r="F46" s="15" t="inlineStr">
        <is>
          <t>Duster</t>
        </is>
      </c>
      <c r="G46" s="15" t="inlineStr">
        <is>
          <t>AUTOBOT</t>
        </is>
      </c>
      <c r="H46" s="15" t="inlineStr">
        <is>
          <t>ARAVIND</t>
        </is>
      </c>
    </row>
    <row r="47">
      <c r="F47" s="15" t="inlineStr">
        <is>
          <t>Dzire</t>
        </is>
      </c>
      <c r="G47" s="15" t="inlineStr">
        <is>
          <t>AUTOMOTIVATORS</t>
        </is>
      </c>
      <c r="H47" s="15" t="inlineStr">
        <is>
          <t>ARJID</t>
        </is>
      </c>
    </row>
    <row r="48">
      <c r="F48" s="15" t="inlineStr">
        <is>
          <t>EcoSport</t>
        </is>
      </c>
      <c r="G48" s="15" t="inlineStr">
        <is>
          <t>AUTOMOTIVE</t>
        </is>
      </c>
      <c r="H48" s="15" t="inlineStr">
        <is>
          <t>ARSHEENA TV</t>
        </is>
      </c>
    </row>
    <row r="49">
      <c r="F49" s="15" t="inlineStr">
        <is>
          <t>Eeco</t>
        </is>
      </c>
      <c r="G49" s="15" t="inlineStr">
        <is>
          <t>AUTOMOTIVE MAHINDRA</t>
        </is>
      </c>
      <c r="H49" s="15" t="inlineStr">
        <is>
          <t>ARUN GOPI</t>
        </is>
      </c>
    </row>
    <row r="50">
      <c r="F50" s="15" t="inlineStr">
        <is>
          <t>Elevate</t>
        </is>
      </c>
      <c r="G50" s="15" t="inlineStr">
        <is>
          <t>AUTOMOTIVE MANUFACTURES PRIVATE LIMITED</t>
        </is>
      </c>
      <c r="H50" s="15" t="inlineStr">
        <is>
          <t>ARUN K NARAYANAN</t>
        </is>
      </c>
    </row>
    <row r="51">
      <c r="F51" s="15" t="inlineStr">
        <is>
          <t>Enjoy</t>
        </is>
      </c>
      <c r="G51" s="15" t="inlineStr">
        <is>
          <t>AUTOTRUST</t>
        </is>
      </c>
      <c r="H51" s="15" t="inlineStr">
        <is>
          <t>ARUN NARAYANAN</t>
        </is>
      </c>
    </row>
    <row r="52">
      <c r="F52" s="15" t="inlineStr">
        <is>
          <t>Eon</t>
        </is>
      </c>
      <c r="G52" s="15" t="inlineStr">
        <is>
          <t>AUTOTRUST ARJID</t>
        </is>
      </c>
      <c r="H52" s="15" t="inlineStr">
        <is>
          <t>AS CARS</t>
        </is>
      </c>
    </row>
    <row r="53">
      <c r="F53" s="15" t="inlineStr">
        <is>
          <t>Ertiga</t>
        </is>
      </c>
      <c r="G53" s="15" t="inlineStr">
        <is>
          <t>AVAALA RAJU</t>
        </is>
      </c>
      <c r="H53" s="15" t="inlineStr">
        <is>
          <t>AS Cars Gopi</t>
        </is>
      </c>
    </row>
    <row r="54">
      <c r="F54" s="15" t="inlineStr">
        <is>
          <t>Esteem</t>
        </is>
      </c>
      <c r="G54" s="15" t="inlineStr">
        <is>
          <t>AVIS INDIA</t>
        </is>
      </c>
      <c r="H54" s="15" t="inlineStr">
        <is>
          <t>ASALAM</t>
        </is>
      </c>
    </row>
    <row r="55">
      <c r="F55" s="15" t="inlineStr">
        <is>
          <t>Etios</t>
        </is>
      </c>
      <c r="G55" s="15" t="inlineStr">
        <is>
          <t>B VENKATA RAO</t>
        </is>
      </c>
      <c r="H55" s="15" t="inlineStr">
        <is>
          <t>ASHAMS</t>
        </is>
      </c>
    </row>
    <row r="56">
      <c r="F56" s="15" t="inlineStr">
        <is>
          <t>Etios Liva</t>
        </is>
      </c>
      <c r="G56" s="15" t="inlineStr">
        <is>
          <t>BALAJI CARS</t>
        </is>
      </c>
      <c r="H56" s="15" t="inlineStr">
        <is>
          <t>ASHIN P</t>
        </is>
      </c>
    </row>
    <row r="57">
      <c r="F57" s="15" t="inlineStr">
        <is>
          <t>Evalia</t>
        </is>
      </c>
      <c r="G57" s="15" t="inlineStr">
        <is>
          <t>BASITH</t>
        </is>
      </c>
      <c r="H57" s="15" t="inlineStr">
        <is>
          <t>ASHOKAUTOMAX</t>
        </is>
      </c>
    </row>
    <row r="58">
      <c r="F58" s="15" t="inlineStr">
        <is>
          <t>Fabia</t>
        </is>
      </c>
      <c r="G58" s="15" t="inlineStr">
        <is>
          <t>BHAGAVAN CARS</t>
        </is>
      </c>
      <c r="H58" s="15" t="inlineStr">
        <is>
          <t>ASHRAF T A</t>
        </is>
      </c>
    </row>
    <row r="59">
      <c r="F59" s="15" t="inlineStr">
        <is>
          <t>Fiesta</t>
        </is>
      </c>
      <c r="G59" s="15" t="inlineStr">
        <is>
          <t>BIMAL</t>
        </is>
      </c>
      <c r="H59" s="15" t="inlineStr">
        <is>
          <t>ATHUL RAJ</t>
        </is>
      </c>
    </row>
    <row r="60">
      <c r="F60" s="15" t="inlineStr">
        <is>
          <t>Fiesta Classic</t>
        </is>
      </c>
      <c r="G60" s="15" t="inlineStr">
        <is>
          <t>BIMAL MARUTI</t>
        </is>
      </c>
      <c r="H60" s="15" t="inlineStr">
        <is>
          <t>ATTASSERY THABSHEER</t>
        </is>
      </c>
    </row>
    <row r="61">
      <c r="F61" s="15" t="inlineStr">
        <is>
          <t>Figo</t>
        </is>
      </c>
      <c r="G61" s="15" t="inlineStr">
        <is>
          <t>BIRAJU RAJ</t>
        </is>
      </c>
      <c r="H61" s="15" t="inlineStr">
        <is>
          <t>AUTOTRUST</t>
        </is>
      </c>
    </row>
    <row r="62">
      <c r="F62" s="15" t="inlineStr">
        <is>
          <t>Freestyle</t>
        </is>
      </c>
      <c r="G62" s="15" t="inlineStr">
        <is>
          <t>BM CARS</t>
        </is>
      </c>
      <c r="H62" s="15" t="inlineStr">
        <is>
          <t>AV Cars</t>
        </is>
      </c>
    </row>
    <row r="63">
      <c r="F63" s="15" t="inlineStr">
        <is>
          <t>Fronx</t>
        </is>
      </c>
      <c r="G63" s="15" t="inlineStr">
        <is>
          <t>BRAKES INDIA PRIVATE LIMITED</t>
        </is>
      </c>
      <c r="H63" s="15" t="inlineStr">
        <is>
          <t>AYSHA</t>
        </is>
      </c>
    </row>
    <row r="64">
      <c r="F64" s="15" t="inlineStr">
        <is>
          <t>Furio 11</t>
        </is>
      </c>
      <c r="G64" s="15" t="inlineStr">
        <is>
          <t>BUKYA SANTHOSH NAIK</t>
        </is>
      </c>
      <c r="H64" s="15" t="inlineStr">
        <is>
          <t>Aasim Motors</t>
        </is>
      </c>
    </row>
    <row r="65">
      <c r="F65" s="15" t="inlineStr">
        <is>
          <t>Furio 7</t>
        </is>
      </c>
      <c r="G65" s="15" t="inlineStr">
        <is>
          <t>CAPS</t>
        </is>
      </c>
      <c r="H65" s="15" t="inlineStr">
        <is>
          <t>Ab cars Nagerkovil</t>
        </is>
      </c>
    </row>
    <row r="66">
      <c r="F66" s="15" t="inlineStr">
        <is>
          <t>Fusion</t>
        </is>
      </c>
      <c r="G66" s="15" t="inlineStr">
        <is>
          <t>CAR HUB</t>
        </is>
      </c>
      <c r="H66" s="15" t="inlineStr">
        <is>
          <t>Abdul Aziz</t>
        </is>
      </c>
    </row>
    <row r="67">
      <c r="F67" s="15" t="inlineStr">
        <is>
          <t>Getz</t>
        </is>
      </c>
      <c r="G67" s="15" t="inlineStr">
        <is>
          <t>CAR ZONE</t>
        </is>
      </c>
      <c r="H67" s="15" t="inlineStr">
        <is>
          <t>Abdul Mugees</t>
        </is>
      </c>
    </row>
    <row r="68">
      <c r="F68" s="15" t="inlineStr">
        <is>
          <t>Glanza</t>
        </is>
      </c>
      <c r="G68" s="15" t="inlineStr">
        <is>
          <t>CARBAZAR</t>
        </is>
      </c>
      <c r="H68" s="15" t="inlineStr">
        <is>
          <t>Abdul Razzaq</t>
        </is>
      </c>
    </row>
    <row r="69">
      <c r="F69" s="15" t="inlineStr">
        <is>
          <t>Go</t>
        </is>
      </c>
      <c r="G69" s="15" t="inlineStr">
        <is>
          <t>CARNIVAL CARS</t>
        </is>
      </c>
      <c r="H69" s="15" t="inlineStr">
        <is>
          <t>Abdul Salam P U</t>
        </is>
      </c>
    </row>
    <row r="70">
      <c r="F70" s="15" t="inlineStr">
        <is>
          <t>Go Plus</t>
        </is>
      </c>
      <c r="G70" s="15" t="inlineStr">
        <is>
          <t>CARS INDIA</t>
        </is>
      </c>
      <c r="H70" s="15" t="inlineStr">
        <is>
          <t>Abhilash</t>
        </is>
      </c>
    </row>
    <row r="71">
      <c r="F71" s="15" t="inlineStr">
        <is>
          <t>Grand Punto</t>
        </is>
      </c>
      <c r="G71" s="15" t="inlineStr">
        <is>
          <t>CARS24</t>
        </is>
      </c>
      <c r="H71" s="15" t="inlineStr">
        <is>
          <t>Abhilash G</t>
        </is>
      </c>
    </row>
    <row r="72">
      <c r="F72" s="15" t="inlineStr">
        <is>
          <t>Grand Vitara</t>
        </is>
      </c>
      <c r="G72" s="15" t="inlineStr">
        <is>
          <t>CASTLE TRADERS HONDA</t>
        </is>
      </c>
      <c r="H72" s="15" t="inlineStr">
        <is>
          <t>Abhishek M</t>
        </is>
      </c>
    </row>
    <row r="73">
      <c r="F73" s="15" t="inlineStr">
        <is>
          <t>Grand i10</t>
        </is>
      </c>
      <c r="G73" s="15" t="inlineStr">
        <is>
          <t>CASTLE TRADERS MAHINDRA</t>
        </is>
      </c>
      <c r="H73" s="15" t="inlineStr">
        <is>
          <t>Abin Jose</t>
        </is>
      </c>
    </row>
    <row r="74">
      <c r="F74" s="15" t="inlineStr">
        <is>
          <t>Grand i10 Nios</t>
        </is>
      </c>
      <c r="G74" s="15" t="inlineStr">
        <is>
          <t>CASTLE TRADERS MARUTI</t>
        </is>
      </c>
      <c r="H74" s="15" t="inlineStr">
        <is>
          <t>Abraham John</t>
        </is>
      </c>
    </row>
    <row r="75">
      <c r="F75" s="15" t="inlineStr">
        <is>
          <t>Harrier</t>
        </is>
      </c>
      <c r="G75" s="15" t="inlineStr">
        <is>
          <t>CBC MAHINDRA</t>
        </is>
      </c>
      <c r="H75" s="15" t="inlineStr">
        <is>
          <t>Adapa Aravind Sai Kumar</t>
        </is>
      </c>
    </row>
    <row r="76">
      <c r="F76" s="15" t="inlineStr">
        <is>
          <t>Hector</t>
        </is>
      </c>
      <c r="G76" s="15" t="inlineStr">
        <is>
          <t>CBE CARS</t>
        </is>
      </c>
      <c r="H76" s="15" t="inlineStr">
        <is>
          <t>Addla Mithin (Sri Venkateswara Cars</t>
        </is>
      </c>
    </row>
    <row r="77">
      <c r="F77" s="15" t="inlineStr">
        <is>
          <t>Hector Plus</t>
        </is>
      </c>
      <c r="G77" s="15" t="inlineStr">
        <is>
          <t>CHANDU RAM SAI</t>
        </is>
      </c>
      <c r="H77" s="15" t="inlineStr">
        <is>
          <t>Afsal</t>
        </is>
      </c>
    </row>
    <row r="78">
      <c r="F78" s="15" t="inlineStr">
        <is>
          <t>Hexa</t>
        </is>
      </c>
      <c r="G78" s="15" t="inlineStr">
        <is>
          <t>CHEGUDI MANOJ KUMAR</t>
        </is>
      </c>
      <c r="H78" s="15" t="inlineStr">
        <is>
          <t>Aitos Cars</t>
        </is>
      </c>
    </row>
    <row r="79">
      <c r="F79" s="15" t="inlineStr">
        <is>
          <t>Hyryder</t>
        </is>
      </c>
      <c r="G79" s="15" t="inlineStr">
        <is>
          <t>CHEKKALA GANGADHAR RAO</t>
        </is>
      </c>
      <c r="H79" s="15" t="inlineStr">
        <is>
          <t>Akash Akuthota</t>
        </is>
      </c>
    </row>
    <row r="80">
      <c r="F80" s="15" t="inlineStr">
        <is>
          <t>I20 Active</t>
        </is>
      </c>
      <c r="G80" s="15" t="inlineStr">
        <is>
          <t>CHITTIBOMMA SRINIVASA RAO</t>
        </is>
      </c>
      <c r="H80" s="15" t="inlineStr">
        <is>
          <t>Akiri Akash</t>
        </is>
      </c>
    </row>
    <row r="81">
      <c r="F81" s="15" t="inlineStr">
        <is>
          <t>Ignis</t>
        </is>
      </c>
      <c r="G81" s="15" t="inlineStr">
        <is>
          <t>CITROEN EVM</t>
        </is>
      </c>
      <c r="H81" s="15" t="inlineStr">
        <is>
          <t>Albin Jose</t>
        </is>
      </c>
    </row>
    <row r="82">
      <c r="F82" s="15" t="inlineStr">
        <is>
          <t>Ikon</t>
        </is>
      </c>
      <c r="G82" s="15" t="inlineStr">
        <is>
          <t>CLIND</t>
        </is>
      </c>
      <c r="H82" s="15" t="inlineStr">
        <is>
          <t>Ali Happy Drive</t>
        </is>
      </c>
    </row>
    <row r="83">
      <c r="F83" s="15" t="inlineStr">
        <is>
          <t>Indica</t>
        </is>
      </c>
      <c r="G83" s="15" t="inlineStr">
        <is>
          <t>COIMBATORE ANAMALLAIS AGENCIES PRIVATE LIMITED</t>
        </is>
      </c>
      <c r="H83" s="15" t="inlineStr">
        <is>
          <t>Alikunju Happy Drive</t>
        </is>
      </c>
    </row>
    <row r="84">
      <c r="F84" s="15" t="inlineStr">
        <is>
          <t>Indigo</t>
        </is>
      </c>
      <c r="G84" s="15" t="inlineStr">
        <is>
          <t>CRESCO CARS</t>
        </is>
      </c>
      <c r="H84" s="15" t="inlineStr">
        <is>
          <t>Althaf Syed Cars (Senthil</t>
        </is>
      </c>
    </row>
    <row r="85">
      <c r="F85" s="15" t="inlineStr">
        <is>
          <t>Innova</t>
        </is>
      </c>
      <c r="G85" s="15" t="inlineStr">
        <is>
          <t>DAIMLER INDIA COMMERCIAL</t>
        </is>
      </c>
      <c r="H85" s="15" t="inlineStr">
        <is>
          <t>Amarnath</t>
        </is>
      </c>
    </row>
    <row r="86">
      <c r="F86" s="15" t="inlineStr">
        <is>
          <t>Innova Crysta</t>
        </is>
      </c>
      <c r="G86" s="15" t="inlineStr">
        <is>
          <t>DELUX MOTORS</t>
        </is>
      </c>
      <c r="H86" s="15" t="inlineStr">
        <is>
          <t>Amarnath Cars</t>
        </is>
      </c>
    </row>
    <row r="87">
      <c r="F87" s="15" t="inlineStr">
        <is>
          <t>Jazz</t>
        </is>
      </c>
      <c r="G87" s="15" t="inlineStr">
        <is>
          <t>DERIK AUTOMOBILE</t>
        </is>
      </c>
      <c r="H87" s="15" t="inlineStr">
        <is>
          <t>Ananthu Suneesh</t>
        </is>
      </c>
    </row>
    <row r="88">
      <c r="F88" s="15" t="inlineStr">
        <is>
          <t>Jimny</t>
        </is>
      </c>
      <c r="G88" s="15" t="inlineStr">
        <is>
          <t>DERIK MOTORS PRIVATE LIMITED</t>
        </is>
      </c>
      <c r="H88" s="15" t="inlineStr">
        <is>
          <t>Anas Hameed</t>
        </is>
      </c>
    </row>
    <row r="89">
      <c r="F89" s="15" t="inlineStr">
        <is>
          <t>KUV100</t>
        </is>
      </c>
      <c r="G89" s="15" t="inlineStr">
        <is>
          <t>DERIK TATA</t>
        </is>
      </c>
      <c r="H89" s="15" t="inlineStr">
        <is>
          <t>Aneesa Pravin Cars</t>
        </is>
      </c>
    </row>
    <row r="90">
      <c r="F90" s="15" t="inlineStr">
        <is>
          <t>Kicks</t>
        </is>
      </c>
      <c r="G90" s="15" t="inlineStr">
        <is>
          <t>DEVARAPALLI AVINASH</t>
        </is>
      </c>
      <c r="H90" s="15" t="inlineStr">
        <is>
          <t>Anishcars</t>
        </is>
      </c>
    </row>
    <row r="91">
      <c r="F91" s="15" t="inlineStr">
        <is>
          <t>Kiger</t>
        </is>
      </c>
      <c r="G91" s="15" t="inlineStr">
        <is>
          <t>DILEEP KUMAR(AJ ENTERPRISES</t>
        </is>
      </c>
      <c r="H91" s="15" t="inlineStr">
        <is>
          <t>Anson</t>
        </is>
      </c>
    </row>
    <row r="92">
      <c r="F92" s="15" t="inlineStr">
        <is>
          <t>Kushaq</t>
        </is>
      </c>
      <c r="G92" s="15" t="inlineStr">
        <is>
          <t>DILEEP MG</t>
        </is>
      </c>
      <c r="H92" s="15" t="inlineStr">
        <is>
          <t>Arnipalli Dhananjay Naidu</t>
        </is>
      </c>
    </row>
    <row r="93">
      <c r="F93" s="15" t="inlineStr">
        <is>
          <t>Kwid</t>
        </is>
      </c>
      <c r="G93" s="15" t="inlineStr">
        <is>
          <t>DINDIGUL VALUE CAR</t>
        </is>
      </c>
      <c r="H93" s="15" t="inlineStr">
        <is>
          <t>Arnold</t>
        </is>
      </c>
    </row>
    <row r="94">
      <c r="F94" s="15" t="inlineStr">
        <is>
          <t>Laura</t>
        </is>
      </c>
      <c r="G94" s="15" t="inlineStr">
        <is>
          <t>DIPEESH</t>
        </is>
      </c>
      <c r="H94" s="15" t="inlineStr">
        <is>
          <t>Arun Prasad</t>
        </is>
      </c>
    </row>
    <row r="95">
      <c r="F95" s="15" t="inlineStr">
        <is>
          <t>Linea</t>
        </is>
      </c>
      <c r="G95" s="15" t="inlineStr">
        <is>
          <t>DKH KIA</t>
        </is>
      </c>
      <c r="H95" s="15" t="inlineStr">
        <is>
          <t>Arun Sugunan</t>
        </is>
      </c>
    </row>
    <row r="96">
      <c r="F96" s="15" t="inlineStr">
        <is>
          <t>Load King</t>
        </is>
      </c>
      <c r="G96" s="15" t="inlineStr">
        <is>
          <t>DODDI VIDYA SRI</t>
        </is>
      </c>
      <c r="H96" s="15" t="inlineStr">
        <is>
          <t>Asharaf T A</t>
        </is>
      </c>
    </row>
    <row r="97">
      <c r="F97" s="15" t="inlineStr">
        <is>
          <t>Lodgy</t>
        </is>
      </c>
      <c r="G97" s="15" t="inlineStr">
        <is>
          <t>DREAM DRIVE</t>
        </is>
      </c>
      <c r="H97" s="15" t="inlineStr">
        <is>
          <t>Ashok Cars</t>
        </is>
      </c>
    </row>
    <row r="98">
      <c r="F98" s="15" t="inlineStr">
        <is>
          <t>Magnite</t>
        </is>
      </c>
      <c r="G98" s="15" t="inlineStr">
        <is>
          <t>EPIC TOYOTA</t>
        </is>
      </c>
      <c r="H98" s="15" t="inlineStr">
        <is>
          <t>Ashwin cars</t>
        </is>
      </c>
    </row>
    <row r="99">
      <c r="F99" s="15" t="inlineStr">
        <is>
          <t>Marazzo</t>
        </is>
      </c>
      <c r="G99" s="15" t="inlineStr">
        <is>
          <t>ERAM</t>
        </is>
      </c>
      <c r="H99" s="15" t="inlineStr">
        <is>
          <t>Aswin Cars</t>
        </is>
      </c>
    </row>
    <row r="100">
      <c r="F100" s="15" t="inlineStr">
        <is>
          <t>Micra</t>
        </is>
      </c>
      <c r="G100" s="15" t="inlineStr">
        <is>
          <t>ERAM MAHINDRA</t>
        </is>
      </c>
      <c r="H100" s="15" t="inlineStr">
        <is>
          <t>Auto Motivators</t>
        </is>
      </c>
    </row>
    <row r="101">
      <c r="F101" s="15" t="inlineStr">
        <is>
          <t>Micra Active</t>
        </is>
      </c>
      <c r="G101" s="15" t="inlineStr">
        <is>
          <t>ERAM MOTORS</t>
        </is>
      </c>
      <c r="H101" s="15" t="inlineStr">
        <is>
          <t>Auto Solution</t>
        </is>
      </c>
    </row>
    <row r="102">
      <c r="F102" s="15" t="inlineStr">
        <is>
          <t>Mobilio</t>
        </is>
      </c>
      <c r="G102" s="15" t="inlineStr">
        <is>
          <t>EVM</t>
        </is>
      </c>
      <c r="H102" s="15" t="inlineStr">
        <is>
          <t>Autobot</t>
        </is>
      </c>
    </row>
    <row r="103">
      <c r="F103" s="15" t="inlineStr">
        <is>
          <t>Nano</t>
        </is>
      </c>
      <c r="G103" s="15" t="inlineStr">
        <is>
          <t>EVM AUTOKRAFT INDIA PRIVATE LIMITED</t>
        </is>
      </c>
      <c r="H103" s="15" t="inlineStr">
        <is>
          <t>Avaala Raju</t>
        </is>
      </c>
    </row>
    <row r="104">
      <c r="F104" s="15" t="inlineStr">
        <is>
          <t>Nexon</t>
        </is>
      </c>
      <c r="G104" s="15" t="inlineStr">
        <is>
          <t>EVM CITROEN</t>
        </is>
      </c>
      <c r="H104" s="15" t="inlineStr">
        <is>
          <t>Ayyappa Cars</t>
        </is>
      </c>
    </row>
    <row r="105">
      <c r="F105" s="15" t="inlineStr">
        <is>
          <t>Nexon EV</t>
        </is>
      </c>
      <c r="G105" s="15" t="inlineStr">
        <is>
          <t>EVM JEEP</t>
        </is>
      </c>
      <c r="H105" s="15" t="inlineStr">
        <is>
          <t>B Tirumala Rao</t>
        </is>
      </c>
    </row>
    <row r="106">
      <c r="F106" s="15" t="inlineStr">
        <is>
          <t>Octavia</t>
        </is>
      </c>
      <c r="G106" s="15" t="inlineStr">
        <is>
          <t>EVM MG</t>
        </is>
      </c>
      <c r="H106" s="15" t="inlineStr">
        <is>
          <t>B Venkata Rao</t>
        </is>
      </c>
    </row>
    <row r="107">
      <c r="F107" s="15" t="inlineStr">
        <is>
          <t>Omni</t>
        </is>
      </c>
      <c r="G107" s="15" t="inlineStr">
        <is>
          <t>EVM NISSAN</t>
        </is>
      </c>
      <c r="H107" s="15" t="inlineStr">
        <is>
          <t>BALAJI CARS (THENI</t>
        </is>
      </c>
    </row>
    <row r="108">
      <c r="F108" s="15" t="inlineStr">
        <is>
          <t>Optimo</t>
        </is>
      </c>
      <c r="G108" s="15" t="inlineStr">
        <is>
          <t>EVM NISSAN (EVM AUTOMOBILES PRIVATE LIMITED</t>
        </is>
      </c>
      <c r="H108" s="15" t="inlineStr">
        <is>
          <t>BASHEER</t>
        </is>
      </c>
    </row>
    <row r="109">
      <c r="F109" s="15" t="inlineStr">
        <is>
          <t>Pajero</t>
        </is>
      </c>
      <c r="G109" s="15" t="inlineStr">
        <is>
          <t>EVM SKODA</t>
        </is>
      </c>
      <c r="H109" s="15" t="inlineStr">
        <is>
          <t>BIJIN</t>
        </is>
      </c>
    </row>
    <row r="110">
      <c r="F110" s="15" t="inlineStr">
        <is>
          <t>Palio</t>
        </is>
      </c>
      <c r="G110" s="15" t="inlineStr">
        <is>
          <t>EVM VOLKSWAGEN</t>
        </is>
      </c>
      <c r="H110" s="15" t="inlineStr">
        <is>
          <t>BIMAL</t>
        </is>
      </c>
    </row>
    <row r="111">
      <c r="F111" s="15" t="inlineStr">
        <is>
          <t>Palio Stile</t>
        </is>
      </c>
      <c r="G111" s="15" t="inlineStr">
        <is>
          <t>EXCHANGE</t>
        </is>
      </c>
      <c r="H111" s="15" t="inlineStr">
        <is>
          <t>BIMAL MARUTI</t>
        </is>
      </c>
    </row>
    <row r="112">
      <c r="F112" s="15" t="inlineStr">
        <is>
          <t>Polo</t>
        </is>
      </c>
      <c r="G112" s="15" t="inlineStr">
        <is>
          <t>EXCHANGE CHENNAI</t>
        </is>
      </c>
      <c r="H112" s="15" t="inlineStr">
        <is>
          <t>BINIL</t>
        </is>
      </c>
    </row>
    <row r="113">
      <c r="F113" s="15" t="inlineStr">
        <is>
          <t>Pulse</t>
        </is>
      </c>
      <c r="G113" s="15" t="inlineStr">
        <is>
          <t>EXCHANGE HYDERABAD</t>
        </is>
      </c>
      <c r="H113" s="15" t="inlineStr">
        <is>
          <t>BINU VARGHESE</t>
        </is>
      </c>
    </row>
    <row r="114">
      <c r="F114" s="15" t="inlineStr">
        <is>
          <t>Punch</t>
        </is>
      </c>
      <c r="G114" s="15" t="inlineStr">
        <is>
          <t>EXCHANGE ROTN</t>
        </is>
      </c>
      <c r="H114" s="15" t="inlineStr">
        <is>
          <t>Balaji Cars</t>
        </is>
      </c>
    </row>
    <row r="115">
      <c r="F115" s="15" t="inlineStr">
        <is>
          <t>Punto</t>
        </is>
      </c>
      <c r="G115" s="15" t="inlineStr">
        <is>
          <t>EXCHANGE VIJAYAWADA</t>
        </is>
      </c>
      <c r="H115" s="15" t="inlineStr">
        <is>
          <t>Balakrishnan</t>
        </is>
      </c>
    </row>
    <row r="116">
      <c r="F116" s="15" t="inlineStr">
        <is>
          <t>Qualis</t>
        </is>
      </c>
      <c r="G116" s="15" t="inlineStr">
        <is>
          <t>EXCHANGE VIZAG</t>
        </is>
      </c>
      <c r="H116" s="15" t="inlineStr">
        <is>
          <t>Balakrishnan.T Cars</t>
        </is>
      </c>
    </row>
    <row r="117">
      <c r="F117" s="15" t="inlineStr">
        <is>
          <t>Quanto</t>
        </is>
      </c>
      <c r="G117" s="15" t="inlineStr">
        <is>
          <t>FAHAD</t>
        </is>
      </c>
      <c r="H117" s="15" t="inlineStr">
        <is>
          <t>Barani Cars</t>
        </is>
      </c>
    </row>
    <row r="118">
      <c r="F118" s="15" t="inlineStr">
        <is>
          <t>Rapid</t>
        </is>
      </c>
      <c r="G118" s="15" t="inlineStr">
        <is>
          <t>FAHAD TOKYO CARS</t>
        </is>
      </c>
      <c r="H118" s="15" t="inlineStr">
        <is>
          <t>Basavaraju Ratna Suresh</t>
        </is>
      </c>
    </row>
    <row r="119">
      <c r="F119" s="15" t="inlineStr">
        <is>
          <t>Redi-GO</t>
        </is>
      </c>
      <c r="G119" s="15" t="inlineStr">
        <is>
          <t>FORTUNE MALAYALAM</t>
        </is>
      </c>
      <c r="H119" s="15" t="inlineStr">
        <is>
          <t>Basheer P K</t>
        </is>
      </c>
    </row>
    <row r="120">
      <c r="F120" s="15" t="inlineStr">
        <is>
          <t>Ritz</t>
        </is>
      </c>
      <c r="G120" s="15" t="inlineStr">
        <is>
          <t>FORTUNE MALAYALAM AUTOMOBILES PRIVATE LIMITED</t>
        </is>
      </c>
      <c r="H120" s="15" t="inlineStr">
        <is>
          <t>Behara Ramu</t>
        </is>
      </c>
    </row>
    <row r="121">
      <c r="F121" s="15" t="inlineStr">
        <is>
          <t>S-Cross</t>
        </is>
      </c>
      <c r="G121" s="15" t="inlineStr">
        <is>
          <t>FORTUNE MG</t>
        </is>
      </c>
      <c r="H121" s="15" t="inlineStr">
        <is>
          <t>Best Cars</t>
        </is>
      </c>
    </row>
    <row r="122">
      <c r="F122" s="15" t="inlineStr">
        <is>
          <t>S-Presso</t>
        </is>
      </c>
      <c r="G122" s="15" t="inlineStr">
        <is>
          <t>FPL AUTOMOBILES PRIVATE LIMITED</t>
        </is>
      </c>
      <c r="H122" s="15" t="inlineStr">
        <is>
          <t>Bhagavan Cars</t>
        </is>
      </c>
    </row>
    <row r="123">
      <c r="F123" s="15" t="inlineStr">
        <is>
          <t>S60</t>
        </is>
      </c>
      <c r="G123" s="15" t="inlineStr">
        <is>
          <t>FUTURE AUTOMOTIVE</t>
        </is>
      </c>
      <c r="H123" s="15" t="inlineStr">
        <is>
          <t>Bhanu Chandar Singaraju</t>
        </is>
      </c>
    </row>
    <row r="124">
      <c r="F124" s="15" t="inlineStr">
        <is>
          <t>SX4</t>
        </is>
      </c>
      <c r="G124" s="15" t="inlineStr">
        <is>
          <t>GADI RAMESH</t>
        </is>
      </c>
      <c r="H124" s="15" t="inlineStr">
        <is>
          <t>Bhavani Cars</t>
        </is>
      </c>
    </row>
    <row r="125">
      <c r="F125" s="15" t="inlineStr">
        <is>
          <t>Safari</t>
        </is>
      </c>
      <c r="G125" s="15" t="inlineStr">
        <is>
          <t>GADI SRI BHARATHI</t>
        </is>
      </c>
      <c r="H125" s="15" t="inlineStr">
        <is>
          <t>Bijeshlal</t>
        </is>
      </c>
    </row>
    <row r="126">
      <c r="F126" s="15" t="inlineStr">
        <is>
          <t>Sail</t>
        </is>
      </c>
      <c r="G126" s="15" t="inlineStr">
        <is>
          <t>GANDRAPU RAJA RATNAM</t>
        </is>
      </c>
      <c r="H126" s="15" t="inlineStr">
        <is>
          <t>Binillal M P</t>
        </is>
      </c>
    </row>
    <row r="127">
      <c r="F127" s="15" t="inlineStr">
        <is>
          <t>Samrat</t>
        </is>
      </c>
      <c r="G127" s="15" t="inlineStr">
        <is>
          <t>GARAGE CARS</t>
        </is>
      </c>
      <c r="H127" s="15" t="inlineStr">
        <is>
          <t>Bukya Santhosh Naik</t>
        </is>
      </c>
    </row>
    <row r="128">
      <c r="F128" s="15" t="inlineStr">
        <is>
          <t>Santa Fe</t>
        </is>
      </c>
      <c r="G128" s="15" t="inlineStr">
        <is>
          <t>GENUINE CARS</t>
        </is>
      </c>
      <c r="H128" s="15" t="inlineStr">
        <is>
          <t>CAP CARS</t>
        </is>
      </c>
    </row>
    <row r="129">
      <c r="F129" s="15" t="inlineStr">
        <is>
          <t>Santro</t>
        </is>
      </c>
      <c r="G129" s="15" t="inlineStr">
        <is>
          <t>GLOVIS INDIA PVT LTD</t>
        </is>
      </c>
      <c r="H129" s="15" t="inlineStr">
        <is>
          <t>CAR ONE USED CARS-LATHEEF</t>
        </is>
      </c>
    </row>
    <row r="130">
      <c r="F130" s="15" t="inlineStr">
        <is>
          <t>Scala</t>
        </is>
      </c>
      <c r="G130" s="15" t="inlineStr">
        <is>
          <t>GOKUL CARS</t>
        </is>
      </c>
      <c r="H130" s="15" t="inlineStr">
        <is>
          <t>CAR VAULT</t>
        </is>
      </c>
    </row>
    <row r="131">
      <c r="F131" s="15" t="inlineStr">
        <is>
          <t>Scorpio</t>
        </is>
      </c>
      <c r="G131" s="15" t="inlineStr">
        <is>
          <t>GOKULAM</t>
        </is>
      </c>
      <c r="H131" s="15" t="inlineStr">
        <is>
          <t>CARLINK</t>
        </is>
      </c>
    </row>
    <row r="132">
      <c r="F132" s="15" t="inlineStr">
        <is>
          <t>Seltos</t>
        </is>
      </c>
      <c r="G132" s="15" t="inlineStr">
        <is>
          <t>GOKULAM TATA</t>
        </is>
      </c>
      <c r="H132" s="15" t="inlineStr">
        <is>
          <t>CARNIVAL CARS</t>
        </is>
      </c>
    </row>
    <row r="133">
      <c r="F133" s="15" t="inlineStr">
        <is>
          <t>Slavia</t>
        </is>
      </c>
      <c r="G133" s="15" t="inlineStr">
        <is>
          <t>GOPI NAGARAJU</t>
        </is>
      </c>
      <c r="H133" s="15" t="inlineStr">
        <is>
          <t>CARNIVAL CARS Althaf</t>
        </is>
      </c>
    </row>
    <row r="134">
      <c r="F134" s="15" t="inlineStr">
        <is>
          <t>Sonet</t>
        </is>
      </c>
      <c r="G134" s="15" t="inlineStr">
        <is>
          <t>GORENKA BHAVANI PRASAD</t>
        </is>
      </c>
      <c r="H134" s="15" t="inlineStr">
        <is>
          <t>CBC MAHINDRA</t>
        </is>
      </c>
    </row>
    <row r="135">
      <c r="F135" s="15" t="inlineStr">
        <is>
          <t>Spark</t>
        </is>
      </c>
      <c r="G135" s="15" t="inlineStr">
        <is>
          <t>GUDAPATI SURESH KUMAR</t>
        </is>
      </c>
      <c r="H135" s="15" t="inlineStr">
        <is>
          <t>CERO MAHINDRA</t>
        </is>
      </c>
    </row>
    <row r="136">
      <c r="F136" s="15" t="inlineStr">
        <is>
          <t>Sunny</t>
        </is>
      </c>
      <c r="G136" s="15" t="inlineStr">
        <is>
          <t>GURUDEV MOTORS LLP</t>
        </is>
      </c>
      <c r="H136" s="15" t="inlineStr">
        <is>
          <t>CETREION</t>
        </is>
      </c>
    </row>
    <row r="137">
      <c r="F137" s="15" t="inlineStr">
        <is>
          <t>Swift</t>
        </is>
      </c>
      <c r="G137" s="15" t="inlineStr">
        <is>
          <t>GUTHI RAVI KRISHNA</t>
        </is>
      </c>
      <c r="H137" s="15" t="inlineStr">
        <is>
          <t>CETRION CALICUT</t>
        </is>
      </c>
    </row>
    <row r="138">
      <c r="F138" s="15" t="inlineStr">
        <is>
          <t>TUV300</t>
        </is>
      </c>
      <c r="G138" s="15" t="inlineStr">
        <is>
          <t>HAMSA</t>
        </is>
      </c>
      <c r="H138" s="15" t="inlineStr">
        <is>
          <t>CHOLA FINANCE</t>
        </is>
      </c>
    </row>
    <row r="139">
      <c r="F139" s="15" t="inlineStr">
        <is>
          <t>Taigun</t>
        </is>
      </c>
      <c r="G139" s="15" t="inlineStr">
        <is>
          <t>HARI NK</t>
        </is>
      </c>
      <c r="H139" s="15" t="inlineStr">
        <is>
          <t>CIRIL SEBASTIAN</t>
        </is>
      </c>
    </row>
    <row r="140">
      <c r="F140" s="15" t="inlineStr">
        <is>
          <t>Taisor</t>
        </is>
      </c>
      <c r="G140" s="15" t="inlineStr">
        <is>
          <t>HARSHA</t>
        </is>
      </c>
      <c r="H140" s="15" t="inlineStr">
        <is>
          <t>CLASSIC HYUNDAI</t>
        </is>
      </c>
    </row>
    <row r="141">
      <c r="F141" s="15" t="inlineStr">
        <is>
          <t>Tavera</t>
        </is>
      </c>
      <c r="G141" s="15" t="inlineStr">
        <is>
          <t>HARSHA TOYOTA</t>
        </is>
      </c>
      <c r="H141" s="15" t="inlineStr">
        <is>
          <t>Cars24</t>
        </is>
      </c>
    </row>
    <row r="142">
      <c r="F142" s="15" t="inlineStr">
        <is>
          <t>Terrano</t>
        </is>
      </c>
      <c r="G142" s="15" t="inlineStr">
        <is>
          <t>HASEENA</t>
        </is>
      </c>
      <c r="H142" s="15" t="inlineStr">
        <is>
          <t>Castel Traders Honada</t>
        </is>
      </c>
    </row>
    <row r="143">
      <c r="F143" s="15" t="inlineStr">
        <is>
          <t>Thar</t>
        </is>
      </c>
      <c r="G143" s="15" t="inlineStr">
        <is>
          <t>HISHAM</t>
        </is>
      </c>
      <c r="H143" s="15" t="inlineStr">
        <is>
          <t>Chaaran Cars</t>
        </is>
      </c>
    </row>
    <row r="144">
      <c r="F144" s="15" t="inlineStr">
        <is>
          <t>Tiago</t>
        </is>
      </c>
      <c r="G144" s="15" t="inlineStr">
        <is>
          <t>IDEAL MOTORS</t>
        </is>
      </c>
      <c r="H144" s="15" t="inlineStr">
        <is>
          <t>Chakrabani Auto Consulting</t>
        </is>
      </c>
    </row>
    <row r="145">
      <c r="F145" s="15" t="inlineStr">
        <is>
          <t>Tiago EV</t>
        </is>
      </c>
      <c r="G145" s="15" t="inlineStr">
        <is>
          <t>INCHEON KIA</t>
        </is>
      </c>
      <c r="H145" s="15" t="inlineStr">
        <is>
          <t>Chanakya Cars</t>
        </is>
      </c>
    </row>
    <row r="146">
      <c r="F146" s="15" t="inlineStr">
        <is>
          <t>Tigor</t>
        </is>
      </c>
      <c r="G146" s="15" t="inlineStr">
        <is>
          <t>INDEL MOTOR CORPORATION</t>
        </is>
      </c>
      <c r="H146" s="15" t="inlineStr">
        <is>
          <t>Chandu Ram Sai</t>
        </is>
      </c>
    </row>
    <row r="147">
      <c r="F147" s="15" t="inlineStr">
        <is>
          <t>Tour</t>
        </is>
      </c>
      <c r="G147" s="15" t="inlineStr">
        <is>
          <t>INDUS</t>
        </is>
      </c>
      <c r="H147" s="15" t="inlineStr">
        <is>
          <t>Chegudi Manoj Kumar</t>
        </is>
      </c>
    </row>
    <row r="148">
      <c r="F148" s="15" t="inlineStr">
        <is>
          <t>Triber</t>
        </is>
      </c>
      <c r="G148" s="15" t="inlineStr">
        <is>
          <t>INDUS MARUTI</t>
        </is>
      </c>
      <c r="H148" s="15" t="inlineStr">
        <is>
          <t>Chekuri Chandra Shekar Satyanarayana Raju</t>
        </is>
      </c>
    </row>
    <row r="149">
      <c r="F149" s="15" t="inlineStr">
        <is>
          <t>Tucson</t>
        </is>
      </c>
      <c r="G149" s="15" t="inlineStr">
        <is>
          <t>ISMAIL FARHAN</t>
        </is>
      </c>
      <c r="H149" s="15" t="inlineStr">
        <is>
          <t>Chittibomma Srinivasa Rao</t>
        </is>
      </c>
    </row>
    <row r="150">
      <c r="F150" s="15" t="inlineStr">
        <is>
          <t>Ultra</t>
        </is>
      </c>
      <c r="G150" s="15" t="inlineStr">
        <is>
          <t>JAIKRISHNAA AUTOSALES PRIVATE LIMITED</t>
        </is>
      </c>
      <c r="H150" s="15" t="inlineStr">
        <is>
          <t>Chukka Satish</t>
        </is>
      </c>
    </row>
    <row r="151">
      <c r="F151" s="15" t="inlineStr">
        <is>
          <t>Uva</t>
        </is>
      </c>
      <c r="G151" s="15" t="inlineStr">
        <is>
          <t>JAINS CAR SHOPEE</t>
        </is>
      </c>
      <c r="H151" s="15" t="inlineStr">
        <is>
          <t>Clind</t>
        </is>
      </c>
    </row>
    <row r="152">
      <c r="F152" s="15" t="inlineStr">
        <is>
          <t>Vento</t>
        </is>
      </c>
      <c r="G152" s="15" t="inlineStr">
        <is>
          <t>JANI MOHAN</t>
        </is>
      </c>
      <c r="H152" s="15" t="inlineStr">
        <is>
          <t>Clind C</t>
        </is>
      </c>
    </row>
    <row r="153">
      <c r="F153" s="15" t="inlineStr">
        <is>
          <t>Venue</t>
        </is>
      </c>
      <c r="G153" s="15" t="inlineStr">
        <is>
          <t>JANVIS MOTO CONNECT</t>
        </is>
      </c>
      <c r="H153" s="15" t="inlineStr">
        <is>
          <t>D Avinash</t>
        </is>
      </c>
    </row>
    <row r="154">
      <c r="F154" s="15" t="inlineStr">
        <is>
          <t>Verito</t>
        </is>
      </c>
      <c r="G154" s="15" t="inlineStr">
        <is>
          <t>JAYANTH PK</t>
        </is>
      </c>
      <c r="H154" s="15" t="inlineStr">
        <is>
          <t>DEAMS CARS-ARNOLD</t>
        </is>
      </c>
    </row>
    <row r="155">
      <c r="F155" s="15" t="inlineStr">
        <is>
          <t>Verna</t>
        </is>
      </c>
      <c r="G155" s="15" t="inlineStr">
        <is>
          <t>JISHNU PRIYAN</t>
        </is>
      </c>
      <c r="H155" s="15" t="inlineStr">
        <is>
          <t>DEEPIKA TRADERS</t>
        </is>
      </c>
    </row>
    <row r="156">
      <c r="F156" s="15" t="inlineStr">
        <is>
          <t>Virtus</t>
        </is>
      </c>
      <c r="G156" s="15" t="inlineStr">
        <is>
          <t>JOHNS HONDA CARS</t>
        </is>
      </c>
      <c r="H156" s="15" t="inlineStr">
        <is>
          <t>DEERAA CARS</t>
        </is>
      </c>
    </row>
    <row r="157">
      <c r="F157" s="15" t="inlineStr">
        <is>
          <t>Vitara Brezza</t>
        </is>
      </c>
      <c r="G157" s="15" t="inlineStr">
        <is>
          <t>JOHNSON</t>
        </is>
      </c>
      <c r="H157" s="15" t="inlineStr">
        <is>
          <t>DELUXE MOTORS</t>
        </is>
      </c>
    </row>
    <row r="158">
      <c r="F158" s="15" t="inlineStr">
        <is>
          <t>WR-V</t>
        </is>
      </c>
      <c r="G158" s="15" t="inlineStr">
        <is>
          <t>KAIRALI TOYOTA</t>
        </is>
      </c>
      <c r="H158" s="15" t="inlineStr">
        <is>
          <t>DERIK TATA</t>
        </is>
      </c>
    </row>
    <row r="159">
      <c r="F159" s="15" t="inlineStr">
        <is>
          <t>Wagon R</t>
        </is>
      </c>
      <c r="G159" s="15" t="inlineStr">
        <is>
          <t>KAKI DINESH KUMAR</t>
        </is>
      </c>
      <c r="H159" s="15" t="inlineStr">
        <is>
          <t>DINDIGUL VALUE CAR</t>
        </is>
      </c>
    </row>
    <row r="160">
      <c r="F160" s="15" t="inlineStr">
        <is>
          <t>XL6</t>
        </is>
      </c>
      <c r="G160" s="15" t="inlineStr">
        <is>
          <t>KALYANI MOTORS MARUTI</t>
        </is>
      </c>
      <c r="H160" s="15" t="inlineStr">
        <is>
          <t>DINESH P S</t>
        </is>
      </c>
    </row>
    <row r="161">
      <c r="F161" s="15" t="inlineStr">
        <is>
          <t>XUV300</t>
        </is>
      </c>
      <c r="G161" s="15" t="inlineStr">
        <is>
          <t>KANNUR PLATINUM</t>
        </is>
      </c>
      <c r="H161" s="15" t="inlineStr">
        <is>
          <t>DKH KIA</t>
        </is>
      </c>
    </row>
    <row r="162">
      <c r="F162" s="15" t="inlineStr">
        <is>
          <t>XUV400</t>
        </is>
      </c>
      <c r="G162" s="15" t="inlineStr">
        <is>
          <t>KESHVIN HYUNDAI</t>
        </is>
      </c>
      <c r="H162" s="15" t="inlineStr">
        <is>
          <t>DREAM DRIVE</t>
        </is>
      </c>
    </row>
    <row r="163">
      <c r="F163" s="15" t="inlineStr">
        <is>
          <t>XUV500</t>
        </is>
      </c>
      <c r="G163" s="15" t="inlineStr">
        <is>
          <t>KESIREDDI SAIKIRAN</t>
        </is>
      </c>
      <c r="H163" s="15" t="inlineStr">
        <is>
          <t>Desanth</t>
        </is>
      </c>
    </row>
    <row r="164">
      <c r="F164" s="15" t="inlineStr">
        <is>
          <t>XUV700</t>
        </is>
      </c>
      <c r="G164" s="15" t="inlineStr">
        <is>
          <t>KESIREDDY SAIKIRAN</t>
        </is>
      </c>
      <c r="H164" s="15" t="inlineStr">
        <is>
          <t>Devarakonda Siva Durga Prasad</t>
        </is>
      </c>
    </row>
    <row r="165">
      <c r="F165" s="15" t="inlineStr">
        <is>
          <t>Xcent</t>
        </is>
      </c>
      <c r="G165" s="15" t="inlineStr">
        <is>
          <t>KHIVRAJ MOTOR</t>
        </is>
      </c>
      <c r="H165" s="15" t="inlineStr">
        <is>
          <t>Devarapalli Avinash</t>
        </is>
      </c>
    </row>
    <row r="166">
      <c r="F166" s="15" t="inlineStr">
        <is>
          <t>Xylo</t>
        </is>
      </c>
      <c r="G166" s="15" t="inlineStr">
        <is>
          <t>KIA</t>
        </is>
      </c>
      <c r="H166" s="15" t="inlineStr">
        <is>
          <t>Dheera Cars</t>
        </is>
      </c>
    </row>
    <row r="167">
      <c r="F167" s="15" t="inlineStr">
        <is>
          <t>Yaris</t>
        </is>
      </c>
      <c r="G167" s="15" t="inlineStr">
        <is>
          <t>KISHORE</t>
        </is>
      </c>
      <c r="H167" s="15" t="inlineStr">
        <is>
          <t>Dhidugal Value Cars</t>
        </is>
      </c>
    </row>
    <row r="168">
      <c r="F168" s="15" t="inlineStr">
        <is>
          <t>Zen</t>
        </is>
      </c>
      <c r="G168" s="15" t="inlineStr">
        <is>
          <t>KKR ENTERPRISES</t>
        </is>
      </c>
      <c r="H168" s="15" t="inlineStr">
        <is>
          <t>Dileep S</t>
        </is>
      </c>
    </row>
    <row r="169">
      <c r="F169" s="15" t="inlineStr">
        <is>
          <t>Zen Estilo</t>
        </is>
      </c>
      <c r="G169" s="15" t="inlineStr">
        <is>
          <t>KOPPURAVURI SRINIVASA RAO</t>
        </is>
      </c>
      <c r="H169" s="15" t="inlineStr">
        <is>
          <t>Dinesh V</t>
        </is>
      </c>
    </row>
    <row r="170">
      <c r="F170" s="15" t="inlineStr">
        <is>
          <t>Zest</t>
        </is>
      </c>
      <c r="G170" s="15" t="inlineStr">
        <is>
          <t>KRISH TOYOTA</t>
        </is>
      </c>
      <c r="H170" s="15" t="inlineStr">
        <is>
          <t>Dream Cars</t>
        </is>
      </c>
    </row>
    <row r="171">
      <c r="F171" s="15" t="inlineStr">
        <is>
          <t>Zs Ev</t>
        </is>
      </c>
      <c r="G171" s="15" t="inlineStr">
        <is>
          <t>KSM AUTO CONSULTING</t>
        </is>
      </c>
      <c r="H171" s="15" t="inlineStr">
        <is>
          <t>ERAM MAHINDRA</t>
        </is>
      </c>
    </row>
    <row r="172">
      <c r="F172" s="15" t="inlineStr">
        <is>
          <t>i10</t>
        </is>
      </c>
      <c r="G172" s="15" t="inlineStr">
        <is>
          <t>KUN CAR ENTERPRISES</t>
        </is>
      </c>
      <c r="H172" s="15" t="inlineStr">
        <is>
          <t>ERAM MOTORS</t>
        </is>
      </c>
    </row>
    <row r="173">
      <c r="F173" s="15" t="inlineStr">
        <is>
          <t>i20</t>
        </is>
      </c>
      <c r="G173" s="15" t="inlineStr">
        <is>
          <t>KUN KIA - MADURAI (PRODUCTIVITY ELEMENTS PRIVATE LIMITED</t>
        </is>
      </c>
      <c r="H173" s="15" t="inlineStr">
        <is>
          <t>EVM</t>
        </is>
      </c>
    </row>
    <row r="174">
      <c r="G174" s="15" t="inlineStr">
        <is>
          <t>KUNJU MOIDEEN</t>
        </is>
      </c>
      <c r="H174" s="15" t="inlineStr">
        <is>
          <t>EVM CETRION</t>
        </is>
      </c>
    </row>
    <row r="175">
      <c r="G175" s="15" t="inlineStr">
        <is>
          <t>KVR</t>
        </is>
      </c>
      <c r="H175" s="15" t="inlineStr">
        <is>
          <t>EVM NISSAN</t>
        </is>
      </c>
    </row>
    <row r="176">
      <c r="G176" s="15" t="inlineStr">
        <is>
          <t>KVR MARUTI</t>
        </is>
      </c>
      <c r="H176" s="15" t="inlineStr">
        <is>
          <t>EVM SKODA</t>
        </is>
      </c>
    </row>
    <row r="177">
      <c r="G177" s="15" t="inlineStr">
        <is>
          <t>KVR TATA</t>
        </is>
      </c>
      <c r="H177" s="15" t="inlineStr">
        <is>
          <t>Emarald Cars</t>
        </is>
      </c>
    </row>
    <row r="178">
      <c r="G178" s="15" t="inlineStr">
        <is>
          <t>LAKSHMI HYUNDAI</t>
        </is>
      </c>
      <c r="H178" s="15" t="inlineStr">
        <is>
          <t>Emerald Cars</t>
        </is>
      </c>
    </row>
    <row r="179">
      <c r="G179" s="15" t="inlineStr">
        <is>
          <t>LAKSHMI MOTORS</t>
        </is>
      </c>
      <c r="H179" s="15" t="inlineStr">
        <is>
          <t>Essar Preowned Cars</t>
        </is>
      </c>
    </row>
    <row r="180">
      <c r="G180" s="15" t="inlineStr">
        <is>
          <t>LAKSHMI NISSAN</t>
        </is>
      </c>
      <c r="H180" s="15" t="inlineStr">
        <is>
          <t>Exchange</t>
        </is>
      </c>
    </row>
    <row r="181">
      <c r="G181" s="15" t="inlineStr">
        <is>
          <t>LAKSHMI TATA</t>
        </is>
      </c>
      <c r="H181" s="15" t="inlineStr">
        <is>
          <t>FABITH</t>
        </is>
      </c>
    </row>
    <row r="182">
      <c r="G182" s="15" t="inlineStr">
        <is>
          <t>LANSON COIMBATORE</t>
        </is>
      </c>
      <c r="H182" s="15" t="inlineStr">
        <is>
          <t>FAHAD</t>
        </is>
      </c>
    </row>
    <row r="183">
      <c r="G183" s="15" t="inlineStr">
        <is>
          <t>LANSON QCARS PRIVATE LIMITED</t>
        </is>
      </c>
      <c r="H183" s="15" t="inlineStr">
        <is>
          <t>FAHAD (Auto Bot Kannur</t>
        </is>
      </c>
    </row>
    <row r="184">
      <c r="G184" s="15" t="inlineStr">
        <is>
          <t>LATHA CARS</t>
        </is>
      </c>
      <c r="H184" s="15" t="inlineStr">
        <is>
          <t>FAREEDA BHANU</t>
        </is>
      </c>
    </row>
    <row r="185">
      <c r="G185" s="15" t="inlineStr">
        <is>
          <t>LOTUS HYUNDAI (TEJAS CARS PRIVATE LIMITED</t>
        </is>
      </c>
      <c r="H185" s="15" t="inlineStr">
        <is>
          <t>FAREEDA CARS</t>
        </is>
      </c>
    </row>
    <row r="186">
      <c r="G186" s="15" t="inlineStr">
        <is>
          <t>LUXON</t>
        </is>
      </c>
      <c r="H186" s="15" t="inlineStr">
        <is>
          <t>FATHIMA HUSSAIN</t>
        </is>
      </c>
    </row>
    <row r="187">
      <c r="G187" s="15" t="inlineStr">
        <is>
          <t>LUXON MOTORS</t>
        </is>
      </c>
      <c r="H187" s="15" t="inlineStr">
        <is>
          <t>FF Cars</t>
        </is>
      </c>
    </row>
    <row r="188">
      <c r="G188" s="15" t="inlineStr">
        <is>
          <t>LUXON TATA</t>
        </is>
      </c>
      <c r="H188" s="15" t="inlineStr">
        <is>
          <t>FIROZ I</t>
        </is>
      </c>
    </row>
    <row r="189">
      <c r="G189" s="15" t="inlineStr">
        <is>
          <t>M R MOTORS</t>
        </is>
      </c>
      <c r="H189" s="15" t="inlineStr">
        <is>
          <t>FRIENDS CARS</t>
        </is>
      </c>
    </row>
    <row r="190">
      <c r="G190" s="15" t="inlineStr">
        <is>
          <t>M S NOUSHAD</t>
        </is>
      </c>
      <c r="H190" s="15" t="inlineStr">
        <is>
          <t>Farkeen Reenu</t>
        </is>
      </c>
    </row>
    <row r="191">
      <c r="G191" s="15" t="inlineStr">
        <is>
          <t>MAANSAROVAR HONDA CARS</t>
        </is>
      </c>
      <c r="H191" s="15" t="inlineStr">
        <is>
          <t>Fasalurahman A C</t>
        </is>
      </c>
    </row>
    <row r="192">
      <c r="G192" s="15" t="inlineStr">
        <is>
          <t>MAHATHI CARS</t>
        </is>
      </c>
      <c r="H192" s="15" t="inlineStr">
        <is>
          <t>G M MOTORS</t>
        </is>
      </c>
    </row>
    <row r="193">
      <c r="G193" s="15" t="inlineStr">
        <is>
          <t>MAHESH</t>
        </is>
      </c>
      <c r="H193" s="15" t="inlineStr">
        <is>
          <t>GARUDA TRUCKS</t>
        </is>
      </c>
    </row>
    <row r="194">
      <c r="G194" s="15" t="inlineStr">
        <is>
          <t>MAHINDRA FINANCE</t>
        </is>
      </c>
      <c r="H194" s="15" t="inlineStr">
        <is>
          <t>GENUINE CARS</t>
        </is>
      </c>
    </row>
    <row r="195">
      <c r="G195" s="15" t="inlineStr">
        <is>
          <t>MAIJO MARUTI</t>
        </is>
      </c>
      <c r="H195" s="15" t="inlineStr">
        <is>
          <t>GGEE Autocare</t>
        </is>
      </c>
    </row>
    <row r="196">
      <c r="G196" s="15" t="inlineStr">
        <is>
          <t>MARIKAR NISSAN</t>
        </is>
      </c>
      <c r="H196" s="15" t="inlineStr">
        <is>
          <t>GGEE Cars</t>
        </is>
      </c>
    </row>
    <row r="197">
      <c r="G197" s="15" t="inlineStr">
        <is>
          <t>MARK 4</t>
        </is>
      </c>
      <c r="H197" s="15" t="inlineStr">
        <is>
          <t>GOOD CHOICE</t>
        </is>
      </c>
    </row>
    <row r="198">
      <c r="G198" s="15" t="inlineStr">
        <is>
          <t>MARVEL</t>
        </is>
      </c>
      <c r="H198" s="15" t="inlineStr">
        <is>
          <t>GOWTHAM CARS</t>
        </is>
      </c>
    </row>
    <row r="199">
      <c r="G199" s="15" t="inlineStr">
        <is>
          <t>MARVEL CARS</t>
        </is>
      </c>
      <c r="H199" s="15" t="inlineStr">
        <is>
          <t>GREEN LIGHT PRE OWNED CARS</t>
        </is>
      </c>
    </row>
    <row r="200">
      <c r="G200" s="15" t="inlineStr">
        <is>
          <t>MARVEL MOTORS</t>
        </is>
      </c>
      <c r="H200" s="15" t="inlineStr">
        <is>
          <t>GREEN LIGHT PRE OWNED CARS-MANOJ K</t>
        </is>
      </c>
    </row>
    <row r="201">
      <c r="G201" s="15" t="inlineStr">
        <is>
          <t>MARVEL VIJIL</t>
        </is>
      </c>
      <c r="H201" s="15" t="inlineStr">
        <is>
          <t>GS USED CAR</t>
        </is>
      </c>
    </row>
    <row r="202">
      <c r="G202" s="15" t="inlineStr">
        <is>
          <t>MAXX MOTORS</t>
        </is>
      </c>
      <c r="H202" s="15" t="inlineStr">
        <is>
          <t>Gadi Sri Bharathi</t>
        </is>
      </c>
    </row>
    <row r="203">
      <c r="G203" s="15" t="inlineStr">
        <is>
          <t>MEENAKSHI AUTO ZONE PRIVATE LIMITED (MARUTI</t>
        </is>
      </c>
      <c r="H203" s="15" t="inlineStr">
        <is>
          <t>Gandrapu Raja Ratnam</t>
        </is>
      </c>
    </row>
    <row r="204">
      <c r="G204" s="15" t="inlineStr">
        <is>
          <t>MEERZA GAFFOR BAIG</t>
        </is>
      </c>
      <c r="H204" s="15" t="inlineStr">
        <is>
          <t>Ganothula Brahma Reddy</t>
        </is>
      </c>
    </row>
    <row r="205">
      <c r="G205" s="15" t="inlineStr">
        <is>
          <t>MG FORTUNE</t>
        </is>
      </c>
      <c r="H205" s="15" t="inlineStr">
        <is>
          <t>Garaga Venkat Nagababu</t>
        </is>
      </c>
    </row>
    <row r="206">
      <c r="G206" s="15" t="inlineStr">
        <is>
          <t>MG KAIRALI</t>
        </is>
      </c>
      <c r="H206" s="15" t="inlineStr">
        <is>
          <t>Geethanjali Cars Chennimalai</t>
        </is>
      </c>
    </row>
    <row r="207">
      <c r="G207" s="15" t="inlineStr">
        <is>
          <t>MG MOTOR (RAMANI AUTO PRIVATE LIMITED</t>
        </is>
      </c>
      <c r="H207" s="15" t="inlineStr">
        <is>
          <t>Geethanjali cars</t>
        </is>
      </c>
    </row>
    <row r="208">
      <c r="G208" s="15" t="inlineStr">
        <is>
          <t>MIDHUN</t>
        </is>
      </c>
      <c r="H208" s="15" t="inlineStr">
        <is>
          <t>Gireesh Kumar V</t>
        </is>
      </c>
    </row>
    <row r="209">
      <c r="G209" s="15" t="inlineStr">
        <is>
          <t>MITHUN BABU</t>
        </is>
      </c>
      <c r="H209" s="15" t="inlineStr">
        <is>
          <t>Gokul Cars</t>
        </is>
      </c>
    </row>
    <row r="210">
      <c r="G210" s="15" t="inlineStr">
        <is>
          <t>MK MAMMOOTTY</t>
        </is>
      </c>
      <c r="H210" s="15" t="inlineStr">
        <is>
          <t>Gopal</t>
        </is>
      </c>
    </row>
    <row r="211">
      <c r="G211" s="15" t="inlineStr">
        <is>
          <t>MM MOTOR</t>
        </is>
      </c>
      <c r="H211" s="15" t="inlineStr">
        <is>
          <t>Gopi Nagaraju</t>
        </is>
      </c>
    </row>
    <row r="212">
      <c r="G212" s="15" t="inlineStr">
        <is>
          <t>MOHAMMED ADIL</t>
        </is>
      </c>
      <c r="H212" s="15" t="inlineStr">
        <is>
          <t>Gorenka Vinay Shravan</t>
        </is>
      </c>
    </row>
    <row r="213">
      <c r="G213" s="15" t="inlineStr">
        <is>
          <t>MOHAMMED GHOUSE</t>
        </is>
      </c>
      <c r="H213" s="15" t="inlineStr">
        <is>
          <t>Grand Cars</t>
        </is>
      </c>
    </row>
    <row r="214">
      <c r="G214" s="15" t="inlineStr">
        <is>
          <t>MOHAMMED GOUSE BASHA</t>
        </is>
      </c>
      <c r="H214" s="15" t="inlineStr">
        <is>
          <t>Grid 33</t>
        </is>
      </c>
    </row>
    <row r="215">
      <c r="G215" s="15" t="inlineStr">
        <is>
          <t>MOHAMMED RAFI</t>
        </is>
      </c>
      <c r="H215" s="15" t="inlineStr">
        <is>
          <t>Gugha Cars</t>
        </is>
      </c>
    </row>
    <row r="216">
      <c r="G216" s="15" t="inlineStr">
        <is>
          <t>MOHD RIYAZUDDIN ANSARI</t>
        </is>
      </c>
      <c r="H216" s="15" t="inlineStr">
        <is>
          <t>Guthi Ravi Krishna</t>
        </is>
      </c>
    </row>
    <row r="217">
      <c r="G217" s="15" t="inlineStr">
        <is>
          <t>MOTOXCHANGE</t>
        </is>
      </c>
      <c r="H217" s="15" t="inlineStr">
        <is>
          <t>HAMSA</t>
        </is>
      </c>
    </row>
    <row r="218">
      <c r="G218" s="15" t="inlineStr">
        <is>
          <t>MTBL</t>
        </is>
      </c>
      <c r="H218" s="15" t="inlineStr">
        <is>
          <t>HAREESH</t>
        </is>
      </c>
    </row>
    <row r="219">
      <c r="G219" s="15" t="inlineStr">
        <is>
          <t>MUHAMMAD SHAJI</t>
        </is>
      </c>
      <c r="H219" s="15" t="inlineStr">
        <is>
          <t>HARIS</t>
        </is>
      </c>
    </row>
    <row r="220">
      <c r="G220" s="15" t="inlineStr">
        <is>
          <t>MUHAMMED NAFEED T</t>
        </is>
      </c>
      <c r="H220" s="15" t="inlineStr">
        <is>
          <t>HARSHAD</t>
        </is>
      </c>
    </row>
    <row r="221">
      <c r="G221" s="15" t="inlineStr">
        <is>
          <t>MUHAMMED NIZAB</t>
        </is>
      </c>
      <c r="H221" s="15" t="inlineStr">
        <is>
          <t>HASNA</t>
        </is>
      </c>
    </row>
    <row r="222">
      <c r="G222" s="15" t="inlineStr">
        <is>
          <t>MUHAMMED SHAJI</t>
        </is>
      </c>
      <c r="H222" s="15" t="inlineStr">
        <is>
          <t>HAVEN MOTORS</t>
        </is>
      </c>
    </row>
    <row r="223">
      <c r="G223" s="15" t="inlineStr">
        <is>
          <t>MUHANNED NASIM</t>
        </is>
      </c>
      <c r="H223" s="15" t="inlineStr">
        <is>
          <t>HIBA NAZRIN</t>
        </is>
      </c>
    </row>
    <row r="224">
      <c r="G224" s="15" t="inlineStr">
        <is>
          <t>MUHSIN</t>
        </is>
      </c>
      <c r="H224" s="15" t="inlineStr">
        <is>
          <t>HONEY</t>
        </is>
      </c>
    </row>
    <row r="225">
      <c r="G225" s="15" t="inlineStr">
        <is>
          <t>MUTHOOT HONDA</t>
        </is>
      </c>
      <c r="H225" s="15" t="inlineStr">
        <is>
          <t>HONEY RAJ</t>
        </is>
      </c>
    </row>
    <row r="226">
      <c r="G226" s="15" t="inlineStr">
        <is>
          <t>MUTHOOT TATA</t>
        </is>
      </c>
      <c r="H226" s="15" t="inlineStr">
        <is>
          <t>HORIZON CARS</t>
        </is>
      </c>
    </row>
    <row r="227">
      <c r="G227" s="15" t="inlineStr">
        <is>
          <t>N R GARAGE</t>
        </is>
      </c>
      <c r="H227" s="15" t="inlineStr">
        <is>
          <t>HUSSAIN O E</t>
        </is>
      </c>
    </row>
    <row r="228">
      <c r="G228" s="15" t="inlineStr">
        <is>
          <t>NADIR</t>
        </is>
      </c>
      <c r="H228" s="15" t="inlineStr">
        <is>
          <t>Harsha Cars Porur</t>
        </is>
      </c>
    </row>
    <row r="229">
      <c r="G229" s="15" t="inlineStr">
        <is>
          <t>NADIR K K</t>
        </is>
      </c>
      <c r="H229" s="15" t="inlineStr">
        <is>
          <t>Hashir Sharafudeen</t>
        </is>
      </c>
    </row>
    <row r="230">
      <c r="G230" s="15" t="inlineStr">
        <is>
          <t>NAGA SURESH POLUKONDA</t>
        </is>
      </c>
      <c r="H230" s="15" t="inlineStr">
        <is>
          <t>Hasini Cars</t>
        </is>
      </c>
    </row>
    <row r="231">
      <c r="G231" s="15" t="inlineStr">
        <is>
          <t>NAKKA SHIVA SHANKER</t>
        </is>
      </c>
      <c r="H231" s="15" t="inlineStr">
        <is>
          <t>Hema Cars</t>
        </is>
      </c>
    </row>
    <row r="232">
      <c r="G232" s="15" t="inlineStr">
        <is>
          <t>NASIM</t>
        </is>
      </c>
      <c r="H232" s="15" t="inlineStr">
        <is>
          <t>Hiba Nasarin</t>
        </is>
      </c>
    </row>
    <row r="233">
      <c r="G233" s="15" t="inlineStr">
        <is>
          <t>NASSIMKUNJU</t>
        </is>
      </c>
      <c r="H233" s="15" t="inlineStr">
        <is>
          <t>Hiba Nasrin</t>
        </is>
      </c>
    </row>
    <row r="234">
      <c r="G234" s="15" t="inlineStr">
        <is>
          <t>NBT AUTOCORP INDIA PRIVATE LIMITED</t>
        </is>
      </c>
      <c r="H234" s="15" t="inlineStr">
        <is>
          <t>ICICI BANK</t>
        </is>
      </c>
    </row>
    <row r="235">
      <c r="G235" s="15" t="inlineStr">
        <is>
          <t>NIDEESH</t>
        </is>
      </c>
      <c r="H235" s="15" t="inlineStr">
        <is>
          <t>INCHEON KIA</t>
        </is>
      </c>
    </row>
    <row r="236">
      <c r="G236" s="15" t="inlineStr">
        <is>
          <t>NIDEESH MOHAN</t>
        </is>
      </c>
      <c r="H236" s="15" t="inlineStr">
        <is>
          <t>INDUS MARUTI</t>
        </is>
      </c>
    </row>
    <row r="237">
      <c r="G237" s="15" t="inlineStr">
        <is>
          <t>NIDHEESH UCD</t>
        </is>
      </c>
      <c r="H237" s="15" t="inlineStr">
        <is>
          <t>INDUS MOTORS</t>
        </is>
      </c>
    </row>
    <row r="238">
      <c r="G238" s="15" t="inlineStr">
        <is>
          <t>NIDHI S K</t>
        </is>
      </c>
      <c r="H238" s="15" t="inlineStr">
        <is>
          <t>IRFAN</t>
        </is>
      </c>
    </row>
    <row r="239">
      <c r="G239" s="15" t="inlineStr">
        <is>
          <t>NIKESH</t>
        </is>
      </c>
      <c r="H239" s="15" t="inlineStr">
        <is>
          <t>Illiyas Aboobacker</t>
        </is>
      </c>
    </row>
    <row r="240">
      <c r="G240" s="15" t="inlineStr">
        <is>
          <t>NIPPON MOTOR CORPORATION PVT LTD</t>
        </is>
      </c>
      <c r="H240" s="15" t="inlineStr">
        <is>
          <t>Ismail Cars</t>
        </is>
      </c>
    </row>
    <row r="241">
      <c r="G241" s="15" t="inlineStr">
        <is>
          <t>NIPPON TOYOTA</t>
        </is>
      </c>
      <c r="H241" s="15" t="inlineStr">
        <is>
          <t>JAMSHEER</t>
        </is>
      </c>
    </row>
    <row r="242">
      <c r="G242" s="15" t="inlineStr">
        <is>
          <t>NIRANJAN</t>
        </is>
      </c>
      <c r="H242" s="15" t="inlineStr">
        <is>
          <t>JAYAPRAKSH</t>
        </is>
      </c>
    </row>
    <row r="243">
      <c r="G243" s="15" t="inlineStr">
        <is>
          <t>NIRMAL</t>
        </is>
      </c>
      <c r="H243" s="15" t="inlineStr">
        <is>
          <t>JIMMY</t>
        </is>
      </c>
    </row>
    <row r="244">
      <c r="G244" s="15" t="inlineStr">
        <is>
          <t>NIRMAL CARS</t>
        </is>
      </c>
      <c r="H244" s="15" t="inlineStr">
        <is>
          <t>JIMMY THOMAS</t>
        </is>
      </c>
    </row>
    <row r="245">
      <c r="G245" s="15" t="inlineStr">
        <is>
          <t>NISAB</t>
        </is>
      </c>
      <c r="H245" s="15" t="inlineStr">
        <is>
          <t>JOSHY</t>
        </is>
      </c>
    </row>
    <row r="246">
      <c r="G246" s="15" t="inlineStr">
        <is>
          <t>NISHA</t>
        </is>
      </c>
      <c r="H246" s="15" t="inlineStr">
        <is>
          <t>JOSHY K U</t>
        </is>
      </c>
    </row>
    <row r="247">
      <c r="G247" s="15" t="inlineStr">
        <is>
          <t>NITHEESH</t>
        </is>
      </c>
      <c r="H247" s="15" t="inlineStr">
        <is>
          <t>Jamuna Global</t>
        </is>
      </c>
    </row>
    <row r="248">
      <c r="G248" s="15" t="inlineStr">
        <is>
          <t>NITHEESH MOHAN</t>
        </is>
      </c>
      <c r="H248" s="15" t="inlineStr">
        <is>
          <t>Janagama Srinivas</t>
        </is>
      </c>
    </row>
    <row r="249">
      <c r="G249" s="15" t="inlineStr">
        <is>
          <t>NIZAB</t>
        </is>
      </c>
      <c r="H249" s="15" t="inlineStr">
        <is>
          <t>Jayaram Cars</t>
        </is>
      </c>
    </row>
    <row r="250">
      <c r="G250" s="15" t="inlineStr">
        <is>
          <t>NOUSHAD</t>
        </is>
      </c>
      <c r="H250" s="15" t="inlineStr">
        <is>
          <t>Jobin S George</t>
        </is>
      </c>
    </row>
    <row r="251">
      <c r="G251" s="15" t="inlineStr">
        <is>
          <t>ODAPALLY SANDEEP</t>
        </is>
      </c>
      <c r="H251" s="15" t="inlineStr">
        <is>
          <t>K Sankar Rao</t>
        </is>
      </c>
    </row>
    <row r="252">
      <c r="G252" s="15" t="inlineStr">
        <is>
          <t>OLX</t>
        </is>
      </c>
      <c r="H252" s="15" t="inlineStr">
        <is>
          <t>K Surendra Reddy</t>
        </is>
      </c>
    </row>
    <row r="253">
      <c r="G253" s="15" t="inlineStr">
        <is>
          <t>P KIRAN BABU</t>
        </is>
      </c>
      <c r="H253" s="15" t="inlineStr">
        <is>
          <t>K Surendra Reddy (KSR Enterprises</t>
        </is>
      </c>
    </row>
    <row r="254">
      <c r="G254" s="15" t="inlineStr">
        <is>
          <t>PALAMARASETTI RAM KUMAR</t>
        </is>
      </c>
      <c r="H254" s="15" t="inlineStr">
        <is>
          <t>KAIRALI TOYOTA</t>
        </is>
      </c>
    </row>
    <row r="255">
      <c r="G255" s="15" t="inlineStr">
        <is>
          <t>PALMS ASSOCIATES</t>
        </is>
      </c>
      <c r="H255" s="15" t="inlineStr">
        <is>
          <t>KANNUR PLATINUM</t>
        </is>
      </c>
    </row>
    <row r="256">
      <c r="G256" s="15" t="inlineStr">
        <is>
          <t>PAUL CARS</t>
        </is>
      </c>
      <c r="H256" s="15" t="inlineStr">
        <is>
          <t>KANNUR PLATINUM DRIVE</t>
        </is>
      </c>
    </row>
    <row r="257">
      <c r="G257" s="15" t="inlineStr">
        <is>
          <t>PEEYESYEM HK MOTORS LLP</t>
        </is>
      </c>
      <c r="H257" s="15" t="inlineStr">
        <is>
          <t>KAPS CARS</t>
        </is>
      </c>
    </row>
    <row r="258">
      <c r="G258" s="15" t="inlineStr">
        <is>
          <t>PHOENIX VOLKSWAGEN</t>
        </is>
      </c>
      <c r="H258" s="15" t="inlineStr">
        <is>
          <t>KB Motor</t>
        </is>
      </c>
    </row>
    <row r="259">
      <c r="G259" s="15" t="inlineStr">
        <is>
          <t>PINNACLE MOTOR WORKS</t>
        </is>
      </c>
      <c r="H259" s="15" t="inlineStr">
        <is>
          <t>KC SHUKUR</t>
        </is>
      </c>
    </row>
    <row r="260">
      <c r="G260" s="15" t="inlineStr">
        <is>
          <t>PINNACLE MOTORS</t>
        </is>
      </c>
      <c r="H260" s="15" t="inlineStr">
        <is>
          <t>KIA</t>
        </is>
      </c>
    </row>
    <row r="261">
      <c r="G261" s="15" t="inlineStr">
        <is>
          <t>PINNACLE NISSAN</t>
        </is>
      </c>
      <c r="H261" s="15" t="inlineStr">
        <is>
          <t>KIA DKH</t>
        </is>
      </c>
    </row>
    <row r="262">
      <c r="G262" s="15" t="inlineStr">
        <is>
          <t>PINNACLE WHEELS PVT LTD</t>
        </is>
      </c>
      <c r="H262" s="15" t="inlineStr">
        <is>
          <t>KISHORE</t>
        </is>
      </c>
    </row>
    <row r="263">
      <c r="G263" s="15" t="inlineStr">
        <is>
          <t>PLA MOTORS</t>
        </is>
      </c>
      <c r="H263" s="15" t="inlineStr">
        <is>
          <t>KPD UCD</t>
        </is>
      </c>
    </row>
    <row r="264">
      <c r="G264" s="15" t="inlineStr">
        <is>
          <t>POLUKONDA NAGA SURESH</t>
        </is>
      </c>
      <c r="H264" s="15" t="inlineStr">
        <is>
          <t>KSM Auto Consulting</t>
        </is>
      </c>
    </row>
    <row r="265">
      <c r="G265" s="15" t="inlineStr">
        <is>
          <t>POPULAR</t>
        </is>
      </c>
      <c r="H265" s="15" t="inlineStr">
        <is>
          <t>KVR MARUTHI</t>
        </is>
      </c>
    </row>
    <row r="266">
      <c r="G266" s="15" t="inlineStr">
        <is>
          <t>POPULAR ALLEPPY</t>
        </is>
      </c>
      <c r="H266" s="15" t="inlineStr">
        <is>
          <t>KVR TATA</t>
        </is>
      </c>
    </row>
    <row r="267">
      <c r="G267" s="15" t="inlineStr">
        <is>
          <t>POPULAR HYUNDAI</t>
        </is>
      </c>
      <c r="H267" s="15" t="inlineStr">
        <is>
          <t>KVR TATA KASEGODE</t>
        </is>
      </c>
    </row>
    <row r="268">
      <c r="G268" s="15" t="inlineStr">
        <is>
          <t>POPULAR MAHINDRA</t>
        </is>
      </c>
      <c r="H268" s="15" t="inlineStr">
        <is>
          <t>Kaki Dinesh Kumar</t>
        </is>
      </c>
    </row>
    <row r="269">
      <c r="G269" s="15" t="inlineStr">
        <is>
          <t>POPULAR MARUTI</t>
        </is>
      </c>
      <c r="H269" s="15" t="inlineStr">
        <is>
          <t>Kallepalli Vimala</t>
        </is>
      </c>
    </row>
    <row r="270">
      <c r="G270" s="15" t="inlineStr">
        <is>
          <t>POPULAR MOTORWORLD PVT LTD</t>
        </is>
      </c>
      <c r="H270" s="15" t="inlineStr">
        <is>
          <t>Kamal Cars</t>
        </is>
      </c>
    </row>
    <row r="271">
      <c r="G271" s="15" t="inlineStr">
        <is>
          <t>POPULAR VEHICLES</t>
        </is>
      </c>
      <c r="H271" s="15" t="inlineStr">
        <is>
          <t>Kanakaprasad Koutharapu</t>
        </is>
      </c>
    </row>
    <row r="272">
      <c r="G272" s="15" t="inlineStr">
        <is>
          <t>PPS MOTORS PRIVATE LTD</t>
        </is>
      </c>
      <c r="H272" s="15" t="inlineStr">
        <is>
          <t>Kandhan Cars</t>
        </is>
      </c>
    </row>
    <row r="273">
      <c r="G273" s="15" t="inlineStr">
        <is>
          <t>PPS SKODA</t>
        </is>
      </c>
      <c r="H273" s="15" t="inlineStr">
        <is>
          <t>Karthickeyan cars</t>
        </is>
      </c>
    </row>
    <row r="274">
      <c r="G274" s="15" t="inlineStr">
        <is>
          <t>PRABJYOTH SINGH WASU</t>
        </is>
      </c>
      <c r="H274" s="15" t="inlineStr">
        <is>
          <t>Karukonda Someswara Rao</t>
        </is>
      </c>
    </row>
    <row r="275">
      <c r="G275" s="15" t="inlineStr">
        <is>
          <t>PRAJOD</t>
        </is>
      </c>
      <c r="H275" s="15" t="inlineStr">
        <is>
          <t>Kasarapu Bhagyasri</t>
        </is>
      </c>
    </row>
    <row r="276">
      <c r="G276" s="15" t="inlineStr">
        <is>
          <t>PRAJOSH</t>
        </is>
      </c>
      <c r="H276" s="15" t="inlineStr">
        <is>
          <t>Katikala Jathin Sai</t>
        </is>
      </c>
    </row>
    <row r="277">
      <c r="G277" s="15" t="inlineStr">
        <is>
          <t>PRAMOD</t>
        </is>
      </c>
      <c r="H277" s="15" t="inlineStr">
        <is>
          <t>Kesireddy Saikiran</t>
        </is>
      </c>
    </row>
    <row r="278">
      <c r="G278" s="15" t="inlineStr">
        <is>
          <t>PRASEED KUMAR</t>
        </is>
      </c>
      <c r="H278" s="15" t="inlineStr">
        <is>
          <t>Kirthi Cars</t>
        </is>
      </c>
    </row>
    <row r="279">
      <c r="G279" s="15" t="inlineStr">
        <is>
          <t>PRODUCTIVITY ELEMENTS PRIVATE LIMITED</t>
        </is>
      </c>
      <c r="H279" s="15" t="inlineStr">
        <is>
          <t>Kodukula Kausalya Devi</t>
        </is>
      </c>
    </row>
    <row r="280">
      <c r="G280" s="15" t="inlineStr">
        <is>
          <t>PUDARI BABU</t>
        </is>
      </c>
      <c r="H280" s="15" t="inlineStr">
        <is>
          <t>Koppulapelli Anand Goud (Anand Cars</t>
        </is>
      </c>
    </row>
    <row r="281">
      <c r="G281" s="15" t="inlineStr">
        <is>
          <t>PUNEET GUPTA</t>
        </is>
      </c>
      <c r="H281" s="15" t="inlineStr">
        <is>
          <t>Koppuravuri Srinivasa Rao</t>
        </is>
      </c>
    </row>
    <row r="282">
      <c r="G282" s="15" t="inlineStr">
        <is>
          <t>PURUSOTHAMAN J CARS</t>
        </is>
      </c>
      <c r="H282" s="15" t="inlineStr">
        <is>
          <t>Kranthi Jwala Gudipati</t>
        </is>
      </c>
    </row>
    <row r="283">
      <c r="G283" s="15" t="inlineStr">
        <is>
          <t>RADHAKRISHNAN</t>
        </is>
      </c>
      <c r="H283" s="15" t="inlineStr">
        <is>
          <t>Ksm Auto Consultant</t>
        </is>
      </c>
    </row>
    <row r="284">
      <c r="G284" s="15" t="inlineStr">
        <is>
          <t>RAFEEK T A</t>
        </is>
      </c>
      <c r="H284" s="15" t="inlineStr">
        <is>
          <t>Kunjumon</t>
        </is>
      </c>
    </row>
    <row r="285">
      <c r="G285" s="15" t="inlineStr">
        <is>
          <t>RAHUL</t>
        </is>
      </c>
      <c r="H285" s="15" t="inlineStr">
        <is>
          <t>LANSON QCARS PRIVATE LIMITED</t>
        </is>
      </c>
    </row>
    <row r="286">
      <c r="G286" s="15" t="inlineStr">
        <is>
          <t>RAJALAKSHMI CARS</t>
        </is>
      </c>
      <c r="H286" s="15" t="inlineStr">
        <is>
          <t>LATHEESH K</t>
        </is>
      </c>
    </row>
    <row r="287">
      <c r="G287" s="15" t="inlineStr">
        <is>
          <t>RAJESH</t>
        </is>
      </c>
      <c r="H287" s="15" t="inlineStr">
        <is>
          <t>LIAKATHCARS</t>
        </is>
      </c>
    </row>
    <row r="288">
      <c r="G288" s="15" t="inlineStr">
        <is>
          <t>RAMANI CARS GROUP</t>
        </is>
      </c>
      <c r="H288" s="15" t="inlineStr">
        <is>
          <t>LUXON TATA</t>
        </is>
      </c>
    </row>
    <row r="289">
      <c r="G289" s="15" t="inlineStr">
        <is>
          <t>RASIQUE BASHEER</t>
        </is>
      </c>
      <c r="H289" s="15" t="inlineStr">
        <is>
          <t>Lakshmi Tirupatamma Kokkilagadda</t>
        </is>
      </c>
    </row>
    <row r="290">
      <c r="G290" s="15" t="inlineStr">
        <is>
          <t>RATHEESH</t>
        </is>
      </c>
      <c r="H290" s="15" t="inlineStr">
        <is>
          <t>Lanson</t>
        </is>
      </c>
    </row>
    <row r="291">
      <c r="G291" s="15" t="inlineStr">
        <is>
          <t>RAYON</t>
        </is>
      </c>
      <c r="H291" s="15" t="inlineStr">
        <is>
          <t>Lanson Toyota</t>
        </is>
      </c>
    </row>
    <row r="292">
      <c r="G292" s="15" t="inlineStr">
        <is>
          <t>RAYON JOY</t>
        </is>
      </c>
      <c r="H292" s="15" t="inlineStr">
        <is>
          <t>Ligesh P M</t>
        </is>
      </c>
    </row>
    <row r="293">
      <c r="G293" s="15" t="inlineStr">
        <is>
          <t>REFERENCE</t>
        </is>
      </c>
      <c r="H293" s="15" t="inlineStr">
        <is>
          <t>Liyakath Ali</t>
        </is>
      </c>
    </row>
    <row r="294">
      <c r="G294" s="15" t="inlineStr">
        <is>
          <t>RENAULT NISSAN AUTOMOTIVE PVT LTD</t>
        </is>
      </c>
      <c r="H294" s="15" t="inlineStr">
        <is>
          <t>M.S.V CAR PAINTING WORKS</t>
        </is>
      </c>
    </row>
    <row r="295">
      <c r="G295" s="15" t="inlineStr">
        <is>
          <t>RENSON</t>
        </is>
      </c>
      <c r="H295" s="15" t="inlineStr">
        <is>
          <t>MADHURA CARS</t>
        </is>
      </c>
    </row>
    <row r="296">
      <c r="G296" s="15" t="inlineStr">
        <is>
          <t>ROYAL DRIVE</t>
        </is>
      </c>
      <c r="H296" s="15" t="inlineStr">
        <is>
          <t>MAHESH</t>
        </is>
      </c>
    </row>
    <row r="297">
      <c r="G297" s="15" t="inlineStr">
        <is>
          <t>S M CAR PRIVATE LIMITED</t>
        </is>
      </c>
      <c r="H297" s="15" t="inlineStr">
        <is>
          <t>MAHESH CARBAZAR</t>
        </is>
      </c>
    </row>
    <row r="298">
      <c r="G298" s="15" t="inlineStr">
        <is>
          <t>SABARISH CARS</t>
        </is>
      </c>
      <c r="H298" s="15" t="inlineStr">
        <is>
          <t>MAHESH KUMAR</t>
        </is>
      </c>
    </row>
    <row r="299">
      <c r="G299" s="15" t="inlineStr">
        <is>
          <t>SABITH</t>
        </is>
      </c>
      <c r="H299" s="15" t="inlineStr">
        <is>
          <t>MAK CARS</t>
        </is>
      </c>
    </row>
    <row r="300">
      <c r="G300" s="15" t="inlineStr">
        <is>
          <t>SABU MATHEW</t>
        </is>
      </c>
      <c r="H300" s="15" t="inlineStr">
        <is>
          <t>MANOJ</t>
        </is>
      </c>
    </row>
    <row r="301">
      <c r="G301" s="15" t="inlineStr">
        <is>
          <t>SAFARNAS</t>
        </is>
      </c>
      <c r="H301" s="15" t="inlineStr">
        <is>
          <t>MARVEL</t>
        </is>
      </c>
    </row>
    <row r="302">
      <c r="G302" s="15" t="inlineStr">
        <is>
          <t>SAHARUN</t>
        </is>
      </c>
      <c r="H302" s="15" t="inlineStr">
        <is>
          <t>MARVEL CARS</t>
        </is>
      </c>
    </row>
    <row r="303">
      <c r="G303" s="15" t="inlineStr">
        <is>
          <t>SAI CARS CBE</t>
        </is>
      </c>
      <c r="H303" s="15" t="inlineStr">
        <is>
          <t>MARVEL MOTORS</t>
        </is>
      </c>
    </row>
    <row r="304">
      <c r="G304" s="15" t="inlineStr">
        <is>
          <t>SAI MARUTI</t>
        </is>
      </c>
      <c r="H304" s="15" t="inlineStr">
        <is>
          <t>MARVEL VIJIL</t>
        </is>
      </c>
    </row>
    <row r="305">
      <c r="G305" s="15" t="inlineStr">
        <is>
          <t>SAI NEXA</t>
        </is>
      </c>
      <c r="H305" s="15" t="inlineStr">
        <is>
          <t>MAXX DRIVE</t>
        </is>
      </c>
    </row>
    <row r="306">
      <c r="G306" s="15" t="inlineStr">
        <is>
          <t>SAI ROSHAN</t>
        </is>
      </c>
      <c r="H306" s="15" t="inlineStr">
        <is>
          <t>MAXX MOTORS</t>
        </is>
      </c>
    </row>
    <row r="307">
      <c r="G307" s="15" t="inlineStr">
        <is>
          <t>SAIDALI</t>
        </is>
      </c>
      <c r="H307" s="15" t="inlineStr">
        <is>
          <t>MAYAN</t>
        </is>
      </c>
    </row>
    <row r="308">
      <c r="G308" s="15" t="inlineStr">
        <is>
          <t>SAIF RASHEED</t>
        </is>
      </c>
      <c r="H308" s="15" t="inlineStr">
        <is>
          <t>MD Shakeeluddin</t>
        </is>
      </c>
    </row>
    <row r="309">
      <c r="G309" s="15" t="inlineStr">
        <is>
          <t>SAJITH</t>
        </is>
      </c>
      <c r="H309" s="15" t="inlineStr">
        <is>
          <t>MITHUN BABU</t>
        </is>
      </c>
    </row>
    <row r="310">
      <c r="G310" s="15" t="inlineStr">
        <is>
          <t>SAMSHUD</t>
        </is>
      </c>
      <c r="H310" s="15" t="inlineStr">
        <is>
          <t>MOTOEXCHANGE</t>
        </is>
      </c>
    </row>
    <row r="311">
      <c r="G311" s="15" t="inlineStr">
        <is>
          <t>SANOOP</t>
        </is>
      </c>
      <c r="H311" s="15" t="inlineStr">
        <is>
          <t>MR Motors</t>
        </is>
      </c>
    </row>
    <row r="312">
      <c r="G312" s="15" t="inlineStr">
        <is>
          <t>SANOOP KM</t>
        </is>
      </c>
      <c r="H312" s="15" t="inlineStr">
        <is>
          <t>MS Cars</t>
        </is>
      </c>
    </row>
    <row r="313">
      <c r="G313" s="15" t="inlineStr">
        <is>
          <t>SANTHOSH</t>
        </is>
      </c>
      <c r="H313" s="15" t="inlineStr">
        <is>
          <t>MSV Car Painting</t>
        </is>
      </c>
    </row>
    <row r="314">
      <c r="G314" s="15" t="inlineStr">
        <is>
          <t>SANTHOSH CARS</t>
        </is>
      </c>
      <c r="H314" s="15" t="inlineStr">
        <is>
          <t>MUHAMMAD SHAJI</t>
        </is>
      </c>
    </row>
    <row r="315">
      <c r="G315" s="15" t="inlineStr">
        <is>
          <t>SANTHOSH KUMAR</t>
        </is>
      </c>
      <c r="H315" s="15" t="inlineStr">
        <is>
          <t>MUHAMMED ANEES T C</t>
        </is>
      </c>
    </row>
    <row r="316">
      <c r="G316" s="15" t="inlineStr">
        <is>
          <t>SANU</t>
        </is>
      </c>
      <c r="H316" s="15" t="inlineStr">
        <is>
          <t>MUHAMMED MUKTHAR</t>
        </is>
      </c>
    </row>
    <row r="317">
      <c r="G317" s="15" t="inlineStr">
        <is>
          <t>SAP MAHINDRA</t>
        </is>
      </c>
      <c r="H317" s="15" t="inlineStr">
        <is>
          <t>MUHAMMED NASIM</t>
        </is>
      </c>
    </row>
    <row r="318">
      <c r="G318" s="15" t="inlineStr">
        <is>
          <t>SARANG</t>
        </is>
      </c>
      <c r="H318" s="15" t="inlineStr">
        <is>
          <t>MUHAMMED NISAB</t>
        </is>
      </c>
    </row>
    <row r="319">
      <c r="G319" s="15" t="inlineStr">
        <is>
          <t>SARATHY MARUTI</t>
        </is>
      </c>
      <c r="H319" s="15" t="inlineStr">
        <is>
          <t>MUHAMMED SHAJI</t>
        </is>
      </c>
    </row>
    <row r="320">
      <c r="G320" s="15" t="inlineStr">
        <is>
          <t>SARATHY NEXA</t>
        </is>
      </c>
      <c r="H320" s="15" t="inlineStr">
        <is>
          <t>MUJEEB RAHUMAN</t>
        </is>
      </c>
    </row>
    <row r="321">
      <c r="G321" s="15" t="inlineStr">
        <is>
          <t>SARITH</t>
        </is>
      </c>
      <c r="H321" s="15" t="inlineStr">
        <is>
          <t>MUNEER</t>
        </is>
      </c>
    </row>
    <row r="322">
      <c r="G322" s="15" t="inlineStr">
        <is>
          <t>SARITH AUTOBOT</t>
        </is>
      </c>
      <c r="H322" s="15" t="inlineStr">
        <is>
          <t>MUSTAFA POOKOYA</t>
        </is>
      </c>
    </row>
    <row r="323">
      <c r="G323" s="15" t="inlineStr">
        <is>
          <t>SARITH UCD</t>
        </is>
      </c>
      <c r="H323" s="15" t="inlineStr">
        <is>
          <t>MUTHOOT TATA</t>
        </is>
      </c>
    </row>
    <row r="324">
      <c r="G324" s="15" t="inlineStr">
        <is>
          <t>SENTHIL CARS</t>
        </is>
      </c>
      <c r="H324" s="15" t="inlineStr">
        <is>
          <t>Mahathi Cars</t>
        </is>
      </c>
    </row>
    <row r="325">
      <c r="G325" s="15" t="inlineStr">
        <is>
          <t>SESETTI MANOJ KUMAR</t>
        </is>
      </c>
      <c r="H325" s="15" t="inlineStr">
        <is>
          <t>Mahesh Shankar</t>
        </is>
      </c>
    </row>
    <row r="326">
      <c r="G326" s="15" t="inlineStr">
        <is>
          <t>SETHUNATH</t>
        </is>
      </c>
      <c r="H326" s="15" t="inlineStr">
        <is>
          <t>Manku Tharaka Rama Rao</t>
        </is>
      </c>
    </row>
    <row r="327">
      <c r="G327" s="15" t="inlineStr">
        <is>
          <t>SGA MOTORS INDIA PRIVATE LIMITED</t>
        </is>
      </c>
      <c r="H327" s="15" t="inlineStr">
        <is>
          <t>Manoj B Cars</t>
        </is>
      </c>
    </row>
    <row r="328">
      <c r="G328" s="15" t="inlineStr">
        <is>
          <t>SHAHAR</t>
        </is>
      </c>
      <c r="H328" s="15" t="inlineStr">
        <is>
          <t>Manoj-Green Light Pre Owned Cars</t>
        </is>
      </c>
    </row>
    <row r="329">
      <c r="G329" s="15" t="inlineStr">
        <is>
          <t>SHAHAR T</t>
        </is>
      </c>
      <c r="H329" s="15" t="inlineStr">
        <is>
          <t>Mark4</t>
        </is>
      </c>
    </row>
    <row r="330">
      <c r="G330" s="15" t="inlineStr">
        <is>
          <t>SHAHIL NK</t>
        </is>
      </c>
      <c r="H330" s="15" t="inlineStr">
        <is>
          <t>Maruthi Industries</t>
        </is>
      </c>
    </row>
    <row r="331">
      <c r="G331" s="15" t="inlineStr">
        <is>
          <t>SHAJEE CARS</t>
        </is>
      </c>
      <c r="H331" s="15" t="inlineStr">
        <is>
          <t>Mittisila Jeevan Kumar</t>
        </is>
      </c>
    </row>
    <row r="332">
      <c r="G332" s="15" t="inlineStr">
        <is>
          <t>SHAJI</t>
        </is>
      </c>
      <c r="H332" s="15" t="inlineStr">
        <is>
          <t>Mohammed Abdul Razzaq</t>
        </is>
      </c>
    </row>
    <row r="333">
      <c r="G333" s="15" t="inlineStr">
        <is>
          <t>SHIBU</t>
        </is>
      </c>
      <c r="H333" s="15" t="inlineStr">
        <is>
          <t>Mohammed Adil</t>
        </is>
      </c>
    </row>
    <row r="334">
      <c r="G334" s="15" t="inlineStr">
        <is>
          <t>SHIMJITH</t>
        </is>
      </c>
      <c r="H334" s="15" t="inlineStr">
        <is>
          <t>Mohammed Aslam K</t>
        </is>
      </c>
    </row>
    <row r="335">
      <c r="G335" s="15" t="inlineStr">
        <is>
          <t>SHINOOJ</t>
        </is>
      </c>
      <c r="H335" s="15" t="inlineStr">
        <is>
          <t>Mohammed Danish K</t>
        </is>
      </c>
    </row>
    <row r="336">
      <c r="G336" s="15" t="inlineStr">
        <is>
          <t>SHIVAKUMAR</t>
        </is>
      </c>
      <c r="H336" s="15" t="inlineStr">
        <is>
          <t>Mohammed Faiz Ur Rehman</t>
        </is>
      </c>
    </row>
    <row r="337">
      <c r="G337" s="15" t="inlineStr">
        <is>
          <t>SHREE THIYA CARS</t>
        </is>
      </c>
      <c r="H337" s="15" t="inlineStr">
        <is>
          <t>Mohammed Gouse Basha</t>
        </is>
      </c>
    </row>
    <row r="338">
      <c r="G338" s="15" t="inlineStr">
        <is>
          <t>SIRAJ</t>
        </is>
      </c>
      <c r="H338" s="15" t="inlineStr">
        <is>
          <t>Mohammed Riyaz</t>
        </is>
      </c>
    </row>
    <row r="339">
      <c r="G339" s="15" t="inlineStr">
        <is>
          <t>SIRAJ K V</t>
        </is>
      </c>
      <c r="H339" s="15" t="inlineStr">
        <is>
          <t>Mohammed Shafivulla</t>
        </is>
      </c>
    </row>
    <row r="340">
      <c r="G340" s="15" t="inlineStr">
        <is>
          <t>SIVA AUTOMOTIVE</t>
        </is>
      </c>
      <c r="H340" s="15" t="inlineStr">
        <is>
          <t>Mohith,Garuda Trucks</t>
        </is>
      </c>
    </row>
    <row r="341">
      <c r="G341" s="15" t="inlineStr">
        <is>
          <t>SIVA AUTOMOTIVE TRADING PRIVATE LIMITED</t>
        </is>
      </c>
      <c r="H341" s="15" t="inlineStr">
        <is>
          <t>Mr.Cars</t>
        </is>
      </c>
    </row>
    <row r="342">
      <c r="G342" s="15" t="inlineStr">
        <is>
          <t>SIVA REDDY GUDLA</t>
        </is>
      </c>
      <c r="H342" s="15" t="inlineStr">
        <is>
          <t>Muhammed Ashique K</t>
        </is>
      </c>
    </row>
    <row r="343">
      <c r="G343" s="15" t="inlineStr">
        <is>
          <t>SIVAPRASAD</t>
        </is>
      </c>
      <c r="H343" s="15" t="inlineStr">
        <is>
          <t>Muhammed Hassan S</t>
        </is>
      </c>
    </row>
    <row r="344">
      <c r="G344" s="15" t="inlineStr">
        <is>
          <t>SIVAPRASAD RELANGI</t>
        </is>
      </c>
      <c r="H344" s="15" t="inlineStr">
        <is>
          <t>Muhammed Nasim PM</t>
        </is>
      </c>
    </row>
    <row r="345">
      <c r="G345" s="15" t="inlineStr">
        <is>
          <t>SIVASHANKAR CARS</t>
        </is>
      </c>
      <c r="H345" s="15" t="inlineStr">
        <is>
          <t>Muhammed Rafi</t>
        </is>
      </c>
    </row>
    <row r="346">
      <c r="G346" s="15" t="inlineStr">
        <is>
          <t>SM CARS</t>
        </is>
      </c>
      <c r="H346" s="15" t="inlineStr">
        <is>
          <t>Muhammed Rasin R</t>
        </is>
      </c>
    </row>
    <row r="347">
      <c r="G347" s="15" t="inlineStr">
        <is>
          <t>SMAS</t>
        </is>
      </c>
      <c r="H347" s="15" t="inlineStr">
        <is>
          <t>Muhammed Vasil Mk</t>
        </is>
      </c>
    </row>
    <row r="348">
      <c r="G348" s="15" t="inlineStr">
        <is>
          <t>SPRICE HYUNDAI</t>
        </is>
      </c>
      <c r="H348" s="15" t="inlineStr">
        <is>
          <t>Muhammed Yasin</t>
        </is>
      </c>
    </row>
    <row r="349">
      <c r="G349" s="15" t="inlineStr">
        <is>
          <t>SREE SARADHAMBAL AUTOMOBILES PRIVATE LIMITED</t>
        </is>
      </c>
      <c r="H349" s="15" t="inlineStr">
        <is>
          <t>Murali Cars</t>
        </is>
      </c>
    </row>
    <row r="350">
      <c r="G350" s="15" t="inlineStr">
        <is>
          <t>SREEJITH</t>
        </is>
      </c>
      <c r="H350" s="15" t="inlineStr">
        <is>
          <t>Murthy Cars</t>
        </is>
      </c>
    </row>
    <row r="351">
      <c r="G351" s="15" t="inlineStr">
        <is>
          <t>SRI LAKSHMI CARS</t>
        </is>
      </c>
      <c r="H351" s="15" t="inlineStr">
        <is>
          <t>N H Sameer</t>
        </is>
      </c>
    </row>
    <row r="352">
      <c r="G352" s="15" t="inlineStr">
        <is>
          <t>SS HYUNDAI</t>
        </is>
      </c>
      <c r="H352" s="15" t="inlineStr">
        <is>
          <t>NADIR</t>
        </is>
      </c>
    </row>
    <row r="353">
      <c r="G353" s="15" t="inlineStr">
        <is>
          <t>SS MAHINDRA</t>
        </is>
      </c>
      <c r="H353" s="15" t="inlineStr">
        <is>
          <t>NASIM</t>
        </is>
      </c>
    </row>
    <row r="354">
      <c r="G354" s="15" t="inlineStr">
        <is>
          <t>STEER AUTO TECHNOLOGIES PRIVATE LIMITED</t>
        </is>
      </c>
      <c r="H354" s="15" t="inlineStr">
        <is>
          <t>NIDHEESH</t>
        </is>
      </c>
    </row>
    <row r="355">
      <c r="G355" s="15" t="inlineStr">
        <is>
          <t>SUN CARS</t>
        </is>
      </c>
      <c r="H355" s="15" t="inlineStr">
        <is>
          <t>NIKESH APCO</t>
        </is>
      </c>
    </row>
    <row r="356">
      <c r="G356" s="15" t="inlineStr">
        <is>
          <t>SUNDHARAM FINANCE</t>
        </is>
      </c>
      <c r="H356" s="15" t="inlineStr">
        <is>
          <t>NISAB</t>
        </is>
      </c>
    </row>
    <row r="357">
      <c r="G357" s="15" t="inlineStr">
        <is>
          <t>SUNIL KUMAR BOTTA</t>
        </is>
      </c>
      <c r="H357" s="15" t="inlineStr">
        <is>
          <t>NISHAD</t>
        </is>
      </c>
    </row>
    <row r="358">
      <c r="G358" s="15" t="inlineStr">
        <is>
          <t>SUNILKUMAR S</t>
        </is>
      </c>
      <c r="H358" s="15" t="inlineStr">
        <is>
          <t>NIZAMUDEEN P K</t>
        </is>
      </c>
    </row>
    <row r="359">
      <c r="G359" s="15" t="inlineStr">
        <is>
          <t>SURESH GINJUPALLI</t>
        </is>
      </c>
      <c r="H359" s="15" t="inlineStr">
        <is>
          <t>NIZAR A U</t>
        </is>
      </c>
    </row>
    <row r="360">
      <c r="G360" s="15" t="inlineStr">
        <is>
          <t>SURIYAKUMAR</t>
        </is>
      </c>
      <c r="H360" s="15" t="inlineStr">
        <is>
          <t>NIZAR K K</t>
        </is>
      </c>
    </row>
    <row r="361">
      <c r="G361" s="15" t="inlineStr">
        <is>
          <t>SVM CARS PRIVATE LIMITED</t>
        </is>
      </c>
      <c r="H361" s="15" t="inlineStr">
        <is>
          <t>NOUFAL LUXON TATA</t>
        </is>
      </c>
    </row>
    <row r="362">
      <c r="G362" s="15" t="inlineStr">
        <is>
          <t>T SRINIVAS</t>
        </is>
      </c>
      <c r="H362" s="15" t="inlineStr">
        <is>
          <t>Naga Suresh Polukonda</t>
        </is>
      </c>
    </row>
    <row r="363">
      <c r="G363" s="15" t="inlineStr">
        <is>
          <t>TAFE ACCESS LIMITED</t>
        </is>
      </c>
      <c r="H363" s="15" t="inlineStr">
        <is>
          <t>Naini Ramesh</t>
        </is>
      </c>
    </row>
    <row r="364">
      <c r="G364" s="15" t="inlineStr">
        <is>
          <t>TANIYA BASTIN</t>
        </is>
      </c>
      <c r="H364" s="15" t="inlineStr">
        <is>
          <t>Nakka Chandrasekhar (Cs Cars</t>
        </is>
      </c>
    </row>
    <row r="365">
      <c r="G365" s="15" t="inlineStr">
        <is>
          <t>TENALI SRINIVAS</t>
        </is>
      </c>
      <c r="H365" s="15" t="inlineStr">
        <is>
          <t>Nakka Shiva Shanker</t>
        </is>
      </c>
    </row>
    <row r="366">
      <c r="G366" s="15" t="inlineStr">
        <is>
          <t>THIRIVENI CARS</t>
        </is>
      </c>
      <c r="H366" s="15" t="inlineStr">
        <is>
          <t>Nandharam Swapna</t>
        </is>
      </c>
    </row>
    <row r="367">
      <c r="G367" s="15" t="inlineStr">
        <is>
          <t>THIRUMALAI CARS</t>
        </is>
      </c>
      <c r="H367" s="15" t="inlineStr">
        <is>
          <t>New Citi Cars</t>
        </is>
      </c>
    </row>
    <row r="368">
      <c r="G368" s="15" t="inlineStr">
        <is>
          <t>THIYA CARS</t>
        </is>
      </c>
      <c r="H368" s="15" t="inlineStr">
        <is>
          <t>Niranchana Cars</t>
        </is>
      </c>
    </row>
    <row r="369">
      <c r="G369" s="15" t="inlineStr">
        <is>
          <t>THNSEER</t>
        </is>
      </c>
      <c r="H369" s="15" t="inlineStr">
        <is>
          <t>Nirmal Cars</t>
        </is>
      </c>
    </row>
    <row r="370">
      <c r="G370" s="15" t="inlineStr">
        <is>
          <t>TINU P SOMAN</t>
        </is>
      </c>
      <c r="H370" s="15" t="inlineStr">
        <is>
          <t>Nisha Mary Mathew</t>
        </is>
      </c>
    </row>
    <row r="371">
      <c r="G371" s="15" t="inlineStr">
        <is>
          <t>TIYYAGURA VENKATA REDDY</t>
        </is>
      </c>
      <c r="H371" s="15" t="inlineStr">
        <is>
          <t>Non Stop Motors-MUJEEB KOMBAN</t>
        </is>
      </c>
    </row>
    <row r="372">
      <c r="G372" s="15" t="inlineStr">
        <is>
          <t>TOYOTA FINANCE</t>
        </is>
      </c>
      <c r="H372" s="15" t="inlineStr">
        <is>
          <t>Noushad K K</t>
        </is>
      </c>
    </row>
    <row r="373">
      <c r="G373" s="15" t="inlineStr">
        <is>
          <t>TRICHUR SUNDHARAM</t>
        </is>
      </c>
      <c r="H373" s="15" t="inlineStr">
        <is>
          <t>Odapally Sandeep</t>
        </is>
      </c>
    </row>
    <row r="374">
      <c r="G374" s="15" t="inlineStr">
        <is>
          <t>TRIVANDRUM MOTORS</t>
        </is>
      </c>
      <c r="H374" s="15" t="inlineStr">
        <is>
          <t>Omega Car Zone</t>
        </is>
      </c>
    </row>
    <row r="375">
      <c r="G375" s="15" t="inlineStr">
        <is>
          <t>TRUST N DRIVE</t>
        </is>
      </c>
      <c r="H375" s="15" t="inlineStr">
        <is>
          <t>P M Hakkeem</t>
        </is>
      </c>
    </row>
    <row r="376">
      <c r="G376" s="15" t="inlineStr">
        <is>
          <t>TRUST ON WHEELS</t>
        </is>
      </c>
      <c r="H376" s="15" t="inlineStr">
        <is>
          <t>P Muhammed Fayis</t>
        </is>
      </c>
    </row>
    <row r="377">
      <c r="G377" s="15" t="inlineStr">
        <is>
          <t>TVS MOTOR LIMITED</t>
        </is>
      </c>
      <c r="H377" s="15" t="inlineStr">
        <is>
          <t>P S Aamir Ovez</t>
        </is>
      </c>
    </row>
    <row r="378">
      <c r="G378" s="15" t="inlineStr">
        <is>
          <t>UCD ADVAITH</t>
        </is>
      </c>
      <c r="H378" s="15" t="inlineStr">
        <is>
          <t>PINNACLE NISSAN</t>
        </is>
      </c>
    </row>
    <row r="379">
      <c r="G379" s="15" t="inlineStr">
        <is>
          <t>UCD ANSIL</t>
        </is>
      </c>
      <c r="H379" s="15" t="inlineStr">
        <is>
          <t>PK SANTOSH UCD</t>
        </is>
      </c>
    </row>
    <row r="380">
      <c r="G380" s="15" t="inlineStr">
        <is>
          <t>UCD DIAZ</t>
        </is>
      </c>
      <c r="H380" s="15" t="inlineStr">
        <is>
          <t>POPULAR</t>
        </is>
      </c>
    </row>
    <row r="381">
      <c r="G381" s="15" t="inlineStr">
        <is>
          <t>UCD FARIS</t>
        </is>
      </c>
      <c r="H381" s="15" t="inlineStr">
        <is>
          <t>POPULAR HYUNDAI</t>
        </is>
      </c>
    </row>
    <row r="382">
      <c r="G382" s="15" t="inlineStr">
        <is>
          <t>UCD HARIS</t>
        </is>
      </c>
      <c r="H382" s="15" t="inlineStr">
        <is>
          <t>POPULAR MARUTI</t>
        </is>
      </c>
    </row>
    <row r="383">
      <c r="G383" s="15" t="inlineStr">
        <is>
          <t>UCD JISHNU</t>
        </is>
      </c>
      <c r="H383" s="15" t="inlineStr">
        <is>
          <t>POPULAR MARUTI KTM</t>
        </is>
      </c>
    </row>
    <row r="384">
      <c r="G384" s="15" t="inlineStr">
        <is>
          <t>UCD KAILAS</t>
        </is>
      </c>
      <c r="H384" s="15" t="inlineStr">
        <is>
          <t>PPS KIA</t>
        </is>
      </c>
    </row>
    <row r="385">
      <c r="G385" s="15" t="inlineStr">
        <is>
          <t>UCD MUHAMMED</t>
        </is>
      </c>
      <c r="H385" s="15" t="inlineStr">
        <is>
          <t>PPS SKODA</t>
        </is>
      </c>
    </row>
    <row r="386">
      <c r="G386" s="15" t="inlineStr">
        <is>
          <t>UCD NITHEESH</t>
        </is>
      </c>
      <c r="H386" s="15" t="inlineStr">
        <is>
          <t>PRAJOD</t>
        </is>
      </c>
    </row>
    <row r="387">
      <c r="G387" s="15" t="inlineStr">
        <is>
          <t>UCD PRAJOSH</t>
        </is>
      </c>
      <c r="H387" s="15" t="inlineStr">
        <is>
          <t>PRAJOTH</t>
        </is>
      </c>
    </row>
    <row r="388">
      <c r="G388" s="15" t="inlineStr">
        <is>
          <t>UCD SANTHOSH</t>
        </is>
      </c>
      <c r="H388" s="15" t="inlineStr">
        <is>
          <t>PRAMOD</t>
        </is>
      </c>
    </row>
    <row r="389">
      <c r="G389" s="15" t="inlineStr">
        <is>
          <t>UCD VARUN</t>
        </is>
      </c>
      <c r="H389" s="15" t="inlineStr">
        <is>
          <t>PRAVEEN</t>
        </is>
      </c>
    </row>
    <row r="390">
      <c r="G390" s="15" t="inlineStr">
        <is>
          <t>UMARALI</t>
        </is>
      </c>
      <c r="H390" s="15" t="inlineStr">
        <is>
          <t>PRAVEEN KUMAR</t>
        </is>
      </c>
    </row>
    <row r="391">
      <c r="G391" s="15" t="inlineStr">
        <is>
          <t>UNAISE</t>
        </is>
      </c>
      <c r="H391" s="15" t="inlineStr">
        <is>
          <t>PRJOSH</t>
        </is>
      </c>
    </row>
    <row r="392">
      <c r="G392" s="15" t="inlineStr">
        <is>
          <t>UPPARI SANDEEP KUMAR</t>
        </is>
      </c>
      <c r="H392" s="15" t="inlineStr">
        <is>
          <t>PURUSOTHAMAN J CARS</t>
        </is>
      </c>
    </row>
    <row r="393">
      <c r="G393" s="15" t="inlineStr">
        <is>
          <t>V.S.T. MOTORS PRIVATE LIMITED</t>
        </is>
      </c>
      <c r="H393" s="15" t="inlineStr">
        <is>
          <t>Paul Cars</t>
        </is>
      </c>
    </row>
    <row r="394">
      <c r="G394" s="15" t="inlineStr">
        <is>
          <t>VARUN</t>
        </is>
      </c>
      <c r="H394" s="15" t="inlineStr">
        <is>
          <t>Pine Autos</t>
        </is>
      </c>
    </row>
    <row r="395">
      <c r="G395" s="15" t="inlineStr">
        <is>
          <t>VARUN B</t>
        </is>
      </c>
      <c r="H395" s="15" t="inlineStr">
        <is>
          <t>Polukonda Naga Suresh</t>
        </is>
      </c>
    </row>
    <row r="396">
      <c r="G396" s="15" t="inlineStr">
        <is>
          <t>VARUN UCD</t>
        </is>
      </c>
      <c r="H396" s="15" t="inlineStr">
        <is>
          <t>Popular Alleppy</t>
        </is>
      </c>
    </row>
    <row r="397">
      <c r="G397" s="15" t="inlineStr">
        <is>
          <t>VASIL</t>
        </is>
      </c>
      <c r="H397" s="15" t="inlineStr">
        <is>
          <t>Popular Kottayam</t>
        </is>
      </c>
    </row>
    <row r="398">
      <c r="G398" s="15" t="inlineStr">
        <is>
          <t>VASIL AUTOBOT</t>
        </is>
      </c>
      <c r="H398" s="15" t="inlineStr">
        <is>
          <t>Popular Thrissur</t>
        </is>
      </c>
    </row>
    <row r="399">
      <c r="G399" s="15" t="inlineStr">
        <is>
          <t>VEDICHERLA SUDHEER REDDY</t>
        </is>
      </c>
      <c r="H399" s="15" t="inlineStr">
        <is>
          <t>Popular Trivandrum</t>
        </is>
      </c>
    </row>
    <row r="400">
      <c r="G400" s="15" t="inlineStr">
        <is>
          <t>VEER</t>
        </is>
      </c>
      <c r="H400" s="15" t="inlineStr">
        <is>
          <t>Popular Vehicles And Services Limited</t>
        </is>
      </c>
    </row>
    <row r="401">
      <c r="G401" s="15" t="inlineStr">
        <is>
          <t>VIJIL</t>
        </is>
      </c>
      <c r="H401" s="15" t="inlineStr">
        <is>
          <t>Prabjyoth Singh Wasu</t>
        </is>
      </c>
    </row>
    <row r="402">
      <c r="G402" s="15" t="inlineStr">
        <is>
          <t>VIJIL MARVEL CARS</t>
        </is>
      </c>
      <c r="H402" s="15" t="inlineStr">
        <is>
          <t>Prajosh A M</t>
        </is>
      </c>
    </row>
    <row r="403">
      <c r="G403" s="15" t="inlineStr">
        <is>
          <t>VIMAL</t>
        </is>
      </c>
      <c r="H403" s="15" t="inlineStr">
        <is>
          <t>Pramod C G</t>
        </is>
      </c>
    </row>
    <row r="404">
      <c r="G404" s="15" t="inlineStr">
        <is>
          <t>VINESH</t>
        </is>
      </c>
      <c r="H404" s="15" t="inlineStr">
        <is>
          <t>Prasanna Kulkarni</t>
        </is>
      </c>
    </row>
    <row r="405">
      <c r="G405" s="15" t="inlineStr">
        <is>
          <t>VINOD KUMAR</t>
        </is>
      </c>
      <c r="H405" s="15" t="inlineStr">
        <is>
          <t>Prem Cars</t>
        </is>
      </c>
    </row>
    <row r="406">
      <c r="G406" s="15" t="inlineStr">
        <is>
          <t>VINOD KUMAR MURARI</t>
        </is>
      </c>
      <c r="H406" s="15" t="inlineStr">
        <is>
          <t>Prestige Carz</t>
        </is>
      </c>
    </row>
    <row r="407">
      <c r="G407" s="15" t="inlineStr">
        <is>
          <t>VISHNU CARS PRIVATE LIMITED</t>
        </is>
      </c>
      <c r="H407" s="15" t="inlineStr">
        <is>
          <t>Pudari Babu</t>
        </is>
      </c>
    </row>
    <row r="408">
      <c r="G408" s="15" t="inlineStr">
        <is>
          <t>VISHNUKANT HEDA (SUB5 CARS</t>
        </is>
      </c>
      <c r="H408" s="15" t="inlineStr">
        <is>
          <t>Puneet Gupta</t>
        </is>
      </c>
    </row>
    <row r="409">
      <c r="G409" s="15" t="inlineStr">
        <is>
          <t>VISION HONDA</t>
        </is>
      </c>
      <c r="H409" s="15" t="inlineStr">
        <is>
          <t>Purushotham Cars</t>
        </is>
      </c>
    </row>
    <row r="410">
      <c r="G410" s="15" t="inlineStr">
        <is>
          <t>VIVEK CARS</t>
        </is>
      </c>
      <c r="H410" s="15" t="inlineStr">
        <is>
          <t>QUEENSWAY</t>
        </is>
      </c>
    </row>
    <row r="411">
      <c r="G411" s="15" t="inlineStr">
        <is>
          <t>VOLKSWAGEN PHOENIX</t>
        </is>
      </c>
      <c r="H411" s="15" t="inlineStr">
        <is>
          <t>RAFEEK</t>
        </is>
      </c>
    </row>
    <row r="412">
      <c r="G412" s="15" t="inlineStr">
        <is>
          <t>VTJ</t>
        </is>
      </c>
      <c r="H412" s="15" t="inlineStr">
        <is>
          <t>RAFEEK T A</t>
        </is>
      </c>
    </row>
    <row r="413">
      <c r="G413" s="15" t="inlineStr">
        <is>
          <t>VW</t>
        </is>
      </c>
      <c r="H413" s="15" t="inlineStr">
        <is>
          <t>RAHUL</t>
        </is>
      </c>
    </row>
    <row r="414">
      <c r="G414" s="15" t="inlineStr">
        <is>
          <t>VW KUN</t>
        </is>
      </c>
      <c r="H414" s="15" t="inlineStr">
        <is>
          <t>RAJEEV A C</t>
        </is>
      </c>
    </row>
    <row r="415">
      <c r="G415" s="15" t="inlineStr">
        <is>
          <t>VYSHAKH RAJESH</t>
        </is>
      </c>
      <c r="H415" s="15" t="inlineStr">
        <is>
          <t>RAJEEV O C</t>
        </is>
      </c>
    </row>
    <row r="416">
      <c r="G416" s="15" t="inlineStr">
        <is>
          <t>WHEELS INDIA LIMITED</t>
        </is>
      </c>
      <c r="H416" s="15" t="inlineStr">
        <is>
          <t>RAJESH WARI (RAM CARS</t>
        </is>
      </c>
    </row>
    <row r="417">
      <c r="G417" s="15" t="inlineStr">
        <is>
          <t>YEKKALURUGOOTY MUSTAK</t>
        </is>
      </c>
      <c r="H417" s="15" t="inlineStr">
        <is>
          <t>RAM Manohar</t>
        </is>
      </c>
    </row>
    <row r="418">
      <c r="G418" s="15" t="inlineStr">
        <is>
          <t>YESBANK</t>
        </is>
      </c>
      <c r="H418" s="15" t="inlineStr">
        <is>
          <t>RAMSHAD</t>
        </is>
      </c>
    </row>
    <row r="419">
      <c r="G419" s="15" t="inlineStr">
        <is>
          <t>ZAHEED MOHIUDDIN</t>
        </is>
      </c>
      <c r="H419" s="15" t="inlineStr">
        <is>
          <t>RASIK RAHIM</t>
        </is>
      </c>
    </row>
    <row r="420">
      <c r="H420" s="15" t="inlineStr">
        <is>
          <t>RATEESH V</t>
        </is>
      </c>
    </row>
    <row r="421">
      <c r="H421" s="15" t="inlineStr">
        <is>
          <t>RATHEESH</t>
        </is>
      </c>
    </row>
    <row r="422">
      <c r="H422" s="15" t="inlineStr">
        <is>
          <t>RATHEESH V</t>
        </is>
      </c>
    </row>
    <row r="423">
      <c r="H423" s="15" t="inlineStr">
        <is>
          <t>RAYON</t>
        </is>
      </c>
    </row>
    <row r="424">
      <c r="H424" s="15" t="inlineStr">
        <is>
          <t>READY TO RIDE CARS</t>
        </is>
      </c>
    </row>
    <row r="425">
      <c r="H425" s="15" t="inlineStr">
        <is>
          <t>REFERENCE</t>
        </is>
      </c>
    </row>
    <row r="426">
      <c r="H426" s="15" t="inlineStr">
        <is>
          <t>REMIL MARUTI NEXA</t>
        </is>
      </c>
    </row>
    <row r="427">
      <c r="H427" s="15" t="inlineStr">
        <is>
          <t>REMIL SARATHY NEXA</t>
        </is>
      </c>
    </row>
    <row r="428">
      <c r="H428" s="15" t="inlineStr">
        <is>
          <t>RENJITH</t>
        </is>
      </c>
    </row>
    <row r="429">
      <c r="H429" s="15" t="inlineStr">
        <is>
          <t>RENSON SPRICE HYUNDAI</t>
        </is>
      </c>
    </row>
    <row r="430">
      <c r="H430" s="15" t="inlineStr">
        <is>
          <t>RIYAS</t>
        </is>
      </c>
    </row>
    <row r="431">
      <c r="H431" s="15" t="inlineStr">
        <is>
          <t>ROBIN MATHEW</t>
        </is>
      </c>
    </row>
    <row r="432">
      <c r="H432" s="15" t="inlineStr">
        <is>
          <t>ROSHAN</t>
        </is>
      </c>
    </row>
    <row r="433">
      <c r="H433" s="15" t="inlineStr">
        <is>
          <t>ROTANA TATA</t>
        </is>
      </c>
    </row>
    <row r="434">
      <c r="H434" s="15" t="inlineStr">
        <is>
          <t>RUKSANA</t>
        </is>
      </c>
    </row>
    <row r="435">
      <c r="H435" s="15" t="inlineStr">
        <is>
          <t>RUKSANA CARS</t>
        </is>
      </c>
    </row>
    <row r="436">
      <c r="H436" s="15" t="inlineStr">
        <is>
          <t>Ragupathy Cars</t>
        </is>
      </c>
    </row>
    <row r="437">
      <c r="H437" s="15" t="inlineStr">
        <is>
          <t>Raj Cars</t>
        </is>
      </c>
    </row>
    <row r="438">
      <c r="H438" s="15" t="inlineStr">
        <is>
          <t>Rajaganapathy</t>
        </is>
      </c>
    </row>
    <row r="439">
      <c r="H439" s="15" t="inlineStr">
        <is>
          <t>Rajaganapathy Cars</t>
        </is>
      </c>
    </row>
    <row r="440">
      <c r="H440" s="15" t="inlineStr">
        <is>
          <t>Rajan Cars</t>
        </is>
      </c>
    </row>
    <row r="441">
      <c r="H441" s="15" t="inlineStr">
        <is>
          <t>RajendranS</t>
        </is>
      </c>
    </row>
    <row r="442">
      <c r="H442" s="15" t="inlineStr">
        <is>
          <t>Raju Avaala</t>
        </is>
      </c>
    </row>
    <row r="443">
      <c r="H443" s="15" t="inlineStr">
        <is>
          <t>Raju Cars</t>
        </is>
      </c>
    </row>
    <row r="444">
      <c r="H444" s="15" t="inlineStr">
        <is>
          <t>Ramalingam Cars</t>
        </is>
      </c>
    </row>
    <row r="445">
      <c r="H445" s="15" t="inlineStr">
        <is>
          <t>Ramesh Cars</t>
        </is>
      </c>
    </row>
    <row r="446">
      <c r="H446" s="15" t="inlineStr">
        <is>
          <t>Ramesh Palley</t>
        </is>
      </c>
    </row>
    <row r="447">
      <c r="H447" s="15" t="inlineStr">
        <is>
          <t>Ravikanth Pentakota</t>
        </is>
      </c>
    </row>
    <row r="448">
      <c r="H448" s="15" t="inlineStr">
        <is>
          <t>Renjith SJ</t>
        </is>
      </c>
    </row>
    <row r="449">
      <c r="H449" s="15" t="inlineStr">
        <is>
          <t>Rithika cars</t>
        </is>
      </c>
    </row>
    <row r="450">
      <c r="H450" s="15" t="inlineStr">
        <is>
          <t>Rohan Joseph Vijuline</t>
        </is>
      </c>
    </row>
    <row r="451">
      <c r="H451" s="15" t="inlineStr">
        <is>
          <t>Ruthwik Prathi</t>
        </is>
      </c>
    </row>
    <row r="452">
      <c r="H452" s="15" t="inlineStr">
        <is>
          <t>S.R.CARS</t>
        </is>
      </c>
    </row>
    <row r="453">
      <c r="H453" s="15" t="inlineStr">
        <is>
          <t>S2 Cars</t>
        </is>
      </c>
    </row>
    <row r="454">
      <c r="H454" s="15" t="inlineStr">
        <is>
          <t>S2 MOTORZ</t>
        </is>
      </c>
    </row>
    <row r="455">
      <c r="H455" s="15" t="inlineStr">
        <is>
          <t>SABITH</t>
        </is>
      </c>
    </row>
    <row r="456">
      <c r="H456" s="15" t="inlineStr">
        <is>
          <t>SABU</t>
        </is>
      </c>
    </row>
    <row r="457">
      <c r="H457" s="15" t="inlineStr">
        <is>
          <t>SABU SALAM</t>
        </is>
      </c>
    </row>
    <row r="458">
      <c r="H458" s="15" t="inlineStr">
        <is>
          <t>SAFIYA TRADERS</t>
        </is>
      </c>
    </row>
    <row r="459">
      <c r="H459" s="15" t="inlineStr">
        <is>
          <t>SAIDALI</t>
        </is>
      </c>
    </row>
    <row r="460">
      <c r="H460" s="15" t="inlineStr">
        <is>
          <t>SAIF RASHEED</t>
        </is>
      </c>
    </row>
    <row r="461">
      <c r="H461" s="15" t="inlineStr">
        <is>
          <t>SAJEEVAN CARZONE</t>
        </is>
      </c>
    </row>
    <row r="462">
      <c r="H462" s="15" t="inlineStr">
        <is>
          <t>SAJIN</t>
        </is>
      </c>
    </row>
    <row r="463">
      <c r="H463" s="15" t="inlineStr">
        <is>
          <t>SAKARAPANI AUTO CONSULTING</t>
        </is>
      </c>
    </row>
    <row r="464">
      <c r="H464" s="15" t="inlineStr">
        <is>
          <t>SALAM</t>
        </is>
      </c>
    </row>
    <row r="465">
      <c r="H465" s="15" t="inlineStr">
        <is>
          <t>SAMEER V H</t>
        </is>
      </c>
    </row>
    <row r="466">
      <c r="H466" s="15" t="inlineStr">
        <is>
          <t>SANOOB</t>
        </is>
      </c>
    </row>
    <row r="467">
      <c r="H467" s="15" t="inlineStr">
        <is>
          <t>SANOOB V A</t>
        </is>
      </c>
    </row>
    <row r="468">
      <c r="H468" s="15" t="inlineStr">
        <is>
          <t>SANOOP</t>
        </is>
      </c>
    </row>
    <row r="469">
      <c r="H469" s="15" t="inlineStr">
        <is>
          <t>SANOOP K M</t>
        </is>
      </c>
    </row>
    <row r="470">
      <c r="H470" s="15" t="inlineStr">
        <is>
          <t>SANTHOSH</t>
        </is>
      </c>
    </row>
    <row r="471">
      <c r="H471" s="15" t="inlineStr">
        <is>
          <t>SAP MAHINDRA</t>
        </is>
      </c>
    </row>
    <row r="472">
      <c r="H472" s="15" t="inlineStr">
        <is>
          <t>SARITH</t>
        </is>
      </c>
    </row>
    <row r="473">
      <c r="H473" s="15" t="inlineStr">
        <is>
          <t>SARITH R</t>
        </is>
      </c>
    </row>
    <row r="474">
      <c r="H474" s="15" t="inlineStr">
        <is>
          <t>SATHOSH</t>
        </is>
      </c>
    </row>
    <row r="475">
      <c r="H475" s="15" t="inlineStr">
        <is>
          <t>SAYOOJ</t>
        </is>
      </c>
    </row>
    <row r="476">
      <c r="H476" s="15" t="inlineStr">
        <is>
          <t>SELVA MOTORS</t>
        </is>
      </c>
    </row>
    <row r="477">
      <c r="H477" s="15" t="inlineStr">
        <is>
          <t>SETHUNATH</t>
        </is>
      </c>
    </row>
    <row r="478">
      <c r="H478" s="15" t="inlineStr">
        <is>
          <t>SHAHAR</t>
        </is>
      </c>
    </row>
    <row r="479">
      <c r="H479" s="15" t="inlineStr">
        <is>
          <t>SHAHARIYAD</t>
        </is>
      </c>
    </row>
    <row r="480">
      <c r="H480" s="15" t="inlineStr">
        <is>
          <t>SHAJEE CARS</t>
        </is>
      </c>
    </row>
    <row r="481">
      <c r="H481" s="15" t="inlineStr">
        <is>
          <t>SHAMEER V H</t>
        </is>
      </c>
    </row>
    <row r="482">
      <c r="H482" s="15" t="inlineStr">
        <is>
          <t>SHAMNAD</t>
        </is>
      </c>
    </row>
    <row r="483">
      <c r="H483" s="15" t="inlineStr">
        <is>
          <t>SHAMNAD AH</t>
        </is>
      </c>
    </row>
    <row r="484">
      <c r="H484" s="15" t="inlineStr">
        <is>
          <t>SHAMSUDEEN</t>
        </is>
      </c>
    </row>
    <row r="485">
      <c r="H485" s="15" t="inlineStr">
        <is>
          <t>SHAMSUDEEN C E</t>
        </is>
      </c>
    </row>
    <row r="486">
      <c r="H486" s="15" t="inlineStr">
        <is>
          <t>SHAMSUDHEEN</t>
        </is>
      </c>
    </row>
    <row r="487">
      <c r="H487" s="15" t="inlineStr">
        <is>
          <t>SHANMUKHADAS C</t>
        </is>
      </c>
    </row>
    <row r="488">
      <c r="H488" s="15" t="inlineStr">
        <is>
          <t>SHARIK SHERIF</t>
        </is>
      </c>
    </row>
    <row r="489">
      <c r="H489" s="15" t="inlineStr">
        <is>
          <t>SHAROOQUE ANAS</t>
        </is>
      </c>
    </row>
    <row r="490">
      <c r="H490" s="15" t="inlineStr">
        <is>
          <t>SHENBAGAMOORTHI CARS</t>
        </is>
      </c>
    </row>
    <row r="491">
      <c r="H491" s="15" t="inlineStr">
        <is>
          <t>SHIBU</t>
        </is>
      </c>
    </row>
    <row r="492">
      <c r="H492" s="15" t="inlineStr">
        <is>
          <t>SHIBU BABU</t>
        </is>
      </c>
    </row>
    <row r="493">
      <c r="H493" s="15" t="inlineStr">
        <is>
          <t>SHIVAKUMAR</t>
        </is>
      </c>
    </row>
    <row r="494">
      <c r="H494" s="15" t="inlineStr">
        <is>
          <t>SHIVAN MAXX MOTORS</t>
        </is>
      </c>
    </row>
    <row r="495">
      <c r="H495" s="15" t="inlineStr">
        <is>
          <t>SIJO</t>
        </is>
      </c>
    </row>
    <row r="496">
      <c r="H496" s="15" t="inlineStr">
        <is>
          <t>SIJO THOMAS</t>
        </is>
      </c>
    </row>
    <row r="497">
      <c r="H497" s="15" t="inlineStr">
        <is>
          <t>SILSHA AJAYGHOSH</t>
        </is>
      </c>
    </row>
    <row r="498">
      <c r="H498" s="15" t="inlineStr">
        <is>
          <t>SK Cars Prasana</t>
        </is>
      </c>
    </row>
    <row r="499">
      <c r="H499" s="15" t="inlineStr">
        <is>
          <t>SK Mani</t>
        </is>
      </c>
    </row>
    <row r="500">
      <c r="H500" s="15" t="inlineStr">
        <is>
          <t>SMS Cars</t>
        </is>
      </c>
    </row>
    <row r="501">
      <c r="H501" s="15" t="inlineStr">
        <is>
          <t>SOORAJ PK</t>
        </is>
      </c>
    </row>
    <row r="502">
      <c r="H502" s="15" t="inlineStr">
        <is>
          <t>SOORAJ POPULAR CARS</t>
        </is>
      </c>
    </row>
    <row r="503">
      <c r="H503" s="15" t="inlineStr">
        <is>
          <t>SRI KARUPPAIYA CARS</t>
        </is>
      </c>
    </row>
    <row r="504">
      <c r="H504" s="15" t="inlineStr">
        <is>
          <t>SRI RAJA KANAPATHY CARS</t>
        </is>
      </c>
    </row>
    <row r="505">
      <c r="H505" s="15" t="inlineStr">
        <is>
          <t>SRI SENTHUR CARS</t>
        </is>
      </c>
    </row>
    <row r="506">
      <c r="H506" s="15" t="inlineStr">
        <is>
          <t>SRI VIGNESH PRE OWNED CARS</t>
        </is>
      </c>
    </row>
    <row r="507">
      <c r="H507" s="15" t="inlineStr">
        <is>
          <t>SRIDHAR cars</t>
        </is>
      </c>
    </row>
    <row r="508">
      <c r="H508" s="15" t="inlineStr">
        <is>
          <t>SRIRAM FINANCE</t>
        </is>
      </c>
    </row>
    <row r="509">
      <c r="H509" s="15" t="inlineStr">
        <is>
          <t>SS MAHINDRA</t>
        </is>
      </c>
    </row>
    <row r="510">
      <c r="H510" s="15" t="inlineStr">
        <is>
          <t>STALIN CARS</t>
        </is>
      </c>
    </row>
    <row r="511">
      <c r="H511" s="15" t="inlineStr">
        <is>
          <t>STEVE JACKSON</t>
        </is>
      </c>
    </row>
    <row r="512">
      <c r="H512" s="15" t="inlineStr">
        <is>
          <t>SUBRAMANIAN</t>
        </is>
      </c>
    </row>
    <row r="513">
      <c r="H513" s="15" t="inlineStr">
        <is>
          <t>SUDHEESH K SATHEESH</t>
        </is>
      </c>
    </row>
    <row r="514">
      <c r="H514" s="15" t="inlineStr">
        <is>
          <t>SUDHEESH K SATHYAN</t>
        </is>
      </c>
    </row>
    <row r="515">
      <c r="H515" s="15" t="inlineStr">
        <is>
          <t>SUDINA</t>
        </is>
      </c>
    </row>
    <row r="516">
      <c r="H516" s="15" t="inlineStr">
        <is>
          <t>SUMESH</t>
        </is>
      </c>
    </row>
    <row r="517">
      <c r="H517" s="15" t="inlineStr">
        <is>
          <t>SUMESH CHOYS CARS</t>
        </is>
      </c>
    </row>
    <row r="518">
      <c r="H518" s="15" t="inlineStr">
        <is>
          <t>SURAJ PK</t>
        </is>
      </c>
    </row>
    <row r="519">
      <c r="H519" s="15" t="inlineStr">
        <is>
          <t>Sabir</t>
        </is>
      </c>
    </row>
    <row r="520">
      <c r="H520" s="15" t="inlineStr">
        <is>
          <t>Sai Cars</t>
        </is>
      </c>
    </row>
    <row r="521">
      <c r="H521" s="15" t="inlineStr">
        <is>
          <t>Sajin Satheesan</t>
        </is>
      </c>
    </row>
    <row r="522">
      <c r="H522" s="15" t="inlineStr">
        <is>
          <t>Sajith,Leaps Trucks</t>
        </is>
      </c>
    </row>
    <row r="523">
      <c r="H523" s="15" t="inlineStr">
        <is>
          <t>Sangeetha Enterprises</t>
        </is>
      </c>
    </row>
    <row r="524">
      <c r="H524" s="15" t="inlineStr">
        <is>
          <t>Santhosh Cars</t>
        </is>
      </c>
    </row>
    <row r="525">
      <c r="H525" s="15" t="inlineStr">
        <is>
          <t>Saravana Cars</t>
        </is>
      </c>
    </row>
    <row r="526">
      <c r="H526" s="15" t="inlineStr">
        <is>
          <t>Sarvesh Cars</t>
        </is>
      </c>
    </row>
    <row r="527">
      <c r="H527" s="15" t="inlineStr">
        <is>
          <t>Seema Cars</t>
        </is>
      </c>
    </row>
    <row r="528">
      <c r="H528" s="15" t="inlineStr">
        <is>
          <t>Senthil Cars</t>
        </is>
      </c>
    </row>
    <row r="529">
      <c r="H529" s="15" t="inlineStr">
        <is>
          <t>Senthur Cars</t>
        </is>
      </c>
    </row>
    <row r="530">
      <c r="H530" s="15" t="inlineStr">
        <is>
          <t>Senthur Finance</t>
        </is>
      </c>
    </row>
    <row r="531">
      <c r="H531" s="15" t="inlineStr">
        <is>
          <t>Sesetti Manoj Kumar</t>
        </is>
      </c>
    </row>
    <row r="532">
      <c r="H532" s="15" t="inlineStr">
        <is>
          <t>Shafras K</t>
        </is>
      </c>
    </row>
    <row r="533">
      <c r="H533" s="15" t="inlineStr">
        <is>
          <t>Shahana Cars</t>
        </is>
      </c>
    </row>
    <row r="534">
      <c r="H534" s="15" t="inlineStr">
        <is>
          <t>Shahar T</t>
        </is>
      </c>
    </row>
    <row r="535">
      <c r="H535" s="15" t="inlineStr">
        <is>
          <t>Shaik Naseer Basha</t>
        </is>
      </c>
    </row>
    <row r="536">
      <c r="H536" s="15" t="inlineStr">
        <is>
          <t>Shaik Rasul</t>
        </is>
      </c>
    </row>
    <row r="537">
      <c r="H537" s="15" t="inlineStr">
        <is>
          <t>Shaik Salim</t>
        </is>
      </c>
    </row>
    <row r="538">
      <c r="H538" s="15" t="inlineStr">
        <is>
          <t>Shaik Samdhani</t>
        </is>
      </c>
    </row>
    <row r="539">
      <c r="H539" s="15" t="inlineStr">
        <is>
          <t>Shaik Shakeela</t>
        </is>
      </c>
    </row>
    <row r="540">
      <c r="H540" s="15" t="inlineStr">
        <is>
          <t>Shakeela Shaik</t>
        </is>
      </c>
    </row>
    <row r="541">
      <c r="H541" s="15" t="inlineStr">
        <is>
          <t>Shakthi Cars</t>
        </is>
      </c>
    </row>
    <row r="542">
      <c r="H542" s="15" t="inlineStr">
        <is>
          <t>Sherin P S</t>
        </is>
      </c>
    </row>
    <row r="543">
      <c r="H543" s="15" t="inlineStr">
        <is>
          <t>Shinoj Kk</t>
        </is>
      </c>
    </row>
    <row r="544">
      <c r="H544" s="15" t="inlineStr">
        <is>
          <t>Shree Cars (Coimbatore</t>
        </is>
      </c>
    </row>
    <row r="545">
      <c r="H545" s="15" t="inlineStr">
        <is>
          <t>Shree Shan Motor</t>
        </is>
      </c>
    </row>
    <row r="546">
      <c r="H546" s="15" t="inlineStr">
        <is>
          <t>Sireesha Kodali</t>
        </is>
      </c>
    </row>
    <row r="547">
      <c r="H547" s="15" t="inlineStr">
        <is>
          <t>Siva Reddy Gudla</t>
        </is>
      </c>
    </row>
    <row r="548">
      <c r="H548" s="15" t="inlineStr">
        <is>
          <t>Sivashankar Cars</t>
        </is>
      </c>
    </row>
    <row r="549">
      <c r="H549" s="15" t="inlineStr">
        <is>
          <t>Somanadhi Mahalaxmi Venkatesh</t>
        </is>
      </c>
    </row>
    <row r="550">
      <c r="H550" s="15" t="inlineStr">
        <is>
          <t>Somasundharam cars</t>
        </is>
      </c>
    </row>
    <row r="551">
      <c r="H551" s="15" t="inlineStr">
        <is>
          <t>Spinny</t>
        </is>
      </c>
    </row>
    <row r="552">
      <c r="H552" s="15" t="inlineStr">
        <is>
          <t>Spinny / Sai Cars</t>
        </is>
      </c>
    </row>
    <row r="553">
      <c r="H553" s="15" t="inlineStr">
        <is>
          <t>Sr Auto Consulting</t>
        </is>
      </c>
    </row>
    <row r="554">
      <c r="H554" s="15" t="inlineStr">
        <is>
          <t>Sree Murugan Cars</t>
        </is>
      </c>
    </row>
    <row r="555">
      <c r="H555" s="15" t="inlineStr">
        <is>
          <t>Sreeshan</t>
        </is>
      </c>
    </row>
    <row r="556">
      <c r="H556" s="15" t="inlineStr">
        <is>
          <t>Sri Amman Cars</t>
        </is>
      </c>
    </row>
    <row r="557">
      <c r="H557" s="15" t="inlineStr">
        <is>
          <t>Sri Lakshmi Cars</t>
        </is>
      </c>
    </row>
    <row r="558">
      <c r="H558" s="15" t="inlineStr">
        <is>
          <t>Sri Murugan Cars</t>
        </is>
      </c>
    </row>
    <row r="559">
      <c r="H559" s="15" t="inlineStr">
        <is>
          <t>Sri Shakthi Vinayaga Cars</t>
        </is>
      </c>
    </row>
    <row r="560">
      <c r="H560" s="15" t="inlineStr">
        <is>
          <t>Sri Visakam</t>
        </is>
      </c>
    </row>
    <row r="561">
      <c r="H561" s="15" t="inlineStr">
        <is>
          <t>Srijja Travels</t>
        </is>
      </c>
    </row>
    <row r="562">
      <c r="H562" s="15" t="inlineStr">
        <is>
          <t>Ss Cars (Erode</t>
        </is>
      </c>
    </row>
    <row r="563">
      <c r="H563" s="15" t="inlineStr">
        <is>
          <t>Sterlin Cars</t>
        </is>
      </c>
    </row>
    <row r="564">
      <c r="H564" s="15" t="inlineStr">
        <is>
          <t>Subbayya Tanaki</t>
        </is>
      </c>
    </row>
    <row r="565">
      <c r="H565" s="15" t="inlineStr">
        <is>
          <t>Suganya Cars</t>
        </is>
      </c>
    </row>
    <row r="566">
      <c r="H566" s="15" t="inlineStr">
        <is>
          <t>Sun Cars</t>
        </is>
      </c>
    </row>
    <row r="567">
      <c r="H567" s="15" t="inlineStr">
        <is>
          <t>Sunil A</t>
        </is>
      </c>
    </row>
    <row r="568">
      <c r="H568" s="15" t="inlineStr">
        <is>
          <t>Sunilkumar Car</t>
        </is>
      </c>
    </row>
    <row r="569">
      <c r="H569" s="15" t="inlineStr">
        <is>
          <t>Superior Cars</t>
        </is>
      </c>
    </row>
    <row r="570">
      <c r="H570" s="15" t="inlineStr">
        <is>
          <t>Surendhar Cars</t>
        </is>
      </c>
    </row>
    <row r="571">
      <c r="H571" s="15" t="inlineStr">
        <is>
          <t>Suresh Ginjupalli</t>
        </is>
      </c>
    </row>
    <row r="572">
      <c r="H572" s="15" t="inlineStr">
        <is>
          <t>Suresh cars</t>
        </is>
      </c>
    </row>
    <row r="573">
      <c r="H573" s="15" t="inlineStr">
        <is>
          <t>T G 7 CARS 4 U</t>
        </is>
      </c>
    </row>
    <row r="574">
      <c r="H574" s="15" t="inlineStr">
        <is>
          <t>T S Mahalingam and Sons</t>
        </is>
      </c>
    </row>
    <row r="575">
      <c r="H575" s="15" t="inlineStr">
        <is>
          <t>TATA KVR</t>
        </is>
      </c>
    </row>
    <row r="576">
      <c r="H576" s="15" t="inlineStr">
        <is>
          <t>THANGARAJ</t>
        </is>
      </c>
    </row>
    <row r="577">
      <c r="H577" s="15" t="inlineStr">
        <is>
          <t>THANSEER CARS</t>
        </is>
      </c>
    </row>
    <row r="578">
      <c r="H578" s="15" t="inlineStr">
        <is>
          <t>THANSIR</t>
        </is>
      </c>
    </row>
    <row r="579">
      <c r="H579" s="15" t="inlineStr">
        <is>
          <t>TINU P SOMAN</t>
        </is>
      </c>
    </row>
    <row r="580">
      <c r="H580" s="15" t="inlineStr">
        <is>
          <t>TOKYO CARS</t>
        </is>
      </c>
    </row>
    <row r="581">
      <c r="H581" s="15" t="inlineStr">
        <is>
          <t>TOYOTA FINANCE</t>
        </is>
      </c>
    </row>
    <row r="582">
      <c r="H582" s="15" t="inlineStr">
        <is>
          <t>TRIVANDRUM MOTORS</t>
        </is>
      </c>
    </row>
    <row r="583">
      <c r="H583" s="15" t="inlineStr">
        <is>
          <t>TSM</t>
        </is>
      </c>
    </row>
    <row r="584">
      <c r="H584" s="15" t="inlineStr">
        <is>
          <t>Tenali Srinivas</t>
        </is>
      </c>
    </row>
    <row r="585">
      <c r="H585" s="15" t="inlineStr">
        <is>
          <t>Tg7(Reswin</t>
        </is>
      </c>
    </row>
    <row r="586">
      <c r="H586" s="15" t="inlineStr">
        <is>
          <t>Thirumalai Cars (Madurai</t>
        </is>
      </c>
    </row>
    <row r="587">
      <c r="H587" s="15" t="inlineStr">
        <is>
          <t>Thirumurugan Cars</t>
        </is>
      </c>
    </row>
    <row r="588">
      <c r="H588" s="15" t="inlineStr">
        <is>
          <t>Thirupathi Traders</t>
        </is>
      </c>
    </row>
    <row r="589">
      <c r="H589" s="15" t="inlineStr">
        <is>
          <t>Thiya Cars</t>
        </is>
      </c>
    </row>
    <row r="590">
      <c r="H590" s="15" t="inlineStr">
        <is>
          <t>Thiyagarajan Raja Cars</t>
        </is>
      </c>
    </row>
    <row r="591">
      <c r="H591" s="15" t="inlineStr">
        <is>
          <t>True Cars (Kamal Honda</t>
        </is>
      </c>
    </row>
    <row r="592">
      <c r="H592" s="15" t="inlineStr">
        <is>
          <t>True Choise</t>
        </is>
      </c>
    </row>
    <row r="593">
      <c r="H593" s="15" t="inlineStr">
        <is>
          <t>Trust On wheels</t>
        </is>
      </c>
    </row>
    <row r="594">
      <c r="H594" s="15" t="inlineStr">
        <is>
          <t>Turaka Sarat</t>
        </is>
      </c>
    </row>
    <row r="595">
      <c r="H595" s="15" t="inlineStr">
        <is>
          <t>UCD ABHILASH</t>
        </is>
      </c>
    </row>
    <row r="596">
      <c r="H596" s="15" t="inlineStr">
        <is>
          <t>UCD ASOKAN</t>
        </is>
      </c>
    </row>
    <row r="597">
      <c r="H597" s="15" t="inlineStr">
        <is>
          <t>UCD BKR NASAR</t>
        </is>
      </c>
    </row>
    <row r="598">
      <c r="H598" s="15" t="inlineStr">
        <is>
          <t>UCD HARIS</t>
        </is>
      </c>
    </row>
    <row r="599">
      <c r="H599" s="15" t="inlineStr">
        <is>
          <t>UCD KPD</t>
        </is>
      </c>
    </row>
    <row r="600">
      <c r="H600" s="15" t="inlineStr">
        <is>
          <t>UCD MITHUN</t>
        </is>
      </c>
    </row>
    <row r="601">
      <c r="H601" s="15" t="inlineStr">
        <is>
          <t>UCD NADIR</t>
        </is>
      </c>
    </row>
    <row r="602">
      <c r="H602" s="15" t="inlineStr">
        <is>
          <t>UCD NIDHEESH</t>
        </is>
      </c>
    </row>
    <row r="603">
      <c r="H603" s="15" t="inlineStr">
        <is>
          <t>UCD NIDIHIN</t>
        </is>
      </c>
    </row>
    <row r="604">
      <c r="H604" s="15" t="inlineStr">
        <is>
          <t>UCD NITHEESH</t>
        </is>
      </c>
    </row>
    <row r="605">
      <c r="H605" s="15" t="inlineStr">
        <is>
          <t>UCD NOUSHAD</t>
        </is>
      </c>
    </row>
    <row r="606">
      <c r="H606" s="15" t="inlineStr">
        <is>
          <t>UCD PRAJOSH</t>
        </is>
      </c>
    </row>
    <row r="607">
      <c r="H607" s="15" t="inlineStr">
        <is>
          <t>UCD PRAJU</t>
        </is>
      </c>
    </row>
    <row r="608">
      <c r="H608" s="15" t="inlineStr">
        <is>
          <t>UCD REJU</t>
        </is>
      </c>
    </row>
    <row r="609">
      <c r="H609" s="15" t="inlineStr">
        <is>
          <t>UCD SANOOP</t>
        </is>
      </c>
    </row>
    <row r="610">
      <c r="H610" s="15" t="inlineStr">
        <is>
          <t>UCD SANTHOSH</t>
        </is>
      </c>
    </row>
    <row r="611">
      <c r="H611" s="15" t="inlineStr">
        <is>
          <t>UNAIS</t>
        </is>
      </c>
    </row>
    <row r="612">
      <c r="H612" s="15" t="inlineStr">
        <is>
          <t>UNAIS CARS</t>
        </is>
      </c>
    </row>
    <row r="613">
      <c r="H613" s="15" t="inlineStr">
        <is>
          <t>Ulavan Cars (Pollachi</t>
        </is>
      </c>
    </row>
    <row r="614">
      <c r="H614" s="15" t="inlineStr">
        <is>
          <t>Umahesh</t>
        </is>
      </c>
    </row>
    <row r="615">
      <c r="H615" s="15" t="inlineStr">
        <is>
          <t>Umesh Kumar T U</t>
        </is>
      </c>
    </row>
    <row r="616">
      <c r="H616" s="15" t="inlineStr">
        <is>
          <t>Uppari Sandeep Kumar</t>
        </is>
      </c>
    </row>
    <row r="617">
      <c r="H617" s="15" t="inlineStr">
        <is>
          <t>Uzhavan Enterprise</t>
        </is>
      </c>
    </row>
    <row r="618">
      <c r="H618" s="15" t="inlineStr">
        <is>
          <t>Uzhavan Entp</t>
        </is>
      </c>
    </row>
    <row r="619">
      <c r="H619" s="15" t="inlineStr">
        <is>
          <t>VAISAKH</t>
        </is>
      </c>
    </row>
    <row r="620">
      <c r="H620" s="15" t="inlineStr">
        <is>
          <t>VARSHA CARS</t>
        </is>
      </c>
    </row>
    <row r="621">
      <c r="H621" s="15" t="inlineStr">
        <is>
          <t>VARUN</t>
        </is>
      </c>
    </row>
    <row r="622">
      <c r="H622" s="15" t="inlineStr">
        <is>
          <t>VARUN BABU</t>
        </is>
      </c>
    </row>
    <row r="623">
      <c r="H623" s="15" t="inlineStr">
        <is>
          <t>VARUN P M</t>
        </is>
      </c>
    </row>
    <row r="624">
      <c r="H624" s="15" t="inlineStr">
        <is>
          <t>VASIL</t>
        </is>
      </c>
    </row>
    <row r="625">
      <c r="H625" s="15" t="inlineStr">
        <is>
          <t>VASIL AUTOBOT</t>
        </is>
      </c>
    </row>
    <row r="626">
      <c r="H626" s="15" t="inlineStr">
        <is>
          <t>VEER MAHINDRA</t>
        </is>
      </c>
    </row>
    <row r="627">
      <c r="H627" s="15" t="inlineStr">
        <is>
          <t>VIJAY CARS ERODE</t>
        </is>
      </c>
    </row>
    <row r="628">
      <c r="H628" s="15" t="inlineStr">
        <is>
          <t>VIJIL</t>
        </is>
      </c>
    </row>
    <row r="629">
      <c r="H629" s="15" t="inlineStr">
        <is>
          <t>VISHNU M S</t>
        </is>
      </c>
    </row>
    <row r="630">
      <c r="H630" s="15" t="inlineStr">
        <is>
          <t>VS Enterprises</t>
        </is>
      </c>
    </row>
    <row r="631">
      <c r="H631" s="15" t="inlineStr">
        <is>
          <t>VTJ</t>
        </is>
      </c>
    </row>
    <row r="632">
      <c r="H632" s="15" t="inlineStr">
        <is>
          <t>VTJ MOTORS</t>
        </is>
      </c>
    </row>
    <row r="633">
      <c r="H633" s="15" t="inlineStr">
        <is>
          <t>Vadivel Madesh</t>
        </is>
      </c>
    </row>
    <row r="634">
      <c r="H634" s="15" t="inlineStr">
        <is>
          <t>Value Cars</t>
        </is>
      </c>
    </row>
    <row r="635">
      <c r="H635" s="15" t="inlineStr">
        <is>
          <t>Value Drive</t>
        </is>
      </c>
    </row>
    <row r="636">
      <c r="H636" s="15" t="inlineStr">
        <is>
          <t>Value Drive Tech</t>
        </is>
      </c>
    </row>
    <row r="637">
      <c r="H637" s="15" t="inlineStr">
        <is>
          <t>Value Drive Tecnologies</t>
        </is>
      </c>
    </row>
    <row r="638">
      <c r="H638" s="15" t="inlineStr">
        <is>
          <t>Vara Rajendra Varma</t>
        </is>
      </c>
    </row>
    <row r="639">
      <c r="H639" s="15" t="inlineStr">
        <is>
          <t>Varadharajan</t>
        </is>
      </c>
    </row>
    <row r="640">
      <c r="H640" s="15" t="inlineStr">
        <is>
          <t>Varadhrajan cars</t>
        </is>
      </c>
    </row>
    <row r="641">
      <c r="H641" s="15" t="inlineStr">
        <is>
          <t>Varun B Prakash</t>
        </is>
      </c>
    </row>
    <row r="642">
      <c r="H642" s="15" t="inlineStr">
        <is>
          <t>Varun Prakash</t>
        </is>
      </c>
    </row>
    <row r="643">
      <c r="H643" s="15" t="inlineStr">
        <is>
          <t>Vasundhara Cars</t>
        </is>
      </c>
    </row>
    <row r="644">
      <c r="H644" s="15" t="inlineStr">
        <is>
          <t>Vedicherla Sudheer Reddy - VSR Cars</t>
        </is>
      </c>
    </row>
    <row r="645">
      <c r="H645" s="15" t="inlineStr">
        <is>
          <t>Vellore Vathiyar</t>
        </is>
      </c>
    </row>
    <row r="646">
      <c r="H646" s="15" t="inlineStr">
        <is>
          <t>Vidin Raj K</t>
        </is>
      </c>
    </row>
    <row r="647">
      <c r="H647" s="15" t="inlineStr">
        <is>
          <t>Vijaya Cars</t>
        </is>
      </c>
    </row>
    <row r="648">
      <c r="H648" s="15" t="inlineStr">
        <is>
          <t>Vinod Kumar Murari</t>
        </is>
      </c>
    </row>
    <row r="649">
      <c r="H649" s="15" t="inlineStr">
        <is>
          <t>Viswanadhapalli Aravind</t>
        </is>
      </c>
    </row>
    <row r="650">
      <c r="H650" s="15" t="inlineStr">
        <is>
          <t>Vivek Cars</t>
        </is>
      </c>
    </row>
    <row r="651">
      <c r="H651" s="15" t="inlineStr">
        <is>
          <t>Williams Varghese-(Horizon Cars</t>
        </is>
      </c>
    </row>
    <row r="652">
      <c r="H652" s="15" t="inlineStr">
        <is>
          <t>YAHIYA</t>
        </is>
      </c>
    </row>
    <row r="653">
      <c r="H653" s="15" t="inlineStr">
        <is>
          <t>YUGA DHEERAN CARS</t>
        </is>
      </c>
    </row>
    <row r="654">
      <c r="H654" s="15" t="inlineStr">
        <is>
          <t>Yarlagadda Sai Phanindra</t>
        </is>
      </c>
    </row>
    <row r="655">
      <c r="H655" s="15" t="inlineStr">
        <is>
          <t>Yes Cars</t>
        </is>
      </c>
    </row>
    <row r="656">
      <c r="H656" s="15" t="inlineStr">
        <is>
          <t>Yogeshwari Cars</t>
        </is>
      </c>
    </row>
    <row r="657">
      <c r="H657" s="15" t="inlineStr">
        <is>
          <t>Yugatheran cars</t>
        </is>
      </c>
    </row>
    <row r="658">
      <c r="H658" s="15" t="inlineStr">
        <is>
          <t>Zaheed Mohiuddin</t>
        </is>
      </c>
    </row>
    <row r="659">
      <c r="H659" s="15" t="inlineStr">
        <is>
          <t>Zaki Ahmed Khan</t>
        </is>
      </c>
    </row>
    <row r="660">
      <c r="H660" s="15" t="inlineStr">
        <is>
          <t>car Hub</t>
        </is>
      </c>
    </row>
    <row r="661">
      <c r="H661" s="15" t="inlineStr">
        <is>
          <t>hahahashini cars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2026-10-10T11:05:08Z</dcterms:created>
  <dcterms:modified xmlns:dcterms="http://purl.org/dc/terms/" xmlns:xsi="http://www.w3.org/2001/XMLSchema-instance" xsi:type="dcterms:W3CDTF">2026-10-10T11:05:15Z</dcterms:modified>
</cp:coreProperties>
</file>